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6315C638-C654-439E-82F4-C9EE1DC28850}" xr6:coauthVersionLast="47" xr6:coauthVersionMax="47" xr10:uidLastSave="{00000000-0000-0000-0000-000000000000}"/>
  <bookViews>
    <workbookView xWindow="-28910" yWindow="-1730" windowWidth="29020" windowHeight="15820" tabRatio="877" xr2:uid="{00000000-000D-0000-FFFF-FFFF00000000}"/>
  </bookViews>
  <sheets>
    <sheet name="FR-IMOB-43_Rev00" sheetId="183" r:id="rId1"/>
  </sheets>
  <externalReferences>
    <externalReference r:id="rId2"/>
  </externalReferences>
  <definedNames>
    <definedName name="____B106441" localSheetId="0">#REF!</definedName>
    <definedName name="___B106440" localSheetId="0">#REF!</definedName>
    <definedName name="__1__123Graph_ACHART_1" hidden="1">[1]CP1ens1!$B$9:$B$45</definedName>
    <definedName name="__2__123Graph_BCHART_1" hidden="1">[1]CP1ens1!$L$9:$L$45</definedName>
    <definedName name="__B106440" localSheetId="0">#REF!</definedName>
    <definedName name="__B106441" localSheetId="0">#REF!</definedName>
    <definedName name="_1__123Graph_ACHART_1" hidden="1">[1]CP1ens1!$B$9:$B$45</definedName>
    <definedName name="_2__123Graph_BCHART_1" hidden="1">[1]CP1ens1!$L$9:$L$45</definedName>
    <definedName name="_a2" localSheetId="0">#REF!</definedName>
    <definedName name="_B106440" localSheetId="0">#REF!</definedName>
    <definedName name="_B106441" localSheetId="0">#REF!</definedName>
    <definedName name="_xlnm._FilterDatabase" localSheetId="0" hidden="1">'FR-IMOB-43_Rev00'!$AN$28:$AQ$41</definedName>
    <definedName name="abril" localSheetId="0">#REF!</definedName>
    <definedName name="_xlnm.Print_Area" localSheetId="0">'FR-IMOB-43_Rev00'!$A$1:$X$77</definedName>
    <definedName name="CEE">[1]CP1ens1!$J$21</definedName>
    <definedName name="K">[1]CP1ens1!$J$19</definedName>
    <definedName name="_xlnm.Print_Titles" localSheetId="0">'FR-IMOB-43_Rev00'!$7:$17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28" i="183" l="1"/>
  <c r="AQ29" i="183"/>
  <c r="AP29" i="183"/>
  <c r="AP28" i="183"/>
  <c r="AY41" i="183"/>
  <c r="AZ41" i="183" s="1"/>
  <c r="R1996" i="183"/>
  <c r="BT1007" i="183"/>
  <c r="Q1996" i="183"/>
  <c r="O1996" i="183"/>
  <c r="M1996" i="183"/>
  <c r="R1994" i="183"/>
  <c r="BT1006" i="183"/>
  <c r="Q1994" i="183"/>
  <c r="O1994" i="183"/>
  <c r="M1994" i="183"/>
  <c r="R1992" i="183"/>
  <c r="BT1005" i="183"/>
  <c r="Q1992" i="183"/>
  <c r="O1992" i="183"/>
  <c r="M1992" i="183"/>
  <c r="R1990" i="183"/>
  <c r="BT1004" i="183"/>
  <c r="Q1990" i="183"/>
  <c r="O1990" i="183"/>
  <c r="M1990" i="183"/>
  <c r="R1988" i="183"/>
  <c r="BT1003" i="183"/>
  <c r="Q1988" i="183"/>
  <c r="O1988" i="183"/>
  <c r="M1988" i="183"/>
  <c r="R1986" i="183"/>
  <c r="BT1002" i="183"/>
  <c r="Q1986" i="183"/>
  <c r="O1986" i="183"/>
  <c r="M1986" i="183"/>
  <c r="R1984" i="183"/>
  <c r="BT1001" i="183"/>
  <c r="Q1984" i="183"/>
  <c r="O1984" i="183"/>
  <c r="M1984" i="183"/>
  <c r="R1982" i="183"/>
  <c r="BT1000" i="183"/>
  <c r="Q1982" i="183"/>
  <c r="O1982" i="183"/>
  <c r="M1982" i="183"/>
  <c r="R1980" i="183"/>
  <c r="BT999" i="183"/>
  <c r="Q1980" i="183"/>
  <c r="O1980" i="183"/>
  <c r="M1980" i="183"/>
  <c r="R1978" i="183"/>
  <c r="BT998" i="183"/>
  <c r="Q1978" i="183"/>
  <c r="O1978" i="183"/>
  <c r="M1978" i="183"/>
  <c r="R1976" i="183"/>
  <c r="BT997" i="183"/>
  <c r="Q1976" i="183"/>
  <c r="O1976" i="183"/>
  <c r="M1976" i="183"/>
  <c r="R1974" i="183"/>
  <c r="BT996" i="183"/>
  <c r="Q1974" i="183"/>
  <c r="O1974" i="183"/>
  <c r="M1974" i="183"/>
  <c r="R1972" i="183"/>
  <c r="BT995" i="183"/>
  <c r="Q1972" i="183"/>
  <c r="O1972" i="183"/>
  <c r="M1972" i="183"/>
  <c r="R1970" i="183"/>
  <c r="BT994" i="183"/>
  <c r="Q1970" i="183"/>
  <c r="O1970" i="183"/>
  <c r="M1970" i="183"/>
  <c r="R1968" i="183"/>
  <c r="BT993" i="183"/>
  <c r="Q1968" i="183"/>
  <c r="O1968" i="183"/>
  <c r="M1968" i="183"/>
  <c r="R1966" i="183"/>
  <c r="BT992" i="183"/>
  <c r="Q1966" i="183"/>
  <c r="O1966" i="183"/>
  <c r="M1966" i="183"/>
  <c r="R1964" i="183"/>
  <c r="BT991" i="183"/>
  <c r="Q1964" i="183"/>
  <c r="O1964" i="183"/>
  <c r="M1964" i="183"/>
  <c r="R1962" i="183"/>
  <c r="BT990" i="183"/>
  <c r="Q1962" i="183"/>
  <c r="O1962" i="183"/>
  <c r="M1962" i="183"/>
  <c r="R1960" i="183"/>
  <c r="BT989" i="183"/>
  <c r="Q1960" i="183"/>
  <c r="O1960" i="183"/>
  <c r="M1960" i="183"/>
  <c r="R1958" i="183"/>
  <c r="BT988" i="183"/>
  <c r="Q1958" i="183"/>
  <c r="O1958" i="183"/>
  <c r="M1958" i="183"/>
  <c r="R1956" i="183"/>
  <c r="BT987" i="183"/>
  <c r="Q1956" i="183"/>
  <c r="O1956" i="183"/>
  <c r="M1956" i="183"/>
  <c r="R1954" i="183"/>
  <c r="BT986" i="183"/>
  <c r="Q1954" i="183"/>
  <c r="O1954" i="183"/>
  <c r="M1954" i="183"/>
  <c r="R1952" i="183"/>
  <c r="BT985" i="183"/>
  <c r="Q1952" i="183"/>
  <c r="O1952" i="183"/>
  <c r="M1952" i="183"/>
  <c r="R1950" i="183"/>
  <c r="BT984" i="183"/>
  <c r="Q1950" i="183"/>
  <c r="O1950" i="183"/>
  <c r="M1950" i="183"/>
  <c r="R1948" i="183"/>
  <c r="BT983" i="183"/>
  <c r="Q1948" i="183"/>
  <c r="O1948" i="183"/>
  <c r="M1948" i="183"/>
  <c r="R1946" i="183"/>
  <c r="BT982" i="183"/>
  <c r="Q1946" i="183"/>
  <c r="O1946" i="183"/>
  <c r="M1946" i="183"/>
  <c r="R1944" i="183"/>
  <c r="BT981" i="183"/>
  <c r="Q1944" i="183"/>
  <c r="O1944" i="183"/>
  <c r="M1944" i="183"/>
  <c r="R1942" i="183"/>
  <c r="BT980" i="183"/>
  <c r="Q1942" i="183"/>
  <c r="O1942" i="183"/>
  <c r="M1942" i="183"/>
  <c r="R1940" i="183"/>
  <c r="BT979" i="183"/>
  <c r="Q1940" i="183"/>
  <c r="O1940" i="183"/>
  <c r="M1940" i="183"/>
  <c r="R1938" i="183"/>
  <c r="BT978" i="183"/>
  <c r="Q1938" i="183"/>
  <c r="O1938" i="183"/>
  <c r="M1938" i="183"/>
  <c r="R1936" i="183"/>
  <c r="BT977" i="183"/>
  <c r="Q1936" i="183"/>
  <c r="O1936" i="183"/>
  <c r="M1936" i="183"/>
  <c r="R1934" i="183"/>
  <c r="BT976" i="183"/>
  <c r="Q1934" i="183"/>
  <c r="O1934" i="183"/>
  <c r="M1934" i="183"/>
  <c r="R1932" i="183"/>
  <c r="BT975" i="183"/>
  <c r="Q1932" i="183"/>
  <c r="O1932" i="183"/>
  <c r="M1932" i="183"/>
  <c r="R1930" i="183"/>
  <c r="BT974" i="183"/>
  <c r="Q1930" i="183"/>
  <c r="O1930" i="183"/>
  <c r="M1930" i="183"/>
  <c r="R1928" i="183"/>
  <c r="BT973" i="183"/>
  <c r="Q1928" i="183"/>
  <c r="O1928" i="183"/>
  <c r="M1928" i="183"/>
  <c r="R1926" i="183"/>
  <c r="BT972" i="183"/>
  <c r="Q1926" i="183"/>
  <c r="O1926" i="183"/>
  <c r="M1926" i="183"/>
  <c r="R1924" i="183"/>
  <c r="BT971" i="183"/>
  <c r="Q1924" i="183"/>
  <c r="O1924" i="183"/>
  <c r="M1924" i="183"/>
  <c r="R1922" i="183"/>
  <c r="BT970" i="183"/>
  <c r="Q1922" i="183"/>
  <c r="O1922" i="183"/>
  <c r="M1922" i="183"/>
  <c r="R1920" i="183"/>
  <c r="BT969" i="183"/>
  <c r="Q1920" i="183"/>
  <c r="O1920" i="183"/>
  <c r="M1920" i="183"/>
  <c r="R1918" i="183"/>
  <c r="BT968" i="183"/>
  <c r="Q1918" i="183"/>
  <c r="O1918" i="183"/>
  <c r="M1918" i="183"/>
  <c r="R1916" i="183"/>
  <c r="BT967" i="183"/>
  <c r="Q1916" i="183"/>
  <c r="O1916" i="183"/>
  <c r="M1916" i="183"/>
  <c r="R1914" i="183"/>
  <c r="BT966" i="183"/>
  <c r="Q1914" i="183"/>
  <c r="O1914" i="183"/>
  <c r="M1914" i="183"/>
  <c r="R1912" i="183"/>
  <c r="BT965" i="183"/>
  <c r="Q1912" i="183"/>
  <c r="O1912" i="183"/>
  <c r="M1912" i="183"/>
  <c r="R1910" i="183"/>
  <c r="BT964" i="183"/>
  <c r="Q1910" i="183"/>
  <c r="O1910" i="183"/>
  <c r="M1910" i="183"/>
  <c r="R1908" i="183"/>
  <c r="BT963" i="183"/>
  <c r="Q1908" i="183"/>
  <c r="O1908" i="183"/>
  <c r="M1908" i="183"/>
  <c r="R1906" i="183"/>
  <c r="BT962" i="183"/>
  <c r="Q1906" i="183"/>
  <c r="O1906" i="183"/>
  <c r="M1906" i="183"/>
  <c r="R1904" i="183"/>
  <c r="BT961" i="183"/>
  <c r="Q1904" i="183"/>
  <c r="O1904" i="183"/>
  <c r="M1904" i="183"/>
  <c r="R1902" i="183"/>
  <c r="BT960" i="183"/>
  <c r="Q1902" i="183"/>
  <c r="O1902" i="183"/>
  <c r="M1902" i="183"/>
  <c r="R1900" i="183"/>
  <c r="BT959" i="183"/>
  <c r="Q1900" i="183"/>
  <c r="O1900" i="183"/>
  <c r="M1900" i="183"/>
  <c r="R1898" i="183"/>
  <c r="BT958" i="183"/>
  <c r="Q1898" i="183"/>
  <c r="O1898" i="183"/>
  <c r="M1898" i="183"/>
  <c r="R1896" i="183"/>
  <c r="BT957" i="183"/>
  <c r="Q1896" i="183"/>
  <c r="O1896" i="183"/>
  <c r="M1896" i="183"/>
  <c r="R1894" i="183"/>
  <c r="BT956" i="183"/>
  <c r="Q1894" i="183"/>
  <c r="O1894" i="183"/>
  <c r="M1894" i="183"/>
  <c r="R1892" i="183"/>
  <c r="BT955" i="183"/>
  <c r="Q1892" i="183"/>
  <c r="O1892" i="183"/>
  <c r="M1892" i="183"/>
  <c r="R1890" i="183"/>
  <c r="BT954" i="183"/>
  <c r="Q1890" i="183"/>
  <c r="O1890" i="183"/>
  <c r="M1890" i="183"/>
  <c r="R1888" i="183"/>
  <c r="BT953" i="183"/>
  <c r="Q1888" i="183"/>
  <c r="O1888" i="183"/>
  <c r="M1888" i="183"/>
  <c r="R1886" i="183"/>
  <c r="BT952" i="183"/>
  <c r="Q1886" i="183"/>
  <c r="O1886" i="183"/>
  <c r="M1886" i="183"/>
  <c r="R1884" i="183"/>
  <c r="BT951" i="183"/>
  <c r="Q1884" i="183"/>
  <c r="O1884" i="183"/>
  <c r="M1884" i="183"/>
  <c r="R1882" i="183"/>
  <c r="BT950" i="183"/>
  <c r="Q1882" i="183"/>
  <c r="O1882" i="183"/>
  <c r="M1882" i="183"/>
  <c r="R1880" i="183"/>
  <c r="BT949" i="183"/>
  <c r="Q1880" i="183"/>
  <c r="O1880" i="183"/>
  <c r="M1880" i="183"/>
  <c r="R1878" i="183"/>
  <c r="BT948" i="183"/>
  <c r="Q1878" i="183"/>
  <c r="O1878" i="183"/>
  <c r="M1878" i="183"/>
  <c r="R1876" i="183"/>
  <c r="BT947" i="183"/>
  <c r="Q1876" i="183"/>
  <c r="O1876" i="183"/>
  <c r="M1876" i="183"/>
  <c r="R1874" i="183"/>
  <c r="BT946" i="183"/>
  <c r="Q1874" i="183"/>
  <c r="O1874" i="183"/>
  <c r="M1874" i="183"/>
  <c r="R1872" i="183"/>
  <c r="BT945" i="183"/>
  <c r="Q1872" i="183"/>
  <c r="O1872" i="183"/>
  <c r="M1872" i="183"/>
  <c r="R1870" i="183"/>
  <c r="BT944" i="183"/>
  <c r="Q1870" i="183"/>
  <c r="O1870" i="183"/>
  <c r="M1870" i="183"/>
  <c r="R1868" i="183"/>
  <c r="BT943" i="183"/>
  <c r="Q1868" i="183"/>
  <c r="O1868" i="183"/>
  <c r="M1868" i="183"/>
  <c r="R1866" i="183"/>
  <c r="BT942" i="183"/>
  <c r="Q1866" i="183"/>
  <c r="O1866" i="183"/>
  <c r="M1866" i="183"/>
  <c r="R1864" i="183"/>
  <c r="BT941" i="183"/>
  <c r="Q1864" i="183"/>
  <c r="O1864" i="183"/>
  <c r="M1864" i="183"/>
  <c r="R1862" i="183"/>
  <c r="BT940" i="183"/>
  <c r="Q1862" i="183"/>
  <c r="O1862" i="183"/>
  <c r="M1862" i="183"/>
  <c r="R1860" i="183"/>
  <c r="BT939" i="183"/>
  <c r="Q1860" i="183"/>
  <c r="O1860" i="183"/>
  <c r="M1860" i="183"/>
  <c r="R1858" i="183"/>
  <c r="BT938" i="183"/>
  <c r="Q1858" i="183"/>
  <c r="O1858" i="183"/>
  <c r="M1858" i="183"/>
  <c r="R1856" i="183"/>
  <c r="BT937" i="183"/>
  <c r="Q1856" i="183"/>
  <c r="O1856" i="183"/>
  <c r="M1856" i="183"/>
  <c r="R1854" i="183"/>
  <c r="BT936" i="183"/>
  <c r="Q1854" i="183"/>
  <c r="O1854" i="183"/>
  <c r="M1854" i="183"/>
  <c r="R1852" i="183"/>
  <c r="BT935" i="183"/>
  <c r="Q1852" i="183"/>
  <c r="O1852" i="183"/>
  <c r="M1852" i="183"/>
  <c r="R1850" i="183"/>
  <c r="BT934" i="183"/>
  <c r="Q1850" i="183"/>
  <c r="O1850" i="183"/>
  <c r="M1850" i="183"/>
  <c r="R1848" i="183"/>
  <c r="BT933" i="183"/>
  <c r="Q1848" i="183"/>
  <c r="O1848" i="183"/>
  <c r="M1848" i="183"/>
  <c r="R1846" i="183"/>
  <c r="BT932" i="183"/>
  <c r="Q1846" i="183"/>
  <c r="O1846" i="183"/>
  <c r="M1846" i="183"/>
  <c r="R1844" i="183"/>
  <c r="BT931" i="183"/>
  <c r="Q1844" i="183"/>
  <c r="O1844" i="183"/>
  <c r="M1844" i="183"/>
  <c r="R1842" i="183"/>
  <c r="BT930" i="183"/>
  <c r="Q1842" i="183"/>
  <c r="O1842" i="183"/>
  <c r="M1842" i="183"/>
  <c r="R1840" i="183"/>
  <c r="BT929" i="183"/>
  <c r="Q1840" i="183"/>
  <c r="O1840" i="183"/>
  <c r="M1840" i="183"/>
  <c r="R1838" i="183"/>
  <c r="BT928" i="183"/>
  <c r="Q1838" i="183"/>
  <c r="O1838" i="183"/>
  <c r="M1838" i="183"/>
  <c r="R1836" i="183"/>
  <c r="BT927" i="183"/>
  <c r="Q1836" i="183"/>
  <c r="O1836" i="183"/>
  <c r="M1836" i="183"/>
  <c r="R1834" i="183"/>
  <c r="BT926" i="183"/>
  <c r="Q1834" i="183"/>
  <c r="O1834" i="183"/>
  <c r="M1834" i="183"/>
  <c r="R1832" i="183"/>
  <c r="BT925" i="183"/>
  <c r="Q1832" i="183"/>
  <c r="O1832" i="183"/>
  <c r="M1832" i="183"/>
  <c r="R1830" i="183"/>
  <c r="BT924" i="183"/>
  <c r="Q1830" i="183"/>
  <c r="O1830" i="183"/>
  <c r="M1830" i="183"/>
  <c r="R1828" i="183"/>
  <c r="BT923" i="183"/>
  <c r="Q1828" i="183"/>
  <c r="O1828" i="183"/>
  <c r="M1828" i="183"/>
  <c r="R1826" i="183"/>
  <c r="BT922" i="183"/>
  <c r="Q1826" i="183"/>
  <c r="O1826" i="183"/>
  <c r="M1826" i="183"/>
  <c r="R1824" i="183"/>
  <c r="BT921" i="183"/>
  <c r="Q1824" i="183"/>
  <c r="O1824" i="183"/>
  <c r="M1824" i="183"/>
  <c r="R1822" i="183"/>
  <c r="BT920" i="183"/>
  <c r="Q1822" i="183"/>
  <c r="O1822" i="183"/>
  <c r="M1822" i="183"/>
  <c r="R1820" i="183"/>
  <c r="BT919" i="183"/>
  <c r="Q1820" i="183"/>
  <c r="O1820" i="183"/>
  <c r="M1820" i="183"/>
  <c r="R1818" i="183"/>
  <c r="BT918" i="183"/>
  <c r="Q1818" i="183"/>
  <c r="O1818" i="183"/>
  <c r="M1818" i="183"/>
  <c r="R1816" i="183"/>
  <c r="BT917" i="183"/>
  <c r="Q1816" i="183"/>
  <c r="O1816" i="183"/>
  <c r="M1816" i="183"/>
  <c r="R1814" i="183"/>
  <c r="BT916" i="183"/>
  <c r="Q1814" i="183"/>
  <c r="O1814" i="183"/>
  <c r="M1814" i="183"/>
  <c r="R1812" i="183"/>
  <c r="BT915" i="183"/>
  <c r="Q1812" i="183"/>
  <c r="O1812" i="183"/>
  <c r="M1812" i="183"/>
  <c r="R1810" i="183"/>
  <c r="BT914" i="183"/>
  <c r="Q1810" i="183"/>
  <c r="O1810" i="183"/>
  <c r="M1810" i="183"/>
  <c r="R1808" i="183"/>
  <c r="BT913" i="183"/>
  <c r="Q1808" i="183"/>
  <c r="O1808" i="183"/>
  <c r="M1808" i="183"/>
  <c r="R1806" i="183"/>
  <c r="BT912" i="183"/>
  <c r="Q1806" i="183"/>
  <c r="O1806" i="183"/>
  <c r="M1806" i="183"/>
  <c r="R1804" i="183"/>
  <c r="BT911" i="183"/>
  <c r="Q1804" i="183"/>
  <c r="O1804" i="183"/>
  <c r="M1804" i="183"/>
  <c r="R1802" i="183"/>
  <c r="BT910" i="183"/>
  <c r="Q1802" i="183"/>
  <c r="O1802" i="183"/>
  <c r="M1802" i="183"/>
  <c r="R1800" i="183"/>
  <c r="BT909" i="183"/>
  <c r="Q1800" i="183"/>
  <c r="O1800" i="183"/>
  <c r="M1800" i="183"/>
  <c r="R1798" i="183"/>
  <c r="BT908" i="183"/>
  <c r="Q1798" i="183"/>
  <c r="O1798" i="183"/>
  <c r="M1798" i="183"/>
  <c r="R1796" i="183"/>
  <c r="BT907" i="183"/>
  <c r="Q1796" i="183"/>
  <c r="O1796" i="183"/>
  <c r="M1796" i="183"/>
  <c r="R1794" i="183"/>
  <c r="BT906" i="183"/>
  <c r="Q1794" i="183"/>
  <c r="O1794" i="183"/>
  <c r="M1794" i="183"/>
  <c r="R1792" i="183"/>
  <c r="BT905" i="183"/>
  <c r="Q1792" i="183"/>
  <c r="O1792" i="183"/>
  <c r="M1792" i="183"/>
  <c r="R1790" i="183"/>
  <c r="BT904" i="183"/>
  <c r="Q1790" i="183"/>
  <c r="O1790" i="183"/>
  <c r="M1790" i="183"/>
  <c r="R1788" i="183"/>
  <c r="BT903" i="183"/>
  <c r="Q1788" i="183"/>
  <c r="O1788" i="183"/>
  <c r="M1788" i="183"/>
  <c r="R1786" i="183"/>
  <c r="BT902" i="183"/>
  <c r="Q1786" i="183"/>
  <c r="O1786" i="183"/>
  <c r="M1786" i="183"/>
  <c r="R1784" i="183"/>
  <c r="BT901" i="183"/>
  <c r="Q1784" i="183"/>
  <c r="O1784" i="183"/>
  <c r="M1784" i="183"/>
  <c r="R1782" i="183"/>
  <c r="BT900" i="183"/>
  <c r="Q1782" i="183"/>
  <c r="O1782" i="183"/>
  <c r="M1782" i="183"/>
  <c r="R1780" i="183"/>
  <c r="BT899" i="183"/>
  <c r="Q1780" i="183"/>
  <c r="O1780" i="183"/>
  <c r="M1780" i="183"/>
  <c r="R1778" i="183"/>
  <c r="BT898" i="183"/>
  <c r="Q1778" i="183"/>
  <c r="O1778" i="183"/>
  <c r="M1778" i="183"/>
  <c r="R1776" i="183"/>
  <c r="BT897" i="183"/>
  <c r="Q1776" i="183"/>
  <c r="O1776" i="183"/>
  <c r="M1776" i="183"/>
  <c r="R1774" i="183"/>
  <c r="BT896" i="183"/>
  <c r="Q1774" i="183"/>
  <c r="O1774" i="183"/>
  <c r="M1774" i="183"/>
  <c r="R1772" i="183"/>
  <c r="BT895" i="183"/>
  <c r="Q1772" i="183"/>
  <c r="O1772" i="183"/>
  <c r="M1772" i="183"/>
  <c r="R1770" i="183"/>
  <c r="BT894" i="183"/>
  <c r="Q1770" i="183"/>
  <c r="O1770" i="183"/>
  <c r="M1770" i="183"/>
  <c r="R1768" i="183"/>
  <c r="BT893" i="183"/>
  <c r="Q1768" i="183"/>
  <c r="O1768" i="183"/>
  <c r="M1768" i="183"/>
  <c r="R1766" i="183"/>
  <c r="BT892" i="183"/>
  <c r="Q1766" i="183"/>
  <c r="O1766" i="183"/>
  <c r="M1766" i="183"/>
  <c r="R1764" i="183"/>
  <c r="BT891" i="183"/>
  <c r="Q1764" i="183"/>
  <c r="O1764" i="183"/>
  <c r="M1764" i="183"/>
  <c r="R1762" i="183"/>
  <c r="BT890" i="183"/>
  <c r="Q1762" i="183"/>
  <c r="O1762" i="183"/>
  <c r="M1762" i="183"/>
  <c r="R1760" i="183"/>
  <c r="BT889" i="183"/>
  <c r="Q1760" i="183"/>
  <c r="O1760" i="183"/>
  <c r="M1760" i="183"/>
  <c r="R1758" i="183"/>
  <c r="BT888" i="183"/>
  <c r="Q1758" i="183"/>
  <c r="O1758" i="183"/>
  <c r="M1758" i="183"/>
  <c r="R1756" i="183"/>
  <c r="BT887" i="183"/>
  <c r="Q1756" i="183"/>
  <c r="O1756" i="183"/>
  <c r="M1756" i="183"/>
  <c r="R1754" i="183"/>
  <c r="BT886" i="183"/>
  <c r="Q1754" i="183"/>
  <c r="O1754" i="183"/>
  <c r="M1754" i="183"/>
  <c r="R1752" i="183"/>
  <c r="BT885" i="183"/>
  <c r="Q1752" i="183"/>
  <c r="O1752" i="183"/>
  <c r="M1752" i="183"/>
  <c r="R1750" i="183"/>
  <c r="BT884" i="183"/>
  <c r="Q1750" i="183"/>
  <c r="O1750" i="183"/>
  <c r="M1750" i="183"/>
  <c r="R1748" i="183"/>
  <c r="BT883" i="183"/>
  <c r="Q1748" i="183"/>
  <c r="O1748" i="183"/>
  <c r="M1748" i="183"/>
  <c r="R1746" i="183"/>
  <c r="BT882" i="183"/>
  <c r="Q1746" i="183"/>
  <c r="O1746" i="183"/>
  <c r="M1746" i="183"/>
  <c r="R1744" i="183"/>
  <c r="BT881" i="183"/>
  <c r="Q1744" i="183"/>
  <c r="O1744" i="183"/>
  <c r="M1744" i="183"/>
  <c r="R1742" i="183"/>
  <c r="BT880" i="183"/>
  <c r="Q1742" i="183"/>
  <c r="O1742" i="183"/>
  <c r="M1742" i="183"/>
  <c r="R1740" i="183"/>
  <c r="BT879" i="183"/>
  <c r="Q1740" i="183"/>
  <c r="O1740" i="183"/>
  <c r="M1740" i="183"/>
  <c r="R1738" i="183"/>
  <c r="BT878" i="183"/>
  <c r="Q1738" i="183"/>
  <c r="O1738" i="183"/>
  <c r="M1738" i="183"/>
  <c r="R1736" i="183"/>
  <c r="BT877" i="183"/>
  <c r="Q1736" i="183"/>
  <c r="O1736" i="183"/>
  <c r="M1736" i="183"/>
  <c r="R1734" i="183"/>
  <c r="BT876" i="183"/>
  <c r="Q1734" i="183"/>
  <c r="O1734" i="183"/>
  <c r="M1734" i="183"/>
  <c r="R1732" i="183"/>
  <c r="BT875" i="183"/>
  <c r="Q1732" i="183"/>
  <c r="O1732" i="183"/>
  <c r="M1732" i="183"/>
  <c r="R1730" i="183"/>
  <c r="BT874" i="183"/>
  <c r="Q1730" i="183"/>
  <c r="O1730" i="183"/>
  <c r="M1730" i="183"/>
  <c r="R1728" i="183"/>
  <c r="BT873" i="183"/>
  <c r="Q1728" i="183"/>
  <c r="O1728" i="183"/>
  <c r="M1728" i="183"/>
  <c r="R1726" i="183"/>
  <c r="BT872" i="183"/>
  <c r="Q1726" i="183"/>
  <c r="O1726" i="183"/>
  <c r="M1726" i="183"/>
  <c r="R1724" i="183"/>
  <c r="BT871" i="183"/>
  <c r="Q1724" i="183"/>
  <c r="O1724" i="183"/>
  <c r="M1724" i="183"/>
  <c r="R1722" i="183"/>
  <c r="BT870" i="183"/>
  <c r="Q1722" i="183"/>
  <c r="O1722" i="183"/>
  <c r="M1722" i="183"/>
  <c r="R1720" i="183"/>
  <c r="BT869" i="183"/>
  <c r="Q1720" i="183"/>
  <c r="O1720" i="183"/>
  <c r="M1720" i="183"/>
  <c r="R1718" i="183"/>
  <c r="BT868" i="183"/>
  <c r="Q1718" i="183"/>
  <c r="O1718" i="183"/>
  <c r="M1718" i="183"/>
  <c r="R1716" i="183"/>
  <c r="BT867" i="183"/>
  <c r="Q1716" i="183"/>
  <c r="O1716" i="183"/>
  <c r="M1716" i="183"/>
  <c r="R1714" i="183"/>
  <c r="BT866" i="183"/>
  <c r="Q1714" i="183"/>
  <c r="O1714" i="183"/>
  <c r="M1714" i="183"/>
  <c r="R1712" i="183"/>
  <c r="BT865" i="183"/>
  <c r="Q1712" i="183"/>
  <c r="O1712" i="183"/>
  <c r="M1712" i="183"/>
  <c r="R1710" i="183"/>
  <c r="BT864" i="183"/>
  <c r="Q1710" i="183"/>
  <c r="O1710" i="183"/>
  <c r="M1710" i="183"/>
  <c r="R1708" i="183"/>
  <c r="BT863" i="183"/>
  <c r="Q1708" i="183"/>
  <c r="O1708" i="183"/>
  <c r="M1708" i="183"/>
  <c r="R1706" i="183"/>
  <c r="BT862" i="183"/>
  <c r="Q1706" i="183"/>
  <c r="O1706" i="183"/>
  <c r="M1706" i="183"/>
  <c r="R1704" i="183"/>
  <c r="BT861" i="183"/>
  <c r="Q1704" i="183"/>
  <c r="O1704" i="183"/>
  <c r="M1704" i="183"/>
  <c r="R1702" i="183"/>
  <c r="BT860" i="183"/>
  <c r="Q1702" i="183"/>
  <c r="O1702" i="183"/>
  <c r="M1702" i="183"/>
  <c r="R1700" i="183"/>
  <c r="BT859" i="183"/>
  <c r="Q1700" i="183"/>
  <c r="O1700" i="183"/>
  <c r="M1700" i="183"/>
  <c r="R1698" i="183"/>
  <c r="BT858" i="183"/>
  <c r="Q1698" i="183"/>
  <c r="O1698" i="183"/>
  <c r="M1698" i="183"/>
  <c r="R1696" i="183"/>
  <c r="BT857" i="183"/>
  <c r="Q1696" i="183"/>
  <c r="O1696" i="183"/>
  <c r="M1696" i="183"/>
  <c r="R1694" i="183"/>
  <c r="BT856" i="183"/>
  <c r="Q1694" i="183"/>
  <c r="O1694" i="183"/>
  <c r="M1694" i="183"/>
  <c r="R1692" i="183"/>
  <c r="BT855" i="183"/>
  <c r="Q1692" i="183"/>
  <c r="O1692" i="183"/>
  <c r="M1692" i="183"/>
  <c r="R1690" i="183"/>
  <c r="BT854" i="183"/>
  <c r="Q1690" i="183"/>
  <c r="O1690" i="183"/>
  <c r="M1690" i="183"/>
  <c r="R1688" i="183"/>
  <c r="BT853" i="183"/>
  <c r="Q1688" i="183"/>
  <c r="O1688" i="183"/>
  <c r="M1688" i="183"/>
  <c r="R1686" i="183"/>
  <c r="BT852" i="183"/>
  <c r="Q1686" i="183"/>
  <c r="O1686" i="183"/>
  <c r="M1686" i="183"/>
  <c r="R1684" i="183"/>
  <c r="BT851" i="183"/>
  <c r="Q1684" i="183"/>
  <c r="O1684" i="183"/>
  <c r="M1684" i="183"/>
  <c r="R1682" i="183"/>
  <c r="BT850" i="183"/>
  <c r="Q1682" i="183"/>
  <c r="O1682" i="183"/>
  <c r="M1682" i="183"/>
  <c r="R1680" i="183"/>
  <c r="BT849" i="183"/>
  <c r="Q1680" i="183"/>
  <c r="O1680" i="183"/>
  <c r="M1680" i="183"/>
  <c r="R1678" i="183"/>
  <c r="BT848" i="183"/>
  <c r="Q1678" i="183"/>
  <c r="O1678" i="183"/>
  <c r="M1678" i="183"/>
  <c r="R1676" i="183"/>
  <c r="BT847" i="183"/>
  <c r="Q1676" i="183"/>
  <c r="O1676" i="183"/>
  <c r="M1676" i="183"/>
  <c r="R1674" i="183"/>
  <c r="BT846" i="183"/>
  <c r="Q1674" i="183"/>
  <c r="O1674" i="183"/>
  <c r="M1674" i="183"/>
  <c r="R1672" i="183"/>
  <c r="BT845" i="183"/>
  <c r="Q1672" i="183"/>
  <c r="O1672" i="183"/>
  <c r="M1672" i="183"/>
  <c r="R1670" i="183"/>
  <c r="BT844" i="183"/>
  <c r="Q1670" i="183"/>
  <c r="O1670" i="183"/>
  <c r="M1670" i="183"/>
  <c r="R1668" i="183"/>
  <c r="BT843" i="183"/>
  <c r="Q1668" i="183"/>
  <c r="O1668" i="183"/>
  <c r="M1668" i="183"/>
  <c r="R1666" i="183"/>
  <c r="BT842" i="183"/>
  <c r="Q1666" i="183"/>
  <c r="O1666" i="183"/>
  <c r="M1666" i="183"/>
  <c r="R1664" i="183"/>
  <c r="BT841" i="183"/>
  <c r="Q1664" i="183"/>
  <c r="O1664" i="183"/>
  <c r="M1664" i="183"/>
  <c r="R1662" i="183"/>
  <c r="BT840" i="183"/>
  <c r="Q1662" i="183"/>
  <c r="O1662" i="183"/>
  <c r="M1662" i="183"/>
  <c r="R1660" i="183"/>
  <c r="BT839" i="183"/>
  <c r="Q1660" i="183"/>
  <c r="O1660" i="183"/>
  <c r="M1660" i="183"/>
  <c r="R1658" i="183"/>
  <c r="BT838" i="183"/>
  <c r="Q1658" i="183"/>
  <c r="O1658" i="183"/>
  <c r="M1658" i="183"/>
  <c r="R1656" i="183"/>
  <c r="BT837" i="183"/>
  <c r="Q1656" i="183"/>
  <c r="O1656" i="183"/>
  <c r="M1656" i="183"/>
  <c r="R1654" i="183"/>
  <c r="BT836" i="183"/>
  <c r="Q1654" i="183"/>
  <c r="O1654" i="183"/>
  <c r="M1654" i="183"/>
  <c r="R1652" i="183"/>
  <c r="BT835" i="183"/>
  <c r="Q1652" i="183"/>
  <c r="O1652" i="183"/>
  <c r="M1652" i="183"/>
  <c r="R1650" i="183"/>
  <c r="BT834" i="183"/>
  <c r="Q1650" i="183"/>
  <c r="O1650" i="183"/>
  <c r="M1650" i="183"/>
  <c r="R1648" i="183"/>
  <c r="BT833" i="183"/>
  <c r="Q1648" i="183"/>
  <c r="O1648" i="183"/>
  <c r="M1648" i="183"/>
  <c r="R1646" i="183"/>
  <c r="BT832" i="183"/>
  <c r="Q1646" i="183"/>
  <c r="O1646" i="183"/>
  <c r="M1646" i="183"/>
  <c r="R1644" i="183"/>
  <c r="BT831" i="183"/>
  <c r="Q1644" i="183"/>
  <c r="O1644" i="183"/>
  <c r="M1644" i="183"/>
  <c r="R1642" i="183"/>
  <c r="BT830" i="183"/>
  <c r="Q1642" i="183"/>
  <c r="O1642" i="183"/>
  <c r="M1642" i="183"/>
  <c r="R1640" i="183"/>
  <c r="BT829" i="183"/>
  <c r="Q1640" i="183"/>
  <c r="O1640" i="183"/>
  <c r="M1640" i="183"/>
  <c r="R1638" i="183"/>
  <c r="BT828" i="183"/>
  <c r="Q1638" i="183"/>
  <c r="O1638" i="183"/>
  <c r="M1638" i="183"/>
  <c r="R1636" i="183"/>
  <c r="BT827" i="183"/>
  <c r="Q1636" i="183"/>
  <c r="O1636" i="183"/>
  <c r="M1636" i="183"/>
  <c r="R1634" i="183"/>
  <c r="BT826" i="183"/>
  <c r="Q1634" i="183"/>
  <c r="O1634" i="183"/>
  <c r="M1634" i="183"/>
  <c r="R1632" i="183"/>
  <c r="BT825" i="183"/>
  <c r="Q1632" i="183"/>
  <c r="O1632" i="183"/>
  <c r="M1632" i="183"/>
  <c r="R1630" i="183"/>
  <c r="BT824" i="183"/>
  <c r="Q1630" i="183"/>
  <c r="O1630" i="183"/>
  <c r="M1630" i="183"/>
  <c r="R1628" i="183"/>
  <c r="BT823" i="183"/>
  <c r="Q1628" i="183"/>
  <c r="O1628" i="183"/>
  <c r="M1628" i="183"/>
  <c r="R1626" i="183"/>
  <c r="BT822" i="183"/>
  <c r="Q1626" i="183"/>
  <c r="O1626" i="183"/>
  <c r="M1626" i="183"/>
  <c r="R1624" i="183"/>
  <c r="BT821" i="183"/>
  <c r="Q1624" i="183"/>
  <c r="O1624" i="183"/>
  <c r="M1624" i="183"/>
  <c r="R1622" i="183"/>
  <c r="BT820" i="183"/>
  <c r="Q1622" i="183"/>
  <c r="O1622" i="183"/>
  <c r="M1622" i="183"/>
  <c r="R1620" i="183"/>
  <c r="BT819" i="183"/>
  <c r="Q1620" i="183"/>
  <c r="O1620" i="183"/>
  <c r="M1620" i="183"/>
  <c r="R1618" i="183"/>
  <c r="BT818" i="183"/>
  <c r="Q1618" i="183"/>
  <c r="O1618" i="183"/>
  <c r="M1618" i="183"/>
  <c r="R1616" i="183"/>
  <c r="BT817" i="183"/>
  <c r="Q1616" i="183"/>
  <c r="O1616" i="183"/>
  <c r="M1616" i="183"/>
  <c r="R1614" i="183"/>
  <c r="BT816" i="183"/>
  <c r="Q1614" i="183"/>
  <c r="O1614" i="183"/>
  <c r="M1614" i="183"/>
  <c r="R1612" i="183"/>
  <c r="BT815" i="183"/>
  <c r="Q1612" i="183"/>
  <c r="O1612" i="183"/>
  <c r="M1612" i="183"/>
  <c r="R1610" i="183"/>
  <c r="BT814" i="183"/>
  <c r="Q1610" i="183"/>
  <c r="O1610" i="183"/>
  <c r="M1610" i="183"/>
  <c r="R1608" i="183"/>
  <c r="BT813" i="183"/>
  <c r="Q1608" i="183"/>
  <c r="O1608" i="183"/>
  <c r="M1608" i="183"/>
  <c r="R1606" i="183"/>
  <c r="BT812" i="183"/>
  <c r="Q1606" i="183"/>
  <c r="O1606" i="183"/>
  <c r="M1606" i="183"/>
  <c r="R1604" i="183"/>
  <c r="BT811" i="183"/>
  <c r="Q1604" i="183"/>
  <c r="O1604" i="183"/>
  <c r="M1604" i="183"/>
  <c r="R1602" i="183"/>
  <c r="BT810" i="183"/>
  <c r="Q1602" i="183"/>
  <c r="O1602" i="183"/>
  <c r="M1602" i="183"/>
  <c r="R1600" i="183"/>
  <c r="BT809" i="183"/>
  <c r="Q1600" i="183"/>
  <c r="O1600" i="183"/>
  <c r="M1600" i="183"/>
  <c r="R1598" i="183"/>
  <c r="BT808" i="183"/>
  <c r="Q1598" i="183"/>
  <c r="O1598" i="183"/>
  <c r="M1598" i="183"/>
  <c r="R1596" i="183"/>
  <c r="BT807" i="183"/>
  <c r="Q1596" i="183"/>
  <c r="O1596" i="183"/>
  <c r="M1596" i="183"/>
  <c r="R1594" i="183"/>
  <c r="BT806" i="183"/>
  <c r="Q1594" i="183"/>
  <c r="O1594" i="183"/>
  <c r="M1594" i="183"/>
  <c r="R1592" i="183"/>
  <c r="BT805" i="183"/>
  <c r="Q1592" i="183"/>
  <c r="O1592" i="183"/>
  <c r="M1592" i="183"/>
  <c r="R1590" i="183"/>
  <c r="BT804" i="183"/>
  <c r="Q1590" i="183"/>
  <c r="O1590" i="183"/>
  <c r="M1590" i="183"/>
  <c r="R1588" i="183"/>
  <c r="BT803" i="183"/>
  <c r="Q1588" i="183"/>
  <c r="O1588" i="183"/>
  <c r="M1588" i="183"/>
  <c r="R1586" i="183"/>
  <c r="BT802" i="183"/>
  <c r="Q1586" i="183"/>
  <c r="O1586" i="183"/>
  <c r="M1586" i="183"/>
  <c r="R1584" i="183"/>
  <c r="BT801" i="183"/>
  <c r="Q1584" i="183"/>
  <c r="O1584" i="183"/>
  <c r="M1584" i="183"/>
  <c r="R1582" i="183"/>
  <c r="BT800" i="183"/>
  <c r="Q1582" i="183"/>
  <c r="O1582" i="183"/>
  <c r="M1582" i="183"/>
  <c r="R1580" i="183"/>
  <c r="BT799" i="183"/>
  <c r="Q1580" i="183"/>
  <c r="O1580" i="183"/>
  <c r="M1580" i="183"/>
  <c r="R1578" i="183"/>
  <c r="BT798" i="183"/>
  <c r="Q1578" i="183"/>
  <c r="O1578" i="183"/>
  <c r="M1578" i="183"/>
  <c r="R1576" i="183"/>
  <c r="BT797" i="183"/>
  <c r="Q1576" i="183"/>
  <c r="O1576" i="183"/>
  <c r="M1576" i="183"/>
  <c r="R1574" i="183"/>
  <c r="BT796" i="183"/>
  <c r="Q1574" i="183"/>
  <c r="O1574" i="183"/>
  <c r="M1574" i="183"/>
  <c r="R1572" i="183"/>
  <c r="BT795" i="183"/>
  <c r="Q1572" i="183"/>
  <c r="O1572" i="183"/>
  <c r="M1572" i="183"/>
  <c r="R1570" i="183"/>
  <c r="BT794" i="183"/>
  <c r="Q1570" i="183"/>
  <c r="O1570" i="183"/>
  <c r="M1570" i="183"/>
  <c r="R1568" i="183"/>
  <c r="BT793" i="183"/>
  <c r="Q1568" i="183"/>
  <c r="O1568" i="183"/>
  <c r="M1568" i="183"/>
  <c r="R1566" i="183"/>
  <c r="BT792" i="183"/>
  <c r="Q1566" i="183"/>
  <c r="O1566" i="183"/>
  <c r="M1566" i="183"/>
  <c r="R1564" i="183"/>
  <c r="BT791" i="183"/>
  <c r="Q1564" i="183"/>
  <c r="O1564" i="183"/>
  <c r="M1564" i="183"/>
  <c r="R1562" i="183"/>
  <c r="BT790" i="183"/>
  <c r="Q1562" i="183"/>
  <c r="O1562" i="183"/>
  <c r="M1562" i="183"/>
  <c r="R1560" i="183"/>
  <c r="BT789" i="183"/>
  <c r="Q1560" i="183"/>
  <c r="O1560" i="183"/>
  <c r="M1560" i="183"/>
  <c r="R1558" i="183"/>
  <c r="BT788" i="183"/>
  <c r="Q1558" i="183"/>
  <c r="O1558" i="183"/>
  <c r="M1558" i="183"/>
  <c r="R1556" i="183"/>
  <c r="BT787" i="183"/>
  <c r="Q1556" i="183"/>
  <c r="O1556" i="183"/>
  <c r="M1556" i="183"/>
  <c r="R1554" i="183"/>
  <c r="BT786" i="183"/>
  <c r="Q1554" i="183"/>
  <c r="O1554" i="183"/>
  <c r="M1554" i="183"/>
  <c r="R1552" i="183"/>
  <c r="BT785" i="183"/>
  <c r="Q1552" i="183"/>
  <c r="O1552" i="183"/>
  <c r="M1552" i="183"/>
  <c r="R1550" i="183"/>
  <c r="BT784" i="183"/>
  <c r="Q1550" i="183"/>
  <c r="O1550" i="183"/>
  <c r="M1550" i="183"/>
  <c r="R1548" i="183"/>
  <c r="BT783" i="183"/>
  <c r="Q1548" i="183"/>
  <c r="O1548" i="183"/>
  <c r="M1548" i="183"/>
  <c r="R1546" i="183"/>
  <c r="BT782" i="183"/>
  <c r="Q1546" i="183"/>
  <c r="O1546" i="183"/>
  <c r="M1546" i="183"/>
  <c r="R1544" i="183"/>
  <c r="BT781" i="183"/>
  <c r="Q1544" i="183"/>
  <c r="O1544" i="183"/>
  <c r="M1544" i="183"/>
  <c r="R1542" i="183"/>
  <c r="BT780" i="183"/>
  <c r="Q1542" i="183"/>
  <c r="O1542" i="183"/>
  <c r="M1542" i="183"/>
  <c r="R1540" i="183"/>
  <c r="BT779" i="183"/>
  <c r="Q1540" i="183"/>
  <c r="O1540" i="183"/>
  <c r="M1540" i="183"/>
  <c r="R1538" i="183"/>
  <c r="BT778" i="183"/>
  <c r="Q1538" i="183"/>
  <c r="O1538" i="183"/>
  <c r="M1538" i="183"/>
  <c r="R1536" i="183"/>
  <c r="BT777" i="183"/>
  <c r="Q1536" i="183"/>
  <c r="O1536" i="183"/>
  <c r="M1536" i="183"/>
  <c r="R1534" i="183"/>
  <c r="BT776" i="183"/>
  <c r="Q1534" i="183"/>
  <c r="O1534" i="183"/>
  <c r="M1534" i="183"/>
  <c r="R1532" i="183"/>
  <c r="BT775" i="183"/>
  <c r="Q1532" i="183"/>
  <c r="O1532" i="183"/>
  <c r="M1532" i="183"/>
  <c r="R1530" i="183"/>
  <c r="BT774" i="183"/>
  <c r="Q1530" i="183"/>
  <c r="O1530" i="183"/>
  <c r="M1530" i="183"/>
  <c r="R1528" i="183"/>
  <c r="BT773" i="183"/>
  <c r="Q1528" i="183"/>
  <c r="O1528" i="183"/>
  <c r="M1528" i="183"/>
  <c r="R1526" i="183"/>
  <c r="BT772" i="183"/>
  <c r="Q1526" i="183"/>
  <c r="O1526" i="183"/>
  <c r="M1526" i="183"/>
  <c r="R1524" i="183"/>
  <c r="BT771" i="183"/>
  <c r="Q1524" i="183"/>
  <c r="O1524" i="183"/>
  <c r="M1524" i="183"/>
  <c r="R1522" i="183"/>
  <c r="BT770" i="183"/>
  <c r="Q1522" i="183"/>
  <c r="O1522" i="183"/>
  <c r="M1522" i="183"/>
  <c r="R1520" i="183"/>
  <c r="BT769" i="183"/>
  <c r="Q1520" i="183"/>
  <c r="O1520" i="183"/>
  <c r="M1520" i="183"/>
  <c r="R1518" i="183"/>
  <c r="BT768" i="183"/>
  <c r="Q1518" i="183"/>
  <c r="O1518" i="183"/>
  <c r="M1518" i="183"/>
  <c r="R1516" i="183"/>
  <c r="BT767" i="183"/>
  <c r="Q1516" i="183"/>
  <c r="O1516" i="183"/>
  <c r="M1516" i="183"/>
  <c r="R1514" i="183"/>
  <c r="BT766" i="183"/>
  <c r="Q1514" i="183"/>
  <c r="O1514" i="183"/>
  <c r="M1514" i="183"/>
  <c r="R1512" i="183"/>
  <c r="BT765" i="183"/>
  <c r="Q1512" i="183"/>
  <c r="O1512" i="183"/>
  <c r="M1512" i="183"/>
  <c r="R1510" i="183"/>
  <c r="BT764" i="183"/>
  <c r="Q1510" i="183"/>
  <c r="O1510" i="183"/>
  <c r="M1510" i="183"/>
  <c r="R1508" i="183"/>
  <c r="BT763" i="183"/>
  <c r="Q1508" i="183"/>
  <c r="O1508" i="183"/>
  <c r="M1508" i="183"/>
  <c r="R1506" i="183"/>
  <c r="BT762" i="183"/>
  <c r="Q1506" i="183"/>
  <c r="O1506" i="183"/>
  <c r="M1506" i="183"/>
  <c r="R1504" i="183"/>
  <c r="BT761" i="183"/>
  <c r="Q1504" i="183"/>
  <c r="O1504" i="183"/>
  <c r="M1504" i="183"/>
  <c r="R1502" i="183"/>
  <c r="BT760" i="183"/>
  <c r="Q1502" i="183"/>
  <c r="O1502" i="183"/>
  <c r="M1502" i="183"/>
  <c r="R1500" i="183"/>
  <c r="BT759" i="183"/>
  <c r="Q1500" i="183"/>
  <c r="O1500" i="183"/>
  <c r="M1500" i="183"/>
  <c r="R1498" i="183"/>
  <c r="BT758" i="183"/>
  <c r="Q1498" i="183"/>
  <c r="O1498" i="183"/>
  <c r="M1498" i="183"/>
  <c r="R1496" i="183"/>
  <c r="BT757" i="183"/>
  <c r="Q1496" i="183"/>
  <c r="O1496" i="183"/>
  <c r="M1496" i="183"/>
  <c r="R1494" i="183"/>
  <c r="BT756" i="183"/>
  <c r="Q1494" i="183"/>
  <c r="O1494" i="183"/>
  <c r="M1494" i="183"/>
  <c r="R1492" i="183"/>
  <c r="BT755" i="183"/>
  <c r="Q1492" i="183"/>
  <c r="O1492" i="183"/>
  <c r="M1492" i="183"/>
  <c r="R1490" i="183"/>
  <c r="BT754" i="183"/>
  <c r="Q1490" i="183"/>
  <c r="O1490" i="183"/>
  <c r="M1490" i="183"/>
  <c r="R1488" i="183"/>
  <c r="BT753" i="183"/>
  <c r="Q1488" i="183"/>
  <c r="O1488" i="183"/>
  <c r="M1488" i="183"/>
  <c r="R1486" i="183"/>
  <c r="BT752" i="183"/>
  <c r="Q1486" i="183"/>
  <c r="O1486" i="183"/>
  <c r="M1486" i="183"/>
  <c r="R1484" i="183"/>
  <c r="BT751" i="183"/>
  <c r="Q1484" i="183"/>
  <c r="O1484" i="183"/>
  <c r="M1484" i="183"/>
  <c r="R1482" i="183"/>
  <c r="BT750" i="183"/>
  <c r="Q1482" i="183"/>
  <c r="O1482" i="183"/>
  <c r="M1482" i="183"/>
  <c r="R1480" i="183"/>
  <c r="BT749" i="183"/>
  <c r="Q1480" i="183"/>
  <c r="O1480" i="183"/>
  <c r="M1480" i="183"/>
  <c r="R1478" i="183"/>
  <c r="BT748" i="183"/>
  <c r="Q1478" i="183"/>
  <c r="O1478" i="183"/>
  <c r="M1478" i="183"/>
  <c r="R1476" i="183"/>
  <c r="BT747" i="183"/>
  <c r="Q1476" i="183"/>
  <c r="O1476" i="183"/>
  <c r="M1476" i="183"/>
  <c r="R1474" i="183"/>
  <c r="BT746" i="183"/>
  <c r="Q1474" i="183"/>
  <c r="O1474" i="183"/>
  <c r="M1474" i="183"/>
  <c r="R1472" i="183"/>
  <c r="BT745" i="183"/>
  <c r="Q1472" i="183"/>
  <c r="O1472" i="183"/>
  <c r="M1472" i="183"/>
  <c r="R1470" i="183"/>
  <c r="BT744" i="183"/>
  <c r="Q1470" i="183"/>
  <c r="O1470" i="183"/>
  <c r="M1470" i="183"/>
  <c r="R1468" i="183"/>
  <c r="BT743" i="183"/>
  <c r="Q1468" i="183"/>
  <c r="O1468" i="183"/>
  <c r="M1468" i="183"/>
  <c r="R1466" i="183"/>
  <c r="BT742" i="183"/>
  <c r="Q1466" i="183"/>
  <c r="O1466" i="183"/>
  <c r="M1466" i="183"/>
  <c r="R1464" i="183"/>
  <c r="BT741" i="183"/>
  <c r="Q1464" i="183"/>
  <c r="O1464" i="183"/>
  <c r="M1464" i="183"/>
  <c r="R1462" i="183"/>
  <c r="BT740" i="183"/>
  <c r="Q1462" i="183"/>
  <c r="O1462" i="183"/>
  <c r="M1462" i="183"/>
  <c r="R1460" i="183"/>
  <c r="BT739" i="183"/>
  <c r="Q1460" i="183"/>
  <c r="O1460" i="183"/>
  <c r="M1460" i="183"/>
  <c r="R1458" i="183"/>
  <c r="BT738" i="183"/>
  <c r="Q1458" i="183"/>
  <c r="O1458" i="183"/>
  <c r="M1458" i="183"/>
  <c r="R1456" i="183"/>
  <c r="BT737" i="183"/>
  <c r="Q1456" i="183"/>
  <c r="O1456" i="183"/>
  <c r="M1456" i="183"/>
  <c r="R1454" i="183"/>
  <c r="BT736" i="183"/>
  <c r="Q1454" i="183"/>
  <c r="O1454" i="183"/>
  <c r="M1454" i="183"/>
  <c r="R1452" i="183"/>
  <c r="BT735" i="183"/>
  <c r="Q1452" i="183"/>
  <c r="O1452" i="183"/>
  <c r="M1452" i="183"/>
  <c r="R1450" i="183"/>
  <c r="BT734" i="183"/>
  <c r="Q1450" i="183"/>
  <c r="O1450" i="183"/>
  <c r="M1450" i="183"/>
  <c r="R1448" i="183"/>
  <c r="BT733" i="183"/>
  <c r="Q1448" i="183"/>
  <c r="O1448" i="183"/>
  <c r="M1448" i="183"/>
  <c r="R1446" i="183"/>
  <c r="BT732" i="183"/>
  <c r="Q1446" i="183"/>
  <c r="O1446" i="183"/>
  <c r="M1446" i="183"/>
  <c r="R1444" i="183"/>
  <c r="BT731" i="183"/>
  <c r="Q1444" i="183"/>
  <c r="O1444" i="183"/>
  <c r="M1444" i="183"/>
  <c r="R1442" i="183"/>
  <c r="BT730" i="183"/>
  <c r="Q1442" i="183"/>
  <c r="O1442" i="183"/>
  <c r="M1442" i="183"/>
  <c r="R1440" i="183"/>
  <c r="BT729" i="183"/>
  <c r="Q1440" i="183"/>
  <c r="O1440" i="183"/>
  <c r="M1440" i="183"/>
  <c r="R1438" i="183"/>
  <c r="BT728" i="183"/>
  <c r="Q1438" i="183"/>
  <c r="O1438" i="183"/>
  <c r="M1438" i="183"/>
  <c r="R1436" i="183"/>
  <c r="BT727" i="183"/>
  <c r="Q1436" i="183"/>
  <c r="O1436" i="183"/>
  <c r="M1436" i="183"/>
  <c r="R1434" i="183"/>
  <c r="BT726" i="183"/>
  <c r="Q1434" i="183"/>
  <c r="O1434" i="183"/>
  <c r="M1434" i="183"/>
  <c r="R1432" i="183"/>
  <c r="BT725" i="183"/>
  <c r="Q1432" i="183"/>
  <c r="O1432" i="183"/>
  <c r="M1432" i="183"/>
  <c r="R1430" i="183"/>
  <c r="BT724" i="183"/>
  <c r="Q1430" i="183"/>
  <c r="O1430" i="183"/>
  <c r="M1430" i="183"/>
  <c r="R1428" i="183"/>
  <c r="BT723" i="183"/>
  <c r="Q1428" i="183"/>
  <c r="O1428" i="183"/>
  <c r="M1428" i="183"/>
  <c r="R1426" i="183"/>
  <c r="BT722" i="183"/>
  <c r="Q1426" i="183"/>
  <c r="O1426" i="183"/>
  <c r="M1426" i="183"/>
  <c r="R1424" i="183"/>
  <c r="BT721" i="183"/>
  <c r="Q1424" i="183"/>
  <c r="O1424" i="183"/>
  <c r="M1424" i="183"/>
  <c r="R1422" i="183"/>
  <c r="BT720" i="183"/>
  <c r="Q1422" i="183"/>
  <c r="O1422" i="183"/>
  <c r="M1422" i="183"/>
  <c r="R1420" i="183"/>
  <c r="BT719" i="183"/>
  <c r="Q1420" i="183"/>
  <c r="O1420" i="183"/>
  <c r="M1420" i="183"/>
  <c r="R1418" i="183"/>
  <c r="BT718" i="183"/>
  <c r="Q1418" i="183"/>
  <c r="O1418" i="183"/>
  <c r="M1418" i="183"/>
  <c r="R1416" i="183"/>
  <c r="BT717" i="183"/>
  <c r="Q1416" i="183"/>
  <c r="O1416" i="183"/>
  <c r="M1416" i="183"/>
  <c r="R1414" i="183"/>
  <c r="BT716" i="183"/>
  <c r="Q1414" i="183"/>
  <c r="O1414" i="183"/>
  <c r="M1414" i="183"/>
  <c r="R1412" i="183"/>
  <c r="BT715" i="183"/>
  <c r="Q1412" i="183"/>
  <c r="O1412" i="183"/>
  <c r="M1412" i="183"/>
  <c r="R1410" i="183"/>
  <c r="BT714" i="183"/>
  <c r="Q1410" i="183"/>
  <c r="O1410" i="183"/>
  <c r="M1410" i="183"/>
  <c r="R1408" i="183"/>
  <c r="BT713" i="183"/>
  <c r="Q1408" i="183"/>
  <c r="O1408" i="183"/>
  <c r="M1408" i="183"/>
  <c r="R1406" i="183"/>
  <c r="BT712" i="183"/>
  <c r="Q1406" i="183"/>
  <c r="O1406" i="183"/>
  <c r="M1406" i="183"/>
  <c r="R1404" i="183"/>
  <c r="BT711" i="183"/>
  <c r="Q1404" i="183"/>
  <c r="O1404" i="183"/>
  <c r="M1404" i="183"/>
  <c r="R1402" i="183"/>
  <c r="BT710" i="183"/>
  <c r="Q1402" i="183"/>
  <c r="O1402" i="183"/>
  <c r="M1402" i="183"/>
  <c r="R1400" i="183"/>
  <c r="BT709" i="183"/>
  <c r="Q1400" i="183"/>
  <c r="O1400" i="183"/>
  <c r="M1400" i="183"/>
  <c r="R1398" i="183"/>
  <c r="BT708" i="183"/>
  <c r="Q1398" i="183"/>
  <c r="O1398" i="183"/>
  <c r="M1398" i="183"/>
  <c r="R1396" i="183"/>
  <c r="BT707" i="183"/>
  <c r="Q1396" i="183"/>
  <c r="O1396" i="183"/>
  <c r="M1396" i="183"/>
  <c r="R1394" i="183"/>
  <c r="BT706" i="183"/>
  <c r="Q1394" i="183"/>
  <c r="O1394" i="183"/>
  <c r="M1394" i="183"/>
  <c r="R1392" i="183"/>
  <c r="BT705" i="183"/>
  <c r="Q1392" i="183"/>
  <c r="O1392" i="183"/>
  <c r="M1392" i="183"/>
  <c r="R1390" i="183"/>
  <c r="BT704" i="183"/>
  <c r="Q1390" i="183"/>
  <c r="O1390" i="183"/>
  <c r="M1390" i="183"/>
  <c r="R1388" i="183"/>
  <c r="BT703" i="183"/>
  <c r="Q1388" i="183"/>
  <c r="O1388" i="183"/>
  <c r="M1388" i="183"/>
  <c r="R1386" i="183"/>
  <c r="BT702" i="183"/>
  <c r="Q1386" i="183"/>
  <c r="O1386" i="183"/>
  <c r="M1386" i="183"/>
  <c r="R1384" i="183"/>
  <c r="BT701" i="183"/>
  <c r="Q1384" i="183"/>
  <c r="O1384" i="183"/>
  <c r="M1384" i="183"/>
  <c r="R1382" i="183"/>
  <c r="BT700" i="183"/>
  <c r="Q1382" i="183"/>
  <c r="O1382" i="183"/>
  <c r="M1382" i="183"/>
  <c r="R1380" i="183"/>
  <c r="BT699" i="183"/>
  <c r="Q1380" i="183"/>
  <c r="O1380" i="183"/>
  <c r="M1380" i="183"/>
  <c r="R1378" i="183"/>
  <c r="BT698" i="183"/>
  <c r="Q1378" i="183"/>
  <c r="O1378" i="183"/>
  <c r="M1378" i="183"/>
  <c r="R1376" i="183"/>
  <c r="BT697" i="183"/>
  <c r="Q1376" i="183"/>
  <c r="O1376" i="183"/>
  <c r="M1376" i="183"/>
  <c r="R1374" i="183"/>
  <c r="BT696" i="183"/>
  <c r="Q1374" i="183"/>
  <c r="O1374" i="183"/>
  <c r="M1374" i="183"/>
  <c r="R1372" i="183"/>
  <c r="BT695" i="183"/>
  <c r="Q1372" i="183"/>
  <c r="O1372" i="183"/>
  <c r="M1372" i="183"/>
  <c r="R1370" i="183"/>
  <c r="BT694" i="183"/>
  <c r="Q1370" i="183"/>
  <c r="O1370" i="183"/>
  <c r="M1370" i="183"/>
  <c r="R1368" i="183"/>
  <c r="BT693" i="183"/>
  <c r="Q1368" i="183"/>
  <c r="O1368" i="183"/>
  <c r="M1368" i="183"/>
  <c r="R1366" i="183"/>
  <c r="BT692" i="183"/>
  <c r="Q1366" i="183"/>
  <c r="O1366" i="183"/>
  <c r="M1366" i="183"/>
  <c r="R1364" i="183"/>
  <c r="BT691" i="183"/>
  <c r="Q1364" i="183"/>
  <c r="O1364" i="183"/>
  <c r="M1364" i="183"/>
  <c r="R1362" i="183"/>
  <c r="BT690" i="183"/>
  <c r="Q1362" i="183"/>
  <c r="O1362" i="183"/>
  <c r="M1362" i="183"/>
  <c r="R1360" i="183"/>
  <c r="BT689" i="183"/>
  <c r="Q1360" i="183"/>
  <c r="O1360" i="183"/>
  <c r="M1360" i="183"/>
  <c r="R1358" i="183"/>
  <c r="BT688" i="183"/>
  <c r="Q1358" i="183"/>
  <c r="O1358" i="183"/>
  <c r="M1358" i="183"/>
  <c r="R1356" i="183"/>
  <c r="BT687" i="183"/>
  <c r="Q1356" i="183"/>
  <c r="T1356" i="183" s="1"/>
  <c r="O1356" i="183"/>
  <c r="M1356" i="183"/>
  <c r="R1354" i="183"/>
  <c r="BT686" i="183"/>
  <c r="Q1354" i="183"/>
  <c r="T1354" i="183" s="1"/>
  <c r="O1354" i="183"/>
  <c r="M1354" i="183"/>
  <c r="R1352" i="183"/>
  <c r="BT685" i="183"/>
  <c r="Q1352" i="183"/>
  <c r="T1352" i="183" s="1"/>
  <c r="O1352" i="183"/>
  <c r="M1352" i="183"/>
  <c r="R1350" i="183"/>
  <c r="BT684" i="183"/>
  <c r="Q1350" i="183"/>
  <c r="T1350" i="183" s="1"/>
  <c r="O1350" i="183"/>
  <c r="M1350" i="183"/>
  <c r="R1348" i="183"/>
  <c r="BT683" i="183"/>
  <c r="Q1348" i="183"/>
  <c r="T1348" i="183" s="1"/>
  <c r="O1348" i="183"/>
  <c r="M1348" i="183"/>
  <c r="R1346" i="183"/>
  <c r="BT682" i="183"/>
  <c r="Q1346" i="183"/>
  <c r="T1346" i="183" s="1"/>
  <c r="O1346" i="183"/>
  <c r="M1346" i="183"/>
  <c r="R1344" i="183"/>
  <c r="BT681" i="183"/>
  <c r="Q1344" i="183"/>
  <c r="T1344" i="183" s="1"/>
  <c r="O1344" i="183"/>
  <c r="M1344" i="183"/>
  <c r="R1342" i="183"/>
  <c r="BT680" i="183"/>
  <c r="Q1342" i="183"/>
  <c r="T1342" i="183" s="1"/>
  <c r="O1342" i="183"/>
  <c r="M1342" i="183"/>
  <c r="R1340" i="183"/>
  <c r="BT679" i="183"/>
  <c r="Q1340" i="183"/>
  <c r="T1340" i="183" s="1"/>
  <c r="O1340" i="183"/>
  <c r="M1340" i="183"/>
  <c r="R1338" i="183"/>
  <c r="BT678" i="183"/>
  <c r="Q1338" i="183"/>
  <c r="T1338" i="183" s="1"/>
  <c r="O1338" i="183"/>
  <c r="M1338" i="183"/>
  <c r="R1336" i="183"/>
  <c r="BT677" i="183"/>
  <c r="Q1336" i="183"/>
  <c r="T1336" i="183" s="1"/>
  <c r="O1336" i="183"/>
  <c r="M1336" i="183"/>
  <c r="R1334" i="183"/>
  <c r="BT676" i="183"/>
  <c r="Q1334" i="183"/>
  <c r="T1334" i="183" s="1"/>
  <c r="O1334" i="183"/>
  <c r="M1334" i="183"/>
  <c r="R1332" i="183"/>
  <c r="BT675" i="183"/>
  <c r="Q1332" i="183"/>
  <c r="T1332" i="183" s="1"/>
  <c r="O1332" i="183"/>
  <c r="M1332" i="183"/>
  <c r="R1330" i="183"/>
  <c r="BT674" i="183"/>
  <c r="Q1330" i="183"/>
  <c r="T1330" i="183" s="1"/>
  <c r="O1330" i="183"/>
  <c r="M1330" i="183"/>
  <c r="R1328" i="183"/>
  <c r="BT673" i="183"/>
  <c r="Q1328" i="183"/>
  <c r="T1328" i="183" s="1"/>
  <c r="O1328" i="183"/>
  <c r="M1328" i="183"/>
  <c r="R1326" i="183"/>
  <c r="BT672" i="183"/>
  <c r="Q1326" i="183"/>
  <c r="T1326" i="183" s="1"/>
  <c r="O1326" i="183"/>
  <c r="M1326" i="183"/>
  <c r="R1324" i="183"/>
  <c r="BT671" i="183"/>
  <c r="Q1324" i="183"/>
  <c r="T1324" i="183" s="1"/>
  <c r="O1324" i="183"/>
  <c r="M1324" i="183"/>
  <c r="R1322" i="183"/>
  <c r="BT670" i="183"/>
  <c r="Q1322" i="183"/>
  <c r="T1322" i="183" s="1"/>
  <c r="O1322" i="183"/>
  <c r="M1322" i="183"/>
  <c r="R1320" i="183"/>
  <c r="BT669" i="183"/>
  <c r="Q1320" i="183"/>
  <c r="T1320" i="183" s="1"/>
  <c r="O1320" i="183"/>
  <c r="M1320" i="183"/>
  <c r="R1318" i="183"/>
  <c r="BT668" i="183"/>
  <c r="Q1318" i="183"/>
  <c r="T1318" i="183" s="1"/>
  <c r="O1318" i="183"/>
  <c r="M1318" i="183"/>
  <c r="R1316" i="183"/>
  <c r="BT667" i="183"/>
  <c r="Q1316" i="183"/>
  <c r="T1316" i="183" s="1"/>
  <c r="O1316" i="183"/>
  <c r="M1316" i="183"/>
  <c r="R1314" i="183"/>
  <c r="BT666" i="183"/>
  <c r="Q1314" i="183"/>
  <c r="T1314" i="183" s="1"/>
  <c r="O1314" i="183"/>
  <c r="M1314" i="183"/>
  <c r="R1312" i="183"/>
  <c r="BT665" i="183"/>
  <c r="Q1312" i="183"/>
  <c r="T1312" i="183" s="1"/>
  <c r="O1312" i="183"/>
  <c r="M1312" i="183"/>
  <c r="R1310" i="183"/>
  <c r="BT664" i="183"/>
  <c r="Q1310" i="183"/>
  <c r="T1310" i="183" s="1"/>
  <c r="O1310" i="183"/>
  <c r="M1310" i="183"/>
  <c r="R1308" i="183"/>
  <c r="BT663" i="183"/>
  <c r="Q1308" i="183"/>
  <c r="T1308" i="183" s="1"/>
  <c r="O1308" i="183"/>
  <c r="M1308" i="183"/>
  <c r="R1306" i="183"/>
  <c r="BT662" i="183"/>
  <c r="Q1306" i="183"/>
  <c r="T1306" i="183" s="1"/>
  <c r="O1306" i="183"/>
  <c r="M1306" i="183"/>
  <c r="R1304" i="183"/>
  <c r="BT661" i="183"/>
  <c r="Q1304" i="183"/>
  <c r="T1304" i="183" s="1"/>
  <c r="O1304" i="183"/>
  <c r="M1304" i="183"/>
  <c r="R1302" i="183"/>
  <c r="BT660" i="183"/>
  <c r="Q1302" i="183"/>
  <c r="T1302" i="183" s="1"/>
  <c r="O1302" i="183"/>
  <c r="M1302" i="183"/>
  <c r="R1300" i="183"/>
  <c r="BT659" i="183"/>
  <c r="Q1300" i="183"/>
  <c r="T1300" i="183" s="1"/>
  <c r="O1300" i="183"/>
  <c r="M1300" i="183"/>
  <c r="R1298" i="183"/>
  <c r="BT658" i="183"/>
  <c r="Q1298" i="183"/>
  <c r="T1298" i="183" s="1"/>
  <c r="O1298" i="183"/>
  <c r="M1298" i="183"/>
  <c r="R1296" i="183"/>
  <c r="BT657" i="183"/>
  <c r="Q1296" i="183"/>
  <c r="T1296" i="183" s="1"/>
  <c r="O1296" i="183"/>
  <c r="M1296" i="183"/>
  <c r="R1294" i="183"/>
  <c r="BT656" i="183"/>
  <c r="Q1294" i="183"/>
  <c r="T1294" i="183" s="1"/>
  <c r="O1294" i="183"/>
  <c r="M1294" i="183"/>
  <c r="R1292" i="183"/>
  <c r="BT655" i="183"/>
  <c r="Q1292" i="183"/>
  <c r="T1292" i="183" s="1"/>
  <c r="O1292" i="183"/>
  <c r="M1292" i="183"/>
  <c r="R1290" i="183"/>
  <c r="BT654" i="183"/>
  <c r="Q1290" i="183"/>
  <c r="T1290" i="183" s="1"/>
  <c r="O1290" i="183"/>
  <c r="M1290" i="183"/>
  <c r="R1288" i="183"/>
  <c r="BT653" i="183"/>
  <c r="Q1288" i="183"/>
  <c r="T1288" i="183" s="1"/>
  <c r="O1288" i="183"/>
  <c r="M1288" i="183"/>
  <c r="R1286" i="183"/>
  <c r="BT652" i="183"/>
  <c r="Q1286" i="183"/>
  <c r="T1286" i="183" s="1"/>
  <c r="O1286" i="183"/>
  <c r="M1286" i="183"/>
  <c r="R1284" i="183"/>
  <c r="BT651" i="183"/>
  <c r="Q1284" i="183"/>
  <c r="T1284" i="183" s="1"/>
  <c r="O1284" i="183"/>
  <c r="M1284" i="183"/>
  <c r="R1282" i="183"/>
  <c r="BT650" i="183"/>
  <c r="Q1282" i="183"/>
  <c r="T1282" i="183" s="1"/>
  <c r="O1282" i="183"/>
  <c r="M1282" i="183"/>
  <c r="R1280" i="183"/>
  <c r="BT649" i="183"/>
  <c r="Q1280" i="183"/>
  <c r="T1280" i="183" s="1"/>
  <c r="O1280" i="183"/>
  <c r="M1280" i="183"/>
  <c r="R1278" i="183"/>
  <c r="BT648" i="183"/>
  <c r="Q1278" i="183"/>
  <c r="T1278" i="183" s="1"/>
  <c r="O1278" i="183"/>
  <c r="M1278" i="183"/>
  <c r="R1276" i="183"/>
  <c r="BT647" i="183"/>
  <c r="Q1276" i="183"/>
  <c r="T1276" i="183" s="1"/>
  <c r="O1276" i="183"/>
  <c r="M1276" i="183"/>
  <c r="R1274" i="183"/>
  <c r="BT646" i="183"/>
  <c r="Q1274" i="183"/>
  <c r="T1274" i="183" s="1"/>
  <c r="O1274" i="183"/>
  <c r="M1274" i="183"/>
  <c r="R1272" i="183"/>
  <c r="BT645" i="183"/>
  <c r="Q1272" i="183"/>
  <c r="T1272" i="183" s="1"/>
  <c r="O1272" i="183"/>
  <c r="M1272" i="183"/>
  <c r="R1270" i="183"/>
  <c r="BT644" i="183"/>
  <c r="Q1270" i="183"/>
  <c r="T1270" i="183" s="1"/>
  <c r="O1270" i="183"/>
  <c r="M1270" i="183"/>
  <c r="R1268" i="183"/>
  <c r="BT643" i="183"/>
  <c r="Q1268" i="183"/>
  <c r="T1268" i="183" s="1"/>
  <c r="O1268" i="183"/>
  <c r="M1268" i="183"/>
  <c r="R1266" i="183"/>
  <c r="BT642" i="183"/>
  <c r="Q1266" i="183"/>
  <c r="T1266" i="183" s="1"/>
  <c r="O1266" i="183"/>
  <c r="M1266" i="183"/>
  <c r="R1264" i="183"/>
  <c r="BT641" i="183"/>
  <c r="Q1264" i="183"/>
  <c r="T1264" i="183" s="1"/>
  <c r="O1264" i="183"/>
  <c r="M1264" i="183"/>
  <c r="R1262" i="183"/>
  <c r="BT640" i="183"/>
  <c r="Q1262" i="183"/>
  <c r="T1262" i="183" s="1"/>
  <c r="O1262" i="183"/>
  <c r="M1262" i="183"/>
  <c r="R1260" i="183"/>
  <c r="BT639" i="183"/>
  <c r="Q1260" i="183"/>
  <c r="T1260" i="183" s="1"/>
  <c r="O1260" i="183"/>
  <c r="M1260" i="183"/>
  <c r="R1258" i="183"/>
  <c r="BT638" i="183"/>
  <c r="Q1258" i="183"/>
  <c r="T1258" i="183" s="1"/>
  <c r="O1258" i="183"/>
  <c r="M1258" i="183"/>
  <c r="R1256" i="183"/>
  <c r="BT637" i="183"/>
  <c r="Q1256" i="183"/>
  <c r="T1256" i="183" s="1"/>
  <c r="O1256" i="183"/>
  <c r="M1256" i="183"/>
  <c r="R1254" i="183"/>
  <c r="BT636" i="183"/>
  <c r="Q1254" i="183"/>
  <c r="T1254" i="183" s="1"/>
  <c r="O1254" i="183"/>
  <c r="M1254" i="183"/>
  <c r="R1252" i="183"/>
  <c r="BT635" i="183"/>
  <c r="Q1252" i="183"/>
  <c r="T1252" i="183" s="1"/>
  <c r="O1252" i="183"/>
  <c r="M1252" i="183"/>
  <c r="R1250" i="183"/>
  <c r="BT634" i="183"/>
  <c r="Q1250" i="183"/>
  <c r="T1250" i="183" s="1"/>
  <c r="O1250" i="183"/>
  <c r="M1250" i="183"/>
  <c r="R1248" i="183"/>
  <c r="BT633" i="183"/>
  <c r="Q1248" i="183"/>
  <c r="T1248" i="183" s="1"/>
  <c r="O1248" i="183"/>
  <c r="M1248" i="183"/>
  <c r="R1246" i="183"/>
  <c r="BT632" i="183"/>
  <c r="Q1246" i="183"/>
  <c r="T1246" i="183" s="1"/>
  <c r="O1246" i="183"/>
  <c r="M1246" i="183"/>
  <c r="R1244" i="183"/>
  <c r="BT631" i="183"/>
  <c r="Q1244" i="183"/>
  <c r="T1244" i="183" s="1"/>
  <c r="O1244" i="183"/>
  <c r="M1244" i="183"/>
  <c r="R1242" i="183"/>
  <c r="BT630" i="183"/>
  <c r="Q1242" i="183"/>
  <c r="T1242" i="183" s="1"/>
  <c r="O1242" i="183"/>
  <c r="M1242" i="183"/>
  <c r="R1240" i="183"/>
  <c r="BT629" i="183"/>
  <c r="Q1240" i="183"/>
  <c r="T1240" i="183" s="1"/>
  <c r="O1240" i="183"/>
  <c r="M1240" i="183"/>
  <c r="R1238" i="183"/>
  <c r="BT628" i="183"/>
  <c r="Q1238" i="183"/>
  <c r="T1238" i="183" s="1"/>
  <c r="O1238" i="183"/>
  <c r="M1238" i="183"/>
  <c r="R1236" i="183"/>
  <c r="BT627" i="183"/>
  <c r="Q1236" i="183"/>
  <c r="T1236" i="183" s="1"/>
  <c r="O1236" i="183"/>
  <c r="M1236" i="183"/>
  <c r="R1234" i="183"/>
  <c r="BT626" i="183"/>
  <c r="Q1234" i="183"/>
  <c r="T1234" i="183" s="1"/>
  <c r="O1234" i="183"/>
  <c r="M1234" i="183"/>
  <c r="R1232" i="183"/>
  <c r="BT625" i="183"/>
  <c r="Q1232" i="183"/>
  <c r="T1232" i="183" s="1"/>
  <c r="O1232" i="183"/>
  <c r="M1232" i="183"/>
  <c r="R1230" i="183"/>
  <c r="BT624" i="183"/>
  <c r="Q1230" i="183"/>
  <c r="T1230" i="183" s="1"/>
  <c r="O1230" i="183"/>
  <c r="M1230" i="183"/>
  <c r="R1228" i="183"/>
  <c r="BT623" i="183"/>
  <c r="Q1228" i="183"/>
  <c r="T1228" i="183" s="1"/>
  <c r="O1228" i="183"/>
  <c r="M1228" i="183"/>
  <c r="R1226" i="183"/>
  <c r="BT622" i="183"/>
  <c r="Q1226" i="183"/>
  <c r="T1226" i="183" s="1"/>
  <c r="O1226" i="183"/>
  <c r="M1226" i="183"/>
  <c r="R1224" i="183"/>
  <c r="BT621" i="183"/>
  <c r="Q1224" i="183"/>
  <c r="T1224" i="183" s="1"/>
  <c r="O1224" i="183"/>
  <c r="M1224" i="183"/>
  <c r="R1222" i="183"/>
  <c r="BT620" i="183"/>
  <c r="Q1222" i="183"/>
  <c r="T1222" i="183" s="1"/>
  <c r="O1222" i="183"/>
  <c r="M1222" i="183"/>
  <c r="R1220" i="183"/>
  <c r="BT619" i="183"/>
  <c r="Q1220" i="183"/>
  <c r="T1220" i="183" s="1"/>
  <c r="O1220" i="183"/>
  <c r="M1220" i="183"/>
  <c r="R1218" i="183"/>
  <c r="BT618" i="183"/>
  <c r="Q1218" i="183"/>
  <c r="T1218" i="183" s="1"/>
  <c r="O1218" i="183"/>
  <c r="M1218" i="183"/>
  <c r="R1216" i="183"/>
  <c r="BT617" i="183"/>
  <c r="Q1216" i="183"/>
  <c r="T1216" i="183" s="1"/>
  <c r="O1216" i="183"/>
  <c r="M1216" i="183"/>
  <c r="R1214" i="183"/>
  <c r="BT616" i="183"/>
  <c r="Q1214" i="183"/>
  <c r="T1214" i="183" s="1"/>
  <c r="O1214" i="183"/>
  <c r="M1214" i="183"/>
  <c r="R1212" i="183"/>
  <c r="BT615" i="183"/>
  <c r="Q1212" i="183"/>
  <c r="T1212" i="183" s="1"/>
  <c r="O1212" i="183"/>
  <c r="M1212" i="183"/>
  <c r="R1210" i="183"/>
  <c r="BT614" i="183"/>
  <c r="Q1210" i="183"/>
  <c r="T1210" i="183" s="1"/>
  <c r="O1210" i="183"/>
  <c r="M1210" i="183"/>
  <c r="R1208" i="183"/>
  <c r="BT613" i="183"/>
  <c r="Q1208" i="183"/>
  <c r="T1208" i="183" s="1"/>
  <c r="O1208" i="183"/>
  <c r="M1208" i="183"/>
  <c r="R1206" i="183"/>
  <c r="BT612" i="183"/>
  <c r="Q1206" i="183"/>
  <c r="T1206" i="183" s="1"/>
  <c r="O1206" i="183"/>
  <c r="M1206" i="183"/>
  <c r="R1204" i="183"/>
  <c r="BT611" i="183"/>
  <c r="Q1204" i="183"/>
  <c r="T1204" i="183" s="1"/>
  <c r="O1204" i="183"/>
  <c r="M1204" i="183"/>
  <c r="R1202" i="183"/>
  <c r="BT610" i="183"/>
  <c r="Q1202" i="183"/>
  <c r="T1202" i="183" s="1"/>
  <c r="O1202" i="183"/>
  <c r="M1202" i="183"/>
  <c r="R1200" i="183"/>
  <c r="BT609" i="183"/>
  <c r="Q1200" i="183"/>
  <c r="T1200" i="183" s="1"/>
  <c r="O1200" i="183"/>
  <c r="M1200" i="183"/>
  <c r="R1198" i="183"/>
  <c r="BT608" i="183"/>
  <c r="Q1198" i="183"/>
  <c r="T1198" i="183" s="1"/>
  <c r="O1198" i="183"/>
  <c r="M1198" i="183"/>
  <c r="R1196" i="183"/>
  <c r="BT607" i="183"/>
  <c r="Q1196" i="183"/>
  <c r="T1196" i="183" s="1"/>
  <c r="O1196" i="183"/>
  <c r="M1196" i="183"/>
  <c r="R1194" i="183"/>
  <c r="BT606" i="183"/>
  <c r="Q1194" i="183"/>
  <c r="T1194" i="183" s="1"/>
  <c r="O1194" i="183"/>
  <c r="M1194" i="183"/>
  <c r="R1192" i="183"/>
  <c r="BT605" i="183"/>
  <c r="Q1192" i="183"/>
  <c r="T1192" i="183" s="1"/>
  <c r="O1192" i="183"/>
  <c r="M1192" i="183"/>
  <c r="R1190" i="183"/>
  <c r="BT604" i="183"/>
  <c r="Q1190" i="183"/>
  <c r="T1190" i="183" s="1"/>
  <c r="O1190" i="183"/>
  <c r="M1190" i="183"/>
  <c r="R1188" i="183"/>
  <c r="BT603" i="183"/>
  <c r="Q1188" i="183"/>
  <c r="T1188" i="183" s="1"/>
  <c r="O1188" i="183"/>
  <c r="M1188" i="183"/>
  <c r="R1186" i="183"/>
  <c r="BT602" i="183"/>
  <c r="Q1186" i="183"/>
  <c r="T1186" i="183" s="1"/>
  <c r="O1186" i="183"/>
  <c r="M1186" i="183"/>
  <c r="R1184" i="183"/>
  <c r="BT601" i="183"/>
  <c r="Q1184" i="183"/>
  <c r="T1184" i="183" s="1"/>
  <c r="O1184" i="183"/>
  <c r="M1184" i="183"/>
  <c r="R1182" i="183"/>
  <c r="BT600" i="183"/>
  <c r="Q1182" i="183"/>
  <c r="T1182" i="183" s="1"/>
  <c r="O1182" i="183"/>
  <c r="M1182" i="183"/>
  <c r="R1180" i="183"/>
  <c r="BT599" i="183"/>
  <c r="Q1180" i="183"/>
  <c r="T1180" i="183" s="1"/>
  <c r="O1180" i="183"/>
  <c r="M1180" i="183"/>
  <c r="R1178" i="183"/>
  <c r="BT598" i="183"/>
  <c r="Q1178" i="183"/>
  <c r="T1178" i="183" s="1"/>
  <c r="O1178" i="183"/>
  <c r="M1178" i="183"/>
  <c r="R1176" i="183"/>
  <c r="BT597" i="183"/>
  <c r="Q1176" i="183"/>
  <c r="T1176" i="183" s="1"/>
  <c r="O1176" i="183"/>
  <c r="M1176" i="183"/>
  <c r="R1174" i="183"/>
  <c r="BT596" i="183"/>
  <c r="Q1174" i="183"/>
  <c r="T1174" i="183" s="1"/>
  <c r="O1174" i="183"/>
  <c r="M1174" i="183"/>
  <c r="R1172" i="183"/>
  <c r="BT595" i="183"/>
  <c r="Q1172" i="183"/>
  <c r="T1172" i="183" s="1"/>
  <c r="O1172" i="183"/>
  <c r="M1172" i="183"/>
  <c r="R1170" i="183"/>
  <c r="BT594" i="183"/>
  <c r="Q1170" i="183"/>
  <c r="T1170" i="183" s="1"/>
  <c r="O1170" i="183"/>
  <c r="M1170" i="183"/>
  <c r="R1168" i="183"/>
  <c r="BT593" i="183"/>
  <c r="Q1168" i="183"/>
  <c r="T1168" i="183" s="1"/>
  <c r="O1168" i="183"/>
  <c r="M1168" i="183"/>
  <c r="R1166" i="183"/>
  <c r="BT592" i="183"/>
  <c r="Q1166" i="183"/>
  <c r="T1166" i="183" s="1"/>
  <c r="O1166" i="183"/>
  <c r="M1166" i="183"/>
  <c r="R1164" i="183"/>
  <c r="BT591" i="183"/>
  <c r="Q1164" i="183"/>
  <c r="T1164" i="183" s="1"/>
  <c r="O1164" i="183"/>
  <c r="M1164" i="183"/>
  <c r="R1162" i="183"/>
  <c r="BT590" i="183"/>
  <c r="Q1162" i="183"/>
  <c r="T1162" i="183" s="1"/>
  <c r="O1162" i="183"/>
  <c r="M1162" i="183"/>
  <c r="R1160" i="183"/>
  <c r="BT589" i="183"/>
  <c r="Q1160" i="183"/>
  <c r="T1160" i="183" s="1"/>
  <c r="O1160" i="183"/>
  <c r="M1160" i="183"/>
  <c r="R1158" i="183"/>
  <c r="BT588" i="183"/>
  <c r="Q1158" i="183"/>
  <c r="T1158" i="183" s="1"/>
  <c r="O1158" i="183"/>
  <c r="M1158" i="183"/>
  <c r="R1156" i="183"/>
  <c r="BT587" i="183"/>
  <c r="Q1156" i="183"/>
  <c r="T1156" i="183" s="1"/>
  <c r="O1156" i="183"/>
  <c r="M1156" i="183"/>
  <c r="R1154" i="183"/>
  <c r="BT586" i="183"/>
  <c r="Q1154" i="183"/>
  <c r="T1154" i="183" s="1"/>
  <c r="O1154" i="183"/>
  <c r="M1154" i="183"/>
  <c r="R1152" i="183"/>
  <c r="BT585" i="183"/>
  <c r="Q1152" i="183"/>
  <c r="T1152" i="183" s="1"/>
  <c r="O1152" i="183"/>
  <c r="M1152" i="183"/>
  <c r="R1150" i="183"/>
  <c r="BT584" i="183"/>
  <c r="Q1150" i="183"/>
  <c r="T1150" i="183" s="1"/>
  <c r="O1150" i="183"/>
  <c r="M1150" i="183"/>
  <c r="R1148" i="183"/>
  <c r="BT583" i="183"/>
  <c r="Q1148" i="183"/>
  <c r="T1148" i="183" s="1"/>
  <c r="O1148" i="183"/>
  <c r="M1148" i="183"/>
  <c r="R1146" i="183"/>
  <c r="BT582" i="183"/>
  <c r="Q1146" i="183"/>
  <c r="T1146" i="183" s="1"/>
  <c r="O1146" i="183"/>
  <c r="M1146" i="183"/>
  <c r="R1144" i="183"/>
  <c r="BT581" i="183"/>
  <c r="Q1144" i="183"/>
  <c r="T1144" i="183" s="1"/>
  <c r="O1144" i="183"/>
  <c r="M1144" i="183"/>
  <c r="R1142" i="183"/>
  <c r="BT580" i="183"/>
  <c r="Q1142" i="183"/>
  <c r="T1142" i="183" s="1"/>
  <c r="O1142" i="183"/>
  <c r="M1142" i="183"/>
  <c r="R1140" i="183"/>
  <c r="BT579" i="183"/>
  <c r="Q1140" i="183"/>
  <c r="T1140" i="183" s="1"/>
  <c r="O1140" i="183"/>
  <c r="M1140" i="183"/>
  <c r="R1138" i="183"/>
  <c r="BT578" i="183"/>
  <c r="Q1138" i="183"/>
  <c r="T1138" i="183" s="1"/>
  <c r="O1138" i="183"/>
  <c r="M1138" i="183"/>
  <c r="R1136" i="183"/>
  <c r="BT577" i="183"/>
  <c r="Q1136" i="183"/>
  <c r="T1136" i="183" s="1"/>
  <c r="O1136" i="183"/>
  <c r="M1136" i="183"/>
  <c r="R1134" i="183"/>
  <c r="BT576" i="183"/>
  <c r="Q1134" i="183"/>
  <c r="T1134" i="183" s="1"/>
  <c r="O1134" i="183"/>
  <c r="M1134" i="183"/>
  <c r="R1132" i="183"/>
  <c r="BT575" i="183"/>
  <c r="Q1132" i="183"/>
  <c r="T1132" i="183" s="1"/>
  <c r="O1132" i="183"/>
  <c r="M1132" i="183"/>
  <c r="R1130" i="183"/>
  <c r="BT574" i="183"/>
  <c r="Q1130" i="183"/>
  <c r="T1130" i="183" s="1"/>
  <c r="O1130" i="183"/>
  <c r="M1130" i="183"/>
  <c r="R1128" i="183"/>
  <c r="BT573" i="183"/>
  <c r="Q1128" i="183"/>
  <c r="T1128" i="183" s="1"/>
  <c r="O1128" i="183"/>
  <c r="M1128" i="183"/>
  <c r="R1126" i="183"/>
  <c r="BT572" i="183"/>
  <c r="Q1126" i="183"/>
  <c r="T1126" i="183" s="1"/>
  <c r="O1126" i="183"/>
  <c r="M1126" i="183"/>
  <c r="R1124" i="183"/>
  <c r="BT571" i="183"/>
  <c r="Q1124" i="183"/>
  <c r="T1124" i="183" s="1"/>
  <c r="O1124" i="183"/>
  <c r="M1124" i="183"/>
  <c r="R1122" i="183"/>
  <c r="BT570" i="183"/>
  <c r="Q1122" i="183"/>
  <c r="T1122" i="183" s="1"/>
  <c r="O1122" i="183"/>
  <c r="M1122" i="183"/>
  <c r="R1120" i="183"/>
  <c r="BT569" i="183"/>
  <c r="Q1120" i="183"/>
  <c r="T1120" i="183" s="1"/>
  <c r="O1120" i="183"/>
  <c r="M1120" i="183"/>
  <c r="R1118" i="183"/>
  <c r="BT568" i="183"/>
  <c r="Q1118" i="183"/>
  <c r="T1118" i="183" s="1"/>
  <c r="O1118" i="183"/>
  <c r="M1118" i="183"/>
  <c r="R1116" i="183"/>
  <c r="BT567" i="183"/>
  <c r="Q1116" i="183"/>
  <c r="T1116" i="183" s="1"/>
  <c r="O1116" i="183"/>
  <c r="M1116" i="183"/>
  <c r="R1114" i="183"/>
  <c r="BT566" i="183"/>
  <c r="Q1114" i="183"/>
  <c r="T1114" i="183" s="1"/>
  <c r="O1114" i="183"/>
  <c r="M1114" i="183"/>
  <c r="R1112" i="183"/>
  <c r="BT565" i="183"/>
  <c r="Q1112" i="183"/>
  <c r="T1112" i="183" s="1"/>
  <c r="O1112" i="183"/>
  <c r="M1112" i="183"/>
  <c r="R1110" i="183"/>
  <c r="BT564" i="183"/>
  <c r="Q1110" i="183"/>
  <c r="T1110" i="183" s="1"/>
  <c r="O1110" i="183"/>
  <c r="M1110" i="183"/>
  <c r="R1108" i="183"/>
  <c r="BT563" i="183"/>
  <c r="Q1108" i="183"/>
  <c r="T1108" i="183" s="1"/>
  <c r="O1108" i="183"/>
  <c r="M1108" i="183"/>
  <c r="R1106" i="183"/>
  <c r="BT562" i="183"/>
  <c r="Q1106" i="183"/>
  <c r="T1106" i="183" s="1"/>
  <c r="O1106" i="183"/>
  <c r="M1106" i="183"/>
  <c r="R1104" i="183"/>
  <c r="BT561" i="183"/>
  <c r="Q1104" i="183"/>
  <c r="T1104" i="183" s="1"/>
  <c r="O1104" i="183"/>
  <c r="M1104" i="183"/>
  <c r="R1102" i="183"/>
  <c r="BT560" i="183"/>
  <c r="Q1102" i="183"/>
  <c r="O1102" i="183"/>
  <c r="M1102" i="183"/>
  <c r="R1100" i="183"/>
  <c r="BT559" i="183"/>
  <c r="Q1100" i="183"/>
  <c r="O1100" i="183"/>
  <c r="M1100" i="183"/>
  <c r="R1098" i="183"/>
  <c r="BT558" i="183"/>
  <c r="Q1098" i="183"/>
  <c r="O1098" i="183"/>
  <c r="M1098" i="183"/>
  <c r="R1096" i="183"/>
  <c r="BT557" i="183"/>
  <c r="Q1096" i="183"/>
  <c r="O1096" i="183"/>
  <c r="M1096" i="183"/>
  <c r="R1094" i="183"/>
  <c r="BT556" i="183"/>
  <c r="Q1094" i="183"/>
  <c r="O1094" i="183"/>
  <c r="M1094" i="183"/>
  <c r="R1092" i="183"/>
  <c r="BT555" i="183"/>
  <c r="Q1092" i="183"/>
  <c r="O1092" i="183"/>
  <c r="M1092" i="183"/>
  <c r="R1090" i="183"/>
  <c r="BT554" i="183"/>
  <c r="Q1090" i="183"/>
  <c r="O1090" i="183"/>
  <c r="M1090" i="183"/>
  <c r="R1088" i="183"/>
  <c r="BT553" i="183"/>
  <c r="Q1088" i="183"/>
  <c r="O1088" i="183"/>
  <c r="M1088" i="183"/>
  <c r="R1086" i="183"/>
  <c r="BT552" i="183"/>
  <c r="Q1086" i="183"/>
  <c r="O1086" i="183"/>
  <c r="M1086" i="183"/>
  <c r="R1084" i="183"/>
  <c r="BT551" i="183"/>
  <c r="Q1084" i="183"/>
  <c r="O1084" i="183"/>
  <c r="M1084" i="183"/>
  <c r="R1082" i="183"/>
  <c r="BT550" i="183"/>
  <c r="Q1082" i="183"/>
  <c r="O1082" i="183"/>
  <c r="M1082" i="183"/>
  <c r="R1080" i="183"/>
  <c r="BT549" i="183"/>
  <c r="Q1080" i="183"/>
  <c r="O1080" i="183"/>
  <c r="M1080" i="183"/>
  <c r="R1078" i="183"/>
  <c r="BT548" i="183"/>
  <c r="Q1078" i="183"/>
  <c r="O1078" i="183"/>
  <c r="M1078" i="183"/>
  <c r="R1076" i="183"/>
  <c r="BT547" i="183"/>
  <c r="Q1076" i="183"/>
  <c r="O1076" i="183"/>
  <c r="M1076" i="183"/>
  <c r="R1074" i="183"/>
  <c r="BT546" i="183"/>
  <c r="Q1074" i="183"/>
  <c r="O1074" i="183"/>
  <c r="M1074" i="183"/>
  <c r="R1072" i="183"/>
  <c r="BT545" i="183"/>
  <c r="Q1072" i="183"/>
  <c r="O1072" i="183"/>
  <c r="M1072" i="183"/>
  <c r="R1070" i="183"/>
  <c r="BT544" i="183"/>
  <c r="Q1070" i="183"/>
  <c r="O1070" i="183"/>
  <c r="M1070" i="183"/>
  <c r="R1068" i="183"/>
  <c r="BT543" i="183"/>
  <c r="Q1068" i="183"/>
  <c r="O1068" i="183"/>
  <c r="M1068" i="183"/>
  <c r="R1066" i="183"/>
  <c r="BT542" i="183"/>
  <c r="Q1066" i="183"/>
  <c r="O1066" i="183"/>
  <c r="M1066" i="183"/>
  <c r="R1064" i="183"/>
  <c r="BT541" i="183"/>
  <c r="Q1064" i="183"/>
  <c r="O1064" i="183"/>
  <c r="M1064" i="183"/>
  <c r="R1062" i="183"/>
  <c r="BT540" i="183"/>
  <c r="Q1062" i="183"/>
  <c r="O1062" i="183"/>
  <c r="M1062" i="183"/>
  <c r="R1060" i="183"/>
  <c r="BT539" i="183"/>
  <c r="Q1060" i="183"/>
  <c r="O1060" i="183"/>
  <c r="M1060" i="183"/>
  <c r="R1058" i="183"/>
  <c r="BT538" i="183"/>
  <c r="Q1058" i="183"/>
  <c r="O1058" i="183"/>
  <c r="M1058" i="183"/>
  <c r="R1056" i="183"/>
  <c r="BT537" i="183"/>
  <c r="Q1056" i="183"/>
  <c r="O1056" i="183"/>
  <c r="M1056" i="183"/>
  <c r="R1054" i="183"/>
  <c r="BT536" i="183"/>
  <c r="Q1054" i="183"/>
  <c r="O1054" i="183"/>
  <c r="M1054" i="183"/>
  <c r="R1052" i="183"/>
  <c r="BT535" i="183"/>
  <c r="Q1052" i="183"/>
  <c r="O1052" i="183"/>
  <c r="M1052" i="183"/>
  <c r="R1050" i="183"/>
  <c r="BT534" i="183"/>
  <c r="Q1050" i="183"/>
  <c r="O1050" i="183"/>
  <c r="M1050" i="183"/>
  <c r="R1048" i="183"/>
  <c r="BT533" i="183"/>
  <c r="Q1048" i="183"/>
  <c r="O1048" i="183"/>
  <c r="M1048" i="183"/>
  <c r="R1046" i="183"/>
  <c r="BT532" i="183"/>
  <c r="Q1046" i="183"/>
  <c r="O1046" i="183"/>
  <c r="M1046" i="183"/>
  <c r="R1044" i="183"/>
  <c r="BT531" i="183"/>
  <c r="Q1044" i="183"/>
  <c r="O1044" i="183"/>
  <c r="M1044" i="183"/>
  <c r="R1042" i="183"/>
  <c r="BT530" i="183"/>
  <c r="Q1042" i="183"/>
  <c r="O1042" i="183"/>
  <c r="M1042" i="183"/>
  <c r="R1040" i="183"/>
  <c r="BT529" i="183"/>
  <c r="Q1040" i="183"/>
  <c r="O1040" i="183"/>
  <c r="M1040" i="183"/>
  <c r="R1038" i="183"/>
  <c r="BT528" i="183"/>
  <c r="Q1038" i="183"/>
  <c r="O1038" i="183"/>
  <c r="M1038" i="183"/>
  <c r="R1036" i="183"/>
  <c r="BT527" i="183"/>
  <c r="Q1036" i="183"/>
  <c r="O1036" i="183"/>
  <c r="M1036" i="183"/>
  <c r="R1034" i="183"/>
  <c r="BT526" i="183"/>
  <c r="Q1034" i="183"/>
  <c r="O1034" i="183"/>
  <c r="M1034" i="183"/>
  <c r="R1032" i="183"/>
  <c r="BT525" i="183"/>
  <c r="Q1032" i="183"/>
  <c r="O1032" i="183"/>
  <c r="M1032" i="183"/>
  <c r="R1030" i="183"/>
  <c r="BT524" i="183"/>
  <c r="Q1030" i="183"/>
  <c r="O1030" i="183"/>
  <c r="M1030" i="183"/>
  <c r="R1028" i="183"/>
  <c r="BT523" i="183"/>
  <c r="Q1028" i="183"/>
  <c r="O1028" i="183"/>
  <c r="M1028" i="183"/>
  <c r="R1026" i="183"/>
  <c r="BT522" i="183"/>
  <c r="Q1026" i="183"/>
  <c r="O1026" i="183"/>
  <c r="M1026" i="183"/>
  <c r="R1024" i="183"/>
  <c r="BT521" i="183"/>
  <c r="Q1024" i="183"/>
  <c r="O1024" i="183"/>
  <c r="M1024" i="183"/>
  <c r="R1022" i="183"/>
  <c r="BT520" i="183"/>
  <c r="Q1022" i="183"/>
  <c r="O1022" i="183"/>
  <c r="M1022" i="183"/>
  <c r="R1020" i="183"/>
  <c r="BT519" i="183"/>
  <c r="Q1020" i="183"/>
  <c r="O1020" i="183"/>
  <c r="M1020" i="183"/>
  <c r="R1018" i="183"/>
  <c r="BT518" i="183"/>
  <c r="Q1018" i="183"/>
  <c r="O1018" i="183"/>
  <c r="M1018" i="183"/>
  <c r="R1016" i="183"/>
  <c r="BT517" i="183"/>
  <c r="Q1016" i="183"/>
  <c r="O1016" i="183"/>
  <c r="M1016" i="183"/>
  <c r="R1014" i="183"/>
  <c r="BT516" i="183"/>
  <c r="Q1014" i="183"/>
  <c r="O1014" i="183"/>
  <c r="M1014" i="183"/>
  <c r="R1012" i="183"/>
  <c r="BT515" i="183"/>
  <c r="Q1012" i="183"/>
  <c r="O1012" i="183"/>
  <c r="M1012" i="183"/>
  <c r="R1010" i="183"/>
  <c r="BT514" i="183"/>
  <c r="Q1010" i="183"/>
  <c r="O1010" i="183"/>
  <c r="M1010" i="183"/>
  <c r="R1008" i="183"/>
  <c r="BT513" i="183"/>
  <c r="Q1008" i="183"/>
  <c r="O1008" i="183"/>
  <c r="M1008" i="183"/>
  <c r="R1006" i="183"/>
  <c r="BT512" i="183"/>
  <c r="Q1006" i="183"/>
  <c r="O1006" i="183"/>
  <c r="M1006" i="183"/>
  <c r="R1004" i="183"/>
  <c r="BT511" i="183"/>
  <c r="Q1004" i="183"/>
  <c r="O1004" i="183"/>
  <c r="M1004" i="183"/>
  <c r="R1002" i="183"/>
  <c r="BT510" i="183"/>
  <c r="Q1002" i="183"/>
  <c r="O1002" i="183"/>
  <c r="M1002" i="183"/>
  <c r="R1000" i="183"/>
  <c r="BT509" i="183"/>
  <c r="Q1000" i="183"/>
  <c r="O1000" i="183"/>
  <c r="M1000" i="183"/>
  <c r="R998" i="183"/>
  <c r="BT508" i="183"/>
  <c r="Q998" i="183"/>
  <c r="O998" i="183"/>
  <c r="M998" i="183"/>
  <c r="R996" i="183"/>
  <c r="BT507" i="183"/>
  <c r="Q996" i="183"/>
  <c r="O996" i="183"/>
  <c r="M996" i="183"/>
  <c r="R994" i="183"/>
  <c r="BT506" i="183"/>
  <c r="Q994" i="183"/>
  <c r="O994" i="183"/>
  <c r="M994" i="183"/>
  <c r="R992" i="183"/>
  <c r="BT505" i="183"/>
  <c r="Q992" i="183"/>
  <c r="O992" i="183"/>
  <c r="M992" i="183"/>
  <c r="R990" i="183"/>
  <c r="BT504" i="183"/>
  <c r="Q990" i="183"/>
  <c r="O990" i="183"/>
  <c r="M990" i="183"/>
  <c r="R988" i="183"/>
  <c r="BT503" i="183"/>
  <c r="Q988" i="183"/>
  <c r="O988" i="183"/>
  <c r="M988" i="183"/>
  <c r="R986" i="183"/>
  <c r="BT502" i="183"/>
  <c r="Q986" i="183"/>
  <c r="O986" i="183"/>
  <c r="M986" i="183"/>
  <c r="R984" i="183"/>
  <c r="BT501" i="183"/>
  <c r="Q984" i="183"/>
  <c r="O984" i="183"/>
  <c r="M984" i="183"/>
  <c r="R982" i="183"/>
  <c r="BT500" i="183"/>
  <c r="Q982" i="183"/>
  <c r="O982" i="183"/>
  <c r="M982" i="183"/>
  <c r="R980" i="183"/>
  <c r="BT499" i="183"/>
  <c r="Q980" i="183"/>
  <c r="O980" i="183"/>
  <c r="M980" i="183"/>
  <c r="R978" i="183"/>
  <c r="BT498" i="183"/>
  <c r="Q978" i="183"/>
  <c r="O978" i="183"/>
  <c r="M978" i="183"/>
  <c r="R976" i="183"/>
  <c r="BT497" i="183"/>
  <c r="Q976" i="183"/>
  <c r="O976" i="183"/>
  <c r="M976" i="183"/>
  <c r="R974" i="183"/>
  <c r="BT496" i="183"/>
  <c r="Q974" i="183"/>
  <c r="O974" i="183"/>
  <c r="M974" i="183"/>
  <c r="R972" i="183"/>
  <c r="BT495" i="183"/>
  <c r="Q972" i="183"/>
  <c r="O972" i="183"/>
  <c r="M972" i="183"/>
  <c r="R970" i="183"/>
  <c r="BT494" i="183"/>
  <c r="Q970" i="183"/>
  <c r="O970" i="183"/>
  <c r="M970" i="183"/>
  <c r="R968" i="183"/>
  <c r="BT493" i="183"/>
  <c r="Q968" i="183"/>
  <c r="O968" i="183"/>
  <c r="M968" i="183"/>
  <c r="R966" i="183"/>
  <c r="BT492" i="183"/>
  <c r="Q966" i="183"/>
  <c r="O966" i="183"/>
  <c r="M966" i="183"/>
  <c r="R964" i="183"/>
  <c r="BT491" i="183"/>
  <c r="Q964" i="183"/>
  <c r="O964" i="183"/>
  <c r="M964" i="183"/>
  <c r="R962" i="183"/>
  <c r="BT490" i="183"/>
  <c r="Q962" i="183"/>
  <c r="O962" i="183"/>
  <c r="M962" i="183"/>
  <c r="R960" i="183"/>
  <c r="BT489" i="183"/>
  <c r="Q960" i="183"/>
  <c r="O960" i="183"/>
  <c r="M960" i="183"/>
  <c r="R958" i="183"/>
  <c r="BT488" i="183"/>
  <c r="Q958" i="183"/>
  <c r="O958" i="183"/>
  <c r="M958" i="183"/>
  <c r="R956" i="183"/>
  <c r="BT487" i="183"/>
  <c r="Q956" i="183"/>
  <c r="O956" i="183"/>
  <c r="M956" i="183"/>
  <c r="R954" i="183"/>
  <c r="BT486" i="183"/>
  <c r="Q954" i="183"/>
  <c r="O954" i="183"/>
  <c r="M954" i="183"/>
  <c r="R952" i="183"/>
  <c r="BT485" i="183"/>
  <c r="Q952" i="183"/>
  <c r="O952" i="183"/>
  <c r="M952" i="183"/>
  <c r="R950" i="183"/>
  <c r="BT484" i="183"/>
  <c r="Q950" i="183"/>
  <c r="O950" i="183"/>
  <c r="M950" i="183"/>
  <c r="R948" i="183"/>
  <c r="BT483" i="183"/>
  <c r="Q948" i="183"/>
  <c r="O948" i="183"/>
  <c r="M948" i="183"/>
  <c r="R946" i="183"/>
  <c r="BT482" i="183"/>
  <c r="Q946" i="183"/>
  <c r="O946" i="183"/>
  <c r="M946" i="183"/>
  <c r="R944" i="183"/>
  <c r="BT481" i="183"/>
  <c r="Q944" i="183"/>
  <c r="O944" i="183"/>
  <c r="M944" i="183"/>
  <c r="R942" i="183"/>
  <c r="BT480" i="183"/>
  <c r="Q942" i="183"/>
  <c r="O942" i="183"/>
  <c r="M942" i="183"/>
  <c r="R940" i="183"/>
  <c r="BT479" i="183"/>
  <c r="Q940" i="183"/>
  <c r="O940" i="183"/>
  <c r="M940" i="183"/>
  <c r="R938" i="183"/>
  <c r="BT478" i="183"/>
  <c r="Q938" i="183"/>
  <c r="O938" i="183"/>
  <c r="M938" i="183"/>
  <c r="R936" i="183"/>
  <c r="BT477" i="183"/>
  <c r="Q936" i="183"/>
  <c r="O936" i="183"/>
  <c r="M936" i="183"/>
  <c r="R934" i="183"/>
  <c r="BT476" i="183"/>
  <c r="Q934" i="183"/>
  <c r="O934" i="183"/>
  <c r="M934" i="183"/>
  <c r="R932" i="183"/>
  <c r="BT475" i="183"/>
  <c r="Q932" i="183"/>
  <c r="O932" i="183"/>
  <c r="M932" i="183"/>
  <c r="R930" i="183"/>
  <c r="BT474" i="183"/>
  <c r="Q930" i="183"/>
  <c r="O930" i="183"/>
  <c r="M930" i="183"/>
  <c r="R928" i="183"/>
  <c r="BT473" i="183"/>
  <c r="Q928" i="183"/>
  <c r="O928" i="183"/>
  <c r="M928" i="183"/>
  <c r="R926" i="183"/>
  <c r="BT472" i="183"/>
  <c r="Q926" i="183"/>
  <c r="O926" i="183"/>
  <c r="M926" i="183"/>
  <c r="R924" i="183"/>
  <c r="BT471" i="183"/>
  <c r="Q924" i="183"/>
  <c r="O924" i="183"/>
  <c r="M924" i="183"/>
  <c r="R922" i="183"/>
  <c r="BT470" i="183"/>
  <c r="Q922" i="183"/>
  <c r="O922" i="183"/>
  <c r="M922" i="183"/>
  <c r="R920" i="183"/>
  <c r="BT469" i="183"/>
  <c r="Q920" i="183"/>
  <c r="O920" i="183"/>
  <c r="M920" i="183"/>
  <c r="R918" i="183"/>
  <c r="BT468" i="183"/>
  <c r="Q918" i="183"/>
  <c r="O918" i="183"/>
  <c r="M918" i="183"/>
  <c r="R916" i="183"/>
  <c r="BT467" i="183"/>
  <c r="Q916" i="183"/>
  <c r="O916" i="183"/>
  <c r="M916" i="183"/>
  <c r="R914" i="183"/>
  <c r="BT466" i="183"/>
  <c r="Q914" i="183"/>
  <c r="O914" i="183"/>
  <c r="M914" i="183"/>
  <c r="R912" i="183"/>
  <c r="BT465" i="183"/>
  <c r="Q912" i="183"/>
  <c r="O912" i="183"/>
  <c r="M912" i="183"/>
  <c r="R910" i="183"/>
  <c r="BT464" i="183"/>
  <c r="Q910" i="183"/>
  <c r="O910" i="183"/>
  <c r="M910" i="183"/>
  <c r="R908" i="183"/>
  <c r="BT463" i="183"/>
  <c r="Q908" i="183"/>
  <c r="O908" i="183"/>
  <c r="M908" i="183"/>
  <c r="R906" i="183"/>
  <c r="BT462" i="183"/>
  <c r="Q906" i="183"/>
  <c r="O906" i="183"/>
  <c r="M906" i="183"/>
  <c r="R904" i="183"/>
  <c r="BT461" i="183"/>
  <c r="Q904" i="183"/>
  <c r="O904" i="183"/>
  <c r="M904" i="183"/>
  <c r="R902" i="183"/>
  <c r="BT460" i="183"/>
  <c r="Q902" i="183"/>
  <c r="O902" i="183"/>
  <c r="M902" i="183"/>
  <c r="R900" i="183"/>
  <c r="BT459" i="183"/>
  <c r="Q900" i="183"/>
  <c r="O900" i="183"/>
  <c r="M900" i="183"/>
  <c r="R898" i="183"/>
  <c r="BT458" i="183"/>
  <c r="Q898" i="183"/>
  <c r="O898" i="183"/>
  <c r="M898" i="183"/>
  <c r="R896" i="183"/>
  <c r="BT457" i="183"/>
  <c r="Q896" i="183"/>
  <c r="O896" i="183"/>
  <c r="M896" i="183"/>
  <c r="R894" i="183"/>
  <c r="BT456" i="183"/>
  <c r="Q894" i="183"/>
  <c r="O894" i="183"/>
  <c r="M894" i="183"/>
  <c r="R892" i="183"/>
  <c r="BT455" i="183"/>
  <c r="Q892" i="183"/>
  <c r="O892" i="183"/>
  <c r="M892" i="183"/>
  <c r="R890" i="183"/>
  <c r="BT454" i="183"/>
  <c r="Q890" i="183"/>
  <c r="O890" i="183"/>
  <c r="M890" i="183"/>
  <c r="R888" i="183"/>
  <c r="BT453" i="183"/>
  <c r="Q888" i="183"/>
  <c r="O888" i="183"/>
  <c r="M888" i="183"/>
  <c r="R886" i="183"/>
  <c r="BT452" i="183"/>
  <c r="Q886" i="183"/>
  <c r="O886" i="183"/>
  <c r="M886" i="183"/>
  <c r="R884" i="183"/>
  <c r="BT451" i="183"/>
  <c r="Q884" i="183"/>
  <c r="O884" i="183"/>
  <c r="M884" i="183"/>
  <c r="R882" i="183"/>
  <c r="BT450" i="183"/>
  <c r="Q882" i="183"/>
  <c r="O882" i="183"/>
  <c r="M882" i="183"/>
  <c r="R880" i="183"/>
  <c r="BT449" i="183"/>
  <c r="Q880" i="183"/>
  <c r="O880" i="183"/>
  <c r="M880" i="183"/>
  <c r="R878" i="183"/>
  <c r="BT448" i="183"/>
  <c r="Q878" i="183"/>
  <c r="O878" i="183"/>
  <c r="M878" i="183"/>
  <c r="R876" i="183"/>
  <c r="BT447" i="183"/>
  <c r="Q876" i="183"/>
  <c r="O876" i="183"/>
  <c r="M876" i="183"/>
  <c r="R874" i="183"/>
  <c r="BT446" i="183"/>
  <c r="Q874" i="183"/>
  <c r="O874" i="183"/>
  <c r="M874" i="183"/>
  <c r="R872" i="183"/>
  <c r="BT445" i="183"/>
  <c r="Q872" i="183"/>
  <c r="O872" i="183"/>
  <c r="M872" i="183"/>
  <c r="R870" i="183"/>
  <c r="BT444" i="183"/>
  <c r="Q870" i="183"/>
  <c r="O870" i="183"/>
  <c r="M870" i="183"/>
  <c r="R868" i="183"/>
  <c r="BT443" i="183"/>
  <c r="Q868" i="183"/>
  <c r="O868" i="183"/>
  <c r="M868" i="183"/>
  <c r="R866" i="183"/>
  <c r="BT442" i="183"/>
  <c r="Q866" i="183"/>
  <c r="O866" i="183"/>
  <c r="M866" i="183"/>
  <c r="R864" i="183"/>
  <c r="BT441" i="183"/>
  <c r="Q864" i="183"/>
  <c r="O864" i="183"/>
  <c r="M864" i="183"/>
  <c r="R862" i="183"/>
  <c r="BT440" i="183"/>
  <c r="Q862" i="183"/>
  <c r="O862" i="183"/>
  <c r="M862" i="183"/>
  <c r="R860" i="183"/>
  <c r="BT439" i="183"/>
  <c r="Q860" i="183"/>
  <c r="O860" i="183"/>
  <c r="M860" i="183"/>
  <c r="R858" i="183"/>
  <c r="BT438" i="183"/>
  <c r="Q858" i="183"/>
  <c r="O858" i="183"/>
  <c r="M858" i="183"/>
  <c r="R856" i="183"/>
  <c r="BT437" i="183"/>
  <c r="Q856" i="183"/>
  <c r="O856" i="183"/>
  <c r="M856" i="183"/>
  <c r="R854" i="183"/>
  <c r="BT436" i="183"/>
  <c r="Q854" i="183"/>
  <c r="O854" i="183"/>
  <c r="M854" i="183"/>
  <c r="R852" i="183"/>
  <c r="BT435" i="183"/>
  <c r="Q852" i="183"/>
  <c r="O852" i="183"/>
  <c r="M852" i="183"/>
  <c r="R850" i="183"/>
  <c r="BT434" i="183"/>
  <c r="Q850" i="183"/>
  <c r="O850" i="183"/>
  <c r="M850" i="183"/>
  <c r="R848" i="183"/>
  <c r="BT433" i="183"/>
  <c r="Q848" i="183"/>
  <c r="O848" i="183"/>
  <c r="M848" i="183"/>
  <c r="R846" i="183"/>
  <c r="BT432" i="183"/>
  <c r="Q846" i="183"/>
  <c r="O846" i="183"/>
  <c r="M846" i="183"/>
  <c r="R844" i="183"/>
  <c r="BT431" i="183"/>
  <c r="Q844" i="183"/>
  <c r="O844" i="183"/>
  <c r="M844" i="183"/>
  <c r="R842" i="183"/>
  <c r="BT430" i="183"/>
  <c r="Q842" i="183"/>
  <c r="O842" i="183"/>
  <c r="M842" i="183"/>
  <c r="R840" i="183"/>
  <c r="BT429" i="183"/>
  <c r="Q840" i="183"/>
  <c r="O840" i="183"/>
  <c r="M840" i="183"/>
  <c r="R838" i="183"/>
  <c r="BT428" i="183"/>
  <c r="Q838" i="183"/>
  <c r="O838" i="183"/>
  <c r="M838" i="183"/>
  <c r="R836" i="183"/>
  <c r="BT427" i="183"/>
  <c r="Q836" i="183"/>
  <c r="O836" i="183"/>
  <c r="M836" i="183"/>
  <c r="R834" i="183"/>
  <c r="BT426" i="183"/>
  <c r="Q834" i="183"/>
  <c r="O834" i="183"/>
  <c r="M834" i="183"/>
  <c r="R832" i="183"/>
  <c r="BT425" i="183"/>
  <c r="Q832" i="183"/>
  <c r="O832" i="183"/>
  <c r="M832" i="183"/>
  <c r="R830" i="183"/>
  <c r="BT424" i="183"/>
  <c r="Q830" i="183"/>
  <c r="O830" i="183"/>
  <c r="M830" i="183"/>
  <c r="R828" i="183"/>
  <c r="BT423" i="183"/>
  <c r="Q828" i="183"/>
  <c r="O828" i="183"/>
  <c r="M828" i="183"/>
  <c r="R826" i="183"/>
  <c r="BT422" i="183"/>
  <c r="Q826" i="183"/>
  <c r="O826" i="183"/>
  <c r="M826" i="183"/>
  <c r="R824" i="183"/>
  <c r="BT421" i="183"/>
  <c r="Q824" i="183"/>
  <c r="O824" i="183"/>
  <c r="M824" i="183"/>
  <c r="R822" i="183"/>
  <c r="BT420" i="183"/>
  <c r="Q822" i="183"/>
  <c r="O822" i="183"/>
  <c r="M822" i="183"/>
  <c r="R820" i="183"/>
  <c r="BT419" i="183"/>
  <c r="Q820" i="183"/>
  <c r="O820" i="183"/>
  <c r="M820" i="183"/>
  <c r="R818" i="183"/>
  <c r="BT418" i="183"/>
  <c r="Q818" i="183"/>
  <c r="O818" i="183"/>
  <c r="M818" i="183"/>
  <c r="R816" i="183"/>
  <c r="BT417" i="183"/>
  <c r="Q816" i="183"/>
  <c r="O816" i="183"/>
  <c r="M816" i="183"/>
  <c r="R814" i="183"/>
  <c r="BT416" i="183"/>
  <c r="Q814" i="183"/>
  <c r="O814" i="183"/>
  <c r="M814" i="183"/>
  <c r="R812" i="183"/>
  <c r="BT415" i="183"/>
  <c r="Q812" i="183"/>
  <c r="O812" i="183"/>
  <c r="M812" i="183"/>
  <c r="R810" i="183"/>
  <c r="BT414" i="183"/>
  <c r="Q810" i="183"/>
  <c r="O810" i="183"/>
  <c r="M810" i="183"/>
  <c r="R808" i="183"/>
  <c r="BT413" i="183"/>
  <c r="Q808" i="183"/>
  <c r="O808" i="183"/>
  <c r="M808" i="183"/>
  <c r="R806" i="183"/>
  <c r="BT412" i="183"/>
  <c r="Q806" i="183"/>
  <c r="O806" i="183"/>
  <c r="M806" i="183"/>
  <c r="R804" i="183"/>
  <c r="BT411" i="183"/>
  <c r="Q804" i="183"/>
  <c r="O804" i="183"/>
  <c r="M804" i="183"/>
  <c r="R802" i="183"/>
  <c r="BT410" i="183"/>
  <c r="Q802" i="183"/>
  <c r="O802" i="183"/>
  <c r="M802" i="183"/>
  <c r="R800" i="183"/>
  <c r="BT409" i="183"/>
  <c r="Q800" i="183"/>
  <c r="O800" i="183"/>
  <c r="M800" i="183"/>
  <c r="R798" i="183"/>
  <c r="BT408" i="183"/>
  <c r="Q798" i="183"/>
  <c r="O798" i="183"/>
  <c r="M798" i="183"/>
  <c r="R796" i="183"/>
  <c r="BT407" i="183"/>
  <c r="Q796" i="183"/>
  <c r="O796" i="183"/>
  <c r="M796" i="183"/>
  <c r="R794" i="183"/>
  <c r="BT406" i="183"/>
  <c r="Q794" i="183"/>
  <c r="O794" i="183"/>
  <c r="M794" i="183"/>
  <c r="R792" i="183"/>
  <c r="BT405" i="183"/>
  <c r="Q792" i="183"/>
  <c r="O792" i="183"/>
  <c r="M792" i="183"/>
  <c r="R790" i="183"/>
  <c r="BT404" i="183"/>
  <c r="Q790" i="183"/>
  <c r="O790" i="183"/>
  <c r="M790" i="183"/>
  <c r="R788" i="183"/>
  <c r="BT403" i="183"/>
  <c r="Q788" i="183"/>
  <c r="O788" i="183"/>
  <c r="M788" i="183"/>
  <c r="R786" i="183"/>
  <c r="BT402" i="183"/>
  <c r="Q786" i="183"/>
  <c r="O786" i="183"/>
  <c r="M786" i="183"/>
  <c r="R784" i="183"/>
  <c r="BT401" i="183"/>
  <c r="Q784" i="183"/>
  <c r="O784" i="183"/>
  <c r="M784" i="183"/>
  <c r="R782" i="183"/>
  <c r="BT400" i="183"/>
  <c r="Q782" i="183"/>
  <c r="O782" i="183"/>
  <c r="M782" i="183"/>
  <c r="R780" i="183"/>
  <c r="BT399" i="183"/>
  <c r="Q780" i="183"/>
  <c r="O780" i="183"/>
  <c r="M780" i="183"/>
  <c r="R778" i="183"/>
  <c r="BT398" i="183"/>
  <c r="Q778" i="183"/>
  <c r="O778" i="183"/>
  <c r="M778" i="183"/>
  <c r="R776" i="183"/>
  <c r="BT397" i="183"/>
  <c r="Q776" i="183"/>
  <c r="O776" i="183"/>
  <c r="M776" i="183"/>
  <c r="R774" i="183"/>
  <c r="BT396" i="183"/>
  <c r="Q774" i="183"/>
  <c r="O774" i="183"/>
  <c r="M774" i="183"/>
  <c r="R772" i="183"/>
  <c r="BT395" i="183"/>
  <c r="Q772" i="183"/>
  <c r="O772" i="183"/>
  <c r="M772" i="183"/>
  <c r="R770" i="183"/>
  <c r="BT394" i="183"/>
  <c r="Q770" i="183"/>
  <c r="O770" i="183"/>
  <c r="M770" i="183"/>
  <c r="R768" i="183"/>
  <c r="BT393" i="183"/>
  <c r="Q768" i="183"/>
  <c r="O768" i="183"/>
  <c r="M768" i="183"/>
  <c r="R766" i="183"/>
  <c r="BT392" i="183"/>
  <c r="Q766" i="183"/>
  <c r="O766" i="183"/>
  <c r="M766" i="183"/>
  <c r="R764" i="183"/>
  <c r="BT391" i="183"/>
  <c r="Q764" i="183"/>
  <c r="O764" i="183"/>
  <c r="M764" i="183"/>
  <c r="R762" i="183"/>
  <c r="BT390" i="183"/>
  <c r="Q762" i="183"/>
  <c r="O762" i="183"/>
  <c r="M762" i="183"/>
  <c r="R760" i="183"/>
  <c r="BT389" i="183"/>
  <c r="Q760" i="183"/>
  <c r="O760" i="183"/>
  <c r="M760" i="183"/>
  <c r="R758" i="183"/>
  <c r="BT388" i="183"/>
  <c r="Q758" i="183"/>
  <c r="O758" i="183"/>
  <c r="M758" i="183"/>
  <c r="R756" i="183"/>
  <c r="BT387" i="183"/>
  <c r="Q756" i="183"/>
  <c r="O756" i="183"/>
  <c r="M756" i="183"/>
  <c r="R754" i="183"/>
  <c r="BT386" i="183"/>
  <c r="Q754" i="183"/>
  <c r="O754" i="183"/>
  <c r="M754" i="183"/>
  <c r="R752" i="183"/>
  <c r="BT385" i="183"/>
  <c r="Q752" i="183"/>
  <c r="O752" i="183"/>
  <c r="M752" i="183"/>
  <c r="R750" i="183"/>
  <c r="BT384" i="183"/>
  <c r="Q750" i="183"/>
  <c r="O750" i="183"/>
  <c r="M750" i="183"/>
  <c r="R748" i="183"/>
  <c r="BT383" i="183"/>
  <c r="Q748" i="183"/>
  <c r="O748" i="183"/>
  <c r="M748" i="183"/>
  <c r="R746" i="183"/>
  <c r="BT382" i="183"/>
  <c r="Q746" i="183"/>
  <c r="O746" i="183"/>
  <c r="M746" i="183"/>
  <c r="R744" i="183"/>
  <c r="BT381" i="183"/>
  <c r="Q744" i="183"/>
  <c r="O744" i="183"/>
  <c r="M744" i="183"/>
  <c r="R742" i="183"/>
  <c r="BT380" i="183"/>
  <c r="Q742" i="183"/>
  <c r="O742" i="183"/>
  <c r="M742" i="183"/>
  <c r="R740" i="183"/>
  <c r="BT379" i="183"/>
  <c r="Q740" i="183"/>
  <c r="O740" i="183"/>
  <c r="M740" i="183"/>
  <c r="R738" i="183"/>
  <c r="BT378" i="183"/>
  <c r="Q738" i="183"/>
  <c r="O738" i="183"/>
  <c r="M738" i="183"/>
  <c r="R736" i="183"/>
  <c r="BT377" i="183"/>
  <c r="Q736" i="183"/>
  <c r="O736" i="183"/>
  <c r="M736" i="183"/>
  <c r="R734" i="183"/>
  <c r="BT376" i="183"/>
  <c r="Q734" i="183"/>
  <c r="O734" i="183"/>
  <c r="M734" i="183"/>
  <c r="R732" i="183"/>
  <c r="BT375" i="183"/>
  <c r="Q732" i="183"/>
  <c r="O732" i="183"/>
  <c r="M732" i="183"/>
  <c r="R730" i="183"/>
  <c r="BT374" i="183"/>
  <c r="Q730" i="183"/>
  <c r="O730" i="183"/>
  <c r="M730" i="183"/>
  <c r="R728" i="183"/>
  <c r="BT373" i="183"/>
  <c r="Q728" i="183"/>
  <c r="O728" i="183"/>
  <c r="M728" i="183"/>
  <c r="R726" i="183"/>
  <c r="BT372" i="183"/>
  <c r="Q726" i="183"/>
  <c r="O726" i="183"/>
  <c r="M726" i="183"/>
  <c r="R724" i="183"/>
  <c r="BT371" i="183"/>
  <c r="Q724" i="183"/>
  <c r="O724" i="183"/>
  <c r="M724" i="183"/>
  <c r="R722" i="183"/>
  <c r="BT370" i="183"/>
  <c r="Q722" i="183"/>
  <c r="O722" i="183"/>
  <c r="M722" i="183"/>
  <c r="R720" i="183"/>
  <c r="BT369" i="183"/>
  <c r="Q720" i="183"/>
  <c r="O720" i="183"/>
  <c r="M720" i="183"/>
  <c r="R718" i="183"/>
  <c r="BT368" i="183"/>
  <c r="Q718" i="183"/>
  <c r="O718" i="183"/>
  <c r="M718" i="183"/>
  <c r="R716" i="183"/>
  <c r="BT367" i="183"/>
  <c r="Q716" i="183"/>
  <c r="O716" i="183"/>
  <c r="M716" i="183"/>
  <c r="R714" i="183"/>
  <c r="BT366" i="183"/>
  <c r="Q714" i="183"/>
  <c r="O714" i="183"/>
  <c r="M714" i="183"/>
  <c r="R712" i="183"/>
  <c r="BT365" i="183"/>
  <c r="Q712" i="183"/>
  <c r="O712" i="183"/>
  <c r="M712" i="183"/>
  <c r="R710" i="183"/>
  <c r="BT364" i="183"/>
  <c r="Q710" i="183"/>
  <c r="O710" i="183"/>
  <c r="M710" i="183"/>
  <c r="R708" i="183"/>
  <c r="BT363" i="183"/>
  <c r="Q708" i="183"/>
  <c r="O708" i="183"/>
  <c r="M708" i="183"/>
  <c r="R706" i="183"/>
  <c r="BT362" i="183"/>
  <c r="Q706" i="183"/>
  <c r="O706" i="183"/>
  <c r="M706" i="183"/>
  <c r="R704" i="183"/>
  <c r="BT361" i="183"/>
  <c r="Q704" i="183"/>
  <c r="O704" i="183"/>
  <c r="M704" i="183"/>
  <c r="R702" i="183"/>
  <c r="BT360" i="183"/>
  <c r="Q702" i="183"/>
  <c r="O702" i="183"/>
  <c r="M702" i="183"/>
  <c r="R700" i="183"/>
  <c r="BT359" i="183"/>
  <c r="Q700" i="183"/>
  <c r="O700" i="183"/>
  <c r="M700" i="183"/>
  <c r="R698" i="183"/>
  <c r="BT358" i="183"/>
  <c r="Q698" i="183"/>
  <c r="O698" i="183"/>
  <c r="M698" i="183"/>
  <c r="R696" i="183"/>
  <c r="BT357" i="183"/>
  <c r="Q696" i="183"/>
  <c r="O696" i="183"/>
  <c r="M696" i="183"/>
  <c r="R694" i="183"/>
  <c r="BT356" i="183"/>
  <c r="Q694" i="183"/>
  <c r="O694" i="183"/>
  <c r="M694" i="183"/>
  <c r="R692" i="183"/>
  <c r="BT355" i="183"/>
  <c r="Q692" i="183"/>
  <c r="O692" i="183"/>
  <c r="M692" i="183"/>
  <c r="R690" i="183"/>
  <c r="BT354" i="183"/>
  <c r="Q690" i="183"/>
  <c r="O690" i="183"/>
  <c r="M690" i="183"/>
  <c r="R688" i="183"/>
  <c r="BT353" i="183"/>
  <c r="Q688" i="183"/>
  <c r="O688" i="183"/>
  <c r="M688" i="183"/>
  <c r="R686" i="183"/>
  <c r="BT352" i="183"/>
  <c r="Q686" i="183"/>
  <c r="O686" i="183"/>
  <c r="M686" i="183"/>
  <c r="R684" i="183"/>
  <c r="BT351" i="183"/>
  <c r="Q684" i="183"/>
  <c r="O684" i="183"/>
  <c r="M684" i="183"/>
  <c r="R682" i="183"/>
  <c r="BT350" i="183"/>
  <c r="Q682" i="183"/>
  <c r="O682" i="183"/>
  <c r="M682" i="183"/>
  <c r="R680" i="183"/>
  <c r="BT349" i="183"/>
  <c r="Q680" i="183"/>
  <c r="O680" i="183"/>
  <c r="M680" i="183"/>
  <c r="R678" i="183"/>
  <c r="BT348" i="183"/>
  <c r="Q678" i="183"/>
  <c r="O678" i="183"/>
  <c r="M678" i="183"/>
  <c r="R676" i="183"/>
  <c r="BT347" i="183"/>
  <c r="Q676" i="183"/>
  <c r="O676" i="183"/>
  <c r="M676" i="183"/>
  <c r="R674" i="183"/>
  <c r="BT346" i="183"/>
  <c r="Q674" i="183"/>
  <c r="O674" i="183"/>
  <c r="M674" i="183"/>
  <c r="R672" i="183"/>
  <c r="BT345" i="183"/>
  <c r="Q672" i="183"/>
  <c r="O672" i="183"/>
  <c r="M672" i="183"/>
  <c r="R670" i="183"/>
  <c r="BT344" i="183"/>
  <c r="Q670" i="183"/>
  <c r="O670" i="183"/>
  <c r="M670" i="183"/>
  <c r="R668" i="183"/>
  <c r="BT343" i="183"/>
  <c r="Q668" i="183"/>
  <c r="O668" i="183"/>
  <c r="M668" i="183"/>
  <c r="R666" i="183"/>
  <c r="BT342" i="183"/>
  <c r="Q666" i="183"/>
  <c r="O666" i="183"/>
  <c r="M666" i="183"/>
  <c r="R664" i="183"/>
  <c r="BT341" i="183"/>
  <c r="Q664" i="183"/>
  <c r="O664" i="183"/>
  <c r="M664" i="183"/>
  <c r="R662" i="183"/>
  <c r="BT340" i="183"/>
  <c r="Q662" i="183"/>
  <c r="O662" i="183"/>
  <c r="M662" i="183"/>
  <c r="R660" i="183"/>
  <c r="BT339" i="183"/>
  <c r="Q660" i="183"/>
  <c r="O660" i="183"/>
  <c r="M660" i="183"/>
  <c r="R658" i="183"/>
  <c r="BT338" i="183"/>
  <c r="Q658" i="183"/>
  <c r="O658" i="183"/>
  <c r="M658" i="183"/>
  <c r="R656" i="183"/>
  <c r="BT337" i="183"/>
  <c r="Q656" i="183"/>
  <c r="O656" i="183"/>
  <c r="M656" i="183"/>
  <c r="R654" i="183"/>
  <c r="BT336" i="183"/>
  <c r="Q654" i="183"/>
  <c r="O654" i="183"/>
  <c r="M654" i="183"/>
  <c r="R652" i="183"/>
  <c r="BT335" i="183"/>
  <c r="Q652" i="183"/>
  <c r="O652" i="183"/>
  <c r="M652" i="183"/>
  <c r="R650" i="183"/>
  <c r="BT334" i="183"/>
  <c r="Q650" i="183"/>
  <c r="O650" i="183"/>
  <c r="M650" i="183"/>
  <c r="R648" i="183"/>
  <c r="BT333" i="183"/>
  <c r="Q648" i="183"/>
  <c r="O648" i="183"/>
  <c r="M648" i="183"/>
  <c r="R646" i="183"/>
  <c r="BT332" i="183"/>
  <c r="Q646" i="183"/>
  <c r="O646" i="183"/>
  <c r="M646" i="183"/>
  <c r="R644" i="183"/>
  <c r="BT331" i="183"/>
  <c r="Q644" i="183"/>
  <c r="O644" i="183"/>
  <c r="M644" i="183"/>
  <c r="R642" i="183"/>
  <c r="BT330" i="183"/>
  <c r="Q642" i="183"/>
  <c r="O642" i="183"/>
  <c r="M642" i="183"/>
  <c r="R640" i="183"/>
  <c r="BT329" i="183"/>
  <c r="Q640" i="183"/>
  <c r="O640" i="183"/>
  <c r="M640" i="183"/>
  <c r="R638" i="183"/>
  <c r="BT328" i="183"/>
  <c r="Q638" i="183"/>
  <c r="O638" i="183"/>
  <c r="M638" i="183"/>
  <c r="R636" i="183"/>
  <c r="BT327" i="183"/>
  <c r="Q636" i="183"/>
  <c r="O636" i="183"/>
  <c r="M636" i="183"/>
  <c r="R634" i="183"/>
  <c r="BT326" i="183"/>
  <c r="Q634" i="183"/>
  <c r="O634" i="183"/>
  <c r="M634" i="183"/>
  <c r="R632" i="183"/>
  <c r="BT325" i="183"/>
  <c r="Q632" i="183"/>
  <c r="O632" i="183"/>
  <c r="M632" i="183"/>
  <c r="R630" i="183"/>
  <c r="BT324" i="183"/>
  <c r="Q630" i="183"/>
  <c r="O630" i="183"/>
  <c r="M630" i="183"/>
  <c r="R628" i="183"/>
  <c r="BT323" i="183"/>
  <c r="Q628" i="183"/>
  <c r="O628" i="183"/>
  <c r="M628" i="183"/>
  <c r="R626" i="183"/>
  <c r="BT322" i="183"/>
  <c r="Q626" i="183"/>
  <c r="O626" i="183"/>
  <c r="M626" i="183"/>
  <c r="R624" i="183"/>
  <c r="BT321" i="183"/>
  <c r="Q624" i="183"/>
  <c r="O624" i="183"/>
  <c r="M624" i="183"/>
  <c r="R622" i="183"/>
  <c r="BT320" i="183"/>
  <c r="Q622" i="183"/>
  <c r="O622" i="183"/>
  <c r="M622" i="183"/>
  <c r="R620" i="183"/>
  <c r="BT319" i="183"/>
  <c r="Q620" i="183"/>
  <c r="O620" i="183"/>
  <c r="M620" i="183"/>
  <c r="R618" i="183"/>
  <c r="BT318" i="183"/>
  <c r="Q618" i="183"/>
  <c r="O618" i="183"/>
  <c r="M618" i="183"/>
  <c r="R616" i="183"/>
  <c r="BT317" i="183"/>
  <c r="Q616" i="183"/>
  <c r="O616" i="183"/>
  <c r="M616" i="183"/>
  <c r="R614" i="183"/>
  <c r="BT316" i="183"/>
  <c r="Q614" i="183"/>
  <c r="O614" i="183"/>
  <c r="M614" i="183"/>
  <c r="R612" i="183"/>
  <c r="BT315" i="183"/>
  <c r="Q612" i="183"/>
  <c r="O612" i="183"/>
  <c r="M612" i="183"/>
  <c r="R610" i="183"/>
  <c r="BT314" i="183"/>
  <c r="Q610" i="183"/>
  <c r="O610" i="183"/>
  <c r="M610" i="183"/>
  <c r="R608" i="183"/>
  <c r="BT313" i="183"/>
  <c r="Q608" i="183"/>
  <c r="O608" i="183"/>
  <c r="M608" i="183"/>
  <c r="R606" i="183"/>
  <c r="BT312" i="183"/>
  <c r="Q606" i="183"/>
  <c r="O606" i="183"/>
  <c r="M606" i="183"/>
  <c r="R604" i="183"/>
  <c r="BT311" i="183"/>
  <c r="Q604" i="183"/>
  <c r="O604" i="183"/>
  <c r="M604" i="183"/>
  <c r="R602" i="183"/>
  <c r="BT310" i="183"/>
  <c r="Q602" i="183"/>
  <c r="O602" i="183"/>
  <c r="M602" i="183"/>
  <c r="R600" i="183"/>
  <c r="BT309" i="183"/>
  <c r="Q600" i="183"/>
  <c r="O600" i="183"/>
  <c r="M600" i="183"/>
  <c r="R598" i="183"/>
  <c r="BT308" i="183"/>
  <c r="Q598" i="183"/>
  <c r="O598" i="183"/>
  <c r="M598" i="183"/>
  <c r="R596" i="183"/>
  <c r="BT307" i="183"/>
  <c r="Q596" i="183"/>
  <c r="O596" i="183"/>
  <c r="M596" i="183"/>
  <c r="R594" i="183"/>
  <c r="BT306" i="183"/>
  <c r="Q594" i="183"/>
  <c r="O594" i="183"/>
  <c r="M594" i="183"/>
  <c r="R592" i="183"/>
  <c r="BT305" i="183"/>
  <c r="Q592" i="183"/>
  <c r="O592" i="183"/>
  <c r="M592" i="183"/>
  <c r="R590" i="183"/>
  <c r="BT304" i="183"/>
  <c r="Q590" i="183"/>
  <c r="O590" i="183"/>
  <c r="M590" i="183"/>
  <c r="R588" i="183"/>
  <c r="BT303" i="183"/>
  <c r="Q588" i="183"/>
  <c r="T588" i="183" s="1"/>
  <c r="O588" i="183"/>
  <c r="M588" i="183"/>
  <c r="R586" i="183"/>
  <c r="BT302" i="183"/>
  <c r="Q586" i="183"/>
  <c r="T586" i="183" s="1"/>
  <c r="O586" i="183"/>
  <c r="M586" i="183"/>
  <c r="R584" i="183"/>
  <c r="BT301" i="183"/>
  <c r="Q584" i="183"/>
  <c r="T584" i="183" s="1"/>
  <c r="O584" i="183"/>
  <c r="M584" i="183"/>
  <c r="R582" i="183"/>
  <c r="BT300" i="183"/>
  <c r="Q582" i="183"/>
  <c r="T582" i="183" s="1"/>
  <c r="O582" i="183"/>
  <c r="M582" i="183"/>
  <c r="R580" i="183"/>
  <c r="BT299" i="183"/>
  <c r="Q580" i="183"/>
  <c r="T580" i="183" s="1"/>
  <c r="O580" i="183"/>
  <c r="M580" i="183"/>
  <c r="R578" i="183"/>
  <c r="BT298" i="183"/>
  <c r="Q578" i="183"/>
  <c r="T578" i="183" s="1"/>
  <c r="O578" i="183"/>
  <c r="M578" i="183"/>
  <c r="R576" i="183"/>
  <c r="BT297" i="183"/>
  <c r="Q576" i="183"/>
  <c r="T576" i="183" s="1"/>
  <c r="O576" i="183"/>
  <c r="M576" i="183"/>
  <c r="R574" i="183"/>
  <c r="BT296" i="183"/>
  <c r="Q574" i="183"/>
  <c r="T574" i="183" s="1"/>
  <c r="O574" i="183"/>
  <c r="M574" i="183"/>
  <c r="R572" i="183"/>
  <c r="BT295" i="183"/>
  <c r="Q572" i="183"/>
  <c r="T572" i="183" s="1"/>
  <c r="O572" i="183"/>
  <c r="M572" i="183"/>
  <c r="R570" i="183"/>
  <c r="BT294" i="183"/>
  <c r="Q570" i="183"/>
  <c r="T570" i="183" s="1"/>
  <c r="O570" i="183"/>
  <c r="M570" i="183"/>
  <c r="R568" i="183"/>
  <c r="BT293" i="183"/>
  <c r="Q568" i="183"/>
  <c r="T568" i="183" s="1"/>
  <c r="O568" i="183"/>
  <c r="M568" i="183"/>
  <c r="R566" i="183"/>
  <c r="BT292" i="183"/>
  <c r="Q566" i="183"/>
  <c r="T566" i="183" s="1"/>
  <c r="O566" i="183"/>
  <c r="M566" i="183"/>
  <c r="R564" i="183"/>
  <c r="BT291" i="183"/>
  <c r="Q564" i="183"/>
  <c r="T564" i="183" s="1"/>
  <c r="O564" i="183"/>
  <c r="M564" i="183"/>
  <c r="R562" i="183"/>
  <c r="BT290" i="183"/>
  <c r="Q562" i="183"/>
  <c r="T562" i="183" s="1"/>
  <c r="O562" i="183"/>
  <c r="M562" i="183"/>
  <c r="R560" i="183"/>
  <c r="BT289" i="183"/>
  <c r="Q560" i="183"/>
  <c r="T560" i="183" s="1"/>
  <c r="O560" i="183"/>
  <c r="M560" i="183"/>
  <c r="R558" i="183"/>
  <c r="BT288" i="183"/>
  <c r="Q558" i="183"/>
  <c r="T558" i="183" s="1"/>
  <c r="O558" i="183"/>
  <c r="M558" i="183"/>
  <c r="R556" i="183"/>
  <c r="BT287" i="183"/>
  <c r="Q556" i="183"/>
  <c r="T556" i="183" s="1"/>
  <c r="O556" i="183"/>
  <c r="M556" i="183"/>
  <c r="R554" i="183"/>
  <c r="BT286" i="183"/>
  <c r="Q554" i="183"/>
  <c r="T554" i="183" s="1"/>
  <c r="O554" i="183"/>
  <c r="M554" i="183"/>
  <c r="R552" i="183"/>
  <c r="BT285" i="183"/>
  <c r="Q552" i="183"/>
  <c r="T552" i="183" s="1"/>
  <c r="O552" i="183"/>
  <c r="M552" i="183"/>
  <c r="R550" i="183"/>
  <c r="BT284" i="183"/>
  <c r="Q550" i="183"/>
  <c r="T550" i="183" s="1"/>
  <c r="O550" i="183"/>
  <c r="M550" i="183"/>
  <c r="R548" i="183"/>
  <c r="BT283" i="183"/>
  <c r="Q548" i="183"/>
  <c r="T548" i="183" s="1"/>
  <c r="O548" i="183"/>
  <c r="M548" i="183"/>
  <c r="R546" i="183"/>
  <c r="BT282" i="183"/>
  <c r="Q546" i="183"/>
  <c r="T546" i="183" s="1"/>
  <c r="O546" i="183"/>
  <c r="M546" i="183"/>
  <c r="R544" i="183"/>
  <c r="BT281" i="183"/>
  <c r="Q544" i="183"/>
  <c r="T544" i="183" s="1"/>
  <c r="O544" i="183"/>
  <c r="M544" i="183"/>
  <c r="R542" i="183"/>
  <c r="BT280" i="183"/>
  <c r="Q542" i="183"/>
  <c r="T542" i="183" s="1"/>
  <c r="O542" i="183"/>
  <c r="M542" i="183"/>
  <c r="R540" i="183"/>
  <c r="BT279" i="183"/>
  <c r="Q540" i="183"/>
  <c r="T540" i="183" s="1"/>
  <c r="O540" i="183"/>
  <c r="M540" i="183"/>
  <c r="R538" i="183"/>
  <c r="BT278" i="183"/>
  <c r="Q538" i="183"/>
  <c r="T538" i="183" s="1"/>
  <c r="O538" i="183"/>
  <c r="M538" i="183"/>
  <c r="R536" i="183"/>
  <c r="BT277" i="183"/>
  <c r="Q536" i="183"/>
  <c r="T536" i="183" s="1"/>
  <c r="O536" i="183"/>
  <c r="M536" i="183"/>
  <c r="R534" i="183"/>
  <c r="BT276" i="183"/>
  <c r="Q534" i="183"/>
  <c r="T534" i="183" s="1"/>
  <c r="O534" i="183"/>
  <c r="M534" i="183"/>
  <c r="R532" i="183"/>
  <c r="BT275" i="183"/>
  <c r="Q532" i="183"/>
  <c r="T532" i="183" s="1"/>
  <c r="O532" i="183"/>
  <c r="M532" i="183"/>
  <c r="R530" i="183"/>
  <c r="BT274" i="183"/>
  <c r="Q530" i="183"/>
  <c r="T530" i="183" s="1"/>
  <c r="O530" i="183"/>
  <c r="M530" i="183"/>
  <c r="R528" i="183"/>
  <c r="BT273" i="183"/>
  <c r="Q528" i="183"/>
  <c r="T528" i="183" s="1"/>
  <c r="O528" i="183"/>
  <c r="M528" i="183"/>
  <c r="R526" i="183"/>
  <c r="BT272" i="183"/>
  <c r="Q526" i="183"/>
  <c r="T526" i="183" s="1"/>
  <c r="O526" i="183"/>
  <c r="M526" i="183"/>
  <c r="R524" i="183"/>
  <c r="BT271" i="183"/>
  <c r="Q524" i="183"/>
  <c r="T524" i="183" s="1"/>
  <c r="O524" i="183"/>
  <c r="M524" i="183"/>
  <c r="R522" i="183"/>
  <c r="BT270" i="183"/>
  <c r="Q522" i="183"/>
  <c r="T522" i="183" s="1"/>
  <c r="O522" i="183"/>
  <c r="M522" i="183"/>
  <c r="R520" i="183"/>
  <c r="BT269" i="183"/>
  <c r="Q520" i="183"/>
  <c r="T520" i="183" s="1"/>
  <c r="O520" i="183"/>
  <c r="M520" i="183"/>
  <c r="R518" i="183"/>
  <c r="BT268" i="183"/>
  <c r="Q518" i="183"/>
  <c r="T518" i="183" s="1"/>
  <c r="O518" i="183"/>
  <c r="M518" i="183"/>
  <c r="R516" i="183"/>
  <c r="BT267" i="183"/>
  <c r="Q516" i="183"/>
  <c r="T516" i="183" s="1"/>
  <c r="O516" i="183"/>
  <c r="M516" i="183"/>
  <c r="R514" i="183"/>
  <c r="BT266" i="183"/>
  <c r="Q514" i="183"/>
  <c r="T514" i="183" s="1"/>
  <c r="O514" i="183"/>
  <c r="M514" i="183"/>
  <c r="R512" i="183"/>
  <c r="BT265" i="183"/>
  <c r="Q512" i="183"/>
  <c r="T512" i="183" s="1"/>
  <c r="O512" i="183"/>
  <c r="M512" i="183"/>
  <c r="R510" i="183"/>
  <c r="BT264" i="183"/>
  <c r="Q510" i="183"/>
  <c r="T510" i="183" s="1"/>
  <c r="O510" i="183"/>
  <c r="M510" i="183"/>
  <c r="R508" i="183"/>
  <c r="BT263" i="183"/>
  <c r="Q508" i="183"/>
  <c r="T508" i="183" s="1"/>
  <c r="O508" i="183"/>
  <c r="M508" i="183"/>
  <c r="R506" i="183"/>
  <c r="BT262" i="183"/>
  <c r="Q506" i="183"/>
  <c r="T506" i="183" s="1"/>
  <c r="O506" i="183"/>
  <c r="M506" i="183"/>
  <c r="R504" i="183"/>
  <c r="BT261" i="183"/>
  <c r="Q504" i="183"/>
  <c r="T504" i="183" s="1"/>
  <c r="O504" i="183"/>
  <c r="M504" i="183"/>
  <c r="R502" i="183"/>
  <c r="BT260" i="183"/>
  <c r="Q502" i="183"/>
  <c r="T502" i="183" s="1"/>
  <c r="O502" i="183"/>
  <c r="M502" i="183"/>
  <c r="R500" i="183"/>
  <c r="BT259" i="183"/>
  <c r="Q500" i="183"/>
  <c r="T500" i="183" s="1"/>
  <c r="O500" i="183"/>
  <c r="M500" i="183"/>
  <c r="R498" i="183"/>
  <c r="BT258" i="183"/>
  <c r="Q498" i="183"/>
  <c r="T498" i="183" s="1"/>
  <c r="O498" i="183"/>
  <c r="M498" i="183"/>
  <c r="R496" i="183"/>
  <c r="BT257" i="183"/>
  <c r="Q496" i="183"/>
  <c r="T496" i="183" s="1"/>
  <c r="O496" i="183"/>
  <c r="M496" i="183"/>
  <c r="R494" i="183"/>
  <c r="BT256" i="183"/>
  <c r="Q494" i="183"/>
  <c r="T494" i="183" s="1"/>
  <c r="O494" i="183"/>
  <c r="M494" i="183"/>
  <c r="R492" i="183"/>
  <c r="BT255" i="183"/>
  <c r="Q492" i="183"/>
  <c r="T492" i="183" s="1"/>
  <c r="O492" i="183"/>
  <c r="M492" i="183"/>
  <c r="R490" i="183"/>
  <c r="BT254" i="183"/>
  <c r="Q490" i="183"/>
  <c r="T490" i="183" s="1"/>
  <c r="O490" i="183"/>
  <c r="M490" i="183"/>
  <c r="R488" i="183"/>
  <c r="BT253" i="183"/>
  <c r="Q488" i="183"/>
  <c r="T488" i="183" s="1"/>
  <c r="O488" i="183"/>
  <c r="M488" i="183"/>
  <c r="R486" i="183"/>
  <c r="BT252" i="183"/>
  <c r="Q486" i="183"/>
  <c r="T486" i="183" s="1"/>
  <c r="O486" i="183"/>
  <c r="M486" i="183"/>
  <c r="R484" i="183"/>
  <c r="BT251" i="183"/>
  <c r="Q484" i="183"/>
  <c r="T484" i="183" s="1"/>
  <c r="O484" i="183"/>
  <c r="M484" i="183"/>
  <c r="R482" i="183"/>
  <c r="BT250" i="183"/>
  <c r="Q482" i="183"/>
  <c r="T482" i="183" s="1"/>
  <c r="O482" i="183"/>
  <c r="M482" i="183"/>
  <c r="R480" i="183"/>
  <c r="BT249" i="183"/>
  <c r="Q480" i="183"/>
  <c r="T480" i="183" s="1"/>
  <c r="O480" i="183"/>
  <c r="M480" i="183"/>
  <c r="R478" i="183"/>
  <c r="BT248" i="183"/>
  <c r="Q478" i="183"/>
  <c r="T478" i="183" s="1"/>
  <c r="O478" i="183"/>
  <c r="M478" i="183"/>
  <c r="R476" i="183"/>
  <c r="BT247" i="183"/>
  <c r="Q476" i="183"/>
  <c r="T476" i="183" s="1"/>
  <c r="O476" i="183"/>
  <c r="M476" i="183"/>
  <c r="R474" i="183"/>
  <c r="BT246" i="183"/>
  <c r="Q474" i="183"/>
  <c r="T474" i="183" s="1"/>
  <c r="O474" i="183"/>
  <c r="M474" i="183"/>
  <c r="R472" i="183"/>
  <c r="BT245" i="183"/>
  <c r="Q472" i="183"/>
  <c r="T472" i="183" s="1"/>
  <c r="O472" i="183"/>
  <c r="M472" i="183"/>
  <c r="R470" i="183"/>
  <c r="BT244" i="183"/>
  <c r="Q470" i="183"/>
  <c r="T470" i="183" s="1"/>
  <c r="O470" i="183"/>
  <c r="M470" i="183"/>
  <c r="R468" i="183"/>
  <c r="BT243" i="183"/>
  <c r="Q468" i="183"/>
  <c r="T468" i="183" s="1"/>
  <c r="O468" i="183"/>
  <c r="M468" i="183"/>
  <c r="R466" i="183"/>
  <c r="BT242" i="183"/>
  <c r="Q466" i="183"/>
  <c r="T466" i="183" s="1"/>
  <c r="O466" i="183"/>
  <c r="M466" i="183"/>
  <c r="R464" i="183"/>
  <c r="BT241" i="183"/>
  <c r="Q464" i="183"/>
  <c r="T464" i="183" s="1"/>
  <c r="O464" i="183"/>
  <c r="M464" i="183"/>
  <c r="R462" i="183"/>
  <c r="BT240" i="183"/>
  <c r="Q462" i="183"/>
  <c r="T462" i="183" s="1"/>
  <c r="O462" i="183"/>
  <c r="M462" i="183"/>
  <c r="R460" i="183"/>
  <c r="BT239" i="183"/>
  <c r="Q460" i="183"/>
  <c r="T460" i="183" s="1"/>
  <c r="O460" i="183"/>
  <c r="M460" i="183"/>
  <c r="R458" i="183"/>
  <c r="BT238" i="183"/>
  <c r="Q458" i="183"/>
  <c r="T458" i="183" s="1"/>
  <c r="O458" i="183"/>
  <c r="M458" i="183"/>
  <c r="R456" i="183"/>
  <c r="BT237" i="183"/>
  <c r="Q456" i="183"/>
  <c r="T456" i="183" s="1"/>
  <c r="O456" i="183"/>
  <c r="M456" i="183"/>
  <c r="R454" i="183"/>
  <c r="BT236" i="183"/>
  <c r="Q454" i="183"/>
  <c r="T454" i="183" s="1"/>
  <c r="O454" i="183"/>
  <c r="M454" i="183"/>
  <c r="R452" i="183"/>
  <c r="BT235" i="183"/>
  <c r="Q452" i="183"/>
  <c r="T452" i="183" s="1"/>
  <c r="O452" i="183"/>
  <c r="M452" i="183"/>
  <c r="R450" i="183"/>
  <c r="BT234" i="183"/>
  <c r="Q450" i="183"/>
  <c r="T450" i="183" s="1"/>
  <c r="O450" i="183"/>
  <c r="M450" i="183"/>
  <c r="R448" i="183"/>
  <c r="BT233" i="183"/>
  <c r="Q448" i="183"/>
  <c r="T448" i="183" s="1"/>
  <c r="O448" i="183"/>
  <c r="M448" i="183"/>
  <c r="R446" i="183"/>
  <c r="BT232" i="183"/>
  <c r="Q446" i="183"/>
  <c r="T446" i="183" s="1"/>
  <c r="O446" i="183"/>
  <c r="M446" i="183"/>
  <c r="R444" i="183"/>
  <c r="BT231" i="183"/>
  <c r="Q444" i="183"/>
  <c r="T444" i="183" s="1"/>
  <c r="O444" i="183"/>
  <c r="M444" i="183"/>
  <c r="R442" i="183"/>
  <c r="BT230" i="183"/>
  <c r="Q442" i="183"/>
  <c r="T442" i="183" s="1"/>
  <c r="O442" i="183"/>
  <c r="M442" i="183"/>
  <c r="R440" i="183"/>
  <c r="BT229" i="183"/>
  <c r="Q440" i="183"/>
  <c r="T440" i="183" s="1"/>
  <c r="O440" i="183"/>
  <c r="M440" i="183"/>
  <c r="R438" i="183"/>
  <c r="BT228" i="183"/>
  <c r="Q438" i="183"/>
  <c r="T438" i="183" s="1"/>
  <c r="O438" i="183"/>
  <c r="M438" i="183"/>
  <c r="R436" i="183"/>
  <c r="BT227" i="183"/>
  <c r="Q436" i="183"/>
  <c r="T436" i="183" s="1"/>
  <c r="O436" i="183"/>
  <c r="M436" i="183"/>
  <c r="R434" i="183"/>
  <c r="BT226" i="183"/>
  <c r="Q434" i="183"/>
  <c r="T434" i="183" s="1"/>
  <c r="O434" i="183"/>
  <c r="M434" i="183"/>
  <c r="R432" i="183"/>
  <c r="BT225" i="183"/>
  <c r="Q432" i="183"/>
  <c r="T432" i="183" s="1"/>
  <c r="O432" i="183"/>
  <c r="M432" i="183"/>
  <c r="R430" i="183"/>
  <c r="BT224" i="183"/>
  <c r="Q430" i="183"/>
  <c r="T430" i="183" s="1"/>
  <c r="O430" i="183"/>
  <c r="M430" i="183"/>
  <c r="R428" i="183"/>
  <c r="BT223" i="183"/>
  <c r="Q428" i="183"/>
  <c r="T428" i="183" s="1"/>
  <c r="O428" i="183"/>
  <c r="M428" i="183"/>
  <c r="R426" i="183"/>
  <c r="BT222" i="183"/>
  <c r="Q426" i="183"/>
  <c r="T426" i="183" s="1"/>
  <c r="O426" i="183"/>
  <c r="M426" i="183"/>
  <c r="R424" i="183"/>
  <c r="BT221" i="183"/>
  <c r="Q424" i="183"/>
  <c r="T424" i="183" s="1"/>
  <c r="O424" i="183"/>
  <c r="M424" i="183"/>
  <c r="R422" i="183"/>
  <c r="BT220" i="183"/>
  <c r="Q422" i="183"/>
  <c r="T422" i="183" s="1"/>
  <c r="O422" i="183"/>
  <c r="M422" i="183"/>
  <c r="R420" i="183"/>
  <c r="BT219" i="183"/>
  <c r="Q420" i="183"/>
  <c r="T420" i="183" s="1"/>
  <c r="O420" i="183"/>
  <c r="M420" i="183"/>
  <c r="R418" i="183"/>
  <c r="BT218" i="183"/>
  <c r="Q418" i="183"/>
  <c r="T418" i="183" s="1"/>
  <c r="O418" i="183"/>
  <c r="M418" i="183"/>
  <c r="R416" i="183"/>
  <c r="BT217" i="183"/>
  <c r="Q416" i="183"/>
  <c r="T416" i="183" s="1"/>
  <c r="O416" i="183"/>
  <c r="M416" i="183"/>
  <c r="R414" i="183"/>
  <c r="BT216" i="183"/>
  <c r="Q414" i="183"/>
  <c r="T414" i="183" s="1"/>
  <c r="O414" i="183"/>
  <c r="M414" i="183"/>
  <c r="R412" i="183"/>
  <c r="BT215" i="183"/>
  <c r="Q412" i="183"/>
  <c r="T412" i="183" s="1"/>
  <c r="O412" i="183"/>
  <c r="M412" i="183"/>
  <c r="R410" i="183"/>
  <c r="BT214" i="183"/>
  <c r="Q410" i="183"/>
  <c r="T410" i="183" s="1"/>
  <c r="O410" i="183"/>
  <c r="M410" i="183"/>
  <c r="R408" i="183"/>
  <c r="BT213" i="183"/>
  <c r="Q408" i="183"/>
  <c r="T408" i="183" s="1"/>
  <c r="O408" i="183"/>
  <c r="M408" i="183"/>
  <c r="R406" i="183"/>
  <c r="BT212" i="183"/>
  <c r="Q406" i="183"/>
  <c r="T406" i="183" s="1"/>
  <c r="O406" i="183"/>
  <c r="M406" i="183"/>
  <c r="R404" i="183"/>
  <c r="BT211" i="183"/>
  <c r="Q404" i="183"/>
  <c r="T404" i="183" s="1"/>
  <c r="O404" i="183"/>
  <c r="M404" i="183"/>
  <c r="R402" i="183"/>
  <c r="BT210" i="183"/>
  <c r="Q402" i="183"/>
  <c r="T402" i="183" s="1"/>
  <c r="O402" i="183"/>
  <c r="M402" i="183"/>
  <c r="R400" i="183"/>
  <c r="BT209" i="183"/>
  <c r="Q400" i="183"/>
  <c r="T400" i="183" s="1"/>
  <c r="O400" i="183"/>
  <c r="M400" i="183"/>
  <c r="R398" i="183"/>
  <c r="BT208" i="183"/>
  <c r="Q398" i="183"/>
  <c r="T398" i="183" s="1"/>
  <c r="O398" i="183"/>
  <c r="M398" i="183"/>
  <c r="R396" i="183"/>
  <c r="BT207" i="183"/>
  <c r="Q396" i="183"/>
  <c r="T396" i="183" s="1"/>
  <c r="O396" i="183"/>
  <c r="M396" i="183"/>
  <c r="R394" i="183"/>
  <c r="BT206" i="183"/>
  <c r="Q394" i="183"/>
  <c r="T394" i="183" s="1"/>
  <c r="O394" i="183"/>
  <c r="M394" i="183"/>
  <c r="R392" i="183"/>
  <c r="BT205" i="183"/>
  <c r="Q392" i="183"/>
  <c r="T392" i="183" s="1"/>
  <c r="O392" i="183"/>
  <c r="M392" i="183"/>
  <c r="R390" i="183"/>
  <c r="BT204" i="183"/>
  <c r="Q390" i="183"/>
  <c r="T390" i="183" s="1"/>
  <c r="O390" i="183"/>
  <c r="M390" i="183"/>
  <c r="R388" i="183"/>
  <c r="BT203" i="183"/>
  <c r="Q388" i="183"/>
  <c r="T388" i="183" s="1"/>
  <c r="O388" i="183"/>
  <c r="M388" i="183"/>
  <c r="R386" i="183"/>
  <c r="BT202" i="183"/>
  <c r="Q386" i="183"/>
  <c r="T386" i="183" s="1"/>
  <c r="O386" i="183"/>
  <c r="M386" i="183"/>
  <c r="R384" i="183"/>
  <c r="BT201" i="183"/>
  <c r="Q384" i="183"/>
  <c r="T384" i="183" s="1"/>
  <c r="O384" i="183"/>
  <c r="M384" i="183"/>
  <c r="R382" i="183"/>
  <c r="BT200" i="183"/>
  <c r="Q382" i="183"/>
  <c r="T382" i="183" s="1"/>
  <c r="O382" i="183"/>
  <c r="M382" i="183"/>
  <c r="R380" i="183"/>
  <c r="BT199" i="183"/>
  <c r="Q380" i="183"/>
  <c r="T380" i="183" s="1"/>
  <c r="O380" i="183"/>
  <c r="M380" i="183"/>
  <c r="R378" i="183"/>
  <c r="BT198" i="183"/>
  <c r="Q378" i="183"/>
  <c r="T378" i="183" s="1"/>
  <c r="O378" i="183"/>
  <c r="M378" i="183"/>
  <c r="R376" i="183"/>
  <c r="BT197" i="183"/>
  <c r="Q376" i="183"/>
  <c r="T376" i="183" s="1"/>
  <c r="O376" i="183"/>
  <c r="M376" i="183"/>
  <c r="R374" i="183"/>
  <c r="BT196" i="183"/>
  <c r="Q374" i="183"/>
  <c r="T374" i="183" s="1"/>
  <c r="O374" i="183"/>
  <c r="M374" i="183"/>
  <c r="R372" i="183"/>
  <c r="BT195" i="183"/>
  <c r="Q372" i="183"/>
  <c r="T372" i="183" s="1"/>
  <c r="O372" i="183"/>
  <c r="M372" i="183"/>
  <c r="R370" i="183"/>
  <c r="BT194" i="183"/>
  <c r="Q370" i="183"/>
  <c r="T370" i="183" s="1"/>
  <c r="O370" i="183"/>
  <c r="M370" i="183"/>
  <c r="R368" i="183"/>
  <c r="BT193" i="183"/>
  <c r="Q368" i="183"/>
  <c r="T368" i="183" s="1"/>
  <c r="O368" i="183"/>
  <c r="M368" i="183"/>
  <c r="R366" i="183"/>
  <c r="BT192" i="183"/>
  <c r="Q366" i="183"/>
  <c r="T366" i="183" s="1"/>
  <c r="O366" i="183"/>
  <c r="M366" i="183"/>
  <c r="R364" i="183"/>
  <c r="BT191" i="183"/>
  <c r="Q364" i="183"/>
  <c r="T364" i="183" s="1"/>
  <c r="O364" i="183"/>
  <c r="M364" i="183"/>
  <c r="R362" i="183"/>
  <c r="BT190" i="183"/>
  <c r="Q362" i="183"/>
  <c r="T362" i="183" s="1"/>
  <c r="O362" i="183"/>
  <c r="M362" i="183"/>
  <c r="R360" i="183"/>
  <c r="BT189" i="183"/>
  <c r="Q360" i="183"/>
  <c r="T360" i="183" s="1"/>
  <c r="O360" i="183"/>
  <c r="M360" i="183"/>
  <c r="R358" i="183"/>
  <c r="BT188" i="183"/>
  <c r="Q358" i="183"/>
  <c r="T358" i="183" s="1"/>
  <c r="O358" i="183"/>
  <c r="M358" i="183"/>
  <c r="R356" i="183"/>
  <c r="BT187" i="183"/>
  <c r="Q356" i="183"/>
  <c r="T356" i="183" s="1"/>
  <c r="O356" i="183"/>
  <c r="M356" i="183"/>
  <c r="R354" i="183"/>
  <c r="BT186" i="183"/>
  <c r="Q354" i="183"/>
  <c r="T354" i="183" s="1"/>
  <c r="O354" i="183"/>
  <c r="M354" i="183"/>
  <c r="R352" i="183"/>
  <c r="BT185" i="183"/>
  <c r="Q352" i="183"/>
  <c r="T352" i="183" s="1"/>
  <c r="O352" i="183"/>
  <c r="M352" i="183"/>
  <c r="R350" i="183"/>
  <c r="BT184" i="183"/>
  <c r="Q350" i="183"/>
  <c r="T350" i="183" s="1"/>
  <c r="O350" i="183"/>
  <c r="M350" i="183"/>
  <c r="R348" i="183"/>
  <c r="BT183" i="183"/>
  <c r="Q348" i="183"/>
  <c r="T348" i="183" s="1"/>
  <c r="O348" i="183"/>
  <c r="M348" i="183"/>
  <c r="R346" i="183"/>
  <c r="BT182" i="183"/>
  <c r="Q346" i="183"/>
  <c r="T346" i="183" s="1"/>
  <c r="O346" i="183"/>
  <c r="M346" i="183"/>
  <c r="R344" i="183"/>
  <c r="BT181" i="183"/>
  <c r="Q344" i="183"/>
  <c r="T344" i="183" s="1"/>
  <c r="O344" i="183"/>
  <c r="M344" i="183"/>
  <c r="R342" i="183"/>
  <c r="BT180" i="183"/>
  <c r="Q342" i="183"/>
  <c r="T342" i="183" s="1"/>
  <c r="O342" i="183"/>
  <c r="M342" i="183"/>
  <c r="R340" i="183"/>
  <c r="BT179" i="183"/>
  <c r="Q340" i="183"/>
  <c r="T340" i="183" s="1"/>
  <c r="O340" i="183"/>
  <c r="M340" i="183"/>
  <c r="R338" i="183"/>
  <c r="BT178" i="183"/>
  <c r="Q338" i="183"/>
  <c r="T338" i="183" s="1"/>
  <c r="O338" i="183"/>
  <c r="M338" i="183"/>
  <c r="R336" i="183"/>
  <c r="BT177" i="183"/>
  <c r="Q336" i="183"/>
  <c r="T336" i="183" s="1"/>
  <c r="O336" i="183"/>
  <c r="M336" i="183"/>
  <c r="R334" i="183"/>
  <c r="BT176" i="183"/>
  <c r="Q334" i="183"/>
  <c r="T334" i="183" s="1"/>
  <c r="O334" i="183"/>
  <c r="M334" i="183"/>
  <c r="R332" i="183"/>
  <c r="BT175" i="183"/>
  <c r="Q332" i="183"/>
  <c r="T332" i="183" s="1"/>
  <c r="O332" i="183"/>
  <c r="M332" i="183"/>
  <c r="R330" i="183"/>
  <c r="BT174" i="183"/>
  <c r="Q330" i="183"/>
  <c r="T330" i="183" s="1"/>
  <c r="O330" i="183"/>
  <c r="M330" i="183"/>
  <c r="R328" i="183"/>
  <c r="BT173" i="183"/>
  <c r="Q328" i="183"/>
  <c r="T328" i="183" s="1"/>
  <c r="O328" i="183"/>
  <c r="M328" i="183"/>
  <c r="R326" i="183"/>
  <c r="BT172" i="183"/>
  <c r="Q326" i="183"/>
  <c r="T326" i="183" s="1"/>
  <c r="O326" i="183"/>
  <c r="M326" i="183"/>
  <c r="R324" i="183"/>
  <c r="BT171" i="183"/>
  <c r="Q324" i="183"/>
  <c r="T324" i="183" s="1"/>
  <c r="O324" i="183"/>
  <c r="M324" i="183"/>
  <c r="R322" i="183"/>
  <c r="BT170" i="183"/>
  <c r="Q322" i="183"/>
  <c r="T322" i="183" s="1"/>
  <c r="O322" i="183"/>
  <c r="M322" i="183"/>
  <c r="R320" i="183"/>
  <c r="BT169" i="183"/>
  <c r="Q320" i="183"/>
  <c r="T320" i="183" s="1"/>
  <c r="O320" i="183"/>
  <c r="M320" i="183"/>
  <c r="R318" i="183"/>
  <c r="BT168" i="183"/>
  <c r="Q318" i="183"/>
  <c r="T318" i="183" s="1"/>
  <c r="O318" i="183"/>
  <c r="M318" i="183"/>
  <c r="R316" i="183"/>
  <c r="BT167" i="183"/>
  <c r="Q316" i="183"/>
  <c r="T316" i="183" s="1"/>
  <c r="O316" i="183"/>
  <c r="M316" i="183"/>
  <c r="R314" i="183"/>
  <c r="BT166" i="183"/>
  <c r="Q314" i="183"/>
  <c r="T314" i="183" s="1"/>
  <c r="O314" i="183"/>
  <c r="M314" i="183"/>
  <c r="R312" i="183"/>
  <c r="BT165" i="183"/>
  <c r="Q312" i="183"/>
  <c r="T312" i="183" s="1"/>
  <c r="O312" i="183"/>
  <c r="M312" i="183"/>
  <c r="R310" i="183"/>
  <c r="BT164" i="183"/>
  <c r="Q310" i="183"/>
  <c r="T310" i="183" s="1"/>
  <c r="O310" i="183"/>
  <c r="M310" i="183"/>
  <c r="R308" i="183"/>
  <c r="BT163" i="183"/>
  <c r="Q308" i="183"/>
  <c r="T308" i="183" s="1"/>
  <c r="O308" i="183"/>
  <c r="M308" i="183"/>
  <c r="R306" i="183"/>
  <c r="BT162" i="183"/>
  <c r="Q306" i="183"/>
  <c r="T306" i="183" s="1"/>
  <c r="O306" i="183"/>
  <c r="M306" i="183"/>
  <c r="R304" i="183"/>
  <c r="BT161" i="183"/>
  <c r="Q304" i="183"/>
  <c r="T304" i="183" s="1"/>
  <c r="O304" i="183"/>
  <c r="M304" i="183"/>
  <c r="R302" i="183"/>
  <c r="BT160" i="183"/>
  <c r="Q302" i="183"/>
  <c r="T302" i="183" s="1"/>
  <c r="O302" i="183"/>
  <c r="M302" i="183"/>
  <c r="R300" i="183"/>
  <c r="BT159" i="183"/>
  <c r="Q300" i="183"/>
  <c r="T300" i="183" s="1"/>
  <c r="O300" i="183"/>
  <c r="M300" i="183"/>
  <c r="R298" i="183"/>
  <c r="BT158" i="183"/>
  <c r="Q298" i="183"/>
  <c r="T298" i="183" s="1"/>
  <c r="O298" i="183"/>
  <c r="M298" i="183"/>
  <c r="R296" i="183"/>
  <c r="BT157" i="183"/>
  <c r="Q296" i="183"/>
  <c r="T296" i="183" s="1"/>
  <c r="O296" i="183"/>
  <c r="M296" i="183"/>
  <c r="R294" i="183"/>
  <c r="BT156" i="183"/>
  <c r="Q294" i="183"/>
  <c r="T294" i="183" s="1"/>
  <c r="O294" i="183"/>
  <c r="M294" i="183"/>
  <c r="R292" i="183"/>
  <c r="BT155" i="183"/>
  <c r="Q292" i="183"/>
  <c r="T292" i="183" s="1"/>
  <c r="O292" i="183"/>
  <c r="M292" i="183"/>
  <c r="R290" i="183"/>
  <c r="BT154" i="183"/>
  <c r="Q290" i="183"/>
  <c r="T290" i="183" s="1"/>
  <c r="O290" i="183"/>
  <c r="M290" i="183"/>
  <c r="R288" i="183"/>
  <c r="BT153" i="183"/>
  <c r="Q288" i="183"/>
  <c r="T288" i="183" s="1"/>
  <c r="O288" i="183"/>
  <c r="M288" i="183"/>
  <c r="R286" i="183"/>
  <c r="BT152" i="183"/>
  <c r="Q286" i="183"/>
  <c r="T286" i="183" s="1"/>
  <c r="O286" i="183"/>
  <c r="M286" i="183"/>
  <c r="R284" i="183"/>
  <c r="BT151" i="183"/>
  <c r="Q284" i="183"/>
  <c r="T284" i="183" s="1"/>
  <c r="O284" i="183"/>
  <c r="M284" i="183"/>
  <c r="R282" i="183"/>
  <c r="BT150" i="183"/>
  <c r="Q282" i="183"/>
  <c r="T282" i="183" s="1"/>
  <c r="O282" i="183"/>
  <c r="M282" i="183"/>
  <c r="R280" i="183"/>
  <c r="BT149" i="183"/>
  <c r="Q280" i="183"/>
  <c r="T280" i="183" s="1"/>
  <c r="O280" i="183"/>
  <c r="M280" i="183"/>
  <c r="R278" i="183"/>
  <c r="BT148" i="183"/>
  <c r="Q278" i="183"/>
  <c r="T278" i="183" s="1"/>
  <c r="O278" i="183"/>
  <c r="M278" i="183"/>
  <c r="R276" i="183"/>
  <c r="BT147" i="183"/>
  <c r="Q276" i="183"/>
  <c r="T276" i="183" s="1"/>
  <c r="O276" i="183"/>
  <c r="M276" i="183"/>
  <c r="R274" i="183"/>
  <c r="BT146" i="183"/>
  <c r="Q274" i="183"/>
  <c r="T274" i="183" s="1"/>
  <c r="O274" i="183"/>
  <c r="M274" i="183"/>
  <c r="R272" i="183"/>
  <c r="BT145" i="183"/>
  <c r="Q272" i="183"/>
  <c r="T272" i="183" s="1"/>
  <c r="O272" i="183"/>
  <c r="M272" i="183"/>
  <c r="R270" i="183"/>
  <c r="BT144" i="183"/>
  <c r="Q270" i="183"/>
  <c r="T270" i="183" s="1"/>
  <c r="O270" i="183"/>
  <c r="M270" i="183"/>
  <c r="R268" i="183"/>
  <c r="BT143" i="183"/>
  <c r="Q268" i="183"/>
  <c r="T268" i="183" s="1"/>
  <c r="O268" i="183"/>
  <c r="M268" i="183"/>
  <c r="R266" i="183"/>
  <c r="BT142" i="183"/>
  <c r="Q266" i="183"/>
  <c r="T266" i="183" s="1"/>
  <c r="O266" i="183"/>
  <c r="M266" i="183"/>
  <c r="R264" i="183"/>
  <c r="BT141" i="183"/>
  <c r="Q264" i="183"/>
  <c r="T264" i="183" s="1"/>
  <c r="O264" i="183"/>
  <c r="M264" i="183"/>
  <c r="R262" i="183"/>
  <c r="BT140" i="183"/>
  <c r="Q262" i="183"/>
  <c r="T262" i="183" s="1"/>
  <c r="O262" i="183"/>
  <c r="M262" i="183"/>
  <c r="R260" i="183"/>
  <c r="BT139" i="183"/>
  <c r="Q260" i="183"/>
  <c r="T260" i="183" s="1"/>
  <c r="O260" i="183"/>
  <c r="M260" i="183"/>
  <c r="R258" i="183"/>
  <c r="BT138" i="183"/>
  <c r="Q258" i="183"/>
  <c r="T258" i="183" s="1"/>
  <c r="O258" i="183"/>
  <c r="M258" i="183"/>
  <c r="R256" i="183"/>
  <c r="BT137" i="183"/>
  <c r="Q256" i="183"/>
  <c r="T256" i="183" s="1"/>
  <c r="O256" i="183"/>
  <c r="M256" i="183"/>
  <c r="R254" i="183"/>
  <c r="BT136" i="183"/>
  <c r="Q254" i="183"/>
  <c r="T254" i="183" s="1"/>
  <c r="O254" i="183"/>
  <c r="M254" i="183"/>
  <c r="R252" i="183"/>
  <c r="BT135" i="183"/>
  <c r="Q252" i="183"/>
  <c r="T252" i="183" s="1"/>
  <c r="O252" i="183"/>
  <c r="M252" i="183"/>
  <c r="R250" i="183"/>
  <c r="BT134" i="183"/>
  <c r="Q250" i="183"/>
  <c r="T250" i="183" s="1"/>
  <c r="O250" i="183"/>
  <c r="M250" i="183"/>
  <c r="R248" i="183"/>
  <c r="BT133" i="183"/>
  <c r="Q248" i="183"/>
  <c r="T248" i="183" s="1"/>
  <c r="O248" i="183"/>
  <c r="M248" i="183"/>
  <c r="R246" i="183"/>
  <c r="BT132" i="183"/>
  <c r="Q246" i="183"/>
  <c r="T246" i="183" s="1"/>
  <c r="O246" i="183"/>
  <c r="M246" i="183"/>
  <c r="R244" i="183"/>
  <c r="BT131" i="183"/>
  <c r="Q244" i="183"/>
  <c r="T244" i="183" s="1"/>
  <c r="O244" i="183"/>
  <c r="M244" i="183"/>
  <c r="R242" i="183"/>
  <c r="BT130" i="183"/>
  <c r="Q242" i="183"/>
  <c r="T242" i="183" s="1"/>
  <c r="O242" i="183"/>
  <c r="M242" i="183"/>
  <c r="R240" i="183"/>
  <c r="BT129" i="183"/>
  <c r="Q240" i="183"/>
  <c r="T240" i="183" s="1"/>
  <c r="O240" i="183"/>
  <c r="M240" i="183"/>
  <c r="R238" i="183"/>
  <c r="BT128" i="183"/>
  <c r="Q238" i="183"/>
  <c r="T238" i="183" s="1"/>
  <c r="O238" i="183"/>
  <c r="M238" i="183"/>
  <c r="R236" i="183"/>
  <c r="BT127" i="183"/>
  <c r="Q236" i="183"/>
  <c r="T236" i="183" s="1"/>
  <c r="O236" i="183"/>
  <c r="M236" i="183"/>
  <c r="R234" i="183"/>
  <c r="BT126" i="183"/>
  <c r="Q234" i="183"/>
  <c r="T234" i="183" s="1"/>
  <c r="O234" i="183"/>
  <c r="M234" i="183"/>
  <c r="R232" i="183"/>
  <c r="BT125" i="183"/>
  <c r="Q232" i="183"/>
  <c r="T232" i="183" s="1"/>
  <c r="O232" i="183"/>
  <c r="M232" i="183"/>
  <c r="R230" i="183"/>
  <c r="BT124" i="183"/>
  <c r="Q230" i="183"/>
  <c r="T230" i="183" s="1"/>
  <c r="O230" i="183"/>
  <c r="M230" i="183"/>
  <c r="R228" i="183"/>
  <c r="BT123" i="183"/>
  <c r="Q228" i="183"/>
  <c r="T228" i="183" s="1"/>
  <c r="O228" i="183"/>
  <c r="M228" i="183"/>
  <c r="R226" i="183"/>
  <c r="BT122" i="183"/>
  <c r="Q226" i="183"/>
  <c r="T226" i="183" s="1"/>
  <c r="O226" i="183"/>
  <c r="M226" i="183"/>
  <c r="R224" i="183"/>
  <c r="BT121" i="183"/>
  <c r="Q224" i="183"/>
  <c r="T224" i="183" s="1"/>
  <c r="O224" i="183"/>
  <c r="M224" i="183"/>
  <c r="R222" i="183"/>
  <c r="BT120" i="183"/>
  <c r="Q222" i="183"/>
  <c r="T222" i="183" s="1"/>
  <c r="O222" i="183"/>
  <c r="M222" i="183"/>
  <c r="R220" i="183"/>
  <c r="BT119" i="183"/>
  <c r="Q220" i="183"/>
  <c r="T220" i="183" s="1"/>
  <c r="O220" i="183"/>
  <c r="M220" i="183"/>
  <c r="R218" i="183"/>
  <c r="BT118" i="183"/>
  <c r="Q218" i="183"/>
  <c r="T218" i="183" s="1"/>
  <c r="O218" i="183"/>
  <c r="M218" i="183"/>
  <c r="R216" i="183"/>
  <c r="BT117" i="183"/>
  <c r="Q216" i="183"/>
  <c r="T216" i="183" s="1"/>
  <c r="O216" i="183"/>
  <c r="M216" i="183"/>
  <c r="R214" i="183"/>
  <c r="BT116" i="183"/>
  <c r="Q214" i="183"/>
  <c r="T214" i="183" s="1"/>
  <c r="O214" i="183"/>
  <c r="M214" i="183"/>
  <c r="R212" i="183"/>
  <c r="BT115" i="183"/>
  <c r="Q212" i="183"/>
  <c r="T212" i="183" s="1"/>
  <c r="O212" i="183"/>
  <c r="M212" i="183"/>
  <c r="R210" i="183"/>
  <c r="BT114" i="183"/>
  <c r="Q210" i="183"/>
  <c r="T210" i="183" s="1"/>
  <c r="O210" i="183"/>
  <c r="M210" i="183"/>
  <c r="R208" i="183"/>
  <c r="BT113" i="183"/>
  <c r="Q208" i="183"/>
  <c r="T208" i="183" s="1"/>
  <c r="O208" i="183"/>
  <c r="M208" i="183"/>
  <c r="R206" i="183"/>
  <c r="BT112" i="183"/>
  <c r="Q206" i="183"/>
  <c r="T206" i="183" s="1"/>
  <c r="O206" i="183"/>
  <c r="M206" i="183"/>
  <c r="R204" i="183"/>
  <c r="BT111" i="183"/>
  <c r="Q204" i="183"/>
  <c r="T204" i="183" s="1"/>
  <c r="O204" i="183"/>
  <c r="M204" i="183"/>
  <c r="R202" i="183"/>
  <c r="BT110" i="183"/>
  <c r="Q202" i="183"/>
  <c r="T202" i="183" s="1"/>
  <c r="O202" i="183"/>
  <c r="M202" i="183"/>
  <c r="R200" i="183"/>
  <c r="BT109" i="183"/>
  <c r="Q200" i="183"/>
  <c r="T200" i="183" s="1"/>
  <c r="O200" i="183"/>
  <c r="M200" i="183"/>
  <c r="R198" i="183"/>
  <c r="BT108" i="183"/>
  <c r="Q198" i="183"/>
  <c r="T198" i="183" s="1"/>
  <c r="O198" i="183"/>
  <c r="M198" i="183"/>
  <c r="R196" i="183"/>
  <c r="BT107" i="183"/>
  <c r="Q196" i="183"/>
  <c r="T196" i="183" s="1"/>
  <c r="O196" i="183"/>
  <c r="M196" i="183"/>
  <c r="R194" i="183"/>
  <c r="BT106" i="183"/>
  <c r="Q194" i="183"/>
  <c r="T194" i="183" s="1"/>
  <c r="O194" i="183"/>
  <c r="M194" i="183"/>
  <c r="R192" i="183"/>
  <c r="BT105" i="183"/>
  <c r="Q192" i="183"/>
  <c r="T192" i="183" s="1"/>
  <c r="O192" i="183"/>
  <c r="M192" i="183"/>
  <c r="R190" i="183"/>
  <c r="BT104" i="183"/>
  <c r="Q190" i="183"/>
  <c r="T190" i="183" s="1"/>
  <c r="O190" i="183"/>
  <c r="M190" i="183"/>
  <c r="R188" i="183"/>
  <c r="BT103" i="183"/>
  <c r="Q188" i="183"/>
  <c r="T188" i="183" s="1"/>
  <c r="O188" i="183"/>
  <c r="M188" i="183"/>
  <c r="R186" i="183"/>
  <c r="BT102" i="183"/>
  <c r="Q186" i="183"/>
  <c r="T186" i="183" s="1"/>
  <c r="O186" i="183"/>
  <c r="M186" i="183"/>
  <c r="R184" i="183"/>
  <c r="BT101" i="183"/>
  <c r="Q184" i="183"/>
  <c r="T184" i="183" s="1"/>
  <c r="O184" i="183"/>
  <c r="M184" i="183"/>
  <c r="R182" i="183"/>
  <c r="BT100" i="183"/>
  <c r="Q182" i="183"/>
  <c r="T182" i="183" s="1"/>
  <c r="O182" i="183"/>
  <c r="M182" i="183"/>
  <c r="R180" i="183"/>
  <c r="BT99" i="183"/>
  <c r="Q180" i="183"/>
  <c r="T180" i="183" s="1"/>
  <c r="O180" i="183"/>
  <c r="M180" i="183"/>
  <c r="R178" i="183"/>
  <c r="BT98" i="183"/>
  <c r="Q178" i="183"/>
  <c r="T178" i="183" s="1"/>
  <c r="O178" i="183"/>
  <c r="M178" i="183"/>
  <c r="R176" i="183"/>
  <c r="BT97" i="183"/>
  <c r="Q176" i="183"/>
  <c r="T176" i="183" s="1"/>
  <c r="O176" i="183"/>
  <c r="M176" i="183"/>
  <c r="R174" i="183"/>
  <c r="BT96" i="183"/>
  <c r="Q174" i="183"/>
  <c r="T174" i="183" s="1"/>
  <c r="O174" i="183"/>
  <c r="M174" i="183"/>
  <c r="R172" i="183"/>
  <c r="BT95" i="183"/>
  <c r="Q172" i="183"/>
  <c r="T172" i="183" s="1"/>
  <c r="O172" i="183"/>
  <c r="M172" i="183"/>
  <c r="R170" i="183"/>
  <c r="BT94" i="183"/>
  <c r="Q170" i="183"/>
  <c r="T170" i="183" s="1"/>
  <c r="O170" i="183"/>
  <c r="M170" i="183"/>
  <c r="R168" i="183"/>
  <c r="BT93" i="183"/>
  <c r="Q168" i="183"/>
  <c r="T168" i="183" s="1"/>
  <c r="O168" i="183"/>
  <c r="M168" i="183"/>
  <c r="R166" i="183"/>
  <c r="BT92" i="183"/>
  <c r="Q166" i="183"/>
  <c r="T166" i="183" s="1"/>
  <c r="O166" i="183"/>
  <c r="M166" i="183"/>
  <c r="R164" i="183"/>
  <c r="BT91" i="183"/>
  <c r="Q164" i="183"/>
  <c r="T164" i="183" s="1"/>
  <c r="O164" i="183"/>
  <c r="M164" i="183"/>
  <c r="R162" i="183"/>
  <c r="BT90" i="183"/>
  <c r="Q162" i="183"/>
  <c r="T162" i="183" s="1"/>
  <c r="O162" i="183"/>
  <c r="M162" i="183"/>
  <c r="R160" i="183"/>
  <c r="BT89" i="183"/>
  <c r="Q160" i="183"/>
  <c r="T160" i="183" s="1"/>
  <c r="O160" i="183"/>
  <c r="M160" i="183"/>
  <c r="R158" i="183"/>
  <c r="BT88" i="183"/>
  <c r="Q158" i="183"/>
  <c r="T158" i="183" s="1"/>
  <c r="O158" i="183"/>
  <c r="M158" i="183"/>
  <c r="R156" i="183"/>
  <c r="BT87" i="183"/>
  <c r="Q156" i="183"/>
  <c r="T156" i="183" s="1"/>
  <c r="O156" i="183"/>
  <c r="M156" i="183"/>
  <c r="R154" i="183"/>
  <c r="BT86" i="183"/>
  <c r="Q154" i="183"/>
  <c r="T154" i="183" s="1"/>
  <c r="O154" i="183"/>
  <c r="M154" i="183"/>
  <c r="R152" i="183"/>
  <c r="BT85" i="183"/>
  <c r="Q152" i="183"/>
  <c r="T152" i="183" s="1"/>
  <c r="O152" i="183"/>
  <c r="M152" i="183"/>
  <c r="R150" i="183"/>
  <c r="BT84" i="183"/>
  <c r="Q150" i="183"/>
  <c r="T150" i="183" s="1"/>
  <c r="O150" i="183"/>
  <c r="M150" i="183"/>
  <c r="R148" i="183"/>
  <c r="BT83" i="183"/>
  <c r="Q148" i="183"/>
  <c r="T148" i="183" s="1"/>
  <c r="O148" i="183"/>
  <c r="M148" i="183"/>
  <c r="R146" i="183"/>
  <c r="BT82" i="183"/>
  <c r="Q146" i="183"/>
  <c r="O146" i="183"/>
  <c r="M146" i="183"/>
  <c r="R144" i="183"/>
  <c r="BT81" i="183"/>
  <c r="Q144" i="183"/>
  <c r="T144" i="183" s="1"/>
  <c r="O144" i="183"/>
  <c r="M144" i="183"/>
  <c r="R142" i="183"/>
  <c r="BT80" i="183"/>
  <c r="Q142" i="183"/>
  <c r="T142" i="183" s="1"/>
  <c r="O142" i="183"/>
  <c r="M142" i="183"/>
  <c r="R140" i="183"/>
  <c r="BT79" i="183"/>
  <c r="Q140" i="183"/>
  <c r="T140" i="183" s="1"/>
  <c r="O140" i="183"/>
  <c r="M140" i="183"/>
  <c r="R138" i="183"/>
  <c r="BT78" i="183"/>
  <c r="Q138" i="183"/>
  <c r="T138" i="183" s="1"/>
  <c r="O138" i="183"/>
  <c r="M138" i="183"/>
  <c r="R136" i="183"/>
  <c r="BT77" i="183"/>
  <c r="Q136" i="183"/>
  <c r="T136" i="183" s="1"/>
  <c r="O136" i="183"/>
  <c r="M136" i="183"/>
  <c r="R134" i="183"/>
  <c r="BT76" i="183"/>
  <c r="Q134" i="183"/>
  <c r="T134" i="183" s="1"/>
  <c r="O134" i="183"/>
  <c r="M134" i="183"/>
  <c r="R132" i="183"/>
  <c r="BT75" i="183"/>
  <c r="Q132" i="183"/>
  <c r="T132" i="183" s="1"/>
  <c r="O132" i="183"/>
  <c r="M132" i="183"/>
  <c r="R130" i="183"/>
  <c r="BT74" i="183"/>
  <c r="Q130" i="183"/>
  <c r="T130" i="183" s="1"/>
  <c r="O130" i="183"/>
  <c r="M130" i="183"/>
  <c r="R128" i="183"/>
  <c r="BT73" i="183"/>
  <c r="Q128" i="183"/>
  <c r="T128" i="183" s="1"/>
  <c r="O128" i="183"/>
  <c r="M128" i="183"/>
  <c r="R126" i="183"/>
  <c r="BT72" i="183"/>
  <c r="Q126" i="183"/>
  <c r="T126" i="183" s="1"/>
  <c r="O126" i="183"/>
  <c r="M126" i="183"/>
  <c r="R124" i="183"/>
  <c r="BT71" i="183"/>
  <c r="Q124" i="183"/>
  <c r="T124" i="183" s="1"/>
  <c r="O124" i="183"/>
  <c r="M124" i="183"/>
  <c r="R122" i="183"/>
  <c r="BT70" i="183"/>
  <c r="Q122" i="183"/>
  <c r="T122" i="183" s="1"/>
  <c r="O122" i="183"/>
  <c r="M122" i="183"/>
  <c r="R120" i="183"/>
  <c r="BT69" i="183"/>
  <c r="Q120" i="183"/>
  <c r="T120" i="183" s="1"/>
  <c r="O120" i="183"/>
  <c r="M120" i="183"/>
  <c r="R118" i="183"/>
  <c r="BT68" i="183"/>
  <c r="Q118" i="183"/>
  <c r="T118" i="183" s="1"/>
  <c r="O118" i="183"/>
  <c r="M118" i="183"/>
  <c r="R116" i="183"/>
  <c r="BT67" i="183"/>
  <c r="Q116" i="183"/>
  <c r="T116" i="183" s="1"/>
  <c r="O116" i="183"/>
  <c r="M116" i="183"/>
  <c r="R114" i="183"/>
  <c r="BT66" i="183"/>
  <c r="Q114" i="183"/>
  <c r="T114" i="183" s="1"/>
  <c r="O114" i="183"/>
  <c r="M114" i="183"/>
  <c r="R112" i="183"/>
  <c r="BT65" i="183"/>
  <c r="Q112" i="183"/>
  <c r="T112" i="183" s="1"/>
  <c r="O112" i="183"/>
  <c r="M112" i="183"/>
  <c r="R110" i="183"/>
  <c r="BT64" i="183"/>
  <c r="Q110" i="183"/>
  <c r="T110" i="183" s="1"/>
  <c r="O110" i="183"/>
  <c r="M110" i="183"/>
  <c r="R108" i="183"/>
  <c r="BT63" i="183"/>
  <c r="Q108" i="183"/>
  <c r="T108" i="183" s="1"/>
  <c r="O108" i="183"/>
  <c r="M108" i="183"/>
  <c r="R106" i="183"/>
  <c r="BT62" i="183"/>
  <c r="Q106" i="183"/>
  <c r="T106" i="183" s="1"/>
  <c r="O106" i="183"/>
  <c r="M106" i="183"/>
  <c r="R104" i="183"/>
  <c r="BT61" i="183"/>
  <c r="Q104" i="183"/>
  <c r="T104" i="183" s="1"/>
  <c r="O104" i="183"/>
  <c r="M104" i="183"/>
  <c r="R102" i="183"/>
  <c r="BT60" i="183"/>
  <c r="Q102" i="183"/>
  <c r="T102" i="183" s="1"/>
  <c r="O102" i="183"/>
  <c r="M102" i="183"/>
  <c r="R100" i="183"/>
  <c r="BT59" i="183"/>
  <c r="Q100" i="183"/>
  <c r="T100" i="183" s="1"/>
  <c r="O100" i="183"/>
  <c r="M100" i="183"/>
  <c r="R98" i="183"/>
  <c r="BT58" i="183"/>
  <c r="Q98" i="183"/>
  <c r="T98" i="183" s="1"/>
  <c r="O98" i="183"/>
  <c r="M98" i="183"/>
  <c r="R96" i="183"/>
  <c r="BT57" i="183"/>
  <c r="Q96" i="183"/>
  <c r="T96" i="183" s="1"/>
  <c r="O96" i="183"/>
  <c r="M96" i="183"/>
  <c r="R94" i="183"/>
  <c r="BT56" i="183"/>
  <c r="Q94" i="183"/>
  <c r="T94" i="183" s="1"/>
  <c r="O94" i="183"/>
  <c r="M94" i="183"/>
  <c r="R92" i="183"/>
  <c r="BT55" i="183"/>
  <c r="Q92" i="183"/>
  <c r="T92" i="183" s="1"/>
  <c r="O92" i="183"/>
  <c r="M92" i="183"/>
  <c r="R90" i="183"/>
  <c r="BT54" i="183"/>
  <c r="Q90" i="183"/>
  <c r="T90" i="183" s="1"/>
  <c r="O90" i="183"/>
  <c r="M90" i="183"/>
  <c r="R88" i="183"/>
  <c r="BT53" i="183"/>
  <c r="Q88" i="183"/>
  <c r="T88" i="183" s="1"/>
  <c r="O88" i="183"/>
  <c r="M88" i="183"/>
  <c r="R86" i="183"/>
  <c r="BT52" i="183"/>
  <c r="Q86" i="183"/>
  <c r="T86" i="183" s="1"/>
  <c r="O86" i="183"/>
  <c r="M86" i="183"/>
  <c r="R84" i="183"/>
  <c r="BT51" i="183"/>
  <c r="Q84" i="183"/>
  <c r="T84" i="183" s="1"/>
  <c r="O84" i="183"/>
  <c r="M84" i="183"/>
  <c r="R82" i="183"/>
  <c r="BT50" i="183"/>
  <c r="Q82" i="183"/>
  <c r="T82" i="183" s="1"/>
  <c r="O82" i="183"/>
  <c r="M82" i="183"/>
  <c r="R80" i="183"/>
  <c r="BT49" i="183"/>
  <c r="Q80" i="183"/>
  <c r="T80" i="183" s="1"/>
  <c r="O80" i="183"/>
  <c r="M80" i="183"/>
  <c r="BK79" i="183"/>
  <c r="BK78" i="183"/>
  <c r="R78" i="183"/>
  <c r="BT48" i="183"/>
  <c r="Q78" i="183"/>
  <c r="T78" i="183" s="1"/>
  <c r="O78" i="183"/>
  <c r="M78" i="183"/>
  <c r="BK77" i="183"/>
  <c r="BK76" i="183"/>
  <c r="R76" i="183"/>
  <c r="BT47" i="183"/>
  <c r="Q76" i="183"/>
  <c r="T76" i="183" s="1"/>
  <c r="O76" i="183"/>
  <c r="M76" i="183"/>
  <c r="BK75" i="183"/>
  <c r="BK74" i="183"/>
  <c r="R74" i="183"/>
  <c r="BT46" i="183"/>
  <c r="Q74" i="183"/>
  <c r="T74" i="183" s="1"/>
  <c r="O74" i="183"/>
  <c r="M74" i="183"/>
  <c r="BK73" i="183"/>
  <c r="BK72" i="183"/>
  <c r="R72" i="183"/>
  <c r="BT45" i="183"/>
  <c r="Q72" i="183"/>
  <c r="T72" i="183" s="1"/>
  <c r="O72" i="183"/>
  <c r="M72" i="183"/>
  <c r="BK71" i="183"/>
  <c r="BK70" i="183"/>
  <c r="R70" i="183"/>
  <c r="BT44" i="183"/>
  <c r="Q70" i="183"/>
  <c r="T70" i="183" s="1"/>
  <c r="O70" i="183"/>
  <c r="M70" i="183"/>
  <c r="BK69" i="183"/>
  <c r="BK68" i="183"/>
  <c r="R68" i="183"/>
  <c r="BT43" i="183"/>
  <c r="Q68" i="183"/>
  <c r="T68" i="183" s="1"/>
  <c r="O68" i="183"/>
  <c r="M68" i="183"/>
  <c r="BK67" i="183"/>
  <c r="BK66" i="183"/>
  <c r="R66" i="183"/>
  <c r="BT42" i="183"/>
  <c r="Q66" i="183"/>
  <c r="T66" i="183" s="1"/>
  <c r="O66" i="183"/>
  <c r="M66" i="183"/>
  <c r="BK65" i="183"/>
  <c r="BK64" i="183"/>
  <c r="R64" i="183"/>
  <c r="BT41" i="183"/>
  <c r="Q64" i="183"/>
  <c r="T64" i="183" s="1"/>
  <c r="O64" i="183"/>
  <c r="M64" i="183"/>
  <c r="BK63" i="183"/>
  <c r="BK62" i="183"/>
  <c r="R62" i="183"/>
  <c r="BT40" i="183"/>
  <c r="Q62" i="183"/>
  <c r="T62" i="183" s="1"/>
  <c r="O62" i="183"/>
  <c r="M62" i="183"/>
  <c r="BK61" i="183"/>
  <c r="BK60" i="183"/>
  <c r="R60" i="183"/>
  <c r="BT39" i="183"/>
  <c r="Q60" i="183"/>
  <c r="T60" i="183" s="1"/>
  <c r="O60" i="183"/>
  <c r="M60" i="183"/>
  <c r="BK59" i="183"/>
  <c r="BK58" i="183"/>
  <c r="R58" i="183"/>
  <c r="BT38" i="183"/>
  <c r="Q58" i="183"/>
  <c r="T58" i="183" s="1"/>
  <c r="O58" i="183"/>
  <c r="M58" i="183"/>
  <c r="BK57" i="183"/>
  <c r="BK56" i="183"/>
  <c r="R56" i="183"/>
  <c r="BT37" i="183"/>
  <c r="Q56" i="183"/>
  <c r="T56" i="183" s="1"/>
  <c r="O56" i="183"/>
  <c r="M56" i="183"/>
  <c r="BK55" i="183"/>
  <c r="BK54" i="183"/>
  <c r="R54" i="183"/>
  <c r="BT36" i="183"/>
  <c r="Q54" i="183"/>
  <c r="T54" i="183" s="1"/>
  <c r="O54" i="183"/>
  <c r="M54" i="183"/>
  <c r="BK53" i="183"/>
  <c r="BK52" i="183"/>
  <c r="R52" i="183"/>
  <c r="BT35" i="183"/>
  <c r="Q52" i="183"/>
  <c r="T52" i="183" s="1"/>
  <c r="O52" i="183"/>
  <c r="M52" i="183"/>
  <c r="BK51" i="183"/>
  <c r="BK50" i="183"/>
  <c r="R50" i="183"/>
  <c r="BT34" i="183"/>
  <c r="Q50" i="183"/>
  <c r="T50" i="183" s="1"/>
  <c r="O50" i="183"/>
  <c r="M50" i="183"/>
  <c r="BK49" i="183"/>
  <c r="BK48" i="183"/>
  <c r="R48" i="183"/>
  <c r="BT33" i="183"/>
  <c r="Q48" i="183"/>
  <c r="T48" i="183" s="1"/>
  <c r="O48" i="183"/>
  <c r="M48" i="183"/>
  <c r="BK47" i="183"/>
  <c r="BK46" i="183"/>
  <c r="R46" i="183"/>
  <c r="BT32" i="183"/>
  <c r="Q46" i="183"/>
  <c r="T46" i="183" s="1"/>
  <c r="O46" i="183"/>
  <c r="M46" i="183"/>
  <c r="BK45" i="183"/>
  <c r="BK44" i="183"/>
  <c r="R44" i="183"/>
  <c r="BT31" i="183"/>
  <c r="Q44" i="183"/>
  <c r="T44" i="183" s="1"/>
  <c r="O44" i="183"/>
  <c r="M44" i="183"/>
  <c r="BK43" i="183"/>
  <c r="BK42" i="183"/>
  <c r="R42" i="183"/>
  <c r="BT30" i="183"/>
  <c r="Q42" i="183"/>
  <c r="T42" i="183" s="1"/>
  <c r="O42" i="183"/>
  <c r="M42" i="183"/>
  <c r="BK41" i="183"/>
  <c r="BK40" i="183"/>
  <c r="R40" i="183"/>
  <c r="BT29" i="183"/>
  <c r="Q40" i="183"/>
  <c r="T40" i="183" s="1"/>
  <c r="O40" i="183"/>
  <c r="M40" i="183"/>
  <c r="BK39" i="183"/>
  <c r="BK38" i="183"/>
  <c r="R38" i="183"/>
  <c r="Q38" i="183"/>
  <c r="O38" i="183"/>
  <c r="M38" i="183"/>
  <c r="BK37" i="183"/>
  <c r="BK36" i="183"/>
  <c r="AY36" i="183"/>
  <c r="AY39" i="183" s="1"/>
  <c r="R36" i="183"/>
  <c r="BT27" i="183"/>
  <c r="Q36" i="183"/>
  <c r="O36" i="183"/>
  <c r="M36" i="183"/>
  <c r="BK35" i="183"/>
  <c r="BK34" i="183"/>
  <c r="R34" i="183"/>
  <c r="BT26" i="183"/>
  <c r="Q34" i="183"/>
  <c r="O34" i="183"/>
  <c r="M34" i="183"/>
  <c r="BK33" i="183"/>
  <c r="BK32" i="183"/>
  <c r="R32" i="183"/>
  <c r="BT25" i="183"/>
  <c r="Q32" i="183"/>
  <c r="O32" i="183"/>
  <c r="M32" i="183"/>
  <c r="BK31" i="183"/>
  <c r="BK30" i="183"/>
  <c r="R30" i="183"/>
  <c r="BT24" i="183"/>
  <c r="Q30" i="183"/>
  <c r="O30" i="183"/>
  <c r="M30" i="183"/>
  <c r="BK29" i="183"/>
  <c r="BK28" i="183"/>
  <c r="R28" i="183"/>
  <c r="BT23" i="183"/>
  <c r="Q28" i="183"/>
  <c r="O28" i="183"/>
  <c r="M28" i="183"/>
  <c r="BK27" i="183"/>
  <c r="BK26" i="183"/>
  <c r="R26" i="183"/>
  <c r="BT22" i="183"/>
  <c r="Q26" i="183"/>
  <c r="O26" i="183"/>
  <c r="M26" i="183"/>
  <c r="BK25" i="183"/>
  <c r="BK24" i="183"/>
  <c r="R24" i="183"/>
  <c r="BT21" i="183"/>
  <c r="Q24" i="183"/>
  <c r="O24" i="183"/>
  <c r="M24" i="183"/>
  <c r="BK23" i="183"/>
  <c r="BK22" i="183"/>
  <c r="R22" i="183"/>
  <c r="BT20" i="183"/>
  <c r="Q22" i="183"/>
  <c r="O22" i="183"/>
  <c r="M22" i="183"/>
  <c r="BK21" i="183"/>
  <c r="BK20" i="183"/>
  <c r="R20" i="183"/>
  <c r="BT19" i="183"/>
  <c r="Q20" i="183"/>
  <c r="BS19" i="183" s="1"/>
  <c r="O20" i="183"/>
  <c r="M20" i="183"/>
  <c r="BK19" i="183"/>
  <c r="R18" i="183"/>
  <c r="Q18" i="183"/>
  <c r="S18" i="183" s="1"/>
  <c r="O18" i="183"/>
  <c r="M18" i="183"/>
  <c r="C15" i="183"/>
  <c r="I13" i="183"/>
  <c r="I14" i="183" s="1"/>
  <c r="I12" i="183"/>
  <c r="I11" i="183"/>
  <c r="S20" i="183" l="1"/>
  <c r="N11" i="183"/>
  <c r="BS82" i="183"/>
  <c r="T146" i="183"/>
  <c r="BS304" i="183"/>
  <c r="BU304" i="183" s="1"/>
  <c r="T590" i="183"/>
  <c r="BS305" i="183"/>
  <c r="BU305" i="183" s="1"/>
  <c r="T592" i="183"/>
  <c r="BS306" i="183"/>
  <c r="BU306" i="183" s="1"/>
  <c r="T594" i="183"/>
  <c r="BS307" i="183"/>
  <c r="BU307" i="183" s="1"/>
  <c r="T596" i="183"/>
  <c r="BS308" i="183"/>
  <c r="T598" i="183"/>
  <c r="BS309" i="183"/>
  <c r="BU309" i="183" s="1"/>
  <c r="T600" i="183"/>
  <c r="BS310" i="183"/>
  <c r="BU310" i="183" s="1"/>
  <c r="T602" i="183"/>
  <c r="BS311" i="183"/>
  <c r="BU311" i="183" s="1"/>
  <c r="T604" i="183"/>
  <c r="BS312" i="183"/>
  <c r="BU312" i="183" s="1"/>
  <c r="T606" i="183"/>
  <c r="BS313" i="183"/>
  <c r="BU313" i="183" s="1"/>
  <c r="T608" i="183"/>
  <c r="BS314" i="183"/>
  <c r="BU314" i="183" s="1"/>
  <c r="T610" i="183"/>
  <c r="BS315" i="183"/>
  <c r="T612" i="183"/>
  <c r="BS316" i="183"/>
  <c r="BU316" i="183" s="1"/>
  <c r="T614" i="183"/>
  <c r="BS317" i="183"/>
  <c r="BU317" i="183" s="1"/>
  <c r="T616" i="183"/>
  <c r="BS318" i="183"/>
  <c r="BU318" i="183" s="1"/>
  <c r="T618" i="183"/>
  <c r="BS319" i="183"/>
  <c r="BU319" i="183" s="1"/>
  <c r="T620" i="183"/>
  <c r="BS320" i="183"/>
  <c r="BU320" i="183" s="1"/>
  <c r="T622" i="183"/>
  <c r="BS321" i="183"/>
  <c r="T624" i="183"/>
  <c r="BS322" i="183"/>
  <c r="BU322" i="183" s="1"/>
  <c r="T626" i="183"/>
  <c r="BS323" i="183"/>
  <c r="T628" i="183"/>
  <c r="BS324" i="183"/>
  <c r="T630" i="183"/>
  <c r="BS325" i="183"/>
  <c r="BU325" i="183" s="1"/>
  <c r="T632" i="183"/>
  <c r="BS326" i="183"/>
  <c r="BU326" i="183" s="1"/>
  <c r="T634" i="183"/>
  <c r="BS327" i="183"/>
  <c r="T636" i="183"/>
  <c r="BS328" i="183"/>
  <c r="BU328" i="183" s="1"/>
  <c r="T638" i="183"/>
  <c r="BS329" i="183"/>
  <c r="T640" i="183"/>
  <c r="BS330" i="183"/>
  <c r="BU330" i="183" s="1"/>
  <c r="T642" i="183"/>
  <c r="BS331" i="183"/>
  <c r="BU331" i="183" s="1"/>
  <c r="T644" i="183"/>
  <c r="BS332" i="183"/>
  <c r="BU332" i="183" s="1"/>
  <c r="T646" i="183"/>
  <c r="BS333" i="183"/>
  <c r="BU333" i="183" s="1"/>
  <c r="T648" i="183"/>
  <c r="BS334" i="183"/>
  <c r="BU334" i="183" s="1"/>
  <c r="T650" i="183"/>
  <c r="BS335" i="183"/>
  <c r="T652" i="183"/>
  <c r="BS336" i="183"/>
  <c r="BU336" i="183" s="1"/>
  <c r="T654" i="183"/>
  <c r="BS337" i="183"/>
  <c r="BU337" i="183" s="1"/>
  <c r="T656" i="183"/>
  <c r="BS338" i="183"/>
  <c r="BU338" i="183" s="1"/>
  <c r="T658" i="183"/>
  <c r="BS339" i="183"/>
  <c r="BU339" i="183" s="1"/>
  <c r="T660" i="183"/>
  <c r="BS340" i="183"/>
  <c r="T662" i="183"/>
  <c r="BS341" i="183"/>
  <c r="T664" i="183"/>
  <c r="BS342" i="183"/>
  <c r="BU342" i="183" s="1"/>
  <c r="T666" i="183"/>
  <c r="BS343" i="183"/>
  <c r="BU343" i="183" s="1"/>
  <c r="T668" i="183"/>
  <c r="BS344" i="183"/>
  <c r="BU344" i="183" s="1"/>
  <c r="T670" i="183"/>
  <c r="BS345" i="183"/>
  <c r="BU345" i="183" s="1"/>
  <c r="T672" i="183"/>
  <c r="BS346" i="183"/>
  <c r="BU346" i="183" s="1"/>
  <c r="T674" i="183"/>
  <c r="BS347" i="183"/>
  <c r="BU347" i="183" s="1"/>
  <c r="T676" i="183"/>
  <c r="BS348" i="183"/>
  <c r="BU348" i="183" s="1"/>
  <c r="T678" i="183"/>
  <c r="BS349" i="183"/>
  <c r="BU349" i="183" s="1"/>
  <c r="T680" i="183"/>
  <c r="BS350" i="183"/>
  <c r="BU350" i="183" s="1"/>
  <c r="T682" i="183"/>
  <c r="BS351" i="183"/>
  <c r="BU351" i="183" s="1"/>
  <c r="T684" i="183"/>
  <c r="BS352" i="183"/>
  <c r="BU352" i="183" s="1"/>
  <c r="T686" i="183"/>
  <c r="BS353" i="183"/>
  <c r="BU353" i="183" s="1"/>
  <c r="T688" i="183"/>
  <c r="BS354" i="183"/>
  <c r="BU354" i="183" s="1"/>
  <c r="T690" i="183"/>
  <c r="BS355" i="183"/>
  <c r="BU355" i="183" s="1"/>
  <c r="T692" i="183"/>
  <c r="BS356" i="183"/>
  <c r="T694" i="183"/>
  <c r="BS357" i="183"/>
  <c r="T696" i="183"/>
  <c r="BS358" i="183"/>
  <c r="BU358" i="183" s="1"/>
  <c r="T698" i="183"/>
  <c r="BS359" i="183"/>
  <c r="BU359" i="183" s="1"/>
  <c r="T700" i="183"/>
  <c r="BS360" i="183"/>
  <c r="BU360" i="183" s="1"/>
  <c r="T702" i="183"/>
  <c r="BS361" i="183"/>
  <c r="BU361" i="183" s="1"/>
  <c r="T704" i="183"/>
  <c r="BS362" i="183"/>
  <c r="BU362" i="183" s="1"/>
  <c r="T706" i="183"/>
  <c r="BS363" i="183"/>
  <c r="T708" i="183"/>
  <c r="BS364" i="183"/>
  <c r="BU364" i="183" s="1"/>
  <c r="T710" i="183"/>
  <c r="BS365" i="183"/>
  <c r="T712" i="183"/>
  <c r="BS366" i="183"/>
  <c r="BU366" i="183" s="1"/>
  <c r="T714" i="183"/>
  <c r="BS367" i="183"/>
  <c r="BU367" i="183" s="1"/>
  <c r="T716" i="183"/>
  <c r="BS368" i="183"/>
  <c r="BU368" i="183" s="1"/>
  <c r="T718" i="183"/>
  <c r="BS369" i="183"/>
  <c r="BU369" i="183" s="1"/>
  <c r="T720" i="183"/>
  <c r="BS370" i="183"/>
  <c r="BU370" i="183" s="1"/>
  <c r="T722" i="183"/>
  <c r="BS371" i="183"/>
  <c r="T724" i="183"/>
  <c r="BS372" i="183"/>
  <c r="T726" i="183"/>
  <c r="BS373" i="183"/>
  <c r="BU373" i="183" s="1"/>
  <c r="T728" i="183"/>
  <c r="BS374" i="183"/>
  <c r="BU374" i="183" s="1"/>
  <c r="T730" i="183"/>
  <c r="BS375" i="183"/>
  <c r="BU375" i="183" s="1"/>
  <c r="T732" i="183"/>
  <c r="BS376" i="183"/>
  <c r="BU376" i="183" s="1"/>
  <c r="T734" i="183"/>
  <c r="BS377" i="183"/>
  <c r="T736" i="183"/>
  <c r="BS378" i="183"/>
  <c r="BU378" i="183" s="1"/>
  <c r="T738" i="183"/>
  <c r="BS379" i="183"/>
  <c r="BU379" i="183" s="1"/>
  <c r="T740" i="183"/>
  <c r="BS380" i="183"/>
  <c r="BU380" i="183" s="1"/>
  <c r="T742" i="183"/>
  <c r="BS381" i="183"/>
  <c r="BU381" i="183" s="1"/>
  <c r="T744" i="183"/>
  <c r="BS382" i="183"/>
  <c r="BU382" i="183" s="1"/>
  <c r="T746" i="183"/>
  <c r="BS383" i="183"/>
  <c r="BU383" i="183" s="1"/>
  <c r="T748" i="183"/>
  <c r="BS384" i="183"/>
  <c r="BU384" i="183" s="1"/>
  <c r="T750" i="183"/>
  <c r="BS385" i="183"/>
  <c r="BU385" i="183" s="1"/>
  <c r="T752" i="183"/>
  <c r="BS386" i="183"/>
  <c r="BU386" i="183" s="1"/>
  <c r="T754" i="183"/>
  <c r="BS387" i="183"/>
  <c r="T756" i="183"/>
  <c r="BS388" i="183"/>
  <c r="T758" i="183"/>
  <c r="BS389" i="183"/>
  <c r="T760" i="183"/>
  <c r="BS390" i="183"/>
  <c r="BU390" i="183" s="1"/>
  <c r="T762" i="183"/>
  <c r="BS391" i="183"/>
  <c r="BU391" i="183" s="1"/>
  <c r="T764" i="183"/>
  <c r="BS392" i="183"/>
  <c r="BU392" i="183" s="1"/>
  <c r="T766" i="183"/>
  <c r="BS393" i="183"/>
  <c r="T768" i="183"/>
  <c r="BS394" i="183"/>
  <c r="BU394" i="183" s="1"/>
  <c r="T770" i="183"/>
  <c r="BS395" i="183"/>
  <c r="BU395" i="183" s="1"/>
  <c r="T772" i="183"/>
  <c r="BS396" i="183"/>
  <c r="BU396" i="183" s="1"/>
  <c r="T774" i="183"/>
  <c r="BS397" i="183"/>
  <c r="BU397" i="183" s="1"/>
  <c r="T776" i="183"/>
  <c r="BS398" i="183"/>
  <c r="BU398" i="183" s="1"/>
  <c r="T778" i="183"/>
  <c r="BS399" i="183"/>
  <c r="T780" i="183"/>
  <c r="BS400" i="183"/>
  <c r="BU400" i="183" s="1"/>
  <c r="T782" i="183"/>
  <c r="BS401" i="183"/>
  <c r="T784" i="183"/>
  <c r="BS402" i="183"/>
  <c r="BU402" i="183" s="1"/>
  <c r="T786" i="183"/>
  <c r="BS403" i="183"/>
  <c r="BU403" i="183" s="1"/>
  <c r="T788" i="183"/>
  <c r="BS404" i="183"/>
  <c r="T790" i="183"/>
  <c r="BS405" i="183"/>
  <c r="T792" i="183"/>
  <c r="BS406" i="183"/>
  <c r="BU406" i="183" s="1"/>
  <c r="T794" i="183"/>
  <c r="BS407" i="183"/>
  <c r="T796" i="183"/>
  <c r="BS408" i="183"/>
  <c r="BU408" i="183" s="1"/>
  <c r="T798" i="183"/>
  <c r="BS409" i="183"/>
  <c r="BU409" i="183" s="1"/>
  <c r="T800" i="183"/>
  <c r="BS410" i="183"/>
  <c r="BU410" i="183" s="1"/>
  <c r="T802" i="183"/>
  <c r="BS411" i="183"/>
  <c r="T804" i="183"/>
  <c r="BS412" i="183"/>
  <c r="BU412" i="183" s="1"/>
  <c r="T806" i="183"/>
  <c r="BS413" i="183"/>
  <c r="T808" i="183"/>
  <c r="BS414" i="183"/>
  <c r="BU414" i="183" s="1"/>
  <c r="T810" i="183"/>
  <c r="BS415" i="183"/>
  <c r="BU415" i="183" s="1"/>
  <c r="T812" i="183"/>
  <c r="BS416" i="183"/>
  <c r="BU416" i="183" s="1"/>
  <c r="T814" i="183"/>
  <c r="BS417" i="183"/>
  <c r="BU417" i="183" s="1"/>
  <c r="T816" i="183"/>
  <c r="BS418" i="183"/>
  <c r="BU418" i="183" s="1"/>
  <c r="T818" i="183"/>
  <c r="BS419" i="183"/>
  <c r="T820" i="183"/>
  <c r="BS420" i="183"/>
  <c r="T822" i="183"/>
  <c r="BS421" i="183"/>
  <c r="BU421" i="183" s="1"/>
  <c r="T824" i="183"/>
  <c r="BS422" i="183"/>
  <c r="BU422" i="183" s="1"/>
  <c r="T826" i="183"/>
  <c r="BS423" i="183"/>
  <c r="BU423" i="183" s="1"/>
  <c r="T828" i="183"/>
  <c r="BS424" i="183"/>
  <c r="BU424" i="183" s="1"/>
  <c r="T830" i="183"/>
  <c r="BS425" i="183"/>
  <c r="T832" i="183"/>
  <c r="BS426" i="183"/>
  <c r="BU426" i="183" s="1"/>
  <c r="T834" i="183"/>
  <c r="BS427" i="183"/>
  <c r="BU427" i="183" s="1"/>
  <c r="T836" i="183"/>
  <c r="BS428" i="183"/>
  <c r="BU428" i="183" s="1"/>
  <c r="T838" i="183"/>
  <c r="BS429" i="183"/>
  <c r="T840" i="183"/>
  <c r="BS430" i="183"/>
  <c r="BU430" i="183" s="1"/>
  <c r="T842" i="183"/>
  <c r="BS431" i="183"/>
  <c r="BU431" i="183" s="1"/>
  <c r="T844" i="183"/>
  <c r="BS432" i="183"/>
  <c r="BU432" i="183" s="1"/>
  <c r="T846" i="183"/>
  <c r="BS433" i="183"/>
  <c r="BU433" i="183" s="1"/>
  <c r="T848" i="183"/>
  <c r="BS434" i="183"/>
  <c r="BU434" i="183" s="1"/>
  <c r="T850" i="183"/>
  <c r="BS435" i="183"/>
  <c r="T852" i="183"/>
  <c r="BS436" i="183"/>
  <c r="T854" i="183"/>
  <c r="BS437" i="183"/>
  <c r="BU437" i="183" s="1"/>
  <c r="T856" i="183"/>
  <c r="BS438" i="183"/>
  <c r="BU438" i="183" s="1"/>
  <c r="T858" i="183"/>
  <c r="BS439" i="183"/>
  <c r="BU439" i="183" s="1"/>
  <c r="T860" i="183"/>
  <c r="BS440" i="183"/>
  <c r="BU440" i="183" s="1"/>
  <c r="T862" i="183"/>
  <c r="BS441" i="183"/>
  <c r="T864" i="183"/>
  <c r="BS442" i="183"/>
  <c r="BU442" i="183" s="1"/>
  <c r="T866" i="183"/>
  <c r="BS443" i="183"/>
  <c r="T868" i="183"/>
  <c r="BS444" i="183"/>
  <c r="BU444" i="183" s="1"/>
  <c r="T870" i="183"/>
  <c r="BS445" i="183"/>
  <c r="BU445" i="183" s="1"/>
  <c r="T872" i="183"/>
  <c r="BS446" i="183"/>
  <c r="BU446" i="183" s="1"/>
  <c r="T874" i="183"/>
  <c r="BS447" i="183"/>
  <c r="T876" i="183"/>
  <c r="BS448" i="183"/>
  <c r="BU448" i="183" s="1"/>
  <c r="T878" i="183"/>
  <c r="BS449" i="183"/>
  <c r="T880" i="183"/>
  <c r="BS450" i="183"/>
  <c r="BU450" i="183" s="1"/>
  <c r="T882" i="183"/>
  <c r="BS451" i="183"/>
  <c r="BU451" i="183" s="1"/>
  <c r="T884" i="183"/>
  <c r="BS452" i="183"/>
  <c r="T886" i="183"/>
  <c r="BS453" i="183"/>
  <c r="T888" i="183"/>
  <c r="BS454" i="183"/>
  <c r="BU454" i="183" s="1"/>
  <c r="T890" i="183"/>
  <c r="BS455" i="183"/>
  <c r="T892" i="183"/>
  <c r="BS456" i="183"/>
  <c r="BU456" i="183" s="1"/>
  <c r="T894" i="183"/>
  <c r="BS457" i="183"/>
  <c r="BU457" i="183" s="1"/>
  <c r="T896" i="183"/>
  <c r="BS458" i="183"/>
  <c r="BU458" i="183" s="1"/>
  <c r="T898" i="183"/>
  <c r="BS459" i="183"/>
  <c r="BU459" i="183" s="1"/>
  <c r="T900" i="183"/>
  <c r="BS460" i="183"/>
  <c r="BU460" i="183" s="1"/>
  <c r="T902" i="183"/>
  <c r="BS461" i="183"/>
  <c r="T904" i="183"/>
  <c r="BS462" i="183"/>
  <c r="BU462" i="183" s="1"/>
  <c r="T906" i="183"/>
  <c r="BS463" i="183"/>
  <c r="T908" i="183"/>
  <c r="BS464" i="183"/>
  <c r="BU464" i="183" s="1"/>
  <c r="T910" i="183"/>
  <c r="BS465" i="183"/>
  <c r="T912" i="183"/>
  <c r="BS466" i="183"/>
  <c r="BU466" i="183" s="1"/>
  <c r="T914" i="183"/>
  <c r="BS467" i="183"/>
  <c r="BU467" i="183" s="1"/>
  <c r="T916" i="183"/>
  <c r="BS468" i="183"/>
  <c r="T918" i="183"/>
  <c r="BS469" i="183"/>
  <c r="BU469" i="183" s="1"/>
  <c r="T920" i="183"/>
  <c r="BS470" i="183"/>
  <c r="BU470" i="183" s="1"/>
  <c r="T922" i="183"/>
  <c r="BS471" i="183"/>
  <c r="T924" i="183"/>
  <c r="BS472" i="183"/>
  <c r="BU472" i="183" s="1"/>
  <c r="T926" i="183"/>
  <c r="BS473" i="183"/>
  <c r="BU473" i="183" s="1"/>
  <c r="T928" i="183"/>
  <c r="BS474" i="183"/>
  <c r="BU474" i="183" s="1"/>
  <c r="T930" i="183"/>
  <c r="BS475" i="183"/>
  <c r="BU475" i="183" s="1"/>
  <c r="T932" i="183"/>
  <c r="BS476" i="183"/>
  <c r="BU476" i="183" s="1"/>
  <c r="T934" i="183"/>
  <c r="BS477" i="183"/>
  <c r="T936" i="183"/>
  <c r="BS478" i="183"/>
  <c r="BU478" i="183" s="1"/>
  <c r="T938" i="183"/>
  <c r="BS479" i="183"/>
  <c r="T940" i="183"/>
  <c r="BS480" i="183"/>
  <c r="BU480" i="183" s="1"/>
  <c r="T942" i="183"/>
  <c r="BS481" i="183"/>
  <c r="BU481" i="183" s="1"/>
  <c r="T944" i="183"/>
  <c r="BS482" i="183"/>
  <c r="BU482" i="183" s="1"/>
  <c r="T946" i="183"/>
  <c r="BS483" i="183"/>
  <c r="T948" i="183"/>
  <c r="BS484" i="183"/>
  <c r="T950" i="183"/>
  <c r="BS485" i="183"/>
  <c r="T952" i="183"/>
  <c r="BS486" i="183"/>
  <c r="BU486" i="183" s="1"/>
  <c r="T954" i="183"/>
  <c r="BS487" i="183"/>
  <c r="BU487" i="183" s="1"/>
  <c r="T956" i="183"/>
  <c r="BS488" i="183"/>
  <c r="BU488" i="183" s="1"/>
  <c r="T958" i="183"/>
  <c r="BS489" i="183"/>
  <c r="T960" i="183"/>
  <c r="BS490" i="183"/>
  <c r="BU490" i="183" s="1"/>
  <c r="T962" i="183"/>
  <c r="BS491" i="183"/>
  <c r="T964" i="183"/>
  <c r="BS492" i="183"/>
  <c r="BU492" i="183" s="1"/>
  <c r="T966" i="183"/>
  <c r="BS493" i="183"/>
  <c r="T968" i="183"/>
  <c r="BS494" i="183"/>
  <c r="BU494" i="183" s="1"/>
  <c r="T970" i="183"/>
  <c r="BS495" i="183"/>
  <c r="BU495" i="183" s="1"/>
  <c r="T972" i="183"/>
  <c r="BS496" i="183"/>
  <c r="BU496" i="183" s="1"/>
  <c r="T974" i="183"/>
  <c r="BS497" i="183"/>
  <c r="T976" i="183"/>
  <c r="BS498" i="183"/>
  <c r="BU498" i="183" s="1"/>
  <c r="T978" i="183"/>
  <c r="BS499" i="183"/>
  <c r="BU499" i="183" s="1"/>
  <c r="T980" i="183"/>
  <c r="BS500" i="183"/>
  <c r="T982" i="183"/>
  <c r="BS501" i="183"/>
  <c r="BU501" i="183" s="1"/>
  <c r="T984" i="183"/>
  <c r="BS502" i="183"/>
  <c r="BU502" i="183" s="1"/>
  <c r="T986" i="183"/>
  <c r="BS503" i="183"/>
  <c r="T988" i="183"/>
  <c r="BS504" i="183"/>
  <c r="BU504" i="183" s="1"/>
  <c r="T990" i="183"/>
  <c r="BS505" i="183"/>
  <c r="BU505" i="183" s="1"/>
  <c r="T992" i="183"/>
  <c r="BS506" i="183"/>
  <c r="BU506" i="183" s="1"/>
  <c r="T994" i="183"/>
  <c r="BS507" i="183"/>
  <c r="T996" i="183"/>
  <c r="BS508" i="183"/>
  <c r="BU508" i="183" s="1"/>
  <c r="T998" i="183"/>
  <c r="BS509" i="183"/>
  <c r="BU509" i="183" s="1"/>
  <c r="T1000" i="183"/>
  <c r="BS510" i="183"/>
  <c r="BU510" i="183" s="1"/>
  <c r="T1002" i="183"/>
  <c r="BS511" i="183"/>
  <c r="BU511" i="183" s="1"/>
  <c r="T1004" i="183"/>
  <c r="BS512" i="183"/>
  <c r="BU512" i="183" s="1"/>
  <c r="T1006" i="183"/>
  <c r="BS513" i="183"/>
  <c r="T1008" i="183"/>
  <c r="BS514" i="183"/>
  <c r="BU514" i="183" s="1"/>
  <c r="T1010" i="183"/>
  <c r="BS515" i="183"/>
  <c r="T1012" i="183"/>
  <c r="BS516" i="183"/>
  <c r="BU516" i="183" s="1"/>
  <c r="T1014" i="183"/>
  <c r="BS517" i="183"/>
  <c r="BU517" i="183" s="1"/>
  <c r="T1016" i="183"/>
  <c r="BS518" i="183"/>
  <c r="BU518" i="183" s="1"/>
  <c r="T1018" i="183"/>
  <c r="BS519" i="183"/>
  <c r="T1020" i="183"/>
  <c r="BS520" i="183"/>
  <c r="BU520" i="183" s="1"/>
  <c r="T1022" i="183"/>
  <c r="BS521" i="183"/>
  <c r="T1024" i="183"/>
  <c r="BS522" i="183"/>
  <c r="BU522" i="183" s="1"/>
  <c r="T1026" i="183"/>
  <c r="BS523" i="183"/>
  <c r="BU523" i="183" s="1"/>
  <c r="T1028" i="183"/>
  <c r="BS524" i="183"/>
  <c r="BU524" i="183" s="1"/>
  <c r="T1030" i="183"/>
  <c r="BS525" i="183"/>
  <c r="T1032" i="183"/>
  <c r="BS526" i="183"/>
  <c r="BU526" i="183" s="1"/>
  <c r="T1034" i="183"/>
  <c r="BS527" i="183"/>
  <c r="BU527" i="183" s="1"/>
  <c r="T1036" i="183"/>
  <c r="BS528" i="183"/>
  <c r="BU528" i="183" s="1"/>
  <c r="T1038" i="183"/>
  <c r="BS529" i="183"/>
  <c r="BU529" i="183" s="1"/>
  <c r="T1040" i="183"/>
  <c r="BS530" i="183"/>
  <c r="BU530" i="183" s="1"/>
  <c r="T1042" i="183"/>
  <c r="BS531" i="183"/>
  <c r="BU531" i="183" s="1"/>
  <c r="T1044" i="183"/>
  <c r="BS532" i="183"/>
  <c r="T1046" i="183"/>
  <c r="BS533" i="183"/>
  <c r="T1048" i="183"/>
  <c r="BS534" i="183"/>
  <c r="BU534" i="183" s="1"/>
  <c r="T1050" i="183"/>
  <c r="BS535" i="183"/>
  <c r="BU535" i="183" s="1"/>
  <c r="T1052" i="183"/>
  <c r="BS536" i="183"/>
  <c r="BU536" i="183" s="1"/>
  <c r="T1054" i="183"/>
  <c r="BS537" i="183"/>
  <c r="BU537" i="183" s="1"/>
  <c r="T1056" i="183"/>
  <c r="BS538" i="183"/>
  <c r="BU538" i="183" s="1"/>
  <c r="T1058" i="183"/>
  <c r="BS539" i="183"/>
  <c r="T1060" i="183"/>
  <c r="BS540" i="183"/>
  <c r="BU540" i="183" s="1"/>
  <c r="T1062" i="183"/>
  <c r="BS541" i="183"/>
  <c r="BU541" i="183" s="1"/>
  <c r="T1064" i="183"/>
  <c r="BS542" i="183"/>
  <c r="BU542" i="183" s="1"/>
  <c r="T1066" i="183"/>
  <c r="BS543" i="183"/>
  <c r="T1068" i="183"/>
  <c r="BS544" i="183"/>
  <c r="BU544" i="183" s="1"/>
  <c r="T1070" i="183"/>
  <c r="BS545" i="183"/>
  <c r="BU545" i="183" s="1"/>
  <c r="T1072" i="183"/>
  <c r="BS546" i="183"/>
  <c r="BU546" i="183" s="1"/>
  <c r="T1074" i="183"/>
  <c r="BS547" i="183"/>
  <c r="BU547" i="183" s="1"/>
  <c r="T1076" i="183"/>
  <c r="BS548" i="183"/>
  <c r="T1078" i="183"/>
  <c r="BS549" i="183"/>
  <c r="T1080" i="183"/>
  <c r="BS550" i="183"/>
  <c r="BU550" i="183" s="1"/>
  <c r="T1082" i="183"/>
  <c r="BS551" i="183"/>
  <c r="BU551" i="183" s="1"/>
  <c r="T1084" i="183"/>
  <c r="BS552" i="183"/>
  <c r="BU552" i="183" s="1"/>
  <c r="T1086" i="183"/>
  <c r="BS553" i="183"/>
  <c r="BU553" i="183" s="1"/>
  <c r="T1088" i="183"/>
  <c r="BS554" i="183"/>
  <c r="BU554" i="183" s="1"/>
  <c r="T1090" i="183"/>
  <c r="BS555" i="183"/>
  <c r="BU555" i="183" s="1"/>
  <c r="T1092" i="183"/>
  <c r="BS556" i="183"/>
  <c r="BU556" i="183" s="1"/>
  <c r="T1094" i="183"/>
  <c r="BS557" i="183"/>
  <c r="T1096" i="183"/>
  <c r="BS558" i="183"/>
  <c r="BU558" i="183" s="1"/>
  <c r="T1098" i="183"/>
  <c r="BS559" i="183"/>
  <c r="BU559" i="183" s="1"/>
  <c r="T1100" i="183"/>
  <c r="BS560" i="183"/>
  <c r="BU560" i="183" s="1"/>
  <c r="T1102" i="183"/>
  <c r="BS688" i="183"/>
  <c r="T1358" i="183"/>
  <c r="BS689" i="183"/>
  <c r="BU689" i="183" s="1"/>
  <c r="T1360" i="183"/>
  <c r="BS690" i="183"/>
  <c r="T1362" i="183"/>
  <c r="BS691" i="183"/>
  <c r="BU691" i="183" s="1"/>
  <c r="T1364" i="183"/>
  <c r="BS692" i="183"/>
  <c r="BU692" i="183" s="1"/>
  <c r="T1366" i="183"/>
  <c r="BS693" i="183"/>
  <c r="BU693" i="183" s="1"/>
  <c r="T1368" i="183"/>
  <c r="BS694" i="183"/>
  <c r="T1370" i="183"/>
  <c r="BS695" i="183"/>
  <c r="BU695" i="183" s="1"/>
  <c r="T1372" i="183"/>
  <c r="BS696" i="183"/>
  <c r="T1374" i="183"/>
  <c r="BS697" i="183"/>
  <c r="BU697" i="183" s="1"/>
  <c r="T1376" i="183"/>
  <c r="BS698" i="183"/>
  <c r="BU698" i="183" s="1"/>
  <c r="T1378" i="183"/>
  <c r="BS699" i="183"/>
  <c r="BU699" i="183" s="1"/>
  <c r="T1380" i="183"/>
  <c r="BS700" i="183"/>
  <c r="BU700" i="183" s="1"/>
  <c r="T1382" i="183"/>
  <c r="BS701" i="183"/>
  <c r="BU701" i="183" s="1"/>
  <c r="T1384" i="183"/>
  <c r="BS702" i="183"/>
  <c r="T1386" i="183"/>
  <c r="BS703" i="183"/>
  <c r="BU703" i="183" s="1"/>
  <c r="T1388" i="183"/>
  <c r="BS704" i="183"/>
  <c r="BU704" i="183" s="1"/>
  <c r="T1390" i="183"/>
  <c r="BS705" i="183"/>
  <c r="BU705" i="183" s="1"/>
  <c r="T1392" i="183"/>
  <c r="BS706" i="183"/>
  <c r="T1394" i="183"/>
  <c r="BS707" i="183"/>
  <c r="BU707" i="183" s="1"/>
  <c r="T1396" i="183"/>
  <c r="BS708" i="183"/>
  <c r="BU708" i="183" s="1"/>
  <c r="T1398" i="183"/>
  <c r="BS709" i="183"/>
  <c r="BU709" i="183" s="1"/>
  <c r="T1400" i="183"/>
  <c r="BS710" i="183"/>
  <c r="BU710" i="183" s="1"/>
  <c r="T1402" i="183"/>
  <c r="BS711" i="183"/>
  <c r="BU711" i="183" s="1"/>
  <c r="T1404" i="183"/>
  <c r="BS712" i="183"/>
  <c r="T1406" i="183"/>
  <c r="BS713" i="183"/>
  <c r="BU713" i="183" s="1"/>
  <c r="T1408" i="183"/>
  <c r="BS714" i="183"/>
  <c r="BU714" i="183" s="1"/>
  <c r="T1410" i="183"/>
  <c r="BS715" i="183"/>
  <c r="BU715" i="183" s="1"/>
  <c r="T1412" i="183"/>
  <c r="BS716" i="183"/>
  <c r="BU716" i="183" s="1"/>
  <c r="T1414" i="183"/>
  <c r="BS717" i="183"/>
  <c r="BU717" i="183" s="1"/>
  <c r="T1416" i="183"/>
  <c r="BS718" i="183"/>
  <c r="T1418" i="183"/>
  <c r="BS719" i="183"/>
  <c r="BU719" i="183" s="1"/>
  <c r="T1420" i="183"/>
  <c r="BS720" i="183"/>
  <c r="T1422" i="183"/>
  <c r="BS721" i="183"/>
  <c r="BU721" i="183" s="1"/>
  <c r="T1424" i="183"/>
  <c r="BS722" i="183"/>
  <c r="BU722" i="183" s="1"/>
  <c r="T1426" i="183"/>
  <c r="BS723" i="183"/>
  <c r="T1428" i="183"/>
  <c r="BS724" i="183"/>
  <c r="T1430" i="183"/>
  <c r="BS725" i="183"/>
  <c r="BU725" i="183" s="1"/>
  <c r="T1432" i="183"/>
  <c r="BS726" i="183"/>
  <c r="T1434" i="183"/>
  <c r="BS727" i="183"/>
  <c r="BU727" i="183" s="1"/>
  <c r="T1436" i="183"/>
  <c r="BS728" i="183"/>
  <c r="BU728" i="183" s="1"/>
  <c r="T1438" i="183"/>
  <c r="BS729" i="183"/>
  <c r="BU729" i="183" s="1"/>
  <c r="T1440" i="183"/>
  <c r="BS730" i="183"/>
  <c r="T1442" i="183"/>
  <c r="BS731" i="183"/>
  <c r="BU731" i="183" s="1"/>
  <c r="T1444" i="183"/>
  <c r="BS732" i="183"/>
  <c r="T1446" i="183"/>
  <c r="BS733" i="183"/>
  <c r="BU733" i="183" s="1"/>
  <c r="T1448" i="183"/>
  <c r="BS734" i="183"/>
  <c r="BU734" i="183" s="1"/>
  <c r="T1450" i="183"/>
  <c r="BS735" i="183"/>
  <c r="BU735" i="183" s="1"/>
  <c r="T1452" i="183"/>
  <c r="BS736" i="183"/>
  <c r="BU736" i="183" s="1"/>
  <c r="T1454" i="183"/>
  <c r="BS737" i="183"/>
  <c r="BU737" i="183" s="1"/>
  <c r="T1456" i="183"/>
  <c r="BS738" i="183"/>
  <c r="BU738" i="183" s="1"/>
  <c r="T1458" i="183"/>
  <c r="BS739" i="183"/>
  <c r="BU739" i="183" s="1"/>
  <c r="T1460" i="183"/>
  <c r="BS740" i="183"/>
  <c r="BU740" i="183" s="1"/>
  <c r="T1462" i="183"/>
  <c r="BS741" i="183"/>
  <c r="BU741" i="183" s="1"/>
  <c r="T1464" i="183"/>
  <c r="BS742" i="183"/>
  <c r="T1466" i="183"/>
  <c r="BS743" i="183"/>
  <c r="BU743" i="183" s="1"/>
  <c r="T1468" i="183"/>
  <c r="BS744" i="183"/>
  <c r="BU744" i="183" s="1"/>
  <c r="T1470" i="183"/>
  <c r="BS745" i="183"/>
  <c r="BU745" i="183" s="1"/>
  <c r="T1472" i="183"/>
  <c r="BS746" i="183"/>
  <c r="BU746" i="183" s="1"/>
  <c r="T1474" i="183"/>
  <c r="BS747" i="183"/>
  <c r="BU747" i="183" s="1"/>
  <c r="T1476" i="183"/>
  <c r="BS748" i="183"/>
  <c r="T1478" i="183"/>
  <c r="BS749" i="183"/>
  <c r="BU749" i="183" s="1"/>
  <c r="T1480" i="183"/>
  <c r="BS750" i="183"/>
  <c r="T1482" i="183"/>
  <c r="BS751" i="183"/>
  <c r="BU751" i="183" s="1"/>
  <c r="T1484" i="183"/>
  <c r="BS752" i="183"/>
  <c r="BU752" i="183" s="1"/>
  <c r="T1486" i="183"/>
  <c r="BS753" i="183"/>
  <c r="BU753" i="183" s="1"/>
  <c r="T1488" i="183"/>
  <c r="BS754" i="183"/>
  <c r="T1490" i="183"/>
  <c r="BS755" i="183"/>
  <c r="T1492" i="183"/>
  <c r="BS756" i="183"/>
  <c r="T1494" i="183"/>
  <c r="BS757" i="183"/>
  <c r="BU757" i="183" s="1"/>
  <c r="T1496" i="183"/>
  <c r="BS758" i="183"/>
  <c r="BU758" i="183" s="1"/>
  <c r="T1498" i="183"/>
  <c r="BS759" i="183"/>
  <c r="BU759" i="183" s="1"/>
  <c r="T1500" i="183"/>
  <c r="BS760" i="183"/>
  <c r="T1502" i="183"/>
  <c r="BS761" i="183"/>
  <c r="BU761" i="183" s="1"/>
  <c r="T1504" i="183"/>
  <c r="BS762" i="183"/>
  <c r="T1506" i="183"/>
  <c r="BS763" i="183"/>
  <c r="BU763" i="183" s="1"/>
  <c r="T1508" i="183"/>
  <c r="BS764" i="183"/>
  <c r="BU764" i="183" s="1"/>
  <c r="T1510" i="183"/>
  <c r="BS765" i="183"/>
  <c r="BU765" i="183" s="1"/>
  <c r="T1512" i="183"/>
  <c r="BS766" i="183"/>
  <c r="BU766" i="183" s="1"/>
  <c r="T1514" i="183"/>
  <c r="BS767" i="183"/>
  <c r="BU767" i="183" s="1"/>
  <c r="T1516" i="183"/>
  <c r="BS768" i="183"/>
  <c r="BU768" i="183" s="1"/>
  <c r="T1518" i="183"/>
  <c r="BS769" i="183"/>
  <c r="BU769" i="183" s="1"/>
  <c r="T1520" i="183"/>
  <c r="BS770" i="183"/>
  <c r="BU770" i="183" s="1"/>
  <c r="T1522" i="183"/>
  <c r="BS771" i="183"/>
  <c r="T1524" i="183"/>
  <c r="BS772" i="183"/>
  <c r="BU772" i="183" s="1"/>
  <c r="T1526" i="183"/>
  <c r="BS773" i="183"/>
  <c r="BU773" i="183" s="1"/>
  <c r="T1528" i="183"/>
  <c r="BS774" i="183"/>
  <c r="T1530" i="183"/>
  <c r="BS775" i="183"/>
  <c r="BU775" i="183" s="1"/>
  <c r="T1532" i="183"/>
  <c r="BS776" i="183"/>
  <c r="BU776" i="183" s="1"/>
  <c r="T1534" i="183"/>
  <c r="BS777" i="183"/>
  <c r="BU777" i="183" s="1"/>
  <c r="T1536" i="183"/>
  <c r="BS778" i="183"/>
  <c r="BU778" i="183" s="1"/>
  <c r="T1538" i="183"/>
  <c r="BS779" i="183"/>
  <c r="BU779" i="183" s="1"/>
  <c r="T1540" i="183"/>
  <c r="BS780" i="183"/>
  <c r="T1542" i="183"/>
  <c r="BS781" i="183"/>
  <c r="BU781" i="183" s="1"/>
  <c r="T1544" i="183"/>
  <c r="BS782" i="183"/>
  <c r="BU782" i="183" s="1"/>
  <c r="T1546" i="183"/>
  <c r="BS783" i="183"/>
  <c r="BU783" i="183" s="1"/>
  <c r="T1548" i="183"/>
  <c r="BS784" i="183"/>
  <c r="T1550" i="183"/>
  <c r="BS785" i="183"/>
  <c r="BU785" i="183" s="1"/>
  <c r="T1552" i="183"/>
  <c r="BS786" i="183"/>
  <c r="BU786" i="183" s="1"/>
  <c r="T1554" i="183"/>
  <c r="BS787" i="183"/>
  <c r="T1556" i="183"/>
  <c r="BS788" i="183"/>
  <c r="BU788" i="183" s="1"/>
  <c r="T1558" i="183"/>
  <c r="BS789" i="183"/>
  <c r="BU789" i="183" s="1"/>
  <c r="T1560" i="183"/>
  <c r="BS790" i="183"/>
  <c r="BU790" i="183" s="1"/>
  <c r="T1562" i="183"/>
  <c r="BS791" i="183"/>
  <c r="BU791" i="183" s="1"/>
  <c r="T1564" i="183"/>
  <c r="BS792" i="183"/>
  <c r="BU792" i="183" s="1"/>
  <c r="T1566" i="183"/>
  <c r="BS793" i="183"/>
  <c r="BU793" i="183" s="1"/>
  <c r="T1568" i="183"/>
  <c r="BS794" i="183"/>
  <c r="BU794" i="183" s="1"/>
  <c r="T1570" i="183"/>
  <c r="BS795" i="183"/>
  <c r="T1572" i="183"/>
  <c r="BS796" i="183"/>
  <c r="T1574" i="183"/>
  <c r="BS797" i="183"/>
  <c r="BU797" i="183" s="1"/>
  <c r="T1576" i="183"/>
  <c r="BS798" i="183"/>
  <c r="BU798" i="183" s="1"/>
  <c r="T1578" i="183"/>
  <c r="BS799" i="183"/>
  <c r="BU799" i="183" s="1"/>
  <c r="T1580" i="183"/>
  <c r="BS800" i="183"/>
  <c r="BU800" i="183" s="1"/>
  <c r="T1582" i="183"/>
  <c r="BS801" i="183"/>
  <c r="BU801" i="183" s="1"/>
  <c r="T1584" i="183"/>
  <c r="BS802" i="183"/>
  <c r="T1586" i="183"/>
  <c r="BS803" i="183"/>
  <c r="T1588" i="183"/>
  <c r="BS804" i="183"/>
  <c r="T1590" i="183"/>
  <c r="BS805" i="183"/>
  <c r="BU805" i="183" s="1"/>
  <c r="T1592" i="183"/>
  <c r="BS806" i="183"/>
  <c r="BU806" i="183" s="1"/>
  <c r="T1594" i="183"/>
  <c r="BS807" i="183"/>
  <c r="BU807" i="183" s="1"/>
  <c r="T1596" i="183"/>
  <c r="BS808" i="183"/>
  <c r="T1598" i="183"/>
  <c r="BS809" i="183"/>
  <c r="BU809" i="183" s="1"/>
  <c r="T1600" i="183"/>
  <c r="BS810" i="183"/>
  <c r="BU810" i="183" s="1"/>
  <c r="T1602" i="183"/>
  <c r="BS811" i="183"/>
  <c r="BU811" i="183" s="1"/>
  <c r="T1604" i="183"/>
  <c r="BS812" i="183"/>
  <c r="BU812" i="183" s="1"/>
  <c r="T1606" i="183"/>
  <c r="BS813" i="183"/>
  <c r="BU813" i="183" s="1"/>
  <c r="T1608" i="183"/>
  <c r="BS814" i="183"/>
  <c r="BU814" i="183" s="1"/>
  <c r="T1610" i="183"/>
  <c r="BS815" i="183"/>
  <c r="T1612" i="183"/>
  <c r="BS816" i="183"/>
  <c r="T1614" i="183"/>
  <c r="BS817" i="183"/>
  <c r="BU817" i="183" s="1"/>
  <c r="T1616" i="183"/>
  <c r="BS818" i="183"/>
  <c r="BU818" i="183" s="1"/>
  <c r="T1618" i="183"/>
  <c r="BS819" i="183"/>
  <c r="T1620" i="183"/>
  <c r="BS820" i="183"/>
  <c r="BU820" i="183" s="1"/>
  <c r="T1622" i="183"/>
  <c r="BS821" i="183"/>
  <c r="BU821" i="183" s="1"/>
  <c r="T1624" i="183"/>
  <c r="BS822" i="183"/>
  <c r="T1626" i="183"/>
  <c r="BS823" i="183"/>
  <c r="BU823" i="183" s="1"/>
  <c r="T1628" i="183"/>
  <c r="BS824" i="183"/>
  <c r="BU824" i="183" s="1"/>
  <c r="T1630" i="183"/>
  <c r="BS825" i="183"/>
  <c r="BU825" i="183" s="1"/>
  <c r="T1632" i="183"/>
  <c r="BS826" i="183"/>
  <c r="T1634" i="183"/>
  <c r="BS827" i="183"/>
  <c r="T1636" i="183"/>
  <c r="BS828" i="183"/>
  <c r="T1638" i="183"/>
  <c r="BS829" i="183"/>
  <c r="BU829" i="183" s="1"/>
  <c r="T1640" i="183"/>
  <c r="BS830" i="183"/>
  <c r="BU830" i="183" s="1"/>
  <c r="T1642" i="183"/>
  <c r="BS831" i="183"/>
  <c r="T1644" i="183"/>
  <c r="BS832" i="183"/>
  <c r="BU832" i="183" s="1"/>
  <c r="T1646" i="183"/>
  <c r="BS833" i="183"/>
  <c r="BU833" i="183" s="1"/>
  <c r="T1648" i="183"/>
  <c r="BS834" i="183"/>
  <c r="BU834" i="183" s="1"/>
  <c r="T1650" i="183"/>
  <c r="BS835" i="183"/>
  <c r="BU835" i="183" s="1"/>
  <c r="T1652" i="183"/>
  <c r="BS836" i="183"/>
  <c r="BU836" i="183" s="1"/>
  <c r="T1654" i="183"/>
  <c r="BS837" i="183"/>
  <c r="BU837" i="183" s="1"/>
  <c r="T1656" i="183"/>
  <c r="BS838" i="183"/>
  <c r="BU838" i="183" s="1"/>
  <c r="T1658" i="183"/>
  <c r="BS839" i="183"/>
  <c r="BU839" i="183" s="1"/>
  <c r="T1660" i="183"/>
  <c r="BS840" i="183"/>
  <c r="T1662" i="183"/>
  <c r="BS841" i="183"/>
  <c r="BU841" i="183" s="1"/>
  <c r="T1664" i="183"/>
  <c r="BS842" i="183"/>
  <c r="BU842" i="183" s="1"/>
  <c r="T1666" i="183"/>
  <c r="BS843" i="183"/>
  <c r="T1668" i="183"/>
  <c r="BS844" i="183"/>
  <c r="BU844" i="183" s="1"/>
  <c r="T1670" i="183"/>
  <c r="BS845" i="183"/>
  <c r="BU845" i="183" s="1"/>
  <c r="T1672" i="183"/>
  <c r="BS846" i="183"/>
  <c r="T1674" i="183"/>
  <c r="BS847" i="183"/>
  <c r="BU847" i="183" s="1"/>
  <c r="T1676" i="183"/>
  <c r="BS848" i="183"/>
  <c r="BU848" i="183" s="1"/>
  <c r="T1678" i="183"/>
  <c r="BS849" i="183"/>
  <c r="BU849" i="183" s="1"/>
  <c r="T1680" i="183"/>
  <c r="BS850" i="183"/>
  <c r="BU850" i="183" s="1"/>
  <c r="T1682" i="183"/>
  <c r="BS851" i="183"/>
  <c r="T1684" i="183"/>
  <c r="BS852" i="183"/>
  <c r="T1686" i="183"/>
  <c r="BS853" i="183"/>
  <c r="BU853" i="183" s="1"/>
  <c r="T1688" i="183"/>
  <c r="BS854" i="183"/>
  <c r="BU854" i="183" s="1"/>
  <c r="T1690" i="183"/>
  <c r="BS855" i="183"/>
  <c r="BU855" i="183" s="1"/>
  <c r="T1692" i="183"/>
  <c r="BS856" i="183"/>
  <c r="BU856" i="183" s="1"/>
  <c r="T1694" i="183"/>
  <c r="BS857" i="183"/>
  <c r="BU857" i="183" s="1"/>
  <c r="T1696" i="183"/>
  <c r="BS858" i="183"/>
  <c r="BU858" i="183" s="1"/>
  <c r="T1698" i="183"/>
  <c r="BS859" i="183"/>
  <c r="T1700" i="183"/>
  <c r="BS860" i="183"/>
  <c r="BU860" i="183" s="1"/>
  <c r="T1702" i="183"/>
  <c r="BS861" i="183"/>
  <c r="BU861" i="183" s="1"/>
  <c r="T1704" i="183"/>
  <c r="BS862" i="183"/>
  <c r="BU862" i="183" s="1"/>
  <c r="T1706" i="183"/>
  <c r="BS863" i="183"/>
  <c r="T1708" i="183"/>
  <c r="BS864" i="183"/>
  <c r="T1710" i="183"/>
  <c r="BS865" i="183"/>
  <c r="BU865" i="183" s="1"/>
  <c r="T1712" i="183"/>
  <c r="BS866" i="183"/>
  <c r="BU866" i="183" s="1"/>
  <c r="T1714" i="183"/>
  <c r="BS867" i="183"/>
  <c r="T1716" i="183"/>
  <c r="BS868" i="183"/>
  <c r="T1718" i="183"/>
  <c r="BS869" i="183"/>
  <c r="BU869" i="183" s="1"/>
  <c r="T1720" i="183"/>
  <c r="BS870" i="183"/>
  <c r="T1722" i="183"/>
  <c r="BS871" i="183"/>
  <c r="BU871" i="183" s="1"/>
  <c r="T1724" i="183"/>
  <c r="BS872" i="183"/>
  <c r="BU872" i="183" s="1"/>
  <c r="T1726" i="183"/>
  <c r="BS873" i="183"/>
  <c r="BU873" i="183" s="1"/>
  <c r="T1728" i="183"/>
  <c r="BS874" i="183"/>
  <c r="BU874" i="183" s="1"/>
  <c r="T1730" i="183"/>
  <c r="BS875" i="183"/>
  <c r="T1732" i="183"/>
  <c r="BS876" i="183"/>
  <c r="BU876" i="183" s="1"/>
  <c r="T1734" i="183"/>
  <c r="BS877" i="183"/>
  <c r="BU877" i="183" s="1"/>
  <c r="T1736" i="183"/>
  <c r="BS878" i="183"/>
  <c r="BU878" i="183" s="1"/>
  <c r="T1738" i="183"/>
  <c r="BS879" i="183"/>
  <c r="T1740" i="183"/>
  <c r="BS880" i="183"/>
  <c r="T1742" i="183"/>
  <c r="BS881" i="183"/>
  <c r="BU881" i="183" s="1"/>
  <c r="T1744" i="183"/>
  <c r="BS882" i="183"/>
  <c r="T1746" i="183"/>
  <c r="BS883" i="183"/>
  <c r="T1748" i="183"/>
  <c r="BS884" i="183"/>
  <c r="BU884" i="183" s="1"/>
  <c r="T1750" i="183"/>
  <c r="BS885" i="183"/>
  <c r="BU885" i="183" s="1"/>
  <c r="T1752" i="183"/>
  <c r="BS886" i="183"/>
  <c r="T1754" i="183"/>
  <c r="BS887" i="183"/>
  <c r="BU887" i="183" s="1"/>
  <c r="T1756" i="183"/>
  <c r="BS888" i="183"/>
  <c r="T1758" i="183"/>
  <c r="BS889" i="183"/>
  <c r="BU889" i="183" s="1"/>
  <c r="T1760" i="183"/>
  <c r="BS890" i="183"/>
  <c r="BU890" i="183" s="1"/>
  <c r="T1762" i="183"/>
  <c r="BS891" i="183"/>
  <c r="T1764" i="183"/>
  <c r="BS892" i="183"/>
  <c r="T1766" i="183"/>
  <c r="BS893" i="183"/>
  <c r="BU893" i="183" s="1"/>
  <c r="T1768" i="183"/>
  <c r="BS894" i="183"/>
  <c r="T1770" i="183"/>
  <c r="BS895" i="183"/>
  <c r="BU895" i="183" s="1"/>
  <c r="T1772" i="183"/>
  <c r="BS896" i="183"/>
  <c r="BU896" i="183" s="1"/>
  <c r="T1774" i="183"/>
  <c r="BS897" i="183"/>
  <c r="BU897" i="183" s="1"/>
  <c r="T1776" i="183"/>
  <c r="BS898" i="183"/>
  <c r="BU898" i="183" s="1"/>
  <c r="T1778" i="183"/>
  <c r="BS899" i="183"/>
  <c r="T1780" i="183"/>
  <c r="BS900" i="183"/>
  <c r="T1782" i="183"/>
  <c r="BS901" i="183"/>
  <c r="BU901" i="183" s="1"/>
  <c r="T1784" i="183"/>
  <c r="BS902" i="183"/>
  <c r="BU902" i="183" s="1"/>
  <c r="T1786" i="183"/>
  <c r="BS903" i="183"/>
  <c r="BU903" i="183" s="1"/>
  <c r="T1788" i="183"/>
  <c r="BS904" i="183"/>
  <c r="T1790" i="183"/>
  <c r="BS905" i="183"/>
  <c r="BU905" i="183" s="1"/>
  <c r="T1792" i="183"/>
  <c r="BS906" i="183"/>
  <c r="T1794" i="183"/>
  <c r="BS907" i="183"/>
  <c r="T1796" i="183"/>
  <c r="BS908" i="183"/>
  <c r="BU908" i="183" s="1"/>
  <c r="T1798" i="183"/>
  <c r="BS909" i="183"/>
  <c r="BU909" i="183" s="1"/>
  <c r="T1800" i="183"/>
  <c r="BS910" i="183"/>
  <c r="T1802" i="183"/>
  <c r="BS911" i="183"/>
  <c r="T1804" i="183"/>
  <c r="BS912" i="183"/>
  <c r="T1806" i="183"/>
  <c r="BS913" i="183"/>
  <c r="BU913" i="183" s="1"/>
  <c r="T1808" i="183"/>
  <c r="BS914" i="183"/>
  <c r="BU914" i="183" s="1"/>
  <c r="T1810" i="183"/>
  <c r="BS915" i="183"/>
  <c r="T1812" i="183"/>
  <c r="BS916" i="183"/>
  <c r="T1814" i="183"/>
  <c r="BS917" i="183"/>
  <c r="BU917" i="183" s="1"/>
  <c r="T1816" i="183"/>
  <c r="BS918" i="183"/>
  <c r="BU918" i="183" s="1"/>
  <c r="T1818" i="183"/>
  <c r="BS919" i="183"/>
  <c r="BU919" i="183" s="1"/>
  <c r="T1820" i="183"/>
  <c r="BS920" i="183"/>
  <c r="BU920" i="183" s="1"/>
  <c r="T1822" i="183"/>
  <c r="BS921" i="183"/>
  <c r="BU921" i="183" s="1"/>
  <c r="T1824" i="183"/>
  <c r="BS922" i="183"/>
  <c r="BU922" i="183" s="1"/>
  <c r="T1826" i="183"/>
  <c r="BS923" i="183"/>
  <c r="T1828" i="183"/>
  <c r="BS924" i="183"/>
  <c r="T1830" i="183"/>
  <c r="BS925" i="183"/>
  <c r="BU925" i="183" s="1"/>
  <c r="T1832" i="183"/>
  <c r="BS926" i="183"/>
  <c r="BU926" i="183" s="1"/>
  <c r="T1834" i="183"/>
  <c r="BS927" i="183"/>
  <c r="T1836" i="183"/>
  <c r="BS928" i="183"/>
  <c r="T1838" i="183"/>
  <c r="BS929" i="183"/>
  <c r="BU929" i="183" s="1"/>
  <c r="T1840" i="183"/>
  <c r="BS930" i="183"/>
  <c r="T1842" i="183"/>
  <c r="BS931" i="183"/>
  <c r="T1844" i="183"/>
  <c r="BS932" i="183"/>
  <c r="BU932" i="183" s="1"/>
  <c r="T1846" i="183"/>
  <c r="BS933" i="183"/>
  <c r="BU933" i="183" s="1"/>
  <c r="T1848" i="183"/>
  <c r="BS934" i="183"/>
  <c r="T1850" i="183"/>
  <c r="BS935" i="183"/>
  <c r="BU935" i="183" s="1"/>
  <c r="T1852" i="183"/>
  <c r="BS936" i="183"/>
  <c r="T1854" i="183"/>
  <c r="BS937" i="183"/>
  <c r="BU937" i="183" s="1"/>
  <c r="T1856" i="183"/>
  <c r="BS938" i="183"/>
  <c r="BU938" i="183" s="1"/>
  <c r="T1858" i="183"/>
  <c r="BS939" i="183"/>
  <c r="T1860" i="183"/>
  <c r="BS940" i="183"/>
  <c r="BU940" i="183" s="1"/>
  <c r="T1862" i="183"/>
  <c r="BS941" i="183"/>
  <c r="BU941" i="183" s="1"/>
  <c r="T1864" i="183"/>
  <c r="BS942" i="183"/>
  <c r="BU942" i="183" s="1"/>
  <c r="T1866" i="183"/>
  <c r="BS943" i="183"/>
  <c r="BU943" i="183" s="1"/>
  <c r="T1868" i="183"/>
  <c r="BS944" i="183"/>
  <c r="BU944" i="183" s="1"/>
  <c r="T1870" i="183"/>
  <c r="BS945" i="183"/>
  <c r="BU945" i="183" s="1"/>
  <c r="T1872" i="183"/>
  <c r="BS946" i="183"/>
  <c r="T1874" i="183"/>
  <c r="BS947" i="183"/>
  <c r="T1876" i="183"/>
  <c r="BS948" i="183"/>
  <c r="BU948" i="183" s="1"/>
  <c r="T1878" i="183"/>
  <c r="BS949" i="183"/>
  <c r="BU949" i="183" s="1"/>
  <c r="T1880" i="183"/>
  <c r="BS950" i="183"/>
  <c r="BU950" i="183" s="1"/>
  <c r="T1882" i="183"/>
  <c r="BS951" i="183"/>
  <c r="BU951" i="183" s="1"/>
  <c r="T1884" i="183"/>
  <c r="BS952" i="183"/>
  <c r="T1886" i="183"/>
  <c r="BS953" i="183"/>
  <c r="BU953" i="183" s="1"/>
  <c r="T1888" i="183"/>
  <c r="BS954" i="183"/>
  <c r="T1890" i="183"/>
  <c r="BS955" i="183"/>
  <c r="BU955" i="183" s="1"/>
  <c r="T1892" i="183"/>
  <c r="BS956" i="183"/>
  <c r="BU956" i="183" s="1"/>
  <c r="T1894" i="183"/>
  <c r="BS957" i="183"/>
  <c r="BU957" i="183" s="1"/>
  <c r="T1896" i="183"/>
  <c r="BS958" i="183"/>
  <c r="T1898" i="183"/>
  <c r="BS959" i="183"/>
  <c r="BU959" i="183" s="1"/>
  <c r="T1900" i="183"/>
  <c r="BS960" i="183"/>
  <c r="BU960" i="183" s="1"/>
  <c r="T1902" i="183"/>
  <c r="BS961" i="183"/>
  <c r="BU961" i="183" s="1"/>
  <c r="T1904" i="183"/>
  <c r="BS962" i="183"/>
  <c r="BU962" i="183" s="1"/>
  <c r="T1906" i="183"/>
  <c r="BS963" i="183"/>
  <c r="T1908" i="183"/>
  <c r="BS964" i="183"/>
  <c r="T1910" i="183"/>
  <c r="BS965" i="183"/>
  <c r="BU965" i="183" s="1"/>
  <c r="T1912" i="183"/>
  <c r="BS966" i="183"/>
  <c r="BU966" i="183" s="1"/>
  <c r="T1914" i="183"/>
  <c r="BS967" i="183"/>
  <c r="BU967" i="183" s="1"/>
  <c r="T1916" i="183"/>
  <c r="BS968" i="183"/>
  <c r="BU968" i="183" s="1"/>
  <c r="T1918" i="183"/>
  <c r="BS969" i="183"/>
  <c r="BU969" i="183" s="1"/>
  <c r="T1920" i="183"/>
  <c r="BS970" i="183"/>
  <c r="T1922" i="183"/>
  <c r="BS971" i="183"/>
  <c r="T1924" i="183"/>
  <c r="BS972" i="183"/>
  <c r="BU972" i="183" s="1"/>
  <c r="T1926" i="183"/>
  <c r="BS973" i="183"/>
  <c r="BU973" i="183" s="1"/>
  <c r="T1928" i="183"/>
  <c r="BS974" i="183"/>
  <c r="BU974" i="183" s="1"/>
  <c r="T1930" i="183"/>
  <c r="BS975" i="183"/>
  <c r="T1932" i="183"/>
  <c r="BS976" i="183"/>
  <c r="T1934" i="183"/>
  <c r="BS977" i="183"/>
  <c r="BU977" i="183" s="1"/>
  <c r="T1936" i="183"/>
  <c r="BS978" i="183"/>
  <c r="BU978" i="183" s="1"/>
  <c r="T1938" i="183"/>
  <c r="BS979" i="183"/>
  <c r="BU979" i="183" s="1"/>
  <c r="T1940" i="183"/>
  <c r="BS980" i="183"/>
  <c r="BU980" i="183" s="1"/>
  <c r="T1942" i="183"/>
  <c r="BS981" i="183"/>
  <c r="BU981" i="183" s="1"/>
  <c r="T1944" i="183"/>
  <c r="BS982" i="183"/>
  <c r="BU982" i="183" s="1"/>
  <c r="T1946" i="183"/>
  <c r="BS983" i="183"/>
  <c r="BU983" i="183" s="1"/>
  <c r="T1948" i="183"/>
  <c r="BS984" i="183"/>
  <c r="BU984" i="183" s="1"/>
  <c r="T1950" i="183"/>
  <c r="BS985" i="183"/>
  <c r="BU985" i="183" s="1"/>
  <c r="T1952" i="183"/>
  <c r="BS986" i="183"/>
  <c r="BU986" i="183" s="1"/>
  <c r="T1954" i="183"/>
  <c r="BS987" i="183"/>
  <c r="T1956" i="183"/>
  <c r="BS988" i="183"/>
  <c r="T1958" i="183"/>
  <c r="BS989" i="183"/>
  <c r="BU989" i="183" s="1"/>
  <c r="T1960" i="183"/>
  <c r="BS990" i="183"/>
  <c r="BU990" i="183" s="1"/>
  <c r="T1962" i="183"/>
  <c r="BS991" i="183"/>
  <c r="BU991" i="183" s="1"/>
  <c r="T1964" i="183"/>
  <c r="BS992" i="183"/>
  <c r="BU992" i="183" s="1"/>
  <c r="T1966" i="183"/>
  <c r="BS993" i="183"/>
  <c r="BU993" i="183" s="1"/>
  <c r="T1968" i="183"/>
  <c r="BS994" i="183"/>
  <c r="T1970" i="183"/>
  <c r="BS995" i="183"/>
  <c r="T1972" i="183"/>
  <c r="BS996" i="183"/>
  <c r="T1974" i="183"/>
  <c r="BS997" i="183"/>
  <c r="BU997" i="183" s="1"/>
  <c r="T1976" i="183"/>
  <c r="BS998" i="183"/>
  <c r="BU998" i="183" s="1"/>
  <c r="T1978" i="183"/>
  <c r="BS999" i="183"/>
  <c r="BU999" i="183" s="1"/>
  <c r="T1980" i="183"/>
  <c r="BS1000" i="183"/>
  <c r="T1982" i="183"/>
  <c r="BS1001" i="183"/>
  <c r="BU1001" i="183" s="1"/>
  <c r="T1984" i="183"/>
  <c r="BS1002" i="183"/>
  <c r="BU1002" i="183" s="1"/>
  <c r="T1986" i="183"/>
  <c r="BS1003" i="183"/>
  <c r="T1988" i="183"/>
  <c r="BS1004" i="183"/>
  <c r="BU1004" i="183" s="1"/>
  <c r="T1990" i="183"/>
  <c r="BS1005" i="183"/>
  <c r="BU1005" i="183" s="1"/>
  <c r="T1992" i="183"/>
  <c r="BS1006" i="183"/>
  <c r="BU1006" i="183" s="1"/>
  <c r="T1994" i="183"/>
  <c r="BS1007" i="183"/>
  <c r="T1996" i="183"/>
  <c r="BT28" i="183"/>
  <c r="BT18" i="183"/>
  <c r="AG22" i="183"/>
  <c r="AE13" i="183"/>
  <c r="BS18" i="183"/>
  <c r="BU18" i="183" s="1"/>
  <c r="S22" i="183"/>
  <c r="AG14" i="183"/>
  <c r="AG13" i="183"/>
  <c r="S24" i="183"/>
  <c r="AE14" i="183"/>
  <c r="AE22" i="183"/>
  <c r="S14" i="183" s="1"/>
  <c r="BU308" i="183"/>
  <c r="BU315" i="183"/>
  <c r="BU321" i="183"/>
  <c r="BU323" i="183"/>
  <c r="BU324" i="183"/>
  <c r="BU327" i="183"/>
  <c r="BU329" i="183"/>
  <c r="BU335" i="183"/>
  <c r="BU340" i="183"/>
  <c r="BU341" i="183"/>
  <c r="BU356" i="183"/>
  <c r="BU357" i="183"/>
  <c r="BU363" i="183"/>
  <c r="BU365" i="183"/>
  <c r="BU371" i="183"/>
  <c r="BU372" i="183"/>
  <c r="BU377" i="183"/>
  <c r="BU387" i="183"/>
  <c r="BU388" i="183"/>
  <c r="BU389" i="183"/>
  <c r="BU393" i="183"/>
  <c r="BU399" i="183"/>
  <c r="BU401" i="183"/>
  <c r="BU404" i="183"/>
  <c r="BU405" i="183"/>
  <c r="BU407" i="183"/>
  <c r="BU411" i="183"/>
  <c r="BU413" i="183"/>
  <c r="BU419" i="183"/>
  <c r="BU420" i="183"/>
  <c r="BU425" i="183"/>
  <c r="BU429" i="183"/>
  <c r="BU435" i="183"/>
  <c r="BU436" i="183"/>
  <c r="BU441" i="183"/>
  <c r="BU443" i="183"/>
  <c r="BU447" i="183"/>
  <c r="BU449" i="183"/>
  <c r="BU452" i="183"/>
  <c r="BU453" i="183"/>
  <c r="BU455" i="183"/>
  <c r="BU461" i="183"/>
  <c r="BU463" i="183"/>
  <c r="BU465" i="183"/>
  <c r="BU468" i="183"/>
  <c r="BU471" i="183"/>
  <c r="BU477" i="183"/>
  <c r="BU479" i="183"/>
  <c r="BU483" i="183"/>
  <c r="BU484" i="183"/>
  <c r="BU485" i="183"/>
  <c r="BU489" i="183"/>
  <c r="BU491" i="183"/>
  <c r="BU493" i="183"/>
  <c r="BU497" i="183"/>
  <c r="BU500" i="183"/>
  <c r="BU503" i="183"/>
  <c r="BU507" i="183"/>
  <c r="BU513" i="183"/>
  <c r="BU515" i="183"/>
  <c r="BU519" i="183"/>
  <c r="BU521" i="183"/>
  <c r="BU525" i="183"/>
  <c r="BU532" i="183"/>
  <c r="BU533" i="183"/>
  <c r="BU539" i="183"/>
  <c r="BU543" i="183"/>
  <c r="BU548" i="183"/>
  <c r="BU549" i="183"/>
  <c r="BU557" i="183"/>
  <c r="BU688" i="183"/>
  <c r="BU690" i="183"/>
  <c r="BU694" i="183"/>
  <c r="BU696" i="183"/>
  <c r="BU702" i="183"/>
  <c r="BU706" i="183"/>
  <c r="BU712" i="183"/>
  <c r="BU718" i="183"/>
  <c r="BU720" i="183"/>
  <c r="BU723" i="183"/>
  <c r="BU724" i="183"/>
  <c r="BU726" i="183"/>
  <c r="BU730" i="183"/>
  <c r="BU732" i="183"/>
  <c r="BU742" i="183"/>
  <c r="BU748" i="183"/>
  <c r="BU750" i="183"/>
  <c r="BU754" i="183"/>
  <c r="BU755" i="183"/>
  <c r="BU756" i="183"/>
  <c r="BU760" i="183"/>
  <c r="BU762" i="183"/>
  <c r="BU771" i="183"/>
  <c r="BU774" i="183"/>
  <c r="BU780" i="183"/>
  <c r="BU784" i="183"/>
  <c r="BU787" i="183"/>
  <c r="BU795" i="183"/>
  <c r="BU796" i="183"/>
  <c r="BU802" i="183"/>
  <c r="BU803" i="183"/>
  <c r="BU804" i="183"/>
  <c r="BU808" i="183"/>
  <c r="BU815" i="183"/>
  <c r="BU816" i="183"/>
  <c r="BU819" i="183"/>
  <c r="BU822" i="183"/>
  <c r="BU826" i="183"/>
  <c r="BU827" i="183"/>
  <c r="BU828" i="183"/>
  <c r="BU831" i="183"/>
  <c r="BU840" i="183"/>
  <c r="BU843" i="183"/>
  <c r="BU846" i="183"/>
  <c r="BU851" i="183"/>
  <c r="BU852" i="183"/>
  <c r="BU859" i="183"/>
  <c r="BU863" i="183"/>
  <c r="BU864" i="183"/>
  <c r="BU867" i="183"/>
  <c r="BU868" i="183"/>
  <c r="BU870" i="183"/>
  <c r="BU875" i="183"/>
  <c r="BU879" i="183"/>
  <c r="BU880" i="183"/>
  <c r="BU882" i="183"/>
  <c r="BU883" i="183"/>
  <c r="BU886" i="183"/>
  <c r="BU888" i="183"/>
  <c r="BU891" i="183"/>
  <c r="BU892" i="183"/>
  <c r="BU894" i="183"/>
  <c r="BU899" i="183"/>
  <c r="BU900" i="183"/>
  <c r="BU904" i="183"/>
  <c r="BU906" i="183"/>
  <c r="BU907" i="183"/>
  <c r="BU910" i="183"/>
  <c r="BU911" i="183"/>
  <c r="BU912" i="183"/>
  <c r="BU915" i="183"/>
  <c r="BU916" i="183"/>
  <c r="BU923" i="183"/>
  <c r="BU924" i="183"/>
  <c r="BU927" i="183"/>
  <c r="BU928" i="183"/>
  <c r="BU930" i="183"/>
  <c r="BU931" i="183"/>
  <c r="BU934" i="183"/>
  <c r="BU936" i="183"/>
  <c r="BU939" i="183"/>
  <c r="BU946" i="183"/>
  <c r="BU947" i="183"/>
  <c r="BU952" i="183"/>
  <c r="BU954" i="183"/>
  <c r="BU958" i="183"/>
  <c r="BU963" i="183"/>
  <c r="BU964" i="183"/>
  <c r="BU970" i="183"/>
  <c r="BU971" i="183"/>
  <c r="BU975" i="183"/>
  <c r="BU976" i="183"/>
  <c r="BU987" i="183"/>
  <c r="BU988" i="183"/>
  <c r="BU994" i="183"/>
  <c r="BU995" i="183"/>
  <c r="BU996" i="183"/>
  <c r="BU1000" i="183"/>
  <c r="BU1003" i="183"/>
  <c r="BU1007" i="183"/>
  <c r="BP24" i="183"/>
  <c r="BP28" i="183"/>
  <c r="BP26" i="183"/>
  <c r="BP22" i="183"/>
  <c r="BP76" i="183"/>
  <c r="BP78" i="183"/>
  <c r="BP80" i="183"/>
  <c r="BP82" i="183"/>
  <c r="BP84" i="183"/>
  <c r="BP86" i="183"/>
  <c r="BP88" i="183"/>
  <c r="BP90" i="183"/>
  <c r="BU82" i="183"/>
  <c r="BP148" i="183"/>
  <c r="BP150" i="183"/>
  <c r="BP152" i="183"/>
  <c r="BP154" i="183"/>
  <c r="BP156" i="183"/>
  <c r="BP158" i="183"/>
  <c r="BP160" i="183"/>
  <c r="BP162" i="183"/>
  <c r="BP164" i="183"/>
  <c r="BP166" i="183"/>
  <c r="BP168" i="183"/>
  <c r="BP170" i="183"/>
  <c r="BP172" i="183"/>
  <c r="BP174" i="183"/>
  <c r="BP176" i="183"/>
  <c r="BP178" i="183"/>
  <c r="BP180" i="183"/>
  <c r="BP182" i="183"/>
  <c r="BP184" i="183"/>
  <c r="BP186" i="183"/>
  <c r="BP188" i="183"/>
  <c r="BP190" i="183"/>
  <c r="BP192" i="183"/>
  <c r="BP194" i="183"/>
  <c r="BP196" i="183"/>
  <c r="BP198" i="183"/>
  <c r="BP200" i="183"/>
  <c r="BP202" i="183"/>
  <c r="BP204" i="183"/>
  <c r="BP206" i="183"/>
  <c r="BP208" i="183"/>
  <c r="BP210" i="183"/>
  <c r="BP212" i="183"/>
  <c r="BP214" i="183"/>
  <c r="BP216" i="183"/>
  <c r="BP218" i="183"/>
  <c r="BP220" i="183"/>
  <c r="BP222" i="183"/>
  <c r="BP224" i="183"/>
  <c r="BP226" i="183"/>
  <c r="BP228" i="183"/>
  <c r="BP230" i="183"/>
  <c r="BP232" i="183"/>
  <c r="BP234" i="183"/>
  <c r="BP236" i="183"/>
  <c r="BP238" i="183"/>
  <c r="BP240" i="183"/>
  <c r="BP242" i="183"/>
  <c r="BP244" i="183"/>
  <c r="BP246" i="183"/>
  <c r="BP248" i="183"/>
  <c r="BP250" i="183"/>
  <c r="BP252" i="183"/>
  <c r="BP254" i="183"/>
  <c r="BP256" i="183"/>
  <c r="BP258" i="183"/>
  <c r="BP260" i="183"/>
  <c r="BP262" i="183"/>
  <c r="BP264" i="183"/>
  <c r="BP266" i="183"/>
  <c r="BP18" i="183"/>
  <c r="BP20" i="183"/>
  <c r="BS20" i="183"/>
  <c r="BU20" i="183" s="1"/>
  <c r="L13" i="183"/>
  <c r="AK99" i="183" s="1"/>
  <c r="L11" i="183"/>
  <c r="P11" i="183"/>
  <c r="P12" i="183"/>
  <c r="N13" i="183"/>
  <c r="AM99" i="183" s="1"/>
  <c r="AZ36" i="183"/>
  <c r="AZ39" i="183" s="1"/>
  <c r="P13" i="183"/>
  <c r="BU19" i="183"/>
  <c r="BS21" i="183"/>
  <c r="BU21" i="183" s="1"/>
  <c r="S26" i="183"/>
  <c r="BS22" i="183"/>
  <c r="BU22" i="183" s="1"/>
  <c r="S28" i="183"/>
  <c r="BS23" i="183"/>
  <c r="BU23" i="183" s="1"/>
  <c r="BS24" i="183"/>
  <c r="BU24" i="183" s="1"/>
  <c r="BS25" i="183"/>
  <c r="BU25" i="183" s="1"/>
  <c r="BP34" i="183"/>
  <c r="BS26" i="183"/>
  <c r="BU26" i="183" s="1"/>
  <c r="BP38" i="183"/>
  <c r="BS28" i="183"/>
  <c r="BU28" i="183" s="1"/>
  <c r="BP42" i="183"/>
  <c r="BS30" i="183"/>
  <c r="BU30" i="183" s="1"/>
  <c r="BP46" i="183"/>
  <c r="BS32" i="183"/>
  <c r="BU32" i="183" s="1"/>
  <c r="BP50" i="183"/>
  <c r="BS34" i="183"/>
  <c r="BU34" i="183" s="1"/>
  <c r="BP54" i="183"/>
  <c r="BS36" i="183"/>
  <c r="BU36" i="183" s="1"/>
  <c r="BP58" i="183"/>
  <c r="BS38" i="183"/>
  <c r="BU38" i="183" s="1"/>
  <c r="BP62" i="183"/>
  <c r="BS40" i="183"/>
  <c r="BU40" i="183" s="1"/>
  <c r="BP66" i="183"/>
  <c r="BS42" i="183"/>
  <c r="BU42" i="183" s="1"/>
  <c r="BP70" i="183"/>
  <c r="BS44" i="183"/>
  <c r="BU44" i="183" s="1"/>
  <c r="BP74" i="183"/>
  <c r="BS46" i="183"/>
  <c r="BU46" i="183" s="1"/>
  <c r="AS99" i="183"/>
  <c r="BP36" i="183"/>
  <c r="BS27" i="183"/>
  <c r="BU27" i="183" s="1"/>
  <c r="BP40" i="183"/>
  <c r="BS29" i="183"/>
  <c r="BU29" i="183" s="1"/>
  <c r="BP44" i="183"/>
  <c r="BS31" i="183"/>
  <c r="BU31" i="183" s="1"/>
  <c r="BP48" i="183"/>
  <c r="BS33" i="183"/>
  <c r="BU33" i="183" s="1"/>
  <c r="BP52" i="183"/>
  <c r="BS35" i="183"/>
  <c r="BU35" i="183" s="1"/>
  <c r="BP56" i="183"/>
  <c r="BS37" i="183"/>
  <c r="BU37" i="183" s="1"/>
  <c r="BP60" i="183"/>
  <c r="BS39" i="183"/>
  <c r="BU39" i="183" s="1"/>
  <c r="BP64" i="183"/>
  <c r="BS41" i="183"/>
  <c r="BU41" i="183" s="1"/>
  <c r="BP68" i="183"/>
  <c r="BS43" i="183"/>
  <c r="BU43" i="183" s="1"/>
  <c r="BP72" i="183"/>
  <c r="BS45" i="183"/>
  <c r="BU45" i="183" s="1"/>
  <c r="BP268" i="183"/>
  <c r="BS143" i="183"/>
  <c r="BU143" i="183" s="1"/>
  <c r="BP270" i="183"/>
  <c r="BS144" i="183"/>
  <c r="BU144" i="183" s="1"/>
  <c r="BP272" i="183"/>
  <c r="BS145" i="183"/>
  <c r="BU145" i="183" s="1"/>
  <c r="BP274" i="183"/>
  <c r="BS146" i="183"/>
  <c r="BU146" i="183" s="1"/>
  <c r="BP276" i="183"/>
  <c r="BS147" i="183"/>
  <c r="BU147" i="183" s="1"/>
  <c r="BP278" i="183"/>
  <c r="BS148" i="183"/>
  <c r="BU148" i="183" s="1"/>
  <c r="BP280" i="183"/>
  <c r="BS149" i="183"/>
  <c r="BU149" i="183" s="1"/>
  <c r="BP282" i="183"/>
  <c r="BS150" i="183"/>
  <c r="BU150" i="183" s="1"/>
  <c r="BP284" i="183"/>
  <c r="BS151" i="183"/>
  <c r="BU151" i="183" s="1"/>
  <c r="BP286" i="183"/>
  <c r="BS152" i="183"/>
  <c r="BU152" i="183" s="1"/>
  <c r="BP288" i="183"/>
  <c r="BS153" i="183"/>
  <c r="BU153" i="183" s="1"/>
  <c r="BP290" i="183"/>
  <c r="BS154" i="183"/>
  <c r="BU154" i="183" s="1"/>
  <c r="BP292" i="183"/>
  <c r="BS155" i="183"/>
  <c r="BU155" i="183" s="1"/>
  <c r="BP294" i="183"/>
  <c r="BS156" i="183"/>
  <c r="BU156" i="183" s="1"/>
  <c r="BP296" i="183"/>
  <c r="BS157" i="183"/>
  <c r="BU157" i="183" s="1"/>
  <c r="BP298" i="183"/>
  <c r="BS158" i="183"/>
  <c r="BU158" i="183" s="1"/>
  <c r="BP300" i="183"/>
  <c r="BS159" i="183"/>
  <c r="BU159" i="183" s="1"/>
  <c r="BP302" i="183"/>
  <c r="BS160" i="183"/>
  <c r="BU160" i="183" s="1"/>
  <c r="BP304" i="183"/>
  <c r="BS161" i="183"/>
  <c r="BU161" i="183" s="1"/>
  <c r="BP306" i="183"/>
  <c r="BS162" i="183"/>
  <c r="BU162" i="183" s="1"/>
  <c r="BP308" i="183"/>
  <c r="BS163" i="183"/>
  <c r="BU163" i="183" s="1"/>
  <c r="BP310" i="183"/>
  <c r="BS164" i="183"/>
  <c r="BU164" i="183" s="1"/>
  <c r="BP312" i="183"/>
  <c r="BS165" i="183"/>
  <c r="BU165" i="183" s="1"/>
  <c r="BP314" i="183"/>
  <c r="BS166" i="183"/>
  <c r="BU166" i="183" s="1"/>
  <c r="BP316" i="183"/>
  <c r="BS167" i="183"/>
  <c r="BU167" i="183" s="1"/>
  <c r="BP318" i="183"/>
  <c r="BS168" i="183"/>
  <c r="BU168" i="183" s="1"/>
  <c r="BP320" i="183"/>
  <c r="BS169" i="183"/>
  <c r="BU169" i="183" s="1"/>
  <c r="BP322" i="183"/>
  <c r="BS170" i="183"/>
  <c r="BU170" i="183" s="1"/>
  <c r="BP324" i="183"/>
  <c r="BS171" i="183"/>
  <c r="BU171" i="183" s="1"/>
  <c r="BP326" i="183"/>
  <c r="BS172" i="183"/>
  <c r="BU172" i="183" s="1"/>
  <c r="BP328" i="183"/>
  <c r="BS173" i="183"/>
  <c r="BU173" i="183" s="1"/>
  <c r="BP330" i="183"/>
  <c r="BS174" i="183"/>
  <c r="BU174" i="183" s="1"/>
  <c r="BP332" i="183"/>
  <c r="BS175" i="183"/>
  <c r="BU175" i="183" s="1"/>
  <c r="BP334" i="183"/>
  <c r="BS176" i="183"/>
  <c r="BU176" i="183" s="1"/>
  <c r="BP336" i="183"/>
  <c r="BS177" i="183"/>
  <c r="BU177" i="183" s="1"/>
  <c r="BP338" i="183"/>
  <c r="BS178" i="183"/>
  <c r="BU178" i="183" s="1"/>
  <c r="BP340" i="183"/>
  <c r="BS179" i="183"/>
  <c r="BU179" i="183" s="1"/>
  <c r="BP342" i="183"/>
  <c r="BS180" i="183"/>
  <c r="BU180" i="183" s="1"/>
  <c r="BP344" i="183"/>
  <c r="BS181" i="183"/>
  <c r="BU181" i="183" s="1"/>
  <c r="BP346" i="183"/>
  <c r="BS182" i="183"/>
  <c r="BU182" i="183" s="1"/>
  <c r="BP348" i="183"/>
  <c r="BS183" i="183"/>
  <c r="BU183" i="183" s="1"/>
  <c r="BP350" i="183"/>
  <c r="BS184" i="183"/>
  <c r="BU184" i="183" s="1"/>
  <c r="BP352" i="183"/>
  <c r="BS185" i="183"/>
  <c r="BU185" i="183" s="1"/>
  <c r="BP354" i="183"/>
  <c r="BS186" i="183"/>
  <c r="BU186" i="183" s="1"/>
  <c r="BP356" i="183"/>
  <c r="BS187" i="183"/>
  <c r="BU187" i="183" s="1"/>
  <c r="BP358" i="183"/>
  <c r="BS188" i="183"/>
  <c r="BU188" i="183" s="1"/>
  <c r="BP360" i="183"/>
  <c r="BS189" i="183"/>
  <c r="BU189" i="183" s="1"/>
  <c r="BP362" i="183"/>
  <c r="BS190" i="183"/>
  <c r="BU190" i="183" s="1"/>
  <c r="BP364" i="183"/>
  <c r="BS191" i="183"/>
  <c r="BU191" i="183" s="1"/>
  <c r="BP366" i="183"/>
  <c r="BS192" i="183"/>
  <c r="BU192" i="183" s="1"/>
  <c r="BP368" i="183"/>
  <c r="BS193" i="183"/>
  <c r="BU193" i="183" s="1"/>
  <c r="BP370" i="183"/>
  <c r="BS194" i="183"/>
  <c r="BU194" i="183" s="1"/>
  <c r="BP372" i="183"/>
  <c r="BS195" i="183"/>
  <c r="BU195" i="183" s="1"/>
  <c r="BP374" i="183"/>
  <c r="BS196" i="183"/>
  <c r="BU196" i="183" s="1"/>
  <c r="BP376" i="183"/>
  <c r="BS197" i="183"/>
  <c r="BU197" i="183" s="1"/>
  <c r="BP378" i="183"/>
  <c r="BS198" i="183"/>
  <c r="BU198" i="183" s="1"/>
  <c r="BP380" i="183"/>
  <c r="BS199" i="183"/>
  <c r="BU199" i="183" s="1"/>
  <c r="BP382" i="183"/>
  <c r="BS200" i="183"/>
  <c r="BU200" i="183" s="1"/>
  <c r="BP384" i="183"/>
  <c r="BS201" i="183"/>
  <c r="BU201" i="183" s="1"/>
  <c r="BP386" i="183"/>
  <c r="BS202" i="183"/>
  <c r="BU202" i="183" s="1"/>
  <c r="BP388" i="183"/>
  <c r="BS203" i="183"/>
  <c r="BU203" i="183" s="1"/>
  <c r="BP390" i="183"/>
  <c r="BS204" i="183"/>
  <c r="BU204" i="183" s="1"/>
  <c r="BP392" i="183"/>
  <c r="BS205" i="183"/>
  <c r="BU205" i="183" s="1"/>
  <c r="BP394" i="183"/>
  <c r="BS206" i="183"/>
  <c r="BU206" i="183" s="1"/>
  <c r="BP396" i="183"/>
  <c r="BS207" i="183"/>
  <c r="BU207" i="183" s="1"/>
  <c r="BP398" i="183"/>
  <c r="BS208" i="183"/>
  <c r="BU208" i="183" s="1"/>
  <c r="BP400" i="183"/>
  <c r="BS209" i="183"/>
  <c r="BU209" i="183" s="1"/>
  <c r="BP402" i="183"/>
  <c r="BS210" i="183"/>
  <c r="BU210" i="183" s="1"/>
  <c r="BP404" i="183"/>
  <c r="BS211" i="183"/>
  <c r="BU211" i="183" s="1"/>
  <c r="BP406" i="183"/>
  <c r="BS212" i="183"/>
  <c r="BU212" i="183" s="1"/>
  <c r="BP408" i="183"/>
  <c r="BS213" i="183"/>
  <c r="BU213" i="183" s="1"/>
  <c r="BP410" i="183"/>
  <c r="BS214" i="183"/>
  <c r="BU214" i="183" s="1"/>
  <c r="BP412" i="183"/>
  <c r="BS215" i="183"/>
  <c r="BU215" i="183" s="1"/>
  <c r="BP414" i="183"/>
  <c r="BS216" i="183"/>
  <c r="BU216" i="183" s="1"/>
  <c r="BP416" i="183"/>
  <c r="BS217" i="183"/>
  <c r="BU217" i="183" s="1"/>
  <c r="BP418" i="183"/>
  <c r="BS218" i="183"/>
  <c r="BU218" i="183" s="1"/>
  <c r="BP420" i="183"/>
  <c r="BS219" i="183"/>
  <c r="BU219" i="183" s="1"/>
  <c r="BP422" i="183"/>
  <c r="BS220" i="183"/>
  <c r="BU220" i="183" s="1"/>
  <c r="BP424" i="183"/>
  <c r="BS221" i="183"/>
  <c r="BU221" i="183" s="1"/>
  <c r="BP426" i="183"/>
  <c r="BS222" i="183"/>
  <c r="BU222" i="183" s="1"/>
  <c r="BP428" i="183"/>
  <c r="BS223" i="183"/>
  <c r="BU223" i="183" s="1"/>
  <c r="BP430" i="183"/>
  <c r="BS224" i="183"/>
  <c r="BU224" i="183" s="1"/>
  <c r="BP432" i="183"/>
  <c r="BS225" i="183"/>
  <c r="BU225" i="183" s="1"/>
  <c r="BP434" i="183"/>
  <c r="BS226" i="183"/>
  <c r="BU226" i="183" s="1"/>
  <c r="BP436" i="183"/>
  <c r="BS227" i="183"/>
  <c r="BU227" i="183" s="1"/>
  <c r="BP438" i="183"/>
  <c r="BS228" i="183"/>
  <c r="BU228" i="183" s="1"/>
  <c r="BP440" i="183"/>
  <c r="BS229" i="183"/>
  <c r="BU229" i="183" s="1"/>
  <c r="BP442" i="183"/>
  <c r="BS230" i="183"/>
  <c r="BU230" i="183" s="1"/>
  <c r="BP444" i="183"/>
  <c r="BS231" i="183"/>
  <c r="BU231" i="183" s="1"/>
  <c r="BP446" i="183"/>
  <c r="BS232" i="183"/>
  <c r="BU232" i="183" s="1"/>
  <c r="BP448" i="183"/>
  <c r="BS233" i="183"/>
  <c r="BU233" i="183" s="1"/>
  <c r="BP450" i="183"/>
  <c r="BS234" i="183"/>
  <c r="BU234" i="183" s="1"/>
  <c r="BP452" i="183"/>
  <c r="BS235" i="183"/>
  <c r="BU235" i="183" s="1"/>
  <c r="BP454" i="183"/>
  <c r="BS236" i="183"/>
  <c r="BU236" i="183" s="1"/>
  <c r="BP456" i="183"/>
  <c r="BS237" i="183"/>
  <c r="BU237" i="183" s="1"/>
  <c r="BP458" i="183"/>
  <c r="BS238" i="183"/>
  <c r="BU238" i="183" s="1"/>
  <c r="BP460" i="183"/>
  <c r="BS239" i="183"/>
  <c r="BU239" i="183" s="1"/>
  <c r="BP462" i="183"/>
  <c r="BS240" i="183"/>
  <c r="BU240" i="183" s="1"/>
  <c r="BP464" i="183"/>
  <c r="BS241" i="183"/>
  <c r="BU241" i="183" s="1"/>
  <c r="BP466" i="183"/>
  <c r="BS242" i="183"/>
  <c r="BU242" i="183" s="1"/>
  <c r="BP468" i="183"/>
  <c r="BS243" i="183"/>
  <c r="BU243" i="183" s="1"/>
  <c r="BS244" i="183"/>
  <c r="BU244" i="183" s="1"/>
  <c r="BS245" i="183"/>
  <c r="BU245" i="183" s="1"/>
  <c r="BS246" i="183"/>
  <c r="BU246" i="183" s="1"/>
  <c r="BS247" i="183"/>
  <c r="BU247" i="183" s="1"/>
  <c r="BS248" i="183"/>
  <c r="BU248" i="183" s="1"/>
  <c r="BS249" i="183"/>
  <c r="BU249" i="183" s="1"/>
  <c r="BS250" i="183"/>
  <c r="BU250" i="183" s="1"/>
  <c r="BS251" i="183"/>
  <c r="BU251" i="183" s="1"/>
  <c r="BS252" i="183"/>
  <c r="BU252" i="183" s="1"/>
  <c r="BS253" i="183"/>
  <c r="BU253" i="183" s="1"/>
  <c r="BS254" i="183"/>
  <c r="BU254" i="183" s="1"/>
  <c r="BS255" i="183"/>
  <c r="BU255" i="183" s="1"/>
  <c r="BS256" i="183"/>
  <c r="BU256" i="183" s="1"/>
  <c r="BS257" i="183"/>
  <c r="BU257" i="183" s="1"/>
  <c r="BS258" i="183"/>
  <c r="BU258" i="183" s="1"/>
  <c r="BS259" i="183"/>
  <c r="BU259" i="183" s="1"/>
  <c r="BS260" i="183"/>
  <c r="BU260" i="183" s="1"/>
  <c r="BS261" i="183"/>
  <c r="BU261" i="183" s="1"/>
  <c r="BS262" i="183"/>
  <c r="BU262" i="183" s="1"/>
  <c r="BS263" i="183"/>
  <c r="BU263" i="183" s="1"/>
  <c r="BS264" i="183"/>
  <c r="BU264" i="183" s="1"/>
  <c r="BS265" i="183"/>
  <c r="BU265" i="183" s="1"/>
  <c r="BS266" i="183"/>
  <c r="BU266" i="183" s="1"/>
  <c r="BS267" i="183"/>
  <c r="BU267" i="183" s="1"/>
  <c r="BS268" i="183"/>
  <c r="BU268" i="183" s="1"/>
  <c r="BS269" i="183"/>
  <c r="BU269" i="183" s="1"/>
  <c r="BS270" i="183"/>
  <c r="BU270" i="183" s="1"/>
  <c r="BS271" i="183"/>
  <c r="BU271" i="183" s="1"/>
  <c r="BS272" i="183"/>
  <c r="BU272" i="183" s="1"/>
  <c r="BS273" i="183"/>
  <c r="BU273" i="183" s="1"/>
  <c r="BS274" i="183"/>
  <c r="BU274" i="183" s="1"/>
  <c r="BS275" i="183"/>
  <c r="BU275" i="183" s="1"/>
  <c r="BS276" i="183"/>
  <c r="BU276" i="183" s="1"/>
  <c r="BS277" i="183"/>
  <c r="BU277" i="183" s="1"/>
  <c r="BS278" i="183"/>
  <c r="BU278" i="183" s="1"/>
  <c r="BS279" i="183"/>
  <c r="BU279" i="183" s="1"/>
  <c r="BS280" i="183"/>
  <c r="BU280" i="183" s="1"/>
  <c r="BS281" i="183"/>
  <c r="BU281" i="183" s="1"/>
  <c r="BS282" i="183"/>
  <c r="BU282" i="183" s="1"/>
  <c r="BS283" i="183"/>
  <c r="BU283" i="183" s="1"/>
  <c r="BS284" i="183"/>
  <c r="BU284" i="183" s="1"/>
  <c r="BS285" i="183"/>
  <c r="BU285" i="183" s="1"/>
  <c r="BS286" i="183"/>
  <c r="BU286" i="183" s="1"/>
  <c r="BS287" i="183"/>
  <c r="BU287" i="183" s="1"/>
  <c r="BS288" i="183"/>
  <c r="BU288" i="183" s="1"/>
  <c r="BS289" i="183"/>
  <c r="BU289" i="183" s="1"/>
  <c r="BS290" i="183"/>
  <c r="BU290" i="183" s="1"/>
  <c r="BS291" i="183"/>
  <c r="BU291" i="183" s="1"/>
  <c r="BS292" i="183"/>
  <c r="BU292" i="183" s="1"/>
  <c r="BS293" i="183"/>
  <c r="BU293" i="183" s="1"/>
  <c r="BS294" i="183"/>
  <c r="BU294" i="183" s="1"/>
  <c r="BS295" i="183"/>
  <c r="BU295" i="183" s="1"/>
  <c r="BS296" i="183"/>
  <c r="BU296" i="183" s="1"/>
  <c r="BS297" i="183"/>
  <c r="BU297" i="183" s="1"/>
  <c r="BS298" i="183"/>
  <c r="BU298" i="183" s="1"/>
  <c r="BS299" i="183"/>
  <c r="BU299" i="183" s="1"/>
  <c r="BS300" i="183"/>
  <c r="BU300" i="183" s="1"/>
  <c r="BS301" i="183"/>
  <c r="BU301" i="183" s="1"/>
  <c r="BS302" i="183"/>
  <c r="BU302" i="183" s="1"/>
  <c r="BS303" i="183"/>
  <c r="BU303" i="183" s="1"/>
  <c r="BS561" i="183"/>
  <c r="BU561" i="183" s="1"/>
  <c r="BS562" i="183"/>
  <c r="BU562" i="183" s="1"/>
  <c r="BS563" i="183"/>
  <c r="BU563" i="183" s="1"/>
  <c r="BS564" i="183"/>
  <c r="BU564" i="183" s="1"/>
  <c r="BS565" i="183"/>
  <c r="BU565" i="183" s="1"/>
  <c r="BS566" i="183"/>
  <c r="BU566" i="183" s="1"/>
  <c r="BS567" i="183"/>
  <c r="BU567" i="183" s="1"/>
  <c r="BS568" i="183"/>
  <c r="BU568" i="183" s="1"/>
  <c r="BS569" i="183"/>
  <c r="BU569" i="183" s="1"/>
  <c r="BS570" i="183"/>
  <c r="BU570" i="183" s="1"/>
  <c r="BS571" i="183"/>
  <c r="BU571" i="183" s="1"/>
  <c r="BS572" i="183"/>
  <c r="BU572" i="183" s="1"/>
  <c r="BS573" i="183"/>
  <c r="BU573" i="183" s="1"/>
  <c r="BS574" i="183"/>
  <c r="BU574" i="183" s="1"/>
  <c r="BS575" i="183"/>
  <c r="BU575" i="183" s="1"/>
  <c r="BS576" i="183"/>
  <c r="BU576" i="183" s="1"/>
  <c r="BS577" i="183"/>
  <c r="BU577" i="183" s="1"/>
  <c r="BS578" i="183"/>
  <c r="BU578" i="183" s="1"/>
  <c r="BS579" i="183"/>
  <c r="BU579" i="183" s="1"/>
  <c r="BS580" i="183"/>
  <c r="BU580" i="183" s="1"/>
  <c r="BS581" i="183"/>
  <c r="BU581" i="183" s="1"/>
  <c r="BS582" i="183"/>
  <c r="BU582" i="183" s="1"/>
  <c r="BS583" i="183"/>
  <c r="BU583" i="183" s="1"/>
  <c r="BS584" i="183"/>
  <c r="BU584" i="183" s="1"/>
  <c r="BS585" i="183"/>
  <c r="BU585" i="183" s="1"/>
  <c r="BS586" i="183"/>
  <c r="BU586" i="183" s="1"/>
  <c r="BS587" i="183"/>
  <c r="BU587" i="183" s="1"/>
  <c r="BS588" i="183"/>
  <c r="BU588" i="183" s="1"/>
  <c r="BS589" i="183"/>
  <c r="BU589" i="183" s="1"/>
  <c r="BS590" i="183"/>
  <c r="BU590" i="183" s="1"/>
  <c r="BS591" i="183"/>
  <c r="BU591" i="183" s="1"/>
  <c r="BS592" i="183"/>
  <c r="BU592" i="183" s="1"/>
  <c r="BS593" i="183"/>
  <c r="BU593" i="183" s="1"/>
  <c r="BS594" i="183"/>
  <c r="BU594" i="183" s="1"/>
  <c r="BS595" i="183"/>
  <c r="BU595" i="183" s="1"/>
  <c r="BS596" i="183"/>
  <c r="BU596" i="183" s="1"/>
  <c r="BS597" i="183"/>
  <c r="BU597" i="183" s="1"/>
  <c r="BS598" i="183"/>
  <c r="BU598" i="183" s="1"/>
  <c r="BS599" i="183"/>
  <c r="BU599" i="183" s="1"/>
  <c r="BS600" i="183"/>
  <c r="BU600" i="183" s="1"/>
  <c r="BS601" i="183"/>
  <c r="BU601" i="183" s="1"/>
  <c r="BS602" i="183"/>
  <c r="BU602" i="183" s="1"/>
  <c r="BS603" i="183"/>
  <c r="BU603" i="183" s="1"/>
  <c r="BS604" i="183"/>
  <c r="BU604" i="183" s="1"/>
  <c r="BS605" i="183"/>
  <c r="BU605" i="183" s="1"/>
  <c r="BS606" i="183"/>
  <c r="BU606" i="183" s="1"/>
  <c r="BS607" i="183"/>
  <c r="BU607" i="183" s="1"/>
  <c r="BS608" i="183"/>
  <c r="BU608" i="183" s="1"/>
  <c r="BS609" i="183"/>
  <c r="BU609" i="183" s="1"/>
  <c r="BS610" i="183"/>
  <c r="BU610" i="183" s="1"/>
  <c r="BS611" i="183"/>
  <c r="BU611" i="183" s="1"/>
  <c r="BS612" i="183"/>
  <c r="BU612" i="183" s="1"/>
  <c r="BS613" i="183"/>
  <c r="BU613" i="183" s="1"/>
  <c r="BS614" i="183"/>
  <c r="BU614" i="183" s="1"/>
  <c r="BS615" i="183"/>
  <c r="BU615" i="183" s="1"/>
  <c r="BS616" i="183"/>
  <c r="BU616" i="183" s="1"/>
  <c r="BS617" i="183"/>
  <c r="BU617" i="183" s="1"/>
  <c r="BS618" i="183"/>
  <c r="BU618" i="183" s="1"/>
  <c r="BS619" i="183"/>
  <c r="BU619" i="183" s="1"/>
  <c r="BS620" i="183"/>
  <c r="BU620" i="183" s="1"/>
  <c r="BS621" i="183"/>
  <c r="BU621" i="183" s="1"/>
  <c r="BS622" i="183"/>
  <c r="BU622" i="183" s="1"/>
  <c r="BS623" i="183"/>
  <c r="BU623" i="183" s="1"/>
  <c r="BS624" i="183"/>
  <c r="BU624" i="183" s="1"/>
  <c r="BS625" i="183"/>
  <c r="BU625" i="183" s="1"/>
  <c r="BS626" i="183"/>
  <c r="BU626" i="183" s="1"/>
  <c r="BS627" i="183"/>
  <c r="BU627" i="183" s="1"/>
  <c r="BS628" i="183"/>
  <c r="BU628" i="183" s="1"/>
  <c r="BS629" i="183"/>
  <c r="BU629" i="183" s="1"/>
  <c r="BS630" i="183"/>
  <c r="BU630" i="183" s="1"/>
  <c r="BS631" i="183"/>
  <c r="BU631" i="183" s="1"/>
  <c r="BS632" i="183"/>
  <c r="BU632" i="183" s="1"/>
  <c r="BS633" i="183"/>
  <c r="BU633" i="183" s="1"/>
  <c r="BS634" i="183"/>
  <c r="BU634" i="183" s="1"/>
  <c r="BS635" i="183"/>
  <c r="BU635" i="183" s="1"/>
  <c r="BS636" i="183"/>
  <c r="BU636" i="183" s="1"/>
  <c r="BS637" i="183"/>
  <c r="BU637" i="183" s="1"/>
  <c r="BS638" i="183"/>
  <c r="BU638" i="183" s="1"/>
  <c r="BS639" i="183"/>
  <c r="BU639" i="183" s="1"/>
  <c r="BS640" i="183"/>
  <c r="BU640" i="183" s="1"/>
  <c r="BS641" i="183"/>
  <c r="BU641" i="183" s="1"/>
  <c r="BS642" i="183"/>
  <c r="BU642" i="183" s="1"/>
  <c r="BS643" i="183"/>
  <c r="BU643" i="183" s="1"/>
  <c r="BS644" i="183"/>
  <c r="BU644" i="183" s="1"/>
  <c r="BS645" i="183"/>
  <c r="BU645" i="183" s="1"/>
  <c r="BS646" i="183"/>
  <c r="BU646" i="183" s="1"/>
  <c r="BS647" i="183"/>
  <c r="BU647" i="183" s="1"/>
  <c r="BS648" i="183"/>
  <c r="BU648" i="183" s="1"/>
  <c r="BS649" i="183"/>
  <c r="BU649" i="183" s="1"/>
  <c r="BS650" i="183"/>
  <c r="BU650" i="183" s="1"/>
  <c r="BS651" i="183"/>
  <c r="BU651" i="183" s="1"/>
  <c r="BS652" i="183"/>
  <c r="BU652" i="183" s="1"/>
  <c r="BS653" i="183"/>
  <c r="BU653" i="183" s="1"/>
  <c r="BS654" i="183"/>
  <c r="BU654" i="183" s="1"/>
  <c r="BS655" i="183"/>
  <c r="BU655" i="183" s="1"/>
  <c r="BS656" i="183"/>
  <c r="BU656" i="183" s="1"/>
  <c r="BS657" i="183"/>
  <c r="BU657" i="183" s="1"/>
  <c r="BS658" i="183"/>
  <c r="BU658" i="183" s="1"/>
  <c r="BS659" i="183"/>
  <c r="BU659" i="183" s="1"/>
  <c r="BS660" i="183"/>
  <c r="BU660" i="183" s="1"/>
  <c r="BS661" i="183"/>
  <c r="BU661" i="183" s="1"/>
  <c r="BS662" i="183"/>
  <c r="BU662" i="183" s="1"/>
  <c r="BS663" i="183"/>
  <c r="BU663" i="183" s="1"/>
  <c r="BS664" i="183"/>
  <c r="BU664" i="183" s="1"/>
  <c r="BS665" i="183"/>
  <c r="BU665" i="183" s="1"/>
  <c r="BS666" i="183"/>
  <c r="BU666" i="183" s="1"/>
  <c r="BS667" i="183"/>
  <c r="BU667" i="183" s="1"/>
  <c r="BS668" i="183"/>
  <c r="BU668" i="183" s="1"/>
  <c r="BS669" i="183"/>
  <c r="BU669" i="183" s="1"/>
  <c r="BS670" i="183"/>
  <c r="BU670" i="183" s="1"/>
  <c r="BS671" i="183"/>
  <c r="BU671" i="183" s="1"/>
  <c r="BS672" i="183"/>
  <c r="BU672" i="183" s="1"/>
  <c r="BS673" i="183"/>
  <c r="BU673" i="183" s="1"/>
  <c r="BS674" i="183"/>
  <c r="BU674" i="183" s="1"/>
  <c r="BS675" i="183"/>
  <c r="BU675" i="183" s="1"/>
  <c r="BS676" i="183"/>
  <c r="BU676" i="183" s="1"/>
  <c r="BS677" i="183"/>
  <c r="BU677" i="183" s="1"/>
  <c r="BS678" i="183"/>
  <c r="BU678" i="183" s="1"/>
  <c r="BS679" i="183"/>
  <c r="BU679" i="183" s="1"/>
  <c r="BS680" i="183"/>
  <c r="BU680" i="183" s="1"/>
  <c r="BS681" i="183"/>
  <c r="BU681" i="183" s="1"/>
  <c r="BS682" i="183"/>
  <c r="BU682" i="183" s="1"/>
  <c r="BS683" i="183"/>
  <c r="BU683" i="183" s="1"/>
  <c r="BS684" i="183"/>
  <c r="BU684" i="183" s="1"/>
  <c r="BS685" i="183"/>
  <c r="BU685" i="183" s="1"/>
  <c r="BS686" i="183"/>
  <c r="BU686" i="183" s="1"/>
  <c r="BS687" i="183"/>
  <c r="BU687" i="183" s="1"/>
  <c r="BS90" i="183"/>
  <c r="BU90" i="183" s="1"/>
  <c r="BS91" i="183"/>
  <c r="BU91" i="183" s="1"/>
  <c r="BS92" i="183"/>
  <c r="BU92" i="183" s="1"/>
  <c r="BS93" i="183"/>
  <c r="BU93" i="183" s="1"/>
  <c r="BS94" i="183"/>
  <c r="BU94" i="183" s="1"/>
  <c r="BS95" i="183"/>
  <c r="BU95" i="183" s="1"/>
  <c r="BS96" i="183"/>
  <c r="BU96" i="183" s="1"/>
  <c r="BS97" i="183"/>
  <c r="BU97" i="183" s="1"/>
  <c r="BS98" i="183"/>
  <c r="BU98" i="183" s="1"/>
  <c r="BS99" i="183"/>
  <c r="BU99" i="183" s="1"/>
  <c r="BS100" i="183"/>
  <c r="BU100" i="183" s="1"/>
  <c r="BS101" i="183"/>
  <c r="BU101" i="183" s="1"/>
  <c r="BS102" i="183"/>
  <c r="BU102" i="183" s="1"/>
  <c r="BS103" i="183"/>
  <c r="BU103" i="183" s="1"/>
  <c r="BS104" i="183"/>
  <c r="BU104" i="183" s="1"/>
  <c r="BS105" i="183"/>
  <c r="BU105" i="183" s="1"/>
  <c r="BS106" i="183"/>
  <c r="BU106" i="183" s="1"/>
  <c r="BS107" i="183"/>
  <c r="BU107" i="183" s="1"/>
  <c r="BS108" i="183"/>
  <c r="BU108" i="183" s="1"/>
  <c r="BS109" i="183"/>
  <c r="BU109" i="183" s="1"/>
  <c r="BS110" i="183"/>
  <c r="BU110" i="183" s="1"/>
  <c r="BS111" i="183"/>
  <c r="BU111" i="183" s="1"/>
  <c r="BS112" i="183"/>
  <c r="BU112" i="183" s="1"/>
  <c r="BS113" i="183"/>
  <c r="BU113" i="183" s="1"/>
  <c r="BS114" i="183"/>
  <c r="BU114" i="183" s="1"/>
  <c r="BS115" i="183"/>
  <c r="BU115" i="183" s="1"/>
  <c r="BS116" i="183"/>
  <c r="BU116" i="183" s="1"/>
  <c r="BS117" i="183"/>
  <c r="BU117" i="183" s="1"/>
  <c r="BS118" i="183"/>
  <c r="BU118" i="183" s="1"/>
  <c r="BS119" i="183"/>
  <c r="BU119" i="183" s="1"/>
  <c r="BS120" i="183"/>
  <c r="BU120" i="183" s="1"/>
  <c r="BS121" i="183"/>
  <c r="BU121" i="183" s="1"/>
  <c r="BS122" i="183"/>
  <c r="BU122" i="183" s="1"/>
  <c r="BS123" i="183"/>
  <c r="BU123" i="183" s="1"/>
  <c r="BS124" i="183"/>
  <c r="BU124" i="183" s="1"/>
  <c r="BS125" i="183"/>
  <c r="BU125" i="183" s="1"/>
  <c r="BS126" i="183"/>
  <c r="BU126" i="183" s="1"/>
  <c r="BS127" i="183"/>
  <c r="BU127" i="183" s="1"/>
  <c r="BS128" i="183"/>
  <c r="BU128" i="183" s="1"/>
  <c r="BS129" i="183"/>
  <c r="BU129" i="183" s="1"/>
  <c r="BS130" i="183"/>
  <c r="BU130" i="183" s="1"/>
  <c r="BS131" i="183"/>
  <c r="BU131" i="183" s="1"/>
  <c r="BS132" i="183"/>
  <c r="BU132" i="183" s="1"/>
  <c r="BS133" i="183"/>
  <c r="BU133" i="183" s="1"/>
  <c r="BS134" i="183"/>
  <c r="BU134" i="183" s="1"/>
  <c r="BS135" i="183"/>
  <c r="BU135" i="183" s="1"/>
  <c r="BS136" i="183"/>
  <c r="BU136" i="183" s="1"/>
  <c r="BS137" i="183"/>
  <c r="BU137" i="183" s="1"/>
  <c r="BS138" i="183"/>
  <c r="BU138" i="183" s="1"/>
  <c r="BS139" i="183"/>
  <c r="BU139" i="183" s="1"/>
  <c r="BS140" i="183"/>
  <c r="BU140" i="183" s="1"/>
  <c r="BS141" i="183"/>
  <c r="BU141" i="183" s="1"/>
  <c r="BS142" i="183"/>
  <c r="BU142" i="183" s="1"/>
  <c r="BP92" i="183"/>
  <c r="BP96" i="183"/>
  <c r="BP100" i="183"/>
  <c r="BP104" i="183"/>
  <c r="BP108" i="183"/>
  <c r="BP112" i="183"/>
  <c r="BP116" i="183"/>
  <c r="BP120" i="183"/>
  <c r="BP124" i="183"/>
  <c r="BP128" i="183"/>
  <c r="BP132" i="183"/>
  <c r="BP136" i="183"/>
  <c r="BP140" i="183"/>
  <c r="BP144" i="183"/>
  <c r="BS48" i="183"/>
  <c r="BU48" i="183" s="1"/>
  <c r="BS50" i="183"/>
  <c r="BU50" i="183" s="1"/>
  <c r="BS52" i="183"/>
  <c r="BU52" i="183" s="1"/>
  <c r="BS54" i="183"/>
  <c r="BU54" i="183" s="1"/>
  <c r="BS56" i="183"/>
  <c r="BU56" i="183" s="1"/>
  <c r="BS58" i="183"/>
  <c r="BU58" i="183" s="1"/>
  <c r="BS60" i="183"/>
  <c r="BU60" i="183" s="1"/>
  <c r="BS62" i="183"/>
  <c r="BU62" i="183" s="1"/>
  <c r="BS64" i="183"/>
  <c r="BU64" i="183" s="1"/>
  <c r="BS66" i="183"/>
  <c r="BU66" i="183" s="1"/>
  <c r="BS68" i="183"/>
  <c r="BU68" i="183" s="1"/>
  <c r="BS70" i="183"/>
  <c r="BU70" i="183" s="1"/>
  <c r="BS72" i="183"/>
  <c r="BU72" i="183" s="1"/>
  <c r="BS74" i="183"/>
  <c r="BU74" i="183" s="1"/>
  <c r="BS76" i="183"/>
  <c r="BU76" i="183" s="1"/>
  <c r="BS78" i="183"/>
  <c r="BU78" i="183" s="1"/>
  <c r="BS80" i="183"/>
  <c r="BU80" i="183" s="1"/>
  <c r="BS84" i="183"/>
  <c r="BU84" i="183" s="1"/>
  <c r="BS86" i="183"/>
  <c r="BU86" i="183" s="1"/>
  <c r="BS88" i="183"/>
  <c r="BU88" i="183" s="1"/>
  <c r="BP94" i="183"/>
  <c r="BP98" i="183"/>
  <c r="BP102" i="183"/>
  <c r="BP106" i="183"/>
  <c r="BP110" i="183"/>
  <c r="BP114" i="183"/>
  <c r="BP118" i="183"/>
  <c r="BP122" i="183"/>
  <c r="BP126" i="183"/>
  <c r="BP130" i="183"/>
  <c r="BP134" i="183"/>
  <c r="BP138" i="183"/>
  <c r="BP142" i="183"/>
  <c r="BS47" i="183"/>
  <c r="BU47" i="183" s="1"/>
  <c r="BS49" i="183"/>
  <c r="BU49" i="183" s="1"/>
  <c r="BS51" i="183"/>
  <c r="BU51" i="183" s="1"/>
  <c r="BS53" i="183"/>
  <c r="BU53" i="183" s="1"/>
  <c r="BS55" i="183"/>
  <c r="BU55" i="183" s="1"/>
  <c r="BS57" i="183"/>
  <c r="BU57" i="183" s="1"/>
  <c r="BS59" i="183"/>
  <c r="BU59" i="183" s="1"/>
  <c r="BS61" i="183"/>
  <c r="BU61" i="183" s="1"/>
  <c r="BS63" i="183"/>
  <c r="BU63" i="183" s="1"/>
  <c r="BS65" i="183"/>
  <c r="BU65" i="183" s="1"/>
  <c r="BS67" i="183"/>
  <c r="BU67" i="183" s="1"/>
  <c r="BS69" i="183"/>
  <c r="BU69" i="183" s="1"/>
  <c r="BS71" i="183"/>
  <c r="BU71" i="183" s="1"/>
  <c r="BS73" i="183"/>
  <c r="BU73" i="183" s="1"/>
  <c r="BS75" i="183"/>
  <c r="BU75" i="183" s="1"/>
  <c r="BS77" i="183"/>
  <c r="BU77" i="183" s="1"/>
  <c r="BS79" i="183"/>
  <c r="BU79" i="183" s="1"/>
  <c r="BS81" i="183"/>
  <c r="BU81" i="183" s="1"/>
  <c r="BS83" i="183"/>
  <c r="BU83" i="183" s="1"/>
  <c r="BS85" i="183"/>
  <c r="BU85" i="183" s="1"/>
  <c r="BS87" i="183"/>
  <c r="BU87" i="183" s="1"/>
  <c r="BS89" i="183"/>
  <c r="BU89" i="183" s="1"/>
  <c r="AQ99" i="183"/>
  <c r="N12" i="183"/>
  <c r="L12" i="183"/>
  <c r="S30" i="183"/>
  <c r="S32" i="183"/>
  <c r="BP32" i="183"/>
  <c r="BP146" i="183"/>
  <c r="S146" i="183"/>
  <c r="BP30" i="183"/>
  <c r="S34" i="183"/>
  <c r="S36" i="183"/>
  <c r="S38" i="183"/>
  <c r="S40" i="183"/>
  <c r="S42" i="183"/>
  <c r="S44" i="183"/>
  <c r="S46" i="183"/>
  <c r="S48" i="183"/>
  <c r="S50" i="183"/>
  <c r="S52" i="183"/>
  <c r="S54" i="183"/>
  <c r="S56" i="183"/>
  <c r="S58" i="183"/>
  <c r="S60" i="183"/>
  <c r="S62" i="183"/>
  <c r="S64" i="183"/>
  <c r="S66" i="183"/>
  <c r="S68" i="183"/>
  <c r="S70" i="183"/>
  <c r="S72" i="183"/>
  <c r="S74" i="183"/>
  <c r="S76" i="183"/>
  <c r="S78" i="183"/>
  <c r="S80" i="183"/>
  <c r="S82" i="183"/>
  <c r="S84" i="183"/>
  <c r="S86" i="183"/>
  <c r="S88" i="183"/>
  <c r="S90" i="183"/>
  <c r="S92" i="183"/>
  <c r="S94" i="183"/>
  <c r="S96" i="183"/>
  <c r="S98" i="183"/>
  <c r="S100" i="183"/>
  <c r="S102" i="183"/>
  <c r="S104" i="183"/>
  <c r="S106" i="183"/>
  <c r="S108" i="183"/>
  <c r="S110" i="183"/>
  <c r="S112" i="183"/>
  <c r="S114" i="183"/>
  <c r="S116" i="183"/>
  <c r="S118" i="183"/>
  <c r="S120" i="183"/>
  <c r="S122" i="183"/>
  <c r="S124" i="183"/>
  <c r="S126" i="183"/>
  <c r="S128" i="183"/>
  <c r="S130" i="183"/>
  <c r="S132" i="183"/>
  <c r="S134" i="183"/>
  <c r="S136" i="183"/>
  <c r="S138" i="183"/>
  <c r="S140" i="183"/>
  <c r="S142" i="183"/>
  <c r="S144" i="183"/>
  <c r="BP592" i="183"/>
  <c r="BP596" i="183"/>
  <c r="BP600" i="183"/>
  <c r="BP604" i="183"/>
  <c r="BP608" i="183"/>
  <c r="BP612" i="183"/>
  <c r="BP616" i="183"/>
  <c r="BP620" i="183"/>
  <c r="BP624" i="183"/>
  <c r="BP628" i="183"/>
  <c r="BP632" i="183"/>
  <c r="BP636" i="183"/>
  <c r="BP640" i="183"/>
  <c r="BP644" i="183"/>
  <c r="BP648" i="183"/>
  <c r="BP652" i="183"/>
  <c r="BP656" i="183"/>
  <c r="BP660" i="183"/>
  <c r="BP664" i="183"/>
  <c r="BP668" i="183"/>
  <c r="BP672" i="183"/>
  <c r="BP676" i="183"/>
  <c r="BP680" i="183"/>
  <c r="BP684" i="183"/>
  <c r="BP688" i="183"/>
  <c r="BP692" i="183"/>
  <c r="BP696" i="183"/>
  <c r="BP700" i="183"/>
  <c r="BP704" i="183"/>
  <c r="BP708" i="183"/>
  <c r="BP712" i="183"/>
  <c r="BP716" i="183"/>
  <c r="BP720" i="183"/>
  <c r="BP724" i="183"/>
  <c r="BP728" i="183"/>
  <c r="BP732" i="183"/>
  <c r="BP736" i="183"/>
  <c r="BP740" i="183"/>
  <c r="BP744" i="183"/>
  <c r="BP748" i="183"/>
  <c r="BP752" i="183"/>
  <c r="BP756" i="183"/>
  <c r="BP760" i="183"/>
  <c r="BP764" i="183"/>
  <c r="BP768" i="183"/>
  <c r="BP772" i="183"/>
  <c r="BP776" i="183"/>
  <c r="BP780" i="183"/>
  <c r="BP784" i="183"/>
  <c r="BP788" i="183"/>
  <c r="BP792" i="183"/>
  <c r="BP796" i="183"/>
  <c r="BP800" i="183"/>
  <c r="BP804" i="183"/>
  <c r="BP808" i="183"/>
  <c r="BP812" i="183"/>
  <c r="BP816" i="183"/>
  <c r="BP820" i="183"/>
  <c r="BP824" i="183"/>
  <c r="BP828" i="183"/>
  <c r="BP832" i="183"/>
  <c r="BP836" i="183"/>
  <c r="BP840" i="183"/>
  <c r="BP844" i="183"/>
  <c r="BP848" i="183"/>
  <c r="BP852" i="183"/>
  <c r="BP856" i="183"/>
  <c r="BP860" i="183"/>
  <c r="BP864" i="183"/>
  <c r="BP868" i="183"/>
  <c r="BP872" i="183"/>
  <c r="BP876" i="183"/>
  <c r="BP880" i="183"/>
  <c r="BP884" i="183"/>
  <c r="BP888" i="183"/>
  <c r="BP892" i="183"/>
  <c r="BP896" i="183"/>
  <c r="BP900" i="183"/>
  <c r="BP904" i="183"/>
  <c r="BP908" i="183"/>
  <c r="BP912" i="183"/>
  <c r="BP916" i="183"/>
  <c r="BP920" i="183"/>
  <c r="BP924" i="183"/>
  <c r="BP928" i="183"/>
  <c r="BP932" i="183"/>
  <c r="BP936" i="183"/>
  <c r="BP940" i="183"/>
  <c r="BP944" i="183"/>
  <c r="BP948" i="183"/>
  <c r="BP952" i="183"/>
  <c r="BP956" i="183"/>
  <c r="BP960" i="183"/>
  <c r="BP964" i="183"/>
  <c r="BP968" i="183"/>
  <c r="BP972" i="183"/>
  <c r="BP976" i="183"/>
  <c r="BP980" i="183"/>
  <c r="BP984" i="183"/>
  <c r="BP988" i="183"/>
  <c r="BP992" i="183"/>
  <c r="BP996" i="183"/>
  <c r="BP1000" i="183"/>
  <c r="BP1004" i="183"/>
  <c r="BP1008" i="183"/>
  <c r="BP1012" i="183"/>
  <c r="BP1016" i="183"/>
  <c r="BP1020" i="183"/>
  <c r="BP1024" i="183"/>
  <c r="BP1028" i="183"/>
  <c r="BP1032" i="183"/>
  <c r="BP1036" i="183"/>
  <c r="BP1040" i="183"/>
  <c r="BP1044" i="183"/>
  <c r="BP1048" i="183"/>
  <c r="BP1052" i="183"/>
  <c r="BP1056" i="183"/>
  <c r="BP1060" i="183"/>
  <c r="BP1064" i="183"/>
  <c r="BP1068" i="183"/>
  <c r="BP1072" i="183"/>
  <c r="BP1076" i="183"/>
  <c r="BP1080" i="183"/>
  <c r="BP1084" i="183"/>
  <c r="BP1088" i="183"/>
  <c r="BP1092" i="183"/>
  <c r="BP1096" i="183"/>
  <c r="BP1100" i="183"/>
  <c r="BP470" i="183"/>
  <c r="BP472" i="183"/>
  <c r="BP474" i="183"/>
  <c r="BP476" i="183"/>
  <c r="BP478" i="183"/>
  <c r="BP480" i="183"/>
  <c r="BP482" i="183"/>
  <c r="BP484" i="183"/>
  <c r="BP486" i="183"/>
  <c r="BP488" i="183"/>
  <c r="BP490" i="183"/>
  <c r="BP492" i="183"/>
  <c r="BP494" i="183"/>
  <c r="BP496" i="183"/>
  <c r="BP498" i="183"/>
  <c r="BP500" i="183"/>
  <c r="BP502" i="183"/>
  <c r="BP504" i="183"/>
  <c r="BP506" i="183"/>
  <c r="BP508" i="183"/>
  <c r="BP510" i="183"/>
  <c r="BP512" i="183"/>
  <c r="BP514" i="183"/>
  <c r="BP516" i="183"/>
  <c r="BP518" i="183"/>
  <c r="BP520" i="183"/>
  <c r="BP522" i="183"/>
  <c r="BP524" i="183"/>
  <c r="BP526" i="183"/>
  <c r="BP528" i="183"/>
  <c r="BP530" i="183"/>
  <c r="BP532" i="183"/>
  <c r="BP534" i="183"/>
  <c r="BP536" i="183"/>
  <c r="BP538" i="183"/>
  <c r="BP540" i="183"/>
  <c r="BP542" i="183"/>
  <c r="BP544" i="183"/>
  <c r="BP546" i="183"/>
  <c r="BP548" i="183"/>
  <c r="BP550" i="183"/>
  <c r="BP552" i="183"/>
  <c r="BP554" i="183"/>
  <c r="BP556" i="183"/>
  <c r="BP558" i="183"/>
  <c r="BP560" i="183"/>
  <c r="BP562" i="183"/>
  <c r="BP564" i="183"/>
  <c r="BP566" i="183"/>
  <c r="BP568" i="183"/>
  <c r="BP570" i="183"/>
  <c r="BP572" i="183"/>
  <c r="BP574" i="183"/>
  <c r="BP576" i="183"/>
  <c r="BP578" i="183"/>
  <c r="BP580" i="183"/>
  <c r="BP582" i="183"/>
  <c r="BP584" i="183"/>
  <c r="BP586" i="183"/>
  <c r="BP588" i="183"/>
  <c r="S592" i="183"/>
  <c r="S596" i="183"/>
  <c r="S600" i="183"/>
  <c r="S604" i="183"/>
  <c r="S608" i="183"/>
  <c r="S612" i="183"/>
  <c r="S616" i="183"/>
  <c r="S620" i="183"/>
  <c r="S624" i="183"/>
  <c r="S628" i="183"/>
  <c r="S632" i="183"/>
  <c r="S636" i="183"/>
  <c r="S640" i="183"/>
  <c r="S644" i="183"/>
  <c r="S648" i="183"/>
  <c r="S652" i="183"/>
  <c r="S656" i="183"/>
  <c r="S660" i="183"/>
  <c r="S664" i="183"/>
  <c r="S668" i="183"/>
  <c r="S672" i="183"/>
  <c r="S676" i="183"/>
  <c r="S680" i="183"/>
  <c r="S684" i="183"/>
  <c r="S688" i="183"/>
  <c r="S692" i="183"/>
  <c r="S696" i="183"/>
  <c r="S700" i="183"/>
  <c r="S704" i="183"/>
  <c r="S708" i="183"/>
  <c r="S712" i="183"/>
  <c r="S716" i="183"/>
  <c r="S720" i="183"/>
  <c r="S724" i="183"/>
  <c r="S728" i="183"/>
  <c r="S732" i="183"/>
  <c r="S736" i="183"/>
  <c r="S740" i="183"/>
  <c r="S744" i="183"/>
  <c r="S748" i="183"/>
  <c r="S752" i="183"/>
  <c r="S756" i="183"/>
  <c r="S760" i="183"/>
  <c r="S764" i="183"/>
  <c r="S768" i="183"/>
  <c r="S772" i="183"/>
  <c r="S776" i="183"/>
  <c r="S780" i="183"/>
  <c r="S784" i="183"/>
  <c r="S788" i="183"/>
  <c r="S792" i="183"/>
  <c r="S796" i="183"/>
  <c r="S800" i="183"/>
  <c r="S804" i="183"/>
  <c r="S808" i="183"/>
  <c r="S812" i="183"/>
  <c r="S816" i="183"/>
  <c r="S820" i="183"/>
  <c r="S824" i="183"/>
  <c r="S828" i="183"/>
  <c r="S832" i="183"/>
  <c r="S836" i="183"/>
  <c r="S840" i="183"/>
  <c r="S844" i="183"/>
  <c r="S848" i="183"/>
  <c r="S852" i="183"/>
  <c r="S856" i="183"/>
  <c r="S860" i="183"/>
  <c r="S864" i="183"/>
  <c r="S868" i="183"/>
  <c r="S872" i="183"/>
  <c r="S876" i="183"/>
  <c r="S880" i="183"/>
  <c r="S884" i="183"/>
  <c r="S888" i="183"/>
  <c r="S892" i="183"/>
  <c r="S896" i="183"/>
  <c r="S900" i="183"/>
  <c r="S904" i="183"/>
  <c r="S908" i="183"/>
  <c r="S912" i="183"/>
  <c r="S916" i="183"/>
  <c r="S920" i="183"/>
  <c r="S924" i="183"/>
  <c r="S928" i="183"/>
  <c r="S932" i="183"/>
  <c r="S936" i="183"/>
  <c r="S940" i="183"/>
  <c r="S944" i="183"/>
  <c r="S948" i="183"/>
  <c r="S952" i="183"/>
  <c r="S956" i="183"/>
  <c r="S960" i="183"/>
  <c r="S964" i="183"/>
  <c r="S968" i="183"/>
  <c r="S972" i="183"/>
  <c r="S976" i="183"/>
  <c r="S980" i="183"/>
  <c r="S984" i="183"/>
  <c r="S988" i="183"/>
  <c r="S992" i="183"/>
  <c r="S996" i="183"/>
  <c r="S1000" i="183"/>
  <c r="S1004" i="183"/>
  <c r="S1008" i="183"/>
  <c r="S1012" i="183"/>
  <c r="S1016" i="183"/>
  <c r="S1020" i="183"/>
  <c r="S1024" i="183"/>
  <c r="S1028" i="183"/>
  <c r="S1032" i="183"/>
  <c r="S1036" i="183"/>
  <c r="S1040" i="183"/>
  <c r="S1044" i="183"/>
  <c r="S1048" i="183"/>
  <c r="S1052" i="183"/>
  <c r="S1056" i="183"/>
  <c r="S1060" i="183"/>
  <c r="S1064" i="183"/>
  <c r="S1068" i="183"/>
  <c r="S1072" i="183"/>
  <c r="S1076" i="183"/>
  <c r="S1080" i="183"/>
  <c r="S1084" i="183"/>
  <c r="S1088" i="183"/>
  <c r="S1092" i="183"/>
  <c r="S1096" i="183"/>
  <c r="S1100" i="183"/>
  <c r="BP590" i="183"/>
  <c r="BP594" i="183"/>
  <c r="BP598" i="183"/>
  <c r="BP602" i="183"/>
  <c r="BP606" i="183"/>
  <c r="BP610" i="183"/>
  <c r="BP614" i="183"/>
  <c r="BP618" i="183"/>
  <c r="BP622" i="183"/>
  <c r="BP626" i="183"/>
  <c r="BP630" i="183"/>
  <c r="BP634" i="183"/>
  <c r="BP638" i="183"/>
  <c r="BP642" i="183"/>
  <c r="BP646" i="183"/>
  <c r="BP650" i="183"/>
  <c r="BP654" i="183"/>
  <c r="BP658" i="183"/>
  <c r="BP662" i="183"/>
  <c r="BP666" i="183"/>
  <c r="BP670" i="183"/>
  <c r="BP674" i="183"/>
  <c r="BP678" i="183"/>
  <c r="BP682" i="183"/>
  <c r="BP686" i="183"/>
  <c r="BP690" i="183"/>
  <c r="BP694" i="183"/>
  <c r="BP698" i="183"/>
  <c r="BP702" i="183"/>
  <c r="BP706" i="183"/>
  <c r="BP710" i="183"/>
  <c r="BP714" i="183"/>
  <c r="BP718" i="183"/>
  <c r="BP722" i="183"/>
  <c r="BP726" i="183"/>
  <c r="BP730" i="183"/>
  <c r="BP734" i="183"/>
  <c r="BP738" i="183"/>
  <c r="BP742" i="183"/>
  <c r="BP746" i="183"/>
  <c r="BP750" i="183"/>
  <c r="BP754" i="183"/>
  <c r="BP758" i="183"/>
  <c r="BP762" i="183"/>
  <c r="BP766" i="183"/>
  <c r="BP770" i="183"/>
  <c r="BP774" i="183"/>
  <c r="BP778" i="183"/>
  <c r="BP782" i="183"/>
  <c r="BP786" i="183"/>
  <c r="BP790" i="183"/>
  <c r="BP794" i="183"/>
  <c r="BP798" i="183"/>
  <c r="BP802" i="183"/>
  <c r="BP806" i="183"/>
  <c r="BP810" i="183"/>
  <c r="BP814" i="183"/>
  <c r="BP818" i="183"/>
  <c r="BP822" i="183"/>
  <c r="BP826" i="183"/>
  <c r="BP830" i="183"/>
  <c r="BP834" i="183"/>
  <c r="BP838" i="183"/>
  <c r="BP842" i="183"/>
  <c r="BP846" i="183"/>
  <c r="BP850" i="183"/>
  <c r="BP854" i="183"/>
  <c r="BP858" i="183"/>
  <c r="BP862" i="183"/>
  <c r="BP866" i="183"/>
  <c r="BP870" i="183"/>
  <c r="BP874" i="183"/>
  <c r="BP878" i="183"/>
  <c r="BP882" i="183"/>
  <c r="BP886" i="183"/>
  <c r="BP890" i="183"/>
  <c r="BP894" i="183"/>
  <c r="BP898" i="183"/>
  <c r="BP902" i="183"/>
  <c r="BP906" i="183"/>
  <c r="BP910" i="183"/>
  <c r="BP914" i="183"/>
  <c r="BP918" i="183"/>
  <c r="BP922" i="183"/>
  <c r="BP926" i="183"/>
  <c r="BP930" i="183"/>
  <c r="BP934" i="183"/>
  <c r="BP938" i="183"/>
  <c r="BP942" i="183"/>
  <c r="BP946" i="183"/>
  <c r="BP950" i="183"/>
  <c r="BP954" i="183"/>
  <c r="BP958" i="183"/>
  <c r="BP962" i="183"/>
  <c r="BP966" i="183"/>
  <c r="BP970" i="183"/>
  <c r="BP974" i="183"/>
  <c r="BP978" i="183"/>
  <c r="BP982" i="183"/>
  <c r="BP986" i="183"/>
  <c r="BP990" i="183"/>
  <c r="BP994" i="183"/>
  <c r="BP998" i="183"/>
  <c r="BP1002" i="183"/>
  <c r="BP1006" i="183"/>
  <c r="BP1010" i="183"/>
  <c r="BP1014" i="183"/>
  <c r="BP1018" i="183"/>
  <c r="BP1022" i="183"/>
  <c r="BP1026" i="183"/>
  <c r="BP1030" i="183"/>
  <c r="BP1034" i="183"/>
  <c r="BP1038" i="183"/>
  <c r="BP1042" i="183"/>
  <c r="BP1046" i="183"/>
  <c r="BP1050" i="183"/>
  <c r="BP1054" i="183"/>
  <c r="BP1058" i="183"/>
  <c r="BP1062" i="183"/>
  <c r="BP1066" i="183"/>
  <c r="BP1070" i="183"/>
  <c r="BP1074" i="183"/>
  <c r="BP1078" i="183"/>
  <c r="BP1082" i="183"/>
  <c r="BP1086" i="183"/>
  <c r="BP1090" i="183"/>
  <c r="BP1094" i="183"/>
  <c r="BP1098" i="183"/>
  <c r="S1102" i="183"/>
  <c r="BP1102" i="183"/>
  <c r="S148" i="183"/>
  <c r="S150" i="183"/>
  <c r="S152" i="183"/>
  <c r="S154" i="183"/>
  <c r="S156" i="183"/>
  <c r="S158" i="183"/>
  <c r="S160" i="183"/>
  <c r="S162" i="183"/>
  <c r="S164" i="183"/>
  <c r="S166" i="183"/>
  <c r="S168" i="183"/>
  <c r="S170" i="183"/>
  <c r="S172" i="183"/>
  <c r="S174" i="183"/>
  <c r="S176" i="183"/>
  <c r="S178" i="183"/>
  <c r="S180" i="183"/>
  <c r="S182" i="183"/>
  <c r="S184" i="183"/>
  <c r="S186" i="183"/>
  <c r="S188" i="183"/>
  <c r="S190" i="183"/>
  <c r="S192" i="183"/>
  <c r="S194" i="183"/>
  <c r="S196" i="183"/>
  <c r="S198" i="183"/>
  <c r="S200" i="183"/>
  <c r="S202" i="183"/>
  <c r="S204" i="183"/>
  <c r="S206" i="183"/>
  <c r="S208" i="183"/>
  <c r="S210" i="183"/>
  <c r="S212" i="183"/>
  <c r="S214" i="183"/>
  <c r="S216" i="183"/>
  <c r="S218" i="183"/>
  <c r="S220" i="183"/>
  <c r="S222" i="183"/>
  <c r="S224" i="183"/>
  <c r="S226" i="183"/>
  <c r="S228" i="183"/>
  <c r="S230" i="183"/>
  <c r="S232" i="183"/>
  <c r="S234" i="183"/>
  <c r="S236" i="183"/>
  <c r="S238" i="183"/>
  <c r="S240" i="183"/>
  <c r="S242" i="183"/>
  <c r="S244" i="183"/>
  <c r="S246" i="183"/>
  <c r="S248" i="183"/>
  <c r="S250" i="183"/>
  <c r="S252" i="183"/>
  <c r="S254" i="183"/>
  <c r="S256" i="183"/>
  <c r="S258" i="183"/>
  <c r="S260" i="183"/>
  <c r="S262" i="183"/>
  <c r="S264" i="183"/>
  <c r="S266" i="183"/>
  <c r="S268" i="183"/>
  <c r="S270" i="183"/>
  <c r="S272" i="183"/>
  <c r="S274" i="183"/>
  <c r="S276" i="183"/>
  <c r="S278" i="183"/>
  <c r="S280" i="183"/>
  <c r="S282" i="183"/>
  <c r="S284" i="183"/>
  <c r="S286" i="183"/>
  <c r="S288" i="183"/>
  <c r="S290" i="183"/>
  <c r="S292" i="183"/>
  <c r="S294" i="183"/>
  <c r="S296" i="183"/>
  <c r="S298" i="183"/>
  <c r="S300" i="183"/>
  <c r="S302" i="183"/>
  <c r="S304" i="183"/>
  <c r="S306" i="183"/>
  <c r="S308" i="183"/>
  <c r="S310" i="183"/>
  <c r="S312" i="183"/>
  <c r="S314" i="183"/>
  <c r="S316" i="183"/>
  <c r="S318" i="183"/>
  <c r="S320" i="183"/>
  <c r="S322" i="183"/>
  <c r="S324" i="183"/>
  <c r="S326" i="183"/>
  <c r="S328" i="183"/>
  <c r="S330" i="183"/>
  <c r="S332" i="183"/>
  <c r="S334" i="183"/>
  <c r="S336" i="183"/>
  <c r="S338" i="183"/>
  <c r="S340" i="183"/>
  <c r="S342" i="183"/>
  <c r="S344" i="183"/>
  <c r="S346" i="183"/>
  <c r="S348" i="183"/>
  <c r="S350" i="183"/>
  <c r="S352" i="183"/>
  <c r="S354" i="183"/>
  <c r="S356" i="183"/>
  <c r="S358" i="183"/>
  <c r="S360" i="183"/>
  <c r="S362" i="183"/>
  <c r="S364" i="183"/>
  <c r="S366" i="183"/>
  <c r="S368" i="183"/>
  <c r="S370" i="183"/>
  <c r="S372" i="183"/>
  <c r="S374" i="183"/>
  <c r="S376" i="183"/>
  <c r="S378" i="183"/>
  <c r="S380" i="183"/>
  <c r="S382" i="183"/>
  <c r="S384" i="183"/>
  <c r="S386" i="183"/>
  <c r="S388" i="183"/>
  <c r="S390" i="183"/>
  <c r="S392" i="183"/>
  <c r="S394" i="183"/>
  <c r="S396" i="183"/>
  <c r="S398" i="183"/>
  <c r="S400" i="183"/>
  <c r="S402" i="183"/>
  <c r="S404" i="183"/>
  <c r="S406" i="183"/>
  <c r="S408" i="183"/>
  <c r="S410" i="183"/>
  <c r="S412" i="183"/>
  <c r="S414" i="183"/>
  <c r="S416" i="183"/>
  <c r="S418" i="183"/>
  <c r="S420" i="183"/>
  <c r="S422" i="183"/>
  <c r="S424" i="183"/>
  <c r="S426" i="183"/>
  <c r="S428" i="183"/>
  <c r="S430" i="183"/>
  <c r="S432" i="183"/>
  <c r="S434" i="183"/>
  <c r="S436" i="183"/>
  <c r="S438" i="183"/>
  <c r="S440" i="183"/>
  <c r="S442" i="183"/>
  <c r="S444" i="183"/>
  <c r="S446" i="183"/>
  <c r="S448" i="183"/>
  <c r="S450" i="183"/>
  <c r="S452" i="183"/>
  <c r="S454" i="183"/>
  <c r="S456" i="183"/>
  <c r="S458" i="183"/>
  <c r="S460" i="183"/>
  <c r="S462" i="183"/>
  <c r="S464" i="183"/>
  <c r="S466" i="183"/>
  <c r="S468" i="183"/>
  <c r="S470" i="183"/>
  <c r="S472" i="183"/>
  <c r="S474" i="183"/>
  <c r="S476" i="183"/>
  <c r="S478" i="183"/>
  <c r="S480" i="183"/>
  <c r="S482" i="183"/>
  <c r="S484" i="183"/>
  <c r="S486" i="183"/>
  <c r="S488" i="183"/>
  <c r="S490" i="183"/>
  <c r="S492" i="183"/>
  <c r="S494" i="183"/>
  <c r="S496" i="183"/>
  <c r="S498" i="183"/>
  <c r="S500" i="183"/>
  <c r="S502" i="183"/>
  <c r="S504" i="183"/>
  <c r="S506" i="183"/>
  <c r="S508" i="183"/>
  <c r="S510" i="183"/>
  <c r="S512" i="183"/>
  <c r="S514" i="183"/>
  <c r="S516" i="183"/>
  <c r="S518" i="183"/>
  <c r="S520" i="183"/>
  <c r="S522" i="183"/>
  <c r="S524" i="183"/>
  <c r="S526" i="183"/>
  <c r="S528" i="183"/>
  <c r="S530" i="183"/>
  <c r="S532" i="183"/>
  <c r="S534" i="183"/>
  <c r="S536" i="183"/>
  <c r="S538" i="183"/>
  <c r="S540" i="183"/>
  <c r="S542" i="183"/>
  <c r="S544" i="183"/>
  <c r="S546" i="183"/>
  <c r="S548" i="183"/>
  <c r="S550" i="183"/>
  <c r="S552" i="183"/>
  <c r="S554" i="183"/>
  <c r="S556" i="183"/>
  <c r="S558" i="183"/>
  <c r="S560" i="183"/>
  <c r="S562" i="183"/>
  <c r="S564" i="183"/>
  <c r="S566" i="183"/>
  <c r="S568" i="183"/>
  <c r="S570" i="183"/>
  <c r="S572" i="183"/>
  <c r="S574" i="183"/>
  <c r="S576" i="183"/>
  <c r="S578" i="183"/>
  <c r="S580" i="183"/>
  <c r="S582" i="183"/>
  <c r="S584" i="183"/>
  <c r="S586" i="183"/>
  <c r="S588" i="183"/>
  <c r="S590" i="183"/>
  <c r="S594" i="183"/>
  <c r="S598" i="183"/>
  <c r="S602" i="183"/>
  <c r="S606" i="183"/>
  <c r="S610" i="183"/>
  <c r="S614" i="183"/>
  <c r="S618" i="183"/>
  <c r="S622" i="183"/>
  <c r="S626" i="183"/>
  <c r="S630" i="183"/>
  <c r="S634" i="183"/>
  <c r="S638" i="183"/>
  <c r="S642" i="183"/>
  <c r="S646" i="183"/>
  <c r="S650" i="183"/>
  <c r="S654" i="183"/>
  <c r="S658" i="183"/>
  <c r="S662" i="183"/>
  <c r="S666" i="183"/>
  <c r="S670" i="183"/>
  <c r="S674" i="183"/>
  <c r="S678" i="183"/>
  <c r="S682" i="183"/>
  <c r="S686" i="183"/>
  <c r="S690" i="183"/>
  <c r="S694" i="183"/>
  <c r="S698" i="183"/>
  <c r="S702" i="183"/>
  <c r="S706" i="183"/>
  <c r="S710" i="183"/>
  <c r="S714" i="183"/>
  <c r="S718" i="183"/>
  <c r="S722" i="183"/>
  <c r="S726" i="183"/>
  <c r="S730" i="183"/>
  <c r="S734" i="183"/>
  <c r="S738" i="183"/>
  <c r="S742" i="183"/>
  <c r="S746" i="183"/>
  <c r="S750" i="183"/>
  <c r="S754" i="183"/>
  <c r="S758" i="183"/>
  <c r="S762" i="183"/>
  <c r="S766" i="183"/>
  <c r="S770" i="183"/>
  <c r="S774" i="183"/>
  <c r="S778" i="183"/>
  <c r="S782" i="183"/>
  <c r="S786" i="183"/>
  <c r="S790" i="183"/>
  <c r="S794" i="183"/>
  <c r="S798" i="183"/>
  <c r="S802" i="183"/>
  <c r="S806" i="183"/>
  <c r="S810" i="183"/>
  <c r="S814" i="183"/>
  <c r="S818" i="183"/>
  <c r="S822" i="183"/>
  <c r="S826" i="183"/>
  <c r="S830" i="183"/>
  <c r="S834" i="183"/>
  <c r="S838" i="183"/>
  <c r="S842" i="183"/>
  <c r="S846" i="183"/>
  <c r="S850" i="183"/>
  <c r="S854" i="183"/>
  <c r="S858" i="183"/>
  <c r="S862" i="183"/>
  <c r="S866" i="183"/>
  <c r="S870" i="183"/>
  <c r="S874" i="183"/>
  <c r="S878" i="183"/>
  <c r="S882" i="183"/>
  <c r="S886" i="183"/>
  <c r="S890" i="183"/>
  <c r="S894" i="183"/>
  <c r="S898" i="183"/>
  <c r="S902" i="183"/>
  <c r="S906" i="183"/>
  <c r="S910" i="183"/>
  <c r="S914" i="183"/>
  <c r="S918" i="183"/>
  <c r="S922" i="183"/>
  <c r="S926" i="183"/>
  <c r="S930" i="183"/>
  <c r="S934" i="183"/>
  <c r="S938" i="183"/>
  <c r="S942" i="183"/>
  <c r="S946" i="183"/>
  <c r="S950" i="183"/>
  <c r="S954" i="183"/>
  <c r="S958" i="183"/>
  <c r="S962" i="183"/>
  <c r="S966" i="183"/>
  <c r="S970" i="183"/>
  <c r="S974" i="183"/>
  <c r="S978" i="183"/>
  <c r="S982" i="183"/>
  <c r="S986" i="183"/>
  <c r="S990" i="183"/>
  <c r="S994" i="183"/>
  <c r="S998" i="183"/>
  <c r="S1002" i="183"/>
  <c r="S1006" i="183"/>
  <c r="S1010" i="183"/>
  <c r="S1014" i="183"/>
  <c r="S1018" i="183"/>
  <c r="S1022" i="183"/>
  <c r="S1026" i="183"/>
  <c r="S1030" i="183"/>
  <c r="S1034" i="183"/>
  <c r="S1038" i="183"/>
  <c r="S1042" i="183"/>
  <c r="S1046" i="183"/>
  <c r="S1050" i="183"/>
  <c r="S1054" i="183"/>
  <c r="S1058" i="183"/>
  <c r="S1062" i="183"/>
  <c r="S1066" i="183"/>
  <c r="S1070" i="183"/>
  <c r="S1074" i="183"/>
  <c r="S1078" i="183"/>
  <c r="S1082" i="183"/>
  <c r="S1086" i="183"/>
  <c r="S1090" i="183"/>
  <c r="S1094" i="183"/>
  <c r="S1098" i="183"/>
  <c r="BP1360" i="183"/>
  <c r="BP1364" i="183"/>
  <c r="BP1368" i="183"/>
  <c r="BP1372" i="183"/>
  <c r="BP1376" i="183"/>
  <c r="BP1380" i="183"/>
  <c r="BP1384" i="183"/>
  <c r="BP1388" i="183"/>
  <c r="BP1392" i="183"/>
  <c r="BP1396" i="183"/>
  <c r="BP1400" i="183"/>
  <c r="BP1404" i="183"/>
  <c r="BP1408" i="183"/>
  <c r="BP1412" i="183"/>
  <c r="BP1416" i="183"/>
  <c r="BP1420" i="183"/>
  <c r="BP1424" i="183"/>
  <c r="BP1428" i="183"/>
  <c r="BP1432" i="183"/>
  <c r="BP1436" i="183"/>
  <c r="BP1440" i="183"/>
  <c r="BP1444" i="183"/>
  <c r="BP1448" i="183"/>
  <c r="BP1452" i="183"/>
  <c r="BP1456" i="183"/>
  <c r="BP1460" i="183"/>
  <c r="BP1464" i="183"/>
  <c r="BP1468" i="183"/>
  <c r="BP1472" i="183"/>
  <c r="BP1476" i="183"/>
  <c r="BP1480" i="183"/>
  <c r="BP1484" i="183"/>
  <c r="BP1488" i="183"/>
  <c r="BP1492" i="183"/>
  <c r="BP1496" i="183"/>
  <c r="BP1500" i="183"/>
  <c r="BP1504" i="183"/>
  <c r="BP1508" i="183"/>
  <c r="BP1512" i="183"/>
  <c r="BP1516" i="183"/>
  <c r="BP1520" i="183"/>
  <c r="BP1524" i="183"/>
  <c r="BP1528" i="183"/>
  <c r="BP1532" i="183"/>
  <c r="BP1536" i="183"/>
  <c r="BP1540" i="183"/>
  <c r="BP1544" i="183"/>
  <c r="BP1548" i="183"/>
  <c r="BP1552" i="183"/>
  <c r="BP1556" i="183"/>
  <c r="BP1560" i="183"/>
  <c r="BP1564" i="183"/>
  <c r="BP1568" i="183"/>
  <c r="BP1572" i="183"/>
  <c r="BP1576" i="183"/>
  <c r="BP1580" i="183"/>
  <c r="BP1584" i="183"/>
  <c r="BP1588" i="183"/>
  <c r="BP1592" i="183"/>
  <c r="BP1596" i="183"/>
  <c r="BP1600" i="183"/>
  <c r="BP1604" i="183"/>
  <c r="BP1608" i="183"/>
  <c r="BP1612" i="183"/>
  <c r="BP1616" i="183"/>
  <c r="BP1620" i="183"/>
  <c r="BP1624" i="183"/>
  <c r="BP1628" i="183"/>
  <c r="BP1632" i="183"/>
  <c r="BP1636" i="183"/>
  <c r="BP1640" i="183"/>
  <c r="BP1644" i="183"/>
  <c r="BP1648" i="183"/>
  <c r="BP1652" i="183"/>
  <c r="BP1656" i="183"/>
  <c r="BP1660" i="183"/>
  <c r="BP1664" i="183"/>
  <c r="BP1668" i="183"/>
  <c r="BP1672" i="183"/>
  <c r="BP1676" i="183"/>
  <c r="BP1680" i="183"/>
  <c r="BP1684" i="183"/>
  <c r="BP1688" i="183"/>
  <c r="BP1692" i="183"/>
  <c r="BP1696" i="183"/>
  <c r="BP1700" i="183"/>
  <c r="BP1704" i="183"/>
  <c r="BP1708" i="183"/>
  <c r="BP1712" i="183"/>
  <c r="BP1716" i="183"/>
  <c r="BP1720" i="183"/>
  <c r="BP1724" i="183"/>
  <c r="BP1728" i="183"/>
  <c r="BP1732" i="183"/>
  <c r="BP1736" i="183"/>
  <c r="BP1740" i="183"/>
  <c r="BP1746" i="183"/>
  <c r="BP1754" i="183"/>
  <c r="BP1762" i="183"/>
  <c r="BP1770" i="183"/>
  <c r="BP1778" i="183"/>
  <c r="BP1786" i="183"/>
  <c r="BP1794" i="183"/>
  <c r="BP1802" i="183"/>
  <c r="BP1810" i="183"/>
  <c r="BP1818" i="183"/>
  <c r="BP1826" i="183"/>
  <c r="BP1834" i="183"/>
  <c r="BP1842" i="183"/>
  <c r="BP1850" i="183"/>
  <c r="BP1858" i="183"/>
  <c r="BP1866" i="183"/>
  <c r="BP1874" i="183"/>
  <c r="BP1882" i="183"/>
  <c r="BP1890" i="183"/>
  <c r="BP1898" i="183"/>
  <c r="BP1906" i="183"/>
  <c r="BP1914" i="183"/>
  <c r="BP1922" i="183"/>
  <c r="BP1930" i="183"/>
  <c r="BP1938" i="183"/>
  <c r="BP1946" i="183"/>
  <c r="BP1954" i="183"/>
  <c r="BP1962" i="183"/>
  <c r="BP1970" i="183"/>
  <c r="BP1978" i="183"/>
  <c r="BP1986" i="183"/>
  <c r="BP1994" i="183"/>
  <c r="BP1104" i="183"/>
  <c r="BP1106" i="183"/>
  <c r="BP1108" i="183"/>
  <c r="BP1110" i="183"/>
  <c r="BP1112" i="183"/>
  <c r="BP1114" i="183"/>
  <c r="BP1116" i="183"/>
  <c r="BP1118" i="183"/>
  <c r="BP1120" i="183"/>
  <c r="BP1122" i="183"/>
  <c r="BP1124" i="183"/>
  <c r="BP1126" i="183"/>
  <c r="BP1128" i="183"/>
  <c r="BP1130" i="183"/>
  <c r="BP1132" i="183"/>
  <c r="BP1134" i="183"/>
  <c r="BP1136" i="183"/>
  <c r="BP1138" i="183"/>
  <c r="BP1140" i="183"/>
  <c r="BP1142" i="183"/>
  <c r="BP1144" i="183"/>
  <c r="BP1146" i="183"/>
  <c r="BP1148" i="183"/>
  <c r="BP1150" i="183"/>
  <c r="BP1152" i="183"/>
  <c r="BP1154" i="183"/>
  <c r="BP1156" i="183"/>
  <c r="BP1158" i="183"/>
  <c r="BP1160" i="183"/>
  <c r="BP1162" i="183"/>
  <c r="BP1164" i="183"/>
  <c r="BP1166" i="183"/>
  <c r="BP1168" i="183"/>
  <c r="BP1170" i="183"/>
  <c r="BP1172" i="183"/>
  <c r="BP1174" i="183"/>
  <c r="BP1176" i="183"/>
  <c r="BP1178" i="183"/>
  <c r="BP1180" i="183"/>
  <c r="BP1182" i="183"/>
  <c r="BP1184" i="183"/>
  <c r="BP1186" i="183"/>
  <c r="BP1188" i="183"/>
  <c r="BP1190" i="183"/>
  <c r="BP1192" i="183"/>
  <c r="BP1194" i="183"/>
  <c r="BP1196" i="183"/>
  <c r="BP1198" i="183"/>
  <c r="BP1200" i="183"/>
  <c r="BP1202" i="183"/>
  <c r="BP1204" i="183"/>
  <c r="BP1206" i="183"/>
  <c r="BP1208" i="183"/>
  <c r="BP1210" i="183"/>
  <c r="BP1212" i="183"/>
  <c r="BP1214" i="183"/>
  <c r="BP1216" i="183"/>
  <c r="BP1218" i="183"/>
  <c r="BP1220" i="183"/>
  <c r="BP1222" i="183"/>
  <c r="BP1224" i="183"/>
  <c r="BP1226" i="183"/>
  <c r="BP1228" i="183"/>
  <c r="BP1230" i="183"/>
  <c r="BP1232" i="183"/>
  <c r="BP1234" i="183"/>
  <c r="BP1236" i="183"/>
  <c r="BP1238" i="183"/>
  <c r="BP1240" i="183"/>
  <c r="BP1242" i="183"/>
  <c r="BP1244" i="183"/>
  <c r="BP1246" i="183"/>
  <c r="BP1248" i="183"/>
  <c r="BP1250" i="183"/>
  <c r="BP1252" i="183"/>
  <c r="BP1254" i="183"/>
  <c r="BP1256" i="183"/>
  <c r="BP1258" i="183"/>
  <c r="BP1260" i="183"/>
  <c r="BP1262" i="183"/>
  <c r="BP1264" i="183"/>
  <c r="BP1266" i="183"/>
  <c r="BP1268" i="183"/>
  <c r="BP1270" i="183"/>
  <c r="BP1272" i="183"/>
  <c r="BP1274" i="183"/>
  <c r="BP1276" i="183"/>
  <c r="BP1278" i="183"/>
  <c r="BP1280" i="183"/>
  <c r="BP1282" i="183"/>
  <c r="BP1284" i="183"/>
  <c r="BP1286" i="183"/>
  <c r="BP1288" i="183"/>
  <c r="BP1290" i="183"/>
  <c r="BP1292" i="183"/>
  <c r="BP1294" i="183"/>
  <c r="BP1296" i="183"/>
  <c r="BP1298" i="183"/>
  <c r="BP1300" i="183"/>
  <c r="BP1302" i="183"/>
  <c r="BP1304" i="183"/>
  <c r="BP1306" i="183"/>
  <c r="BP1308" i="183"/>
  <c r="BP1310" i="183"/>
  <c r="BP1312" i="183"/>
  <c r="BP1314" i="183"/>
  <c r="BP1316" i="183"/>
  <c r="BP1318" i="183"/>
  <c r="BP1320" i="183"/>
  <c r="BP1322" i="183"/>
  <c r="BP1324" i="183"/>
  <c r="BP1326" i="183"/>
  <c r="BP1328" i="183"/>
  <c r="BP1330" i="183"/>
  <c r="BP1332" i="183"/>
  <c r="BP1334" i="183"/>
  <c r="BP1336" i="183"/>
  <c r="BP1338" i="183"/>
  <c r="BP1340" i="183"/>
  <c r="BP1342" i="183"/>
  <c r="BP1344" i="183"/>
  <c r="BP1346" i="183"/>
  <c r="BP1348" i="183"/>
  <c r="BP1350" i="183"/>
  <c r="BP1352" i="183"/>
  <c r="BP1354" i="183"/>
  <c r="BP1356" i="183"/>
  <c r="S1360" i="183"/>
  <c r="S1364" i="183"/>
  <c r="S1368" i="183"/>
  <c r="S1372" i="183"/>
  <c r="S1376" i="183"/>
  <c r="S1380" i="183"/>
  <c r="S1384" i="183"/>
  <c r="S1388" i="183"/>
  <c r="S1392" i="183"/>
  <c r="S1396" i="183"/>
  <c r="S1400" i="183"/>
  <c r="S1404" i="183"/>
  <c r="S1408" i="183"/>
  <c r="S1412" i="183"/>
  <c r="S1416" i="183"/>
  <c r="S1420" i="183"/>
  <c r="S1424" i="183"/>
  <c r="S1428" i="183"/>
  <c r="S1432" i="183"/>
  <c r="S1436" i="183"/>
  <c r="S1440" i="183"/>
  <c r="S1444" i="183"/>
  <c r="S1448" i="183"/>
  <c r="S1452" i="183"/>
  <c r="S1456" i="183"/>
  <c r="S1460" i="183"/>
  <c r="S1464" i="183"/>
  <c r="S1468" i="183"/>
  <c r="S1472" i="183"/>
  <c r="S1476" i="183"/>
  <c r="S1480" i="183"/>
  <c r="S1484" i="183"/>
  <c r="S1488" i="183"/>
  <c r="S1492" i="183"/>
  <c r="S1496" i="183"/>
  <c r="S1500" i="183"/>
  <c r="S1504" i="183"/>
  <c r="S1508" i="183"/>
  <c r="S1512" i="183"/>
  <c r="S1516" i="183"/>
  <c r="S1520" i="183"/>
  <c r="S1524" i="183"/>
  <c r="S1528" i="183"/>
  <c r="S1532" i="183"/>
  <c r="S1536" i="183"/>
  <c r="S1540" i="183"/>
  <c r="S1544" i="183"/>
  <c r="S1548" i="183"/>
  <c r="S1552" i="183"/>
  <c r="S1556" i="183"/>
  <c r="S1560" i="183"/>
  <c r="S1564" i="183"/>
  <c r="S1568" i="183"/>
  <c r="S1572" i="183"/>
  <c r="S1576" i="183"/>
  <c r="S1580" i="183"/>
  <c r="S1584" i="183"/>
  <c r="S1588" i="183"/>
  <c r="S1592" i="183"/>
  <c r="S1596" i="183"/>
  <c r="S1600" i="183"/>
  <c r="S1604" i="183"/>
  <c r="S1608" i="183"/>
  <c r="S1612" i="183"/>
  <c r="S1616" i="183"/>
  <c r="S1620" i="183"/>
  <c r="S1624" i="183"/>
  <c r="S1628" i="183"/>
  <c r="S1632" i="183"/>
  <c r="S1636" i="183"/>
  <c r="S1640" i="183"/>
  <c r="S1644" i="183"/>
  <c r="S1648" i="183"/>
  <c r="S1652" i="183"/>
  <c r="S1656" i="183"/>
  <c r="S1660" i="183"/>
  <c r="S1664" i="183"/>
  <c r="S1668" i="183"/>
  <c r="S1672" i="183"/>
  <c r="S1676" i="183"/>
  <c r="S1680" i="183"/>
  <c r="S1684" i="183"/>
  <c r="S1688" i="183"/>
  <c r="S1692" i="183"/>
  <c r="S1696" i="183"/>
  <c r="S1700" i="183"/>
  <c r="S1704" i="183"/>
  <c r="S1708" i="183"/>
  <c r="S1712" i="183"/>
  <c r="S1716" i="183"/>
  <c r="S1720" i="183"/>
  <c r="S1724" i="183"/>
  <c r="S1728" i="183"/>
  <c r="S1732" i="183"/>
  <c r="S1736" i="183"/>
  <c r="S1740" i="183"/>
  <c r="S1746" i="183"/>
  <c r="S1754" i="183"/>
  <c r="S1762" i="183"/>
  <c r="S1770" i="183"/>
  <c r="S1778" i="183"/>
  <c r="S1786" i="183"/>
  <c r="S1794" i="183"/>
  <c r="S1802" i="183"/>
  <c r="S1810" i="183"/>
  <c r="S1818" i="183"/>
  <c r="S1826" i="183"/>
  <c r="S1834" i="183"/>
  <c r="S1842" i="183"/>
  <c r="S1850" i="183"/>
  <c r="S1858" i="183"/>
  <c r="S1866" i="183"/>
  <c r="S1874" i="183"/>
  <c r="S1882" i="183"/>
  <c r="S1890" i="183"/>
  <c r="S1898" i="183"/>
  <c r="S1906" i="183"/>
  <c r="S1914" i="183"/>
  <c r="S1922" i="183"/>
  <c r="S1930" i="183"/>
  <c r="S1938" i="183"/>
  <c r="S1946" i="183"/>
  <c r="S1954" i="183"/>
  <c r="S1962" i="183"/>
  <c r="S1970" i="183"/>
  <c r="S1978" i="183"/>
  <c r="S1986" i="183"/>
  <c r="S1994" i="183"/>
  <c r="BP1358" i="183"/>
  <c r="BP1362" i="183"/>
  <c r="BP1366" i="183"/>
  <c r="BP1370" i="183"/>
  <c r="BP1374" i="183"/>
  <c r="BP1378" i="183"/>
  <c r="BP1382" i="183"/>
  <c r="BP1386" i="183"/>
  <c r="BP1390" i="183"/>
  <c r="BP1394" i="183"/>
  <c r="BP1398" i="183"/>
  <c r="BP1402" i="183"/>
  <c r="BP1406" i="183"/>
  <c r="BP1410" i="183"/>
  <c r="BP1414" i="183"/>
  <c r="BP1418" i="183"/>
  <c r="BP1422" i="183"/>
  <c r="BP1426" i="183"/>
  <c r="BP1430" i="183"/>
  <c r="BP1434" i="183"/>
  <c r="BP1438" i="183"/>
  <c r="BP1442" i="183"/>
  <c r="BP1446" i="183"/>
  <c r="BP1450" i="183"/>
  <c r="BP1454" i="183"/>
  <c r="BP1458" i="183"/>
  <c r="BP1462" i="183"/>
  <c r="BP1466" i="183"/>
  <c r="BP1470" i="183"/>
  <c r="BP1474" i="183"/>
  <c r="BP1478" i="183"/>
  <c r="BP1482" i="183"/>
  <c r="BP1486" i="183"/>
  <c r="BP1490" i="183"/>
  <c r="BP1494" i="183"/>
  <c r="BP1498" i="183"/>
  <c r="BP1502" i="183"/>
  <c r="BP1506" i="183"/>
  <c r="BP1510" i="183"/>
  <c r="BP1514" i="183"/>
  <c r="BP1518" i="183"/>
  <c r="BP1522" i="183"/>
  <c r="BP1526" i="183"/>
  <c r="BP1530" i="183"/>
  <c r="BP1534" i="183"/>
  <c r="BP1538" i="183"/>
  <c r="BP1542" i="183"/>
  <c r="BP1546" i="183"/>
  <c r="BP1550" i="183"/>
  <c r="BP1554" i="183"/>
  <c r="BP1558" i="183"/>
  <c r="BP1562" i="183"/>
  <c r="BP1566" i="183"/>
  <c r="BP1570" i="183"/>
  <c r="BP1574" i="183"/>
  <c r="BP1578" i="183"/>
  <c r="BP1582" i="183"/>
  <c r="BP1586" i="183"/>
  <c r="BP1590" i="183"/>
  <c r="BP1594" i="183"/>
  <c r="BP1598" i="183"/>
  <c r="BP1602" i="183"/>
  <c r="BP1606" i="183"/>
  <c r="BP1610" i="183"/>
  <c r="BP1614" i="183"/>
  <c r="BP1618" i="183"/>
  <c r="BP1622" i="183"/>
  <c r="BP1626" i="183"/>
  <c r="BP1630" i="183"/>
  <c r="BP1634" i="183"/>
  <c r="BP1638" i="183"/>
  <c r="BP1642" i="183"/>
  <c r="BP1646" i="183"/>
  <c r="BP1650" i="183"/>
  <c r="BP1654" i="183"/>
  <c r="BP1658" i="183"/>
  <c r="BP1662" i="183"/>
  <c r="BP1666" i="183"/>
  <c r="BP1670" i="183"/>
  <c r="BP1674" i="183"/>
  <c r="BP1678" i="183"/>
  <c r="BP1682" i="183"/>
  <c r="BP1686" i="183"/>
  <c r="BP1690" i="183"/>
  <c r="BP1694" i="183"/>
  <c r="BP1698" i="183"/>
  <c r="BP1702" i="183"/>
  <c r="BP1706" i="183"/>
  <c r="BP1710" i="183"/>
  <c r="BP1714" i="183"/>
  <c r="BP1718" i="183"/>
  <c r="BP1722" i="183"/>
  <c r="BP1726" i="183"/>
  <c r="BP1730" i="183"/>
  <c r="BP1734" i="183"/>
  <c r="BP1738" i="183"/>
  <c r="BP1742" i="183"/>
  <c r="BP1750" i="183"/>
  <c r="BP1758" i="183"/>
  <c r="BP1766" i="183"/>
  <c r="BP1774" i="183"/>
  <c r="BP1782" i="183"/>
  <c r="BP1790" i="183"/>
  <c r="BP1798" i="183"/>
  <c r="BP1806" i="183"/>
  <c r="BP1814" i="183"/>
  <c r="BP1822" i="183"/>
  <c r="BP1830" i="183"/>
  <c r="BP1838" i="183"/>
  <c r="BP1846" i="183"/>
  <c r="BP1854" i="183"/>
  <c r="BP1862" i="183"/>
  <c r="BP1870" i="183"/>
  <c r="BP1878" i="183"/>
  <c r="BP1886" i="183"/>
  <c r="BP1894" i="183"/>
  <c r="BP1902" i="183"/>
  <c r="BP1910" i="183"/>
  <c r="BP1918" i="183"/>
  <c r="BP1926" i="183"/>
  <c r="BP1934" i="183"/>
  <c r="BP1942" i="183"/>
  <c r="BP1950" i="183"/>
  <c r="BP1958" i="183"/>
  <c r="BP1966" i="183"/>
  <c r="BP1974" i="183"/>
  <c r="BP1982" i="183"/>
  <c r="BP1990" i="183"/>
  <c r="S1104" i="183"/>
  <c r="S1106" i="183"/>
  <c r="S1108" i="183"/>
  <c r="S1110" i="183"/>
  <c r="S1112" i="183"/>
  <c r="S1114" i="183"/>
  <c r="S1116" i="183"/>
  <c r="S1118" i="183"/>
  <c r="S1120" i="183"/>
  <c r="S1122" i="183"/>
  <c r="S1124" i="183"/>
  <c r="S1126" i="183"/>
  <c r="S1128" i="183"/>
  <c r="S1130" i="183"/>
  <c r="S1132" i="183"/>
  <c r="S1134" i="183"/>
  <c r="S1136" i="183"/>
  <c r="S1138" i="183"/>
  <c r="S1140" i="183"/>
  <c r="S1142" i="183"/>
  <c r="S1144" i="183"/>
  <c r="S1146" i="183"/>
  <c r="S1148" i="183"/>
  <c r="S1150" i="183"/>
  <c r="S1152" i="183"/>
  <c r="S1154" i="183"/>
  <c r="S1156" i="183"/>
  <c r="S1158" i="183"/>
  <c r="S1160" i="183"/>
  <c r="S1162" i="183"/>
  <c r="S1164" i="183"/>
  <c r="S1166" i="183"/>
  <c r="S1168" i="183"/>
  <c r="S1170" i="183"/>
  <c r="S1172" i="183"/>
  <c r="S1174" i="183"/>
  <c r="S1176" i="183"/>
  <c r="S1178" i="183"/>
  <c r="S1180" i="183"/>
  <c r="S1182" i="183"/>
  <c r="S1184" i="183"/>
  <c r="S1186" i="183"/>
  <c r="S1188" i="183"/>
  <c r="S1190" i="183"/>
  <c r="S1192" i="183"/>
  <c r="S1194" i="183"/>
  <c r="S1196" i="183"/>
  <c r="S1198" i="183"/>
  <c r="S1200" i="183"/>
  <c r="S1202" i="183"/>
  <c r="S1204" i="183"/>
  <c r="S1206" i="183"/>
  <c r="S1208" i="183"/>
  <c r="S1210" i="183"/>
  <c r="S1212" i="183"/>
  <c r="S1214" i="183"/>
  <c r="S1216" i="183"/>
  <c r="S1218" i="183"/>
  <c r="S1220" i="183"/>
  <c r="S1222" i="183"/>
  <c r="S1224" i="183"/>
  <c r="S1226" i="183"/>
  <c r="S1228" i="183"/>
  <c r="S1230" i="183"/>
  <c r="S1232" i="183"/>
  <c r="S1234" i="183"/>
  <c r="S1236" i="183"/>
  <c r="S1238" i="183"/>
  <c r="S1240" i="183"/>
  <c r="S1242" i="183"/>
  <c r="S1244" i="183"/>
  <c r="S1246" i="183"/>
  <c r="S1248" i="183"/>
  <c r="S1250" i="183"/>
  <c r="S1252" i="183"/>
  <c r="S1254" i="183"/>
  <c r="S1256" i="183"/>
  <c r="S1258" i="183"/>
  <c r="S1260" i="183"/>
  <c r="S1262" i="183"/>
  <c r="S1264" i="183"/>
  <c r="S1266" i="183"/>
  <c r="S1268" i="183"/>
  <c r="S1270" i="183"/>
  <c r="S1272" i="183"/>
  <c r="S1274" i="183"/>
  <c r="S1276" i="183"/>
  <c r="S1278" i="183"/>
  <c r="S1280" i="183"/>
  <c r="S1282" i="183"/>
  <c r="S1284" i="183"/>
  <c r="S1286" i="183"/>
  <c r="S1288" i="183"/>
  <c r="S1290" i="183"/>
  <c r="S1292" i="183"/>
  <c r="S1294" i="183"/>
  <c r="S1296" i="183"/>
  <c r="S1298" i="183"/>
  <c r="S1300" i="183"/>
  <c r="S1302" i="183"/>
  <c r="S1304" i="183"/>
  <c r="S1306" i="183"/>
  <c r="S1308" i="183"/>
  <c r="S1310" i="183"/>
  <c r="S1312" i="183"/>
  <c r="S1314" i="183"/>
  <c r="S1316" i="183"/>
  <c r="S1318" i="183"/>
  <c r="S1320" i="183"/>
  <c r="S1322" i="183"/>
  <c r="S1324" i="183"/>
  <c r="S1326" i="183"/>
  <c r="S1328" i="183"/>
  <c r="S1330" i="183"/>
  <c r="S1332" i="183"/>
  <c r="S1334" i="183"/>
  <c r="S1336" i="183"/>
  <c r="S1338" i="183"/>
  <c r="S1340" i="183"/>
  <c r="S1342" i="183"/>
  <c r="S1344" i="183"/>
  <c r="S1346" i="183"/>
  <c r="S1348" i="183"/>
  <c r="S1350" i="183"/>
  <c r="S1352" i="183"/>
  <c r="S1354" i="183"/>
  <c r="S1356" i="183"/>
  <c r="S1358" i="183"/>
  <c r="S1362" i="183"/>
  <c r="S1366" i="183"/>
  <c r="S1370" i="183"/>
  <c r="S1374" i="183"/>
  <c r="S1378" i="183"/>
  <c r="S1382" i="183"/>
  <c r="S1386" i="183"/>
  <c r="S1390" i="183"/>
  <c r="S1394" i="183"/>
  <c r="S1398" i="183"/>
  <c r="S1402" i="183"/>
  <c r="S1406" i="183"/>
  <c r="S1410" i="183"/>
  <c r="S1414" i="183"/>
  <c r="S1418" i="183"/>
  <c r="S1422" i="183"/>
  <c r="S1426" i="183"/>
  <c r="S1430" i="183"/>
  <c r="S1434" i="183"/>
  <c r="S1438" i="183"/>
  <c r="S1442" i="183"/>
  <c r="S1446" i="183"/>
  <c r="S1450" i="183"/>
  <c r="S1454" i="183"/>
  <c r="S1458" i="183"/>
  <c r="S1462" i="183"/>
  <c r="S1466" i="183"/>
  <c r="S1470" i="183"/>
  <c r="S1474" i="183"/>
  <c r="S1478" i="183"/>
  <c r="S1482" i="183"/>
  <c r="S1486" i="183"/>
  <c r="S1490" i="183"/>
  <c r="S1494" i="183"/>
  <c r="S1498" i="183"/>
  <c r="S1502" i="183"/>
  <c r="S1506" i="183"/>
  <c r="S1510" i="183"/>
  <c r="S1514" i="183"/>
  <c r="S1518" i="183"/>
  <c r="S1522" i="183"/>
  <c r="S1526" i="183"/>
  <c r="S1530" i="183"/>
  <c r="S1534" i="183"/>
  <c r="S1538" i="183"/>
  <c r="S1542" i="183"/>
  <c r="S1546" i="183"/>
  <c r="S1550" i="183"/>
  <c r="S1554" i="183"/>
  <c r="S1558" i="183"/>
  <c r="S1562" i="183"/>
  <c r="S1566" i="183"/>
  <c r="S1570" i="183"/>
  <c r="S1574" i="183"/>
  <c r="S1578" i="183"/>
  <c r="S1582" i="183"/>
  <c r="S1586" i="183"/>
  <c r="S1590" i="183"/>
  <c r="S1594" i="183"/>
  <c r="S1598" i="183"/>
  <c r="S1602" i="183"/>
  <c r="S1606" i="183"/>
  <c r="S1610" i="183"/>
  <c r="S1614" i="183"/>
  <c r="S1618" i="183"/>
  <c r="S1622" i="183"/>
  <c r="S1626" i="183"/>
  <c r="S1630" i="183"/>
  <c r="S1634" i="183"/>
  <c r="S1638" i="183"/>
  <c r="S1642" i="183"/>
  <c r="S1646" i="183"/>
  <c r="S1650" i="183"/>
  <c r="S1654" i="183"/>
  <c r="S1658" i="183"/>
  <c r="S1662" i="183"/>
  <c r="S1666" i="183"/>
  <c r="S1670" i="183"/>
  <c r="S1674" i="183"/>
  <c r="S1678" i="183"/>
  <c r="S1682" i="183"/>
  <c r="S1686" i="183"/>
  <c r="S1690" i="183"/>
  <c r="S1694" i="183"/>
  <c r="S1698" i="183"/>
  <c r="S1702" i="183"/>
  <c r="S1706" i="183"/>
  <c r="S1710" i="183"/>
  <c r="S1714" i="183"/>
  <c r="S1718" i="183"/>
  <c r="S1722" i="183"/>
  <c r="S1726" i="183"/>
  <c r="S1730" i="183"/>
  <c r="S1734" i="183"/>
  <c r="S1738" i="183"/>
  <c r="S1742" i="183"/>
  <c r="S1750" i="183"/>
  <c r="S1758" i="183"/>
  <c r="S1766" i="183"/>
  <c r="S1774" i="183"/>
  <c r="S1782" i="183"/>
  <c r="S1790" i="183"/>
  <c r="S1798" i="183"/>
  <c r="S1806" i="183"/>
  <c r="S1814" i="183"/>
  <c r="S1822" i="183"/>
  <c r="S1830" i="183"/>
  <c r="S1838" i="183"/>
  <c r="S1846" i="183"/>
  <c r="S1854" i="183"/>
  <c r="S1862" i="183"/>
  <c r="S1870" i="183"/>
  <c r="S1878" i="183"/>
  <c r="S1886" i="183"/>
  <c r="S1894" i="183"/>
  <c r="S1902" i="183"/>
  <c r="S1910" i="183"/>
  <c r="S1918" i="183"/>
  <c r="S1926" i="183"/>
  <c r="S1934" i="183"/>
  <c r="S1942" i="183"/>
  <c r="S1950" i="183"/>
  <c r="S1958" i="183"/>
  <c r="S1966" i="183"/>
  <c r="S1974" i="183"/>
  <c r="S1982" i="183"/>
  <c r="S1990" i="183"/>
  <c r="BP1744" i="183"/>
  <c r="BP1748" i="183"/>
  <c r="BP1752" i="183"/>
  <c r="BP1756" i="183"/>
  <c r="BP1760" i="183"/>
  <c r="BP1764" i="183"/>
  <c r="BP1768" i="183"/>
  <c r="BP1772" i="183"/>
  <c r="BP1776" i="183"/>
  <c r="BP1780" i="183"/>
  <c r="BP1784" i="183"/>
  <c r="BP1788" i="183"/>
  <c r="BP1792" i="183"/>
  <c r="BP1796" i="183"/>
  <c r="BP1800" i="183"/>
  <c r="BP1804" i="183"/>
  <c r="BP1808" i="183"/>
  <c r="BP1812" i="183"/>
  <c r="BP1816" i="183"/>
  <c r="BP1820" i="183"/>
  <c r="BP1824" i="183"/>
  <c r="BP1828" i="183"/>
  <c r="BP1832" i="183"/>
  <c r="BP1836" i="183"/>
  <c r="BP1840" i="183"/>
  <c r="BP1844" i="183"/>
  <c r="BP1848" i="183"/>
  <c r="BP1852" i="183"/>
  <c r="BP1856" i="183"/>
  <c r="BP1860" i="183"/>
  <c r="BP1864" i="183"/>
  <c r="BP1868" i="183"/>
  <c r="BP1872" i="183"/>
  <c r="BP1876" i="183"/>
  <c r="BP1880" i="183"/>
  <c r="BP1884" i="183"/>
  <c r="BP1888" i="183"/>
  <c r="BP1892" i="183"/>
  <c r="BP1896" i="183"/>
  <c r="BP1900" i="183"/>
  <c r="BP1904" i="183"/>
  <c r="BP1908" i="183"/>
  <c r="BP1912" i="183"/>
  <c r="BP1916" i="183"/>
  <c r="BP1920" i="183"/>
  <c r="BP1924" i="183"/>
  <c r="BP1928" i="183"/>
  <c r="BP1932" i="183"/>
  <c r="BP1936" i="183"/>
  <c r="BP1940" i="183"/>
  <c r="BP1944" i="183"/>
  <c r="BP1948" i="183"/>
  <c r="BP1952" i="183"/>
  <c r="BP1956" i="183"/>
  <c r="BP1960" i="183"/>
  <c r="BP1964" i="183"/>
  <c r="BP1968" i="183"/>
  <c r="BP1972" i="183"/>
  <c r="BP1976" i="183"/>
  <c r="BP1980" i="183"/>
  <c r="BP1984" i="183"/>
  <c r="BP1988" i="183"/>
  <c r="BP1992" i="183"/>
  <c r="BP1996" i="183"/>
  <c r="S1744" i="183"/>
  <c r="S1748" i="183"/>
  <c r="S1752" i="183"/>
  <c r="S1756" i="183"/>
  <c r="S1760" i="183"/>
  <c r="S1764" i="183"/>
  <c r="S1768" i="183"/>
  <c r="S1772" i="183"/>
  <c r="S1776" i="183"/>
  <c r="S1780" i="183"/>
  <c r="S1784" i="183"/>
  <c r="S1788" i="183"/>
  <c r="S1792" i="183"/>
  <c r="S1796" i="183"/>
  <c r="S1800" i="183"/>
  <c r="S1804" i="183"/>
  <c r="S1808" i="183"/>
  <c r="S1812" i="183"/>
  <c r="S1816" i="183"/>
  <c r="S1820" i="183"/>
  <c r="S1824" i="183"/>
  <c r="S1828" i="183"/>
  <c r="S1832" i="183"/>
  <c r="S1836" i="183"/>
  <c r="S1840" i="183"/>
  <c r="S1844" i="183"/>
  <c r="S1848" i="183"/>
  <c r="S1852" i="183"/>
  <c r="S1856" i="183"/>
  <c r="S1860" i="183"/>
  <c r="S1864" i="183"/>
  <c r="S1868" i="183"/>
  <c r="S1872" i="183"/>
  <c r="S1876" i="183"/>
  <c r="S1880" i="183"/>
  <c r="S1884" i="183"/>
  <c r="S1888" i="183"/>
  <c r="S1892" i="183"/>
  <c r="S1896" i="183"/>
  <c r="S1900" i="183"/>
  <c r="S1904" i="183"/>
  <c r="S1908" i="183"/>
  <c r="S1912" i="183"/>
  <c r="S1916" i="183"/>
  <c r="S1920" i="183"/>
  <c r="S1924" i="183"/>
  <c r="S1928" i="183"/>
  <c r="S1932" i="183"/>
  <c r="S1936" i="183"/>
  <c r="S1940" i="183"/>
  <c r="S1944" i="183"/>
  <c r="S1948" i="183"/>
  <c r="S1952" i="183"/>
  <c r="S1956" i="183"/>
  <c r="S1960" i="183"/>
  <c r="S1964" i="183"/>
  <c r="S1968" i="183"/>
  <c r="S1972" i="183"/>
  <c r="S1976" i="183"/>
  <c r="S1980" i="183"/>
  <c r="S1984" i="183"/>
  <c r="S1988" i="183"/>
  <c r="S1992" i="183"/>
  <c r="S1996" i="183"/>
  <c r="AM38" i="183" l="1"/>
  <c r="AM37" i="183"/>
  <c r="AL37" i="183"/>
  <c r="S13" i="183"/>
  <c r="AL38" i="183"/>
  <c r="L14" i="183"/>
  <c r="N14" i="183"/>
  <c r="AS98" i="183"/>
  <c r="BI20" i="183"/>
  <c r="AY35" i="183" s="1"/>
  <c r="AZ35" i="183" s="1"/>
  <c r="AO99" i="183"/>
  <c r="BQ24" i="183"/>
  <c r="BQ26" i="183" s="1"/>
  <c r="BQ28" i="183" s="1"/>
  <c r="BQ30" i="183" s="1"/>
  <c r="BI18" i="183"/>
  <c r="BV21" i="183"/>
  <c r="BV22" i="183" s="1"/>
  <c r="BV23" i="183" s="1"/>
  <c r="BV24" i="183" s="1"/>
  <c r="BV25" i="183" s="1"/>
  <c r="BV26" i="183" s="1"/>
  <c r="BV27" i="183" s="1"/>
  <c r="BV28" i="183" s="1"/>
  <c r="BV29" i="183" s="1"/>
  <c r="BV30" i="183" s="1"/>
  <c r="BV31" i="183" s="1"/>
  <c r="BV32" i="183" s="1"/>
  <c r="BV33" i="183" s="1"/>
  <c r="BV34" i="183" s="1"/>
  <c r="BV35" i="183" s="1"/>
  <c r="BV36" i="183" s="1"/>
  <c r="BV37" i="183" s="1"/>
  <c r="BV38" i="183" s="1"/>
  <c r="BV39" i="183" s="1"/>
  <c r="BV40" i="183" s="1"/>
  <c r="BV41" i="183" s="1"/>
  <c r="BV42" i="183" s="1"/>
  <c r="BV43" i="183" s="1"/>
  <c r="BV44" i="183" s="1"/>
  <c r="BV45" i="183" s="1"/>
  <c r="BV46" i="183" s="1"/>
  <c r="BV47" i="183" s="1"/>
  <c r="BV48" i="183" s="1"/>
  <c r="BV49" i="183" s="1"/>
  <c r="BV50" i="183" s="1"/>
  <c r="BV51" i="183" s="1"/>
  <c r="BV52" i="183" s="1"/>
  <c r="BV53" i="183" s="1"/>
  <c r="BV54" i="183" s="1"/>
  <c r="BV55" i="183" s="1"/>
  <c r="BV56" i="183" s="1"/>
  <c r="BV57" i="183" s="1"/>
  <c r="BV58" i="183" s="1"/>
  <c r="BV59" i="183" s="1"/>
  <c r="BV60" i="183" s="1"/>
  <c r="BV61" i="183" s="1"/>
  <c r="BV62" i="183" s="1"/>
  <c r="BV63" i="183" s="1"/>
  <c r="BV64" i="183" s="1"/>
  <c r="BV65" i="183" s="1"/>
  <c r="BV66" i="183" s="1"/>
  <c r="BV67" i="183" s="1"/>
  <c r="BV68" i="183" s="1"/>
  <c r="BV69" i="183" s="1"/>
  <c r="BV70" i="183" s="1"/>
  <c r="BV71" i="183" s="1"/>
  <c r="BV72" i="183" s="1"/>
  <c r="BV73" i="183" s="1"/>
  <c r="BV74" i="183" s="1"/>
  <c r="BV75" i="183" s="1"/>
  <c r="BV76" i="183" s="1"/>
  <c r="BV77" i="183" s="1"/>
  <c r="BV78" i="183" s="1"/>
  <c r="BV79" i="183" s="1"/>
  <c r="BV80" i="183" s="1"/>
  <c r="BV81" i="183" s="1"/>
  <c r="BV82" i="183" s="1"/>
  <c r="BV83" i="183" s="1"/>
  <c r="BV84" i="183" s="1"/>
  <c r="BV85" i="183" s="1"/>
  <c r="BV86" i="183" s="1"/>
  <c r="BV87" i="183" s="1"/>
  <c r="BV88" i="183" s="1"/>
  <c r="BV89" i="183" s="1"/>
  <c r="BV90" i="183" s="1"/>
  <c r="BV91" i="183" s="1"/>
  <c r="BV92" i="183" s="1"/>
  <c r="BV93" i="183" s="1"/>
  <c r="BV94" i="183" s="1"/>
  <c r="BV95" i="183" s="1"/>
  <c r="BV96" i="183" s="1"/>
  <c r="BV97" i="183" s="1"/>
  <c r="BV98" i="183" s="1"/>
  <c r="BV99" i="183" s="1"/>
  <c r="BV100" i="183" s="1"/>
  <c r="BV101" i="183" s="1"/>
  <c r="BV102" i="183" s="1"/>
  <c r="BV103" i="183" s="1"/>
  <c r="BV104" i="183" s="1"/>
  <c r="BV105" i="183" s="1"/>
  <c r="BV106" i="183" s="1"/>
  <c r="BV107" i="183" s="1"/>
  <c r="BV108" i="183" s="1"/>
  <c r="BV109" i="183" s="1"/>
  <c r="BV110" i="183" s="1"/>
  <c r="BV111" i="183" s="1"/>
  <c r="BV112" i="183" s="1"/>
  <c r="BV113" i="183" s="1"/>
  <c r="BV114" i="183" s="1"/>
  <c r="BV115" i="183" s="1"/>
  <c r="BV116" i="183" s="1"/>
  <c r="BV117" i="183" s="1"/>
  <c r="BV118" i="183" s="1"/>
  <c r="BV119" i="183" s="1"/>
  <c r="BV120" i="183" s="1"/>
  <c r="BV121" i="183" s="1"/>
  <c r="BV122" i="183" s="1"/>
  <c r="BV123" i="183" s="1"/>
  <c r="BV124" i="183" s="1"/>
  <c r="BV125" i="183" s="1"/>
  <c r="BV126" i="183" s="1"/>
  <c r="BV127" i="183" s="1"/>
  <c r="BV128" i="183" s="1"/>
  <c r="BV129" i="183" s="1"/>
  <c r="BV130" i="183" s="1"/>
  <c r="BV131" i="183" s="1"/>
  <c r="BV132" i="183" s="1"/>
  <c r="BV133" i="183" s="1"/>
  <c r="BV134" i="183" s="1"/>
  <c r="BV135" i="183" s="1"/>
  <c r="BV136" i="183" s="1"/>
  <c r="BV137" i="183" s="1"/>
  <c r="BV138" i="183" s="1"/>
  <c r="BV139" i="183" s="1"/>
  <c r="BV140" i="183" s="1"/>
  <c r="BV141" i="183" s="1"/>
  <c r="BV142" i="183" s="1"/>
  <c r="BV143" i="183" s="1"/>
  <c r="BV144" i="183" s="1"/>
  <c r="BV145" i="183" s="1"/>
  <c r="BV146" i="183" s="1"/>
  <c r="BV147" i="183" s="1"/>
  <c r="BV148" i="183" s="1"/>
  <c r="BV149" i="183" s="1"/>
  <c r="BV150" i="183" s="1"/>
  <c r="BV151" i="183" s="1"/>
  <c r="BV152" i="183" s="1"/>
  <c r="BV153" i="183" s="1"/>
  <c r="BV154" i="183" s="1"/>
  <c r="BV155" i="183" s="1"/>
  <c r="BV156" i="183" s="1"/>
  <c r="BV157" i="183" s="1"/>
  <c r="BV158" i="183" s="1"/>
  <c r="BV159" i="183" s="1"/>
  <c r="BV160" i="183" s="1"/>
  <c r="BV161" i="183" s="1"/>
  <c r="BV162" i="183" s="1"/>
  <c r="BV163" i="183" s="1"/>
  <c r="BV164" i="183" s="1"/>
  <c r="BV165" i="183" s="1"/>
  <c r="BV166" i="183" s="1"/>
  <c r="BV167" i="183" s="1"/>
  <c r="BV168" i="183" s="1"/>
  <c r="BV169" i="183" s="1"/>
  <c r="BV170" i="183" s="1"/>
  <c r="BV171" i="183" s="1"/>
  <c r="BV172" i="183" s="1"/>
  <c r="BV173" i="183" s="1"/>
  <c r="BV174" i="183" s="1"/>
  <c r="BV175" i="183" s="1"/>
  <c r="BV176" i="183" s="1"/>
  <c r="BV177" i="183" s="1"/>
  <c r="BV178" i="183" s="1"/>
  <c r="BV179" i="183" s="1"/>
  <c r="BV180" i="183" s="1"/>
  <c r="BV181" i="183" s="1"/>
  <c r="BV182" i="183" s="1"/>
  <c r="BV183" i="183" s="1"/>
  <c r="BV184" i="183" s="1"/>
  <c r="BV185" i="183" s="1"/>
  <c r="BV186" i="183" s="1"/>
  <c r="BV187" i="183" s="1"/>
  <c r="BV188" i="183" s="1"/>
  <c r="BV189" i="183" s="1"/>
  <c r="BV190" i="183" s="1"/>
  <c r="BV191" i="183" s="1"/>
  <c r="BV192" i="183" s="1"/>
  <c r="BV193" i="183" s="1"/>
  <c r="BV194" i="183" s="1"/>
  <c r="BV195" i="183" s="1"/>
  <c r="BV196" i="183" s="1"/>
  <c r="BV197" i="183" s="1"/>
  <c r="BV198" i="183" s="1"/>
  <c r="BV199" i="183" s="1"/>
  <c r="BV200" i="183" s="1"/>
  <c r="BV201" i="183" s="1"/>
  <c r="BV202" i="183" s="1"/>
  <c r="BV203" i="183" s="1"/>
  <c r="BV204" i="183" s="1"/>
  <c r="BV205" i="183" s="1"/>
  <c r="BV206" i="183" s="1"/>
  <c r="BV207" i="183" s="1"/>
  <c r="BV208" i="183" s="1"/>
  <c r="BV209" i="183" s="1"/>
  <c r="BV210" i="183" s="1"/>
  <c r="BV211" i="183" s="1"/>
  <c r="BV212" i="183" s="1"/>
  <c r="BV213" i="183" s="1"/>
  <c r="BV214" i="183" s="1"/>
  <c r="BV215" i="183" s="1"/>
  <c r="BV216" i="183" s="1"/>
  <c r="BV217" i="183" s="1"/>
  <c r="BV218" i="183" s="1"/>
  <c r="BV219" i="183" s="1"/>
  <c r="BV220" i="183" s="1"/>
  <c r="BV221" i="183" s="1"/>
  <c r="BV222" i="183" s="1"/>
  <c r="BV223" i="183" s="1"/>
  <c r="BV224" i="183" s="1"/>
  <c r="BV225" i="183" s="1"/>
  <c r="BV226" i="183" s="1"/>
  <c r="BV227" i="183" s="1"/>
  <c r="BV228" i="183" s="1"/>
  <c r="BV229" i="183" s="1"/>
  <c r="BV230" i="183" s="1"/>
  <c r="BV231" i="183" s="1"/>
  <c r="BV232" i="183" s="1"/>
  <c r="BV233" i="183" s="1"/>
  <c r="BV234" i="183" s="1"/>
  <c r="BV235" i="183" s="1"/>
  <c r="BV236" i="183" s="1"/>
  <c r="BV237" i="183" s="1"/>
  <c r="BV238" i="183" s="1"/>
  <c r="BV239" i="183" s="1"/>
  <c r="BV240" i="183" s="1"/>
  <c r="BV241" i="183" s="1"/>
  <c r="BV242" i="183" s="1"/>
  <c r="BV243" i="183" s="1"/>
  <c r="BV244" i="183" s="1"/>
  <c r="BV245" i="183" s="1"/>
  <c r="BV246" i="183" s="1"/>
  <c r="BV247" i="183" s="1"/>
  <c r="BV248" i="183" s="1"/>
  <c r="BV249" i="183" s="1"/>
  <c r="BV250" i="183" s="1"/>
  <c r="BV251" i="183" s="1"/>
  <c r="BV252" i="183" s="1"/>
  <c r="BV253" i="183" s="1"/>
  <c r="BV254" i="183" s="1"/>
  <c r="BV255" i="183" s="1"/>
  <c r="BV256" i="183" s="1"/>
  <c r="BV257" i="183" s="1"/>
  <c r="BV258" i="183" s="1"/>
  <c r="BV259" i="183" s="1"/>
  <c r="BV260" i="183" s="1"/>
  <c r="BV261" i="183" s="1"/>
  <c r="BV262" i="183" s="1"/>
  <c r="BV263" i="183" s="1"/>
  <c r="BV264" i="183" s="1"/>
  <c r="BV265" i="183" s="1"/>
  <c r="BV266" i="183" s="1"/>
  <c r="BV267" i="183" s="1"/>
  <c r="BV268" i="183" s="1"/>
  <c r="BV269" i="183" s="1"/>
  <c r="BV270" i="183" s="1"/>
  <c r="BV271" i="183" s="1"/>
  <c r="BV272" i="183" s="1"/>
  <c r="BV273" i="183" s="1"/>
  <c r="BV274" i="183" s="1"/>
  <c r="BV275" i="183" s="1"/>
  <c r="BV276" i="183" s="1"/>
  <c r="BV277" i="183" s="1"/>
  <c r="BV278" i="183" s="1"/>
  <c r="BV279" i="183" s="1"/>
  <c r="BV280" i="183" s="1"/>
  <c r="BV281" i="183" s="1"/>
  <c r="BV282" i="183" s="1"/>
  <c r="BV283" i="183" s="1"/>
  <c r="BV284" i="183" s="1"/>
  <c r="BV285" i="183" s="1"/>
  <c r="BV286" i="183" s="1"/>
  <c r="BV287" i="183" s="1"/>
  <c r="BV288" i="183" s="1"/>
  <c r="BV289" i="183" s="1"/>
  <c r="BV290" i="183" s="1"/>
  <c r="BV291" i="183" s="1"/>
  <c r="BV292" i="183" s="1"/>
  <c r="BV293" i="183" s="1"/>
  <c r="BV294" i="183" s="1"/>
  <c r="BV295" i="183" s="1"/>
  <c r="BV296" i="183" s="1"/>
  <c r="BV297" i="183" s="1"/>
  <c r="BV298" i="183" s="1"/>
  <c r="BV299" i="183" s="1"/>
  <c r="BV300" i="183" s="1"/>
  <c r="BV301" i="183" s="1"/>
  <c r="BV302" i="183" s="1"/>
  <c r="BV303" i="183" s="1"/>
  <c r="BV304" i="183" s="1"/>
  <c r="BV305" i="183" s="1"/>
  <c r="BV306" i="183" s="1"/>
  <c r="BV307" i="183" s="1"/>
  <c r="BV308" i="183" s="1"/>
  <c r="BV309" i="183" s="1"/>
  <c r="BV310" i="183" s="1"/>
  <c r="BV311" i="183" s="1"/>
  <c r="BV312" i="183" s="1"/>
  <c r="BV313" i="183" s="1"/>
  <c r="BV314" i="183" s="1"/>
  <c r="BV315" i="183" s="1"/>
  <c r="BV316" i="183" s="1"/>
  <c r="BV317" i="183" s="1"/>
  <c r="BV318" i="183" s="1"/>
  <c r="BV319" i="183" s="1"/>
  <c r="BV320" i="183" s="1"/>
  <c r="BV321" i="183" s="1"/>
  <c r="BV322" i="183" s="1"/>
  <c r="BV323" i="183" s="1"/>
  <c r="BV324" i="183" s="1"/>
  <c r="BV325" i="183" s="1"/>
  <c r="BV326" i="183" s="1"/>
  <c r="BV327" i="183" s="1"/>
  <c r="BV328" i="183" s="1"/>
  <c r="BV329" i="183" s="1"/>
  <c r="BV330" i="183" s="1"/>
  <c r="BV331" i="183" s="1"/>
  <c r="BV332" i="183" s="1"/>
  <c r="BV333" i="183" s="1"/>
  <c r="BV334" i="183" s="1"/>
  <c r="BV335" i="183" s="1"/>
  <c r="BV336" i="183" s="1"/>
  <c r="BV337" i="183" s="1"/>
  <c r="BV338" i="183" s="1"/>
  <c r="BV339" i="183" s="1"/>
  <c r="BV340" i="183" s="1"/>
  <c r="BV341" i="183" s="1"/>
  <c r="BV342" i="183" s="1"/>
  <c r="BV343" i="183" s="1"/>
  <c r="BV344" i="183" s="1"/>
  <c r="BV345" i="183" s="1"/>
  <c r="BV346" i="183" s="1"/>
  <c r="BV347" i="183" s="1"/>
  <c r="BV348" i="183" s="1"/>
  <c r="BV349" i="183" s="1"/>
  <c r="BV350" i="183" s="1"/>
  <c r="BV351" i="183" s="1"/>
  <c r="BV352" i="183" s="1"/>
  <c r="BV353" i="183" s="1"/>
  <c r="BV354" i="183" s="1"/>
  <c r="BV355" i="183" s="1"/>
  <c r="BV356" i="183" s="1"/>
  <c r="BV357" i="183" s="1"/>
  <c r="BV358" i="183" s="1"/>
  <c r="BV359" i="183" s="1"/>
  <c r="BV360" i="183" s="1"/>
  <c r="BV361" i="183" s="1"/>
  <c r="BV362" i="183" s="1"/>
  <c r="BV363" i="183" s="1"/>
  <c r="BV364" i="183" s="1"/>
  <c r="BV365" i="183" s="1"/>
  <c r="BV366" i="183" s="1"/>
  <c r="BV367" i="183" s="1"/>
  <c r="BV368" i="183" s="1"/>
  <c r="BV369" i="183" s="1"/>
  <c r="BV370" i="183" s="1"/>
  <c r="BV371" i="183" s="1"/>
  <c r="BV372" i="183" s="1"/>
  <c r="BV373" i="183" s="1"/>
  <c r="BV374" i="183" s="1"/>
  <c r="BV375" i="183" s="1"/>
  <c r="BV376" i="183" s="1"/>
  <c r="BV377" i="183" s="1"/>
  <c r="BV378" i="183" s="1"/>
  <c r="BV379" i="183" s="1"/>
  <c r="BV380" i="183" s="1"/>
  <c r="BV381" i="183" s="1"/>
  <c r="BV382" i="183" s="1"/>
  <c r="BV383" i="183" s="1"/>
  <c r="BV384" i="183" s="1"/>
  <c r="BV385" i="183" s="1"/>
  <c r="BV386" i="183" s="1"/>
  <c r="BV387" i="183" s="1"/>
  <c r="BV388" i="183" s="1"/>
  <c r="BV389" i="183" s="1"/>
  <c r="BV390" i="183" s="1"/>
  <c r="BV391" i="183" s="1"/>
  <c r="BV392" i="183" s="1"/>
  <c r="BV393" i="183" s="1"/>
  <c r="BV394" i="183" s="1"/>
  <c r="BV395" i="183" s="1"/>
  <c r="BV396" i="183" s="1"/>
  <c r="BV397" i="183" s="1"/>
  <c r="BV398" i="183" s="1"/>
  <c r="BV399" i="183" s="1"/>
  <c r="BV400" i="183" s="1"/>
  <c r="BV401" i="183" s="1"/>
  <c r="BV402" i="183" s="1"/>
  <c r="BV403" i="183" s="1"/>
  <c r="BV404" i="183" s="1"/>
  <c r="BV405" i="183" s="1"/>
  <c r="BV406" i="183" s="1"/>
  <c r="BV407" i="183" s="1"/>
  <c r="BV408" i="183" s="1"/>
  <c r="BV409" i="183" s="1"/>
  <c r="BV410" i="183" s="1"/>
  <c r="BV411" i="183" s="1"/>
  <c r="BV412" i="183" s="1"/>
  <c r="BV413" i="183" s="1"/>
  <c r="BV414" i="183" s="1"/>
  <c r="BV415" i="183" s="1"/>
  <c r="BV416" i="183" s="1"/>
  <c r="BV417" i="183" s="1"/>
  <c r="BV418" i="183" s="1"/>
  <c r="BV419" i="183" s="1"/>
  <c r="BV420" i="183" s="1"/>
  <c r="BV421" i="183" s="1"/>
  <c r="BV422" i="183" s="1"/>
  <c r="BV423" i="183" s="1"/>
  <c r="BV424" i="183" s="1"/>
  <c r="BV425" i="183" s="1"/>
  <c r="BV426" i="183" s="1"/>
  <c r="BV427" i="183" s="1"/>
  <c r="BV428" i="183" s="1"/>
  <c r="BV429" i="183" s="1"/>
  <c r="BV430" i="183" s="1"/>
  <c r="BV431" i="183" s="1"/>
  <c r="BV432" i="183" s="1"/>
  <c r="BV433" i="183" s="1"/>
  <c r="BV434" i="183" s="1"/>
  <c r="BV435" i="183" s="1"/>
  <c r="BV436" i="183" s="1"/>
  <c r="BV437" i="183" s="1"/>
  <c r="BV438" i="183" s="1"/>
  <c r="BV439" i="183" s="1"/>
  <c r="BV440" i="183" s="1"/>
  <c r="BV441" i="183" s="1"/>
  <c r="BV442" i="183" s="1"/>
  <c r="BV443" i="183" s="1"/>
  <c r="BV444" i="183" s="1"/>
  <c r="BV445" i="183" s="1"/>
  <c r="BV446" i="183" s="1"/>
  <c r="BV447" i="183" s="1"/>
  <c r="BV448" i="183" s="1"/>
  <c r="BV449" i="183" s="1"/>
  <c r="BV450" i="183" s="1"/>
  <c r="BV451" i="183" s="1"/>
  <c r="BV452" i="183" s="1"/>
  <c r="BV453" i="183" s="1"/>
  <c r="BV454" i="183" s="1"/>
  <c r="BV455" i="183" s="1"/>
  <c r="BV456" i="183" s="1"/>
  <c r="BV457" i="183" s="1"/>
  <c r="BV458" i="183" s="1"/>
  <c r="BV459" i="183" s="1"/>
  <c r="BV460" i="183" s="1"/>
  <c r="BV461" i="183" s="1"/>
  <c r="BV462" i="183" s="1"/>
  <c r="BV463" i="183" s="1"/>
  <c r="BV464" i="183" s="1"/>
  <c r="BV465" i="183" s="1"/>
  <c r="BV466" i="183" s="1"/>
  <c r="BV467" i="183" s="1"/>
  <c r="BV468" i="183" s="1"/>
  <c r="BV469" i="183" s="1"/>
  <c r="BV470" i="183" s="1"/>
  <c r="BV471" i="183" s="1"/>
  <c r="BV472" i="183" s="1"/>
  <c r="BV473" i="183" s="1"/>
  <c r="BV474" i="183" s="1"/>
  <c r="BV475" i="183" s="1"/>
  <c r="BV476" i="183" s="1"/>
  <c r="BV477" i="183" s="1"/>
  <c r="BV478" i="183" s="1"/>
  <c r="BV479" i="183" s="1"/>
  <c r="BV480" i="183" s="1"/>
  <c r="BV481" i="183" s="1"/>
  <c r="BV482" i="183" s="1"/>
  <c r="BV483" i="183" s="1"/>
  <c r="BV484" i="183" s="1"/>
  <c r="BV485" i="183" s="1"/>
  <c r="BV486" i="183" s="1"/>
  <c r="BV487" i="183" s="1"/>
  <c r="BV488" i="183" s="1"/>
  <c r="BV489" i="183" s="1"/>
  <c r="BV490" i="183" s="1"/>
  <c r="BV491" i="183" s="1"/>
  <c r="BV492" i="183" s="1"/>
  <c r="BV493" i="183" s="1"/>
  <c r="BV494" i="183" s="1"/>
  <c r="BV495" i="183" s="1"/>
  <c r="BV496" i="183" s="1"/>
  <c r="BV497" i="183" s="1"/>
  <c r="BV498" i="183" s="1"/>
  <c r="BV499" i="183" s="1"/>
  <c r="BV500" i="183" s="1"/>
  <c r="BV501" i="183" s="1"/>
  <c r="BV502" i="183" s="1"/>
  <c r="BV503" i="183" s="1"/>
  <c r="BV504" i="183" s="1"/>
  <c r="BV505" i="183" s="1"/>
  <c r="BV506" i="183" s="1"/>
  <c r="BV507" i="183" s="1"/>
  <c r="BV508" i="183" s="1"/>
  <c r="BV509" i="183" s="1"/>
  <c r="BV510" i="183" s="1"/>
  <c r="BV511" i="183" s="1"/>
  <c r="BV512" i="183" s="1"/>
  <c r="BV513" i="183" s="1"/>
  <c r="BV514" i="183" s="1"/>
  <c r="BV515" i="183" s="1"/>
  <c r="BV516" i="183" s="1"/>
  <c r="BV517" i="183" s="1"/>
  <c r="BV518" i="183" s="1"/>
  <c r="BV519" i="183" s="1"/>
  <c r="BV520" i="183" s="1"/>
  <c r="BV521" i="183" s="1"/>
  <c r="BV522" i="183" s="1"/>
  <c r="BV523" i="183" s="1"/>
  <c r="BV524" i="183" s="1"/>
  <c r="BV525" i="183" s="1"/>
  <c r="BV526" i="183" s="1"/>
  <c r="BV527" i="183" s="1"/>
  <c r="BV528" i="183" s="1"/>
  <c r="BV529" i="183" s="1"/>
  <c r="BV530" i="183" s="1"/>
  <c r="BV531" i="183" s="1"/>
  <c r="BV532" i="183" s="1"/>
  <c r="BV533" i="183" s="1"/>
  <c r="BV534" i="183" s="1"/>
  <c r="BV535" i="183" s="1"/>
  <c r="BV536" i="183" s="1"/>
  <c r="BV537" i="183" s="1"/>
  <c r="BV538" i="183" s="1"/>
  <c r="BV539" i="183" s="1"/>
  <c r="BV540" i="183" s="1"/>
  <c r="BV541" i="183" s="1"/>
  <c r="BV542" i="183" s="1"/>
  <c r="BV543" i="183" s="1"/>
  <c r="BV544" i="183" s="1"/>
  <c r="BV545" i="183" s="1"/>
  <c r="BV546" i="183" s="1"/>
  <c r="BV547" i="183" s="1"/>
  <c r="BV548" i="183" s="1"/>
  <c r="BV549" i="183" s="1"/>
  <c r="BV550" i="183" s="1"/>
  <c r="BV551" i="183" s="1"/>
  <c r="BV552" i="183" s="1"/>
  <c r="BV553" i="183" s="1"/>
  <c r="BV554" i="183" s="1"/>
  <c r="BV555" i="183" s="1"/>
  <c r="BV556" i="183" s="1"/>
  <c r="BV557" i="183" s="1"/>
  <c r="BV558" i="183" s="1"/>
  <c r="BV559" i="183" s="1"/>
  <c r="BV560" i="183" s="1"/>
  <c r="BV561" i="183" s="1"/>
  <c r="BV562" i="183" s="1"/>
  <c r="BV563" i="183" s="1"/>
  <c r="BV564" i="183" s="1"/>
  <c r="BV565" i="183" s="1"/>
  <c r="BV566" i="183" s="1"/>
  <c r="BV567" i="183" s="1"/>
  <c r="BV568" i="183" s="1"/>
  <c r="BV569" i="183" s="1"/>
  <c r="BV570" i="183" s="1"/>
  <c r="BV571" i="183" s="1"/>
  <c r="BV572" i="183" s="1"/>
  <c r="BV573" i="183" s="1"/>
  <c r="BV574" i="183" s="1"/>
  <c r="BV575" i="183" s="1"/>
  <c r="BV576" i="183" s="1"/>
  <c r="BV577" i="183" s="1"/>
  <c r="BV578" i="183" s="1"/>
  <c r="BV579" i="183" s="1"/>
  <c r="BV580" i="183" s="1"/>
  <c r="BV581" i="183" s="1"/>
  <c r="BV582" i="183" s="1"/>
  <c r="BV583" i="183" s="1"/>
  <c r="BV584" i="183" s="1"/>
  <c r="BV585" i="183" s="1"/>
  <c r="BV586" i="183" s="1"/>
  <c r="BV587" i="183" s="1"/>
  <c r="BV588" i="183" s="1"/>
  <c r="BV589" i="183" s="1"/>
  <c r="BV590" i="183" s="1"/>
  <c r="BV591" i="183" s="1"/>
  <c r="BV592" i="183" s="1"/>
  <c r="BV593" i="183" s="1"/>
  <c r="BV594" i="183" s="1"/>
  <c r="BV595" i="183" s="1"/>
  <c r="BV596" i="183" s="1"/>
  <c r="BV597" i="183" s="1"/>
  <c r="BV598" i="183" s="1"/>
  <c r="BV599" i="183" s="1"/>
  <c r="BV600" i="183" s="1"/>
  <c r="BV601" i="183" s="1"/>
  <c r="BV602" i="183" s="1"/>
  <c r="BV603" i="183" s="1"/>
  <c r="BV604" i="183" s="1"/>
  <c r="BV605" i="183" s="1"/>
  <c r="BV606" i="183" s="1"/>
  <c r="BV607" i="183" s="1"/>
  <c r="BV608" i="183" s="1"/>
  <c r="BV609" i="183" s="1"/>
  <c r="BV610" i="183" s="1"/>
  <c r="BV611" i="183" s="1"/>
  <c r="BV612" i="183" s="1"/>
  <c r="BV613" i="183" s="1"/>
  <c r="BV614" i="183" s="1"/>
  <c r="BV615" i="183" s="1"/>
  <c r="BV616" i="183" s="1"/>
  <c r="BV617" i="183" s="1"/>
  <c r="BV618" i="183" s="1"/>
  <c r="BV619" i="183" s="1"/>
  <c r="BV620" i="183" s="1"/>
  <c r="BV621" i="183" s="1"/>
  <c r="BV622" i="183" s="1"/>
  <c r="BV623" i="183" s="1"/>
  <c r="BV624" i="183" s="1"/>
  <c r="BV625" i="183" s="1"/>
  <c r="BV626" i="183" s="1"/>
  <c r="BV627" i="183" s="1"/>
  <c r="BV628" i="183" s="1"/>
  <c r="BV629" i="183" s="1"/>
  <c r="BV630" i="183" s="1"/>
  <c r="BV631" i="183" s="1"/>
  <c r="BV632" i="183" s="1"/>
  <c r="BV633" i="183" s="1"/>
  <c r="BV634" i="183" s="1"/>
  <c r="BV635" i="183" s="1"/>
  <c r="BV636" i="183" s="1"/>
  <c r="BV637" i="183" s="1"/>
  <c r="BV638" i="183" s="1"/>
  <c r="BV639" i="183" s="1"/>
  <c r="BV640" i="183" s="1"/>
  <c r="BV641" i="183" s="1"/>
  <c r="BV642" i="183" s="1"/>
  <c r="BV643" i="183" s="1"/>
  <c r="BV644" i="183" s="1"/>
  <c r="BV645" i="183" s="1"/>
  <c r="BV646" i="183" s="1"/>
  <c r="BV647" i="183" s="1"/>
  <c r="BV648" i="183" s="1"/>
  <c r="BV649" i="183" s="1"/>
  <c r="BV650" i="183" s="1"/>
  <c r="BV651" i="183" s="1"/>
  <c r="BV652" i="183" s="1"/>
  <c r="BV653" i="183" s="1"/>
  <c r="BV654" i="183" s="1"/>
  <c r="BV655" i="183" s="1"/>
  <c r="BV656" i="183" s="1"/>
  <c r="BV657" i="183" s="1"/>
  <c r="BV658" i="183" s="1"/>
  <c r="BV659" i="183" s="1"/>
  <c r="BV660" i="183" s="1"/>
  <c r="BV661" i="183" s="1"/>
  <c r="BV662" i="183" s="1"/>
  <c r="BV663" i="183" s="1"/>
  <c r="BV664" i="183" s="1"/>
  <c r="BV665" i="183" s="1"/>
  <c r="BV666" i="183" s="1"/>
  <c r="BV667" i="183" s="1"/>
  <c r="BV668" i="183" s="1"/>
  <c r="BV669" i="183" s="1"/>
  <c r="BV670" i="183" s="1"/>
  <c r="BV671" i="183" s="1"/>
  <c r="BV672" i="183" s="1"/>
  <c r="BV673" i="183" s="1"/>
  <c r="BV674" i="183" s="1"/>
  <c r="BV675" i="183" s="1"/>
  <c r="BV676" i="183" s="1"/>
  <c r="BV677" i="183" s="1"/>
  <c r="BV678" i="183" s="1"/>
  <c r="BV679" i="183" s="1"/>
  <c r="BV680" i="183" s="1"/>
  <c r="BV681" i="183" s="1"/>
  <c r="BV682" i="183" s="1"/>
  <c r="BV683" i="183" s="1"/>
  <c r="BV684" i="183" s="1"/>
  <c r="BV685" i="183" s="1"/>
  <c r="BV686" i="183" s="1"/>
  <c r="BV687" i="183" s="1"/>
  <c r="BV688" i="183" s="1"/>
  <c r="BV689" i="183" s="1"/>
  <c r="BV690" i="183" s="1"/>
  <c r="BV691" i="183" s="1"/>
  <c r="BV692" i="183" s="1"/>
  <c r="BV693" i="183" s="1"/>
  <c r="BV694" i="183" s="1"/>
  <c r="BV695" i="183" s="1"/>
  <c r="BV696" i="183" s="1"/>
  <c r="BV697" i="183" s="1"/>
  <c r="BV698" i="183" s="1"/>
  <c r="BV699" i="183" s="1"/>
  <c r="BV700" i="183" s="1"/>
  <c r="BV701" i="183" s="1"/>
  <c r="BV702" i="183" s="1"/>
  <c r="BV703" i="183" s="1"/>
  <c r="BV704" i="183" s="1"/>
  <c r="BV705" i="183" s="1"/>
  <c r="BV706" i="183" s="1"/>
  <c r="BV707" i="183" s="1"/>
  <c r="BV708" i="183" s="1"/>
  <c r="BV709" i="183" s="1"/>
  <c r="BV710" i="183" s="1"/>
  <c r="BV711" i="183" s="1"/>
  <c r="BV712" i="183" s="1"/>
  <c r="BV713" i="183" s="1"/>
  <c r="BV714" i="183" s="1"/>
  <c r="BV715" i="183" s="1"/>
  <c r="BV716" i="183" s="1"/>
  <c r="BV717" i="183" s="1"/>
  <c r="BV718" i="183" s="1"/>
  <c r="BV719" i="183" s="1"/>
  <c r="BV720" i="183" s="1"/>
  <c r="BV721" i="183" s="1"/>
  <c r="BV722" i="183" s="1"/>
  <c r="BV723" i="183" s="1"/>
  <c r="BV724" i="183" s="1"/>
  <c r="BV725" i="183" s="1"/>
  <c r="BV726" i="183" s="1"/>
  <c r="BV727" i="183" s="1"/>
  <c r="BV728" i="183" s="1"/>
  <c r="BV729" i="183" s="1"/>
  <c r="BV730" i="183" s="1"/>
  <c r="BV731" i="183" s="1"/>
  <c r="BV732" i="183" s="1"/>
  <c r="BV733" i="183" s="1"/>
  <c r="BV734" i="183" s="1"/>
  <c r="BV735" i="183" s="1"/>
  <c r="BV736" i="183" s="1"/>
  <c r="BV737" i="183" s="1"/>
  <c r="BV738" i="183" s="1"/>
  <c r="BV739" i="183" s="1"/>
  <c r="BV740" i="183" s="1"/>
  <c r="BV741" i="183" s="1"/>
  <c r="BV742" i="183" s="1"/>
  <c r="BV743" i="183" s="1"/>
  <c r="BV744" i="183" s="1"/>
  <c r="BV745" i="183" s="1"/>
  <c r="BV746" i="183" s="1"/>
  <c r="BV747" i="183" s="1"/>
  <c r="BV748" i="183" s="1"/>
  <c r="BV749" i="183" s="1"/>
  <c r="BV750" i="183" s="1"/>
  <c r="BV751" i="183" s="1"/>
  <c r="BV752" i="183" s="1"/>
  <c r="BV753" i="183" s="1"/>
  <c r="BV754" i="183" s="1"/>
  <c r="BV755" i="183" s="1"/>
  <c r="BV756" i="183" s="1"/>
  <c r="BV757" i="183" s="1"/>
  <c r="BV758" i="183" s="1"/>
  <c r="BV759" i="183" s="1"/>
  <c r="BV760" i="183" s="1"/>
  <c r="BV761" i="183" s="1"/>
  <c r="BV762" i="183" s="1"/>
  <c r="BV763" i="183" s="1"/>
  <c r="BV764" i="183" s="1"/>
  <c r="BV765" i="183" s="1"/>
  <c r="BV766" i="183" s="1"/>
  <c r="BV767" i="183" s="1"/>
  <c r="BV768" i="183" s="1"/>
  <c r="BV769" i="183" s="1"/>
  <c r="BV770" i="183" s="1"/>
  <c r="BV771" i="183" s="1"/>
  <c r="BV772" i="183" s="1"/>
  <c r="BV773" i="183" s="1"/>
  <c r="BV774" i="183" s="1"/>
  <c r="BV775" i="183" s="1"/>
  <c r="BV776" i="183" s="1"/>
  <c r="BV777" i="183" s="1"/>
  <c r="BV778" i="183" s="1"/>
  <c r="BV779" i="183" s="1"/>
  <c r="BV780" i="183" s="1"/>
  <c r="BV781" i="183" s="1"/>
  <c r="BV782" i="183" s="1"/>
  <c r="BV783" i="183" s="1"/>
  <c r="BV784" i="183" s="1"/>
  <c r="BV785" i="183" s="1"/>
  <c r="BV786" i="183" s="1"/>
  <c r="BV787" i="183" s="1"/>
  <c r="BV788" i="183" s="1"/>
  <c r="BV789" i="183" s="1"/>
  <c r="BV790" i="183" s="1"/>
  <c r="BV791" i="183" s="1"/>
  <c r="BV792" i="183" s="1"/>
  <c r="BV793" i="183" s="1"/>
  <c r="BV794" i="183" s="1"/>
  <c r="BV795" i="183" s="1"/>
  <c r="BV796" i="183" s="1"/>
  <c r="BV797" i="183" s="1"/>
  <c r="BV798" i="183" s="1"/>
  <c r="BV799" i="183" s="1"/>
  <c r="BV800" i="183" s="1"/>
  <c r="BV801" i="183" s="1"/>
  <c r="BV802" i="183" s="1"/>
  <c r="BV803" i="183" s="1"/>
  <c r="BV804" i="183" s="1"/>
  <c r="BV805" i="183" s="1"/>
  <c r="BV806" i="183" s="1"/>
  <c r="BV807" i="183" s="1"/>
  <c r="BV808" i="183" s="1"/>
  <c r="BV809" i="183" s="1"/>
  <c r="BV810" i="183" s="1"/>
  <c r="BV811" i="183" s="1"/>
  <c r="BV812" i="183" s="1"/>
  <c r="BV813" i="183" s="1"/>
  <c r="BV814" i="183" s="1"/>
  <c r="BV815" i="183" s="1"/>
  <c r="BV816" i="183" s="1"/>
  <c r="BV817" i="183" s="1"/>
  <c r="BV818" i="183" s="1"/>
  <c r="BV819" i="183" s="1"/>
  <c r="BV820" i="183" s="1"/>
  <c r="BV821" i="183" s="1"/>
  <c r="BV822" i="183" s="1"/>
  <c r="BV823" i="183" s="1"/>
  <c r="BV824" i="183" s="1"/>
  <c r="BV825" i="183" s="1"/>
  <c r="BV826" i="183" s="1"/>
  <c r="BV827" i="183" s="1"/>
  <c r="BV828" i="183" s="1"/>
  <c r="BV829" i="183" s="1"/>
  <c r="BV830" i="183" s="1"/>
  <c r="BV831" i="183" s="1"/>
  <c r="BV832" i="183" s="1"/>
  <c r="BV833" i="183" s="1"/>
  <c r="BV834" i="183" s="1"/>
  <c r="BV835" i="183" s="1"/>
  <c r="BV836" i="183" s="1"/>
  <c r="BV837" i="183" s="1"/>
  <c r="BV838" i="183" s="1"/>
  <c r="BV839" i="183" s="1"/>
  <c r="BV840" i="183" s="1"/>
  <c r="BV841" i="183" s="1"/>
  <c r="BV842" i="183" s="1"/>
  <c r="BV843" i="183" s="1"/>
  <c r="BV844" i="183" s="1"/>
  <c r="BV845" i="183" s="1"/>
  <c r="BV846" i="183" s="1"/>
  <c r="BV847" i="183" s="1"/>
  <c r="BV848" i="183" s="1"/>
  <c r="BV849" i="183" s="1"/>
  <c r="BV850" i="183" s="1"/>
  <c r="BV851" i="183" s="1"/>
  <c r="BV852" i="183" s="1"/>
  <c r="BV853" i="183" s="1"/>
  <c r="BV854" i="183" s="1"/>
  <c r="BV855" i="183" s="1"/>
  <c r="BV856" i="183" s="1"/>
  <c r="BV857" i="183" s="1"/>
  <c r="BV858" i="183" s="1"/>
  <c r="BV859" i="183" s="1"/>
  <c r="BV860" i="183" s="1"/>
  <c r="BV861" i="183" s="1"/>
  <c r="BV862" i="183" s="1"/>
  <c r="BV863" i="183" s="1"/>
  <c r="BV864" i="183" s="1"/>
  <c r="BV865" i="183" s="1"/>
  <c r="BV866" i="183" s="1"/>
  <c r="BV867" i="183" s="1"/>
  <c r="BV868" i="183" s="1"/>
  <c r="BV869" i="183" s="1"/>
  <c r="BV870" i="183" s="1"/>
  <c r="BV871" i="183" s="1"/>
  <c r="BV872" i="183" s="1"/>
  <c r="BV873" i="183" s="1"/>
  <c r="BV874" i="183" s="1"/>
  <c r="BV875" i="183" s="1"/>
  <c r="BV876" i="183" s="1"/>
  <c r="BV877" i="183" s="1"/>
  <c r="BV878" i="183" s="1"/>
  <c r="BV879" i="183" s="1"/>
  <c r="BV880" i="183" s="1"/>
  <c r="BV881" i="183" s="1"/>
  <c r="BV882" i="183" s="1"/>
  <c r="BV883" i="183" s="1"/>
  <c r="BV884" i="183" s="1"/>
  <c r="BV885" i="183" s="1"/>
  <c r="BV886" i="183" s="1"/>
  <c r="BV887" i="183" s="1"/>
  <c r="BV888" i="183" s="1"/>
  <c r="BV889" i="183" s="1"/>
  <c r="BV890" i="183" s="1"/>
  <c r="BV891" i="183" s="1"/>
  <c r="BV892" i="183" s="1"/>
  <c r="BV893" i="183" s="1"/>
  <c r="BV894" i="183" s="1"/>
  <c r="BV895" i="183" s="1"/>
  <c r="BV896" i="183" s="1"/>
  <c r="BV897" i="183" s="1"/>
  <c r="BV898" i="183" s="1"/>
  <c r="BV899" i="183" s="1"/>
  <c r="BV900" i="183" s="1"/>
  <c r="BV901" i="183" s="1"/>
  <c r="BV902" i="183" s="1"/>
  <c r="BV903" i="183" s="1"/>
  <c r="BV904" i="183" s="1"/>
  <c r="BV905" i="183" s="1"/>
  <c r="BV906" i="183" s="1"/>
  <c r="BV907" i="183" s="1"/>
  <c r="BV908" i="183" s="1"/>
  <c r="BV909" i="183" s="1"/>
  <c r="BV910" i="183" s="1"/>
  <c r="BV911" i="183" s="1"/>
  <c r="BV912" i="183" s="1"/>
  <c r="BV913" i="183" s="1"/>
  <c r="BV914" i="183" s="1"/>
  <c r="BV915" i="183" s="1"/>
  <c r="BV916" i="183" s="1"/>
  <c r="BV917" i="183" s="1"/>
  <c r="BV918" i="183" s="1"/>
  <c r="BV919" i="183" s="1"/>
  <c r="BV920" i="183" s="1"/>
  <c r="BV921" i="183" s="1"/>
  <c r="BV922" i="183" s="1"/>
  <c r="BV923" i="183" s="1"/>
  <c r="BV924" i="183" s="1"/>
  <c r="BV925" i="183" s="1"/>
  <c r="BV926" i="183" s="1"/>
  <c r="BV927" i="183" s="1"/>
  <c r="BV928" i="183" s="1"/>
  <c r="BV929" i="183" s="1"/>
  <c r="BV930" i="183" s="1"/>
  <c r="BV931" i="183" s="1"/>
  <c r="BV932" i="183" s="1"/>
  <c r="BV933" i="183" s="1"/>
  <c r="BV934" i="183" s="1"/>
  <c r="BV935" i="183" s="1"/>
  <c r="BV936" i="183" s="1"/>
  <c r="BV937" i="183" s="1"/>
  <c r="BV938" i="183" s="1"/>
  <c r="BV939" i="183" s="1"/>
  <c r="BV940" i="183" s="1"/>
  <c r="BV941" i="183" s="1"/>
  <c r="BV942" i="183" s="1"/>
  <c r="BV943" i="183" s="1"/>
  <c r="BV944" i="183" s="1"/>
  <c r="BV945" i="183" s="1"/>
  <c r="BV946" i="183" s="1"/>
  <c r="BV947" i="183" s="1"/>
  <c r="BV948" i="183" s="1"/>
  <c r="BV949" i="183" s="1"/>
  <c r="BV950" i="183" s="1"/>
  <c r="BV951" i="183" s="1"/>
  <c r="BV952" i="183" s="1"/>
  <c r="BV953" i="183" s="1"/>
  <c r="BV954" i="183" s="1"/>
  <c r="BV955" i="183" s="1"/>
  <c r="BV956" i="183" s="1"/>
  <c r="BV957" i="183" s="1"/>
  <c r="BV958" i="183" s="1"/>
  <c r="BV959" i="183" s="1"/>
  <c r="BV960" i="183" s="1"/>
  <c r="BV961" i="183" s="1"/>
  <c r="BV962" i="183" s="1"/>
  <c r="BV963" i="183" s="1"/>
  <c r="BV964" i="183" s="1"/>
  <c r="BV965" i="183" s="1"/>
  <c r="BV966" i="183" s="1"/>
  <c r="BV967" i="183" s="1"/>
  <c r="BV968" i="183" s="1"/>
  <c r="BV969" i="183" s="1"/>
  <c r="BV970" i="183" s="1"/>
  <c r="BV971" i="183" s="1"/>
  <c r="BV972" i="183" s="1"/>
  <c r="BV973" i="183" s="1"/>
  <c r="BV974" i="183" s="1"/>
  <c r="BV975" i="183" s="1"/>
  <c r="BV976" i="183" s="1"/>
  <c r="BV977" i="183" s="1"/>
  <c r="BV978" i="183" s="1"/>
  <c r="BV979" i="183" s="1"/>
  <c r="BV980" i="183" s="1"/>
  <c r="BV981" i="183" s="1"/>
  <c r="BV982" i="183" s="1"/>
  <c r="BV983" i="183" s="1"/>
  <c r="BV984" i="183" s="1"/>
  <c r="BV985" i="183" s="1"/>
  <c r="BV986" i="183" s="1"/>
  <c r="BV987" i="183" s="1"/>
  <c r="BV988" i="183" s="1"/>
  <c r="BV989" i="183" s="1"/>
  <c r="BV990" i="183" s="1"/>
  <c r="BV991" i="183" s="1"/>
  <c r="BV992" i="183" s="1"/>
  <c r="BV993" i="183" s="1"/>
  <c r="BV994" i="183" s="1"/>
  <c r="BV995" i="183" s="1"/>
  <c r="BV996" i="183" s="1"/>
  <c r="BV997" i="183" s="1"/>
  <c r="BV998" i="183" s="1"/>
  <c r="BV999" i="183" s="1"/>
  <c r="BV1000" i="183" s="1"/>
  <c r="BV1001" i="183" s="1"/>
  <c r="BV1002" i="183" s="1"/>
  <c r="BV1003" i="183" s="1"/>
  <c r="BV1004" i="183" s="1"/>
  <c r="BV1005" i="183" s="1"/>
  <c r="BV1006" i="183" s="1"/>
  <c r="BV1007" i="183" s="1"/>
  <c r="BI19" i="183"/>
  <c r="AY34" i="183" s="1"/>
  <c r="P15" i="183"/>
  <c r="E13" i="183" s="1"/>
  <c r="P14" i="183"/>
  <c r="S11" i="183" l="1"/>
  <c r="S12" i="183"/>
  <c r="T38" i="183" s="1"/>
  <c r="T36" i="183"/>
  <c r="T30" i="183"/>
  <c r="AQ31" i="183"/>
  <c r="T26" i="183"/>
  <c r="BI21" i="183"/>
  <c r="BL76" i="183"/>
  <c r="BM76" i="183" s="1"/>
  <c r="BL46" i="183"/>
  <c r="BM46" i="183" s="1"/>
  <c r="BL53" i="183"/>
  <c r="BM53" i="183" s="1"/>
  <c r="BL35" i="183"/>
  <c r="BM35" i="183" s="1"/>
  <c r="BL61" i="183"/>
  <c r="BM61" i="183" s="1"/>
  <c r="BL33" i="183"/>
  <c r="BM33" i="183" s="1"/>
  <c r="BL73" i="183"/>
  <c r="BM73" i="183" s="1"/>
  <c r="BL21" i="183"/>
  <c r="BM21" i="183" s="1"/>
  <c r="BL40" i="183"/>
  <c r="BM40" i="183" s="1"/>
  <c r="BL56" i="183"/>
  <c r="BM56" i="183" s="1"/>
  <c r="BL66" i="183"/>
  <c r="BM66" i="183" s="1"/>
  <c r="BL20" i="183"/>
  <c r="BM20" i="183" s="1"/>
  <c r="BL45" i="183"/>
  <c r="BM45" i="183" s="1"/>
  <c r="BL62" i="183"/>
  <c r="BM62" i="183" s="1"/>
  <c r="BL29" i="183"/>
  <c r="BM29" i="183" s="1"/>
  <c r="BL24" i="183"/>
  <c r="BM24" i="183" s="1"/>
  <c r="BL37" i="183"/>
  <c r="BM37" i="183" s="1"/>
  <c r="BL43" i="183"/>
  <c r="BM43" i="183" s="1"/>
  <c r="BL50" i="183"/>
  <c r="BM50" i="183" s="1"/>
  <c r="BL59" i="183"/>
  <c r="BM59" i="183" s="1"/>
  <c r="BL64" i="183"/>
  <c r="BM64" i="183" s="1"/>
  <c r="BL69" i="183"/>
  <c r="BM69" i="183" s="1"/>
  <c r="BL78" i="183"/>
  <c r="BM78" i="183" s="1"/>
  <c r="BL25" i="183"/>
  <c r="BM25" i="183" s="1"/>
  <c r="BL38" i="183"/>
  <c r="BM38" i="183" s="1"/>
  <c r="BL49" i="183"/>
  <c r="BM49" i="183" s="1"/>
  <c r="BL55" i="183"/>
  <c r="BM55" i="183" s="1"/>
  <c r="BL70" i="183"/>
  <c r="BM70" i="183" s="1"/>
  <c r="BL75" i="183"/>
  <c r="BM75" i="183" s="1"/>
  <c r="BL31" i="183"/>
  <c r="BM31" i="183" s="1"/>
  <c r="BL19" i="183"/>
  <c r="BM19" i="183" s="1"/>
  <c r="BL22" i="183"/>
  <c r="BM22" i="183" s="1"/>
  <c r="BL26" i="183"/>
  <c r="BM26" i="183" s="1"/>
  <c r="BL36" i="183"/>
  <c r="BM36" i="183" s="1"/>
  <c r="BL39" i="183"/>
  <c r="BM39" i="183" s="1"/>
  <c r="BL41" i="183"/>
  <c r="BM41" i="183" s="1"/>
  <c r="BL44" i="183"/>
  <c r="BM44" i="183" s="1"/>
  <c r="BL47" i="183"/>
  <c r="BM47" i="183" s="1"/>
  <c r="BL51" i="183"/>
  <c r="BM51" i="183" s="1"/>
  <c r="BL57" i="183"/>
  <c r="BM57" i="183" s="1"/>
  <c r="BL60" i="183"/>
  <c r="BM60" i="183" s="1"/>
  <c r="BL63" i="183"/>
  <c r="BM63" i="183" s="1"/>
  <c r="BL65" i="183"/>
  <c r="BM65" i="183" s="1"/>
  <c r="BL67" i="183"/>
  <c r="BM67" i="183" s="1"/>
  <c r="BL71" i="183"/>
  <c r="BM71" i="183" s="1"/>
  <c r="BL77" i="183"/>
  <c r="BM77" i="183" s="1"/>
  <c r="BL79" i="183"/>
  <c r="BM79" i="183" s="1"/>
  <c r="BL23" i="183"/>
  <c r="BM23" i="183" s="1"/>
  <c r="BL27" i="183"/>
  <c r="BM27" i="183" s="1"/>
  <c r="BL34" i="183"/>
  <c r="BM34" i="183" s="1"/>
  <c r="BL42" i="183"/>
  <c r="BM42" i="183" s="1"/>
  <c r="BL48" i="183"/>
  <c r="BM48" i="183" s="1"/>
  <c r="BL52" i="183"/>
  <c r="BM52" i="183" s="1"/>
  <c r="BL54" i="183"/>
  <c r="BM54" i="183" s="1"/>
  <c r="BL58" i="183"/>
  <c r="BM58" i="183" s="1"/>
  <c r="BL68" i="183"/>
  <c r="BM68" i="183" s="1"/>
  <c r="BL72" i="183"/>
  <c r="BM72" i="183" s="1"/>
  <c r="BL74" i="183"/>
  <c r="BM74" i="183" s="1"/>
  <c r="BL28" i="183"/>
  <c r="BM28" i="183" s="1"/>
  <c r="BL30" i="183"/>
  <c r="BM30" i="183" s="1"/>
  <c r="BL32" i="183"/>
  <c r="BM32" i="183" s="1"/>
  <c r="AY37" i="183"/>
  <c r="AX22" i="183"/>
  <c r="E12" i="183"/>
  <c r="BQ32" i="183"/>
  <c r="BQ34" i="183" s="1"/>
  <c r="BQ36" i="183" s="1"/>
  <c r="BQ38" i="183" s="1"/>
  <c r="BQ40" i="183" s="1"/>
  <c r="BQ42" i="183" s="1"/>
  <c r="BQ44" i="183" s="1"/>
  <c r="BQ46" i="183" s="1"/>
  <c r="BQ48" i="183" s="1"/>
  <c r="BQ50" i="183" s="1"/>
  <c r="BQ52" i="183" s="1"/>
  <c r="BQ54" i="183" s="1"/>
  <c r="BQ56" i="183" s="1"/>
  <c r="BQ58" i="183" s="1"/>
  <c r="BQ60" i="183" s="1"/>
  <c r="BQ62" i="183" s="1"/>
  <c r="BQ64" i="183" s="1"/>
  <c r="BQ66" i="183" s="1"/>
  <c r="BQ68" i="183" s="1"/>
  <c r="BQ70" i="183" s="1"/>
  <c r="BQ72" i="183" s="1"/>
  <c r="BQ74" i="183" s="1"/>
  <c r="BQ76" i="183" s="1"/>
  <c r="BQ78" i="183" s="1"/>
  <c r="BQ80" i="183" s="1"/>
  <c r="BQ82" i="183" s="1"/>
  <c r="BQ84" i="183" s="1"/>
  <c r="BQ86" i="183" s="1"/>
  <c r="BQ88" i="183" s="1"/>
  <c r="BQ90" i="183" s="1"/>
  <c r="BQ92" i="183" s="1"/>
  <c r="BQ94" i="183" s="1"/>
  <c r="BQ96" i="183" s="1"/>
  <c r="BQ98" i="183" s="1"/>
  <c r="BQ100" i="183" s="1"/>
  <c r="BQ102" i="183" s="1"/>
  <c r="BQ104" i="183" s="1"/>
  <c r="BQ106" i="183" s="1"/>
  <c r="BQ108" i="183" s="1"/>
  <c r="BQ110" i="183" s="1"/>
  <c r="BQ112" i="183" s="1"/>
  <c r="BQ114" i="183" s="1"/>
  <c r="BQ116" i="183" s="1"/>
  <c r="BQ118" i="183" s="1"/>
  <c r="BQ120" i="183" s="1"/>
  <c r="BQ122" i="183" s="1"/>
  <c r="BQ124" i="183" s="1"/>
  <c r="BQ126" i="183" s="1"/>
  <c r="BQ128" i="183" s="1"/>
  <c r="BQ130" i="183" s="1"/>
  <c r="BQ132" i="183" s="1"/>
  <c r="BQ134" i="183" s="1"/>
  <c r="BQ136" i="183" s="1"/>
  <c r="BQ138" i="183" s="1"/>
  <c r="BQ140" i="183" s="1"/>
  <c r="BQ142" i="183" s="1"/>
  <c r="BQ144" i="183" s="1"/>
  <c r="BQ146" i="183" s="1"/>
  <c r="BQ148" i="183" s="1"/>
  <c r="BQ150" i="183" s="1"/>
  <c r="BQ152" i="183" s="1"/>
  <c r="BQ154" i="183" s="1"/>
  <c r="BQ156" i="183" s="1"/>
  <c r="BQ158" i="183" s="1"/>
  <c r="BQ160" i="183" s="1"/>
  <c r="BQ162" i="183" s="1"/>
  <c r="BQ164" i="183" s="1"/>
  <c r="BQ166" i="183" s="1"/>
  <c r="BQ168" i="183" s="1"/>
  <c r="BQ170" i="183" s="1"/>
  <c r="BQ172" i="183" s="1"/>
  <c r="BQ174" i="183" s="1"/>
  <c r="BQ176" i="183" s="1"/>
  <c r="BQ178" i="183" s="1"/>
  <c r="BQ180" i="183" s="1"/>
  <c r="BQ182" i="183" s="1"/>
  <c r="BQ184" i="183" s="1"/>
  <c r="BQ186" i="183" s="1"/>
  <c r="BQ188" i="183" s="1"/>
  <c r="BQ190" i="183" s="1"/>
  <c r="BQ192" i="183" s="1"/>
  <c r="BQ194" i="183" s="1"/>
  <c r="BQ196" i="183" s="1"/>
  <c r="BQ198" i="183" s="1"/>
  <c r="BQ200" i="183" s="1"/>
  <c r="BQ202" i="183" s="1"/>
  <c r="BQ204" i="183" s="1"/>
  <c r="BQ206" i="183" s="1"/>
  <c r="BQ208" i="183" s="1"/>
  <c r="BQ210" i="183" s="1"/>
  <c r="BQ212" i="183" s="1"/>
  <c r="BQ214" i="183" s="1"/>
  <c r="BQ216" i="183" s="1"/>
  <c r="BQ218" i="183" s="1"/>
  <c r="BQ220" i="183" s="1"/>
  <c r="BQ222" i="183" s="1"/>
  <c r="BQ224" i="183" s="1"/>
  <c r="BQ226" i="183" s="1"/>
  <c r="BQ228" i="183" s="1"/>
  <c r="BQ230" i="183" s="1"/>
  <c r="BQ232" i="183" s="1"/>
  <c r="BQ234" i="183" s="1"/>
  <c r="BQ236" i="183" s="1"/>
  <c r="BQ238" i="183" s="1"/>
  <c r="BQ240" i="183" s="1"/>
  <c r="BQ242" i="183" s="1"/>
  <c r="BQ244" i="183" s="1"/>
  <c r="BQ246" i="183" s="1"/>
  <c r="BQ248" i="183" s="1"/>
  <c r="BQ250" i="183" s="1"/>
  <c r="BQ252" i="183" s="1"/>
  <c r="BQ254" i="183" s="1"/>
  <c r="BQ256" i="183" s="1"/>
  <c r="BQ258" i="183" s="1"/>
  <c r="BQ260" i="183" s="1"/>
  <c r="BQ262" i="183" s="1"/>
  <c r="BQ264" i="183" s="1"/>
  <c r="BQ266" i="183" s="1"/>
  <c r="BQ268" i="183" s="1"/>
  <c r="BQ270" i="183" s="1"/>
  <c r="BQ272" i="183" s="1"/>
  <c r="BQ274" i="183" s="1"/>
  <c r="BQ276" i="183" s="1"/>
  <c r="BQ278" i="183" s="1"/>
  <c r="BQ280" i="183" s="1"/>
  <c r="BQ282" i="183" s="1"/>
  <c r="BQ284" i="183" s="1"/>
  <c r="BQ286" i="183" s="1"/>
  <c r="BQ288" i="183" s="1"/>
  <c r="BQ290" i="183" s="1"/>
  <c r="BQ292" i="183" s="1"/>
  <c r="BQ294" i="183" s="1"/>
  <c r="BQ296" i="183" s="1"/>
  <c r="BQ298" i="183" s="1"/>
  <c r="BQ300" i="183" s="1"/>
  <c r="BQ302" i="183" s="1"/>
  <c r="BQ304" i="183" s="1"/>
  <c r="BQ306" i="183" s="1"/>
  <c r="BQ308" i="183" s="1"/>
  <c r="BQ310" i="183" s="1"/>
  <c r="BQ312" i="183" s="1"/>
  <c r="BQ314" i="183" s="1"/>
  <c r="BQ316" i="183" s="1"/>
  <c r="BQ318" i="183" s="1"/>
  <c r="BQ320" i="183" s="1"/>
  <c r="BQ322" i="183" s="1"/>
  <c r="BQ324" i="183" s="1"/>
  <c r="BQ326" i="183" s="1"/>
  <c r="BQ328" i="183" s="1"/>
  <c r="BQ330" i="183" s="1"/>
  <c r="BQ332" i="183" s="1"/>
  <c r="BQ334" i="183" s="1"/>
  <c r="BQ336" i="183" s="1"/>
  <c r="BQ338" i="183" s="1"/>
  <c r="BQ340" i="183" s="1"/>
  <c r="BQ342" i="183" s="1"/>
  <c r="BQ344" i="183" s="1"/>
  <c r="BQ346" i="183" s="1"/>
  <c r="BQ348" i="183" s="1"/>
  <c r="BQ350" i="183" s="1"/>
  <c r="BQ352" i="183" s="1"/>
  <c r="BQ354" i="183" s="1"/>
  <c r="BQ356" i="183" s="1"/>
  <c r="BQ358" i="183" s="1"/>
  <c r="BQ360" i="183" s="1"/>
  <c r="BQ362" i="183" s="1"/>
  <c r="BQ364" i="183" s="1"/>
  <c r="BQ366" i="183" s="1"/>
  <c r="BQ368" i="183" s="1"/>
  <c r="BQ370" i="183" s="1"/>
  <c r="BQ372" i="183" s="1"/>
  <c r="BQ374" i="183" s="1"/>
  <c r="BQ376" i="183" s="1"/>
  <c r="BQ378" i="183" s="1"/>
  <c r="BQ380" i="183" s="1"/>
  <c r="BQ382" i="183" s="1"/>
  <c r="BQ384" i="183" s="1"/>
  <c r="BQ386" i="183" s="1"/>
  <c r="BQ388" i="183" s="1"/>
  <c r="BQ390" i="183" s="1"/>
  <c r="BQ392" i="183" s="1"/>
  <c r="BQ394" i="183" s="1"/>
  <c r="BQ396" i="183" s="1"/>
  <c r="BQ398" i="183" s="1"/>
  <c r="BQ400" i="183" s="1"/>
  <c r="BQ402" i="183" s="1"/>
  <c r="BQ404" i="183" s="1"/>
  <c r="BQ406" i="183" s="1"/>
  <c r="BQ408" i="183" s="1"/>
  <c r="BQ410" i="183" s="1"/>
  <c r="BQ412" i="183" s="1"/>
  <c r="BQ414" i="183" s="1"/>
  <c r="BQ416" i="183" s="1"/>
  <c r="BQ418" i="183" s="1"/>
  <c r="BQ420" i="183" s="1"/>
  <c r="BQ422" i="183" s="1"/>
  <c r="BQ424" i="183" s="1"/>
  <c r="BQ426" i="183" s="1"/>
  <c r="BQ428" i="183" s="1"/>
  <c r="BQ430" i="183" s="1"/>
  <c r="BQ432" i="183" s="1"/>
  <c r="BQ434" i="183" s="1"/>
  <c r="BQ436" i="183" s="1"/>
  <c r="BQ438" i="183" s="1"/>
  <c r="BQ440" i="183" s="1"/>
  <c r="BQ442" i="183" s="1"/>
  <c r="BQ444" i="183" s="1"/>
  <c r="BQ446" i="183" s="1"/>
  <c r="BQ448" i="183" s="1"/>
  <c r="BQ450" i="183" s="1"/>
  <c r="BQ452" i="183" s="1"/>
  <c r="BQ454" i="183" s="1"/>
  <c r="BQ456" i="183" s="1"/>
  <c r="BQ458" i="183" s="1"/>
  <c r="BQ460" i="183" s="1"/>
  <c r="BQ462" i="183" s="1"/>
  <c r="BQ464" i="183" s="1"/>
  <c r="BQ466" i="183" s="1"/>
  <c r="BQ468" i="183" s="1"/>
  <c r="BQ470" i="183" s="1"/>
  <c r="BQ472" i="183" s="1"/>
  <c r="BQ474" i="183" s="1"/>
  <c r="BQ476" i="183" s="1"/>
  <c r="BQ478" i="183" s="1"/>
  <c r="BQ480" i="183" s="1"/>
  <c r="BQ482" i="183" s="1"/>
  <c r="BQ484" i="183" s="1"/>
  <c r="BQ486" i="183" s="1"/>
  <c r="BQ488" i="183" s="1"/>
  <c r="BQ490" i="183" s="1"/>
  <c r="BQ492" i="183" s="1"/>
  <c r="BQ494" i="183" s="1"/>
  <c r="BQ496" i="183" s="1"/>
  <c r="BQ498" i="183" s="1"/>
  <c r="BQ500" i="183" s="1"/>
  <c r="BQ502" i="183" s="1"/>
  <c r="BQ504" i="183" s="1"/>
  <c r="BQ506" i="183" s="1"/>
  <c r="BQ508" i="183" s="1"/>
  <c r="BQ510" i="183" s="1"/>
  <c r="BQ512" i="183" s="1"/>
  <c r="BQ514" i="183" s="1"/>
  <c r="BQ516" i="183" s="1"/>
  <c r="BQ518" i="183" s="1"/>
  <c r="BQ520" i="183" s="1"/>
  <c r="BQ522" i="183" s="1"/>
  <c r="BQ524" i="183" s="1"/>
  <c r="BQ526" i="183" s="1"/>
  <c r="BQ528" i="183" s="1"/>
  <c r="BQ530" i="183" s="1"/>
  <c r="BQ532" i="183" s="1"/>
  <c r="BQ534" i="183" s="1"/>
  <c r="BQ536" i="183" s="1"/>
  <c r="BQ538" i="183" s="1"/>
  <c r="BQ540" i="183" s="1"/>
  <c r="BQ542" i="183" s="1"/>
  <c r="BQ544" i="183" s="1"/>
  <c r="BQ546" i="183" s="1"/>
  <c r="BQ548" i="183" s="1"/>
  <c r="BQ550" i="183" s="1"/>
  <c r="BQ552" i="183" s="1"/>
  <c r="BQ554" i="183" s="1"/>
  <c r="BQ556" i="183" s="1"/>
  <c r="BQ558" i="183" s="1"/>
  <c r="BQ560" i="183" s="1"/>
  <c r="BQ562" i="183" s="1"/>
  <c r="BQ564" i="183" s="1"/>
  <c r="BQ566" i="183" s="1"/>
  <c r="BQ568" i="183" s="1"/>
  <c r="BQ570" i="183" s="1"/>
  <c r="BQ572" i="183" s="1"/>
  <c r="BQ574" i="183" s="1"/>
  <c r="BQ576" i="183" s="1"/>
  <c r="BQ578" i="183" s="1"/>
  <c r="BQ580" i="183" s="1"/>
  <c r="BQ582" i="183" s="1"/>
  <c r="BQ584" i="183" s="1"/>
  <c r="BQ586" i="183" s="1"/>
  <c r="BQ588" i="183" s="1"/>
  <c r="BQ590" i="183" s="1"/>
  <c r="BQ592" i="183" s="1"/>
  <c r="BQ594" i="183" s="1"/>
  <c r="BQ596" i="183" s="1"/>
  <c r="BQ598" i="183" s="1"/>
  <c r="BQ600" i="183" s="1"/>
  <c r="BQ602" i="183" s="1"/>
  <c r="BQ604" i="183" s="1"/>
  <c r="BQ606" i="183" s="1"/>
  <c r="BQ608" i="183" s="1"/>
  <c r="BQ610" i="183" s="1"/>
  <c r="BQ612" i="183" s="1"/>
  <c r="BQ614" i="183" s="1"/>
  <c r="BQ616" i="183" s="1"/>
  <c r="BQ618" i="183" s="1"/>
  <c r="BQ620" i="183" s="1"/>
  <c r="BQ622" i="183" s="1"/>
  <c r="BQ624" i="183" s="1"/>
  <c r="BQ626" i="183" s="1"/>
  <c r="BQ628" i="183" s="1"/>
  <c r="BQ630" i="183" s="1"/>
  <c r="BQ632" i="183" s="1"/>
  <c r="BQ634" i="183" s="1"/>
  <c r="BQ636" i="183" s="1"/>
  <c r="BQ638" i="183" s="1"/>
  <c r="BQ640" i="183" s="1"/>
  <c r="BQ642" i="183" s="1"/>
  <c r="BQ644" i="183" s="1"/>
  <c r="BQ646" i="183" s="1"/>
  <c r="BQ648" i="183" s="1"/>
  <c r="BQ650" i="183" s="1"/>
  <c r="BQ652" i="183" s="1"/>
  <c r="BQ654" i="183" s="1"/>
  <c r="BQ656" i="183" s="1"/>
  <c r="BQ658" i="183" s="1"/>
  <c r="BQ660" i="183" s="1"/>
  <c r="BQ662" i="183" s="1"/>
  <c r="BQ664" i="183" s="1"/>
  <c r="BQ666" i="183" s="1"/>
  <c r="BQ668" i="183" s="1"/>
  <c r="BQ670" i="183" s="1"/>
  <c r="BQ672" i="183" s="1"/>
  <c r="BQ674" i="183" s="1"/>
  <c r="BQ676" i="183" s="1"/>
  <c r="BQ678" i="183" s="1"/>
  <c r="BQ680" i="183" s="1"/>
  <c r="BQ682" i="183" s="1"/>
  <c r="BQ684" i="183" s="1"/>
  <c r="BQ686" i="183" s="1"/>
  <c r="BQ688" i="183" s="1"/>
  <c r="BQ690" i="183" s="1"/>
  <c r="BQ692" i="183" s="1"/>
  <c r="BQ694" i="183" s="1"/>
  <c r="BQ696" i="183" s="1"/>
  <c r="BQ698" i="183" s="1"/>
  <c r="BQ700" i="183" s="1"/>
  <c r="BQ702" i="183" s="1"/>
  <c r="BQ704" i="183" s="1"/>
  <c r="BQ706" i="183" s="1"/>
  <c r="BQ708" i="183" s="1"/>
  <c r="BQ710" i="183" s="1"/>
  <c r="BQ712" i="183" s="1"/>
  <c r="BQ714" i="183" s="1"/>
  <c r="BQ716" i="183" s="1"/>
  <c r="BQ718" i="183" s="1"/>
  <c r="BQ720" i="183" s="1"/>
  <c r="BQ722" i="183" s="1"/>
  <c r="BQ724" i="183" s="1"/>
  <c r="BQ726" i="183" s="1"/>
  <c r="BQ728" i="183" s="1"/>
  <c r="BQ730" i="183" s="1"/>
  <c r="BQ732" i="183" s="1"/>
  <c r="BQ734" i="183" s="1"/>
  <c r="BQ736" i="183" s="1"/>
  <c r="BQ738" i="183" s="1"/>
  <c r="BQ740" i="183" s="1"/>
  <c r="BQ742" i="183" s="1"/>
  <c r="BQ744" i="183" s="1"/>
  <c r="BQ746" i="183" s="1"/>
  <c r="BQ748" i="183" s="1"/>
  <c r="BQ750" i="183" s="1"/>
  <c r="BQ752" i="183" s="1"/>
  <c r="BQ754" i="183" s="1"/>
  <c r="BQ756" i="183" s="1"/>
  <c r="BQ758" i="183" s="1"/>
  <c r="BQ760" i="183" s="1"/>
  <c r="BQ762" i="183" s="1"/>
  <c r="BQ764" i="183" s="1"/>
  <c r="BQ766" i="183" s="1"/>
  <c r="BQ768" i="183" s="1"/>
  <c r="BQ770" i="183" s="1"/>
  <c r="BQ772" i="183" s="1"/>
  <c r="BQ774" i="183" s="1"/>
  <c r="BQ776" i="183" s="1"/>
  <c r="BQ778" i="183" s="1"/>
  <c r="BQ780" i="183" s="1"/>
  <c r="BQ782" i="183" s="1"/>
  <c r="BQ784" i="183" s="1"/>
  <c r="BQ786" i="183" s="1"/>
  <c r="BQ788" i="183" s="1"/>
  <c r="BQ790" i="183" s="1"/>
  <c r="BQ792" i="183" s="1"/>
  <c r="BQ794" i="183" s="1"/>
  <c r="BQ796" i="183" s="1"/>
  <c r="BQ798" i="183" s="1"/>
  <c r="BQ800" i="183" s="1"/>
  <c r="BQ802" i="183" s="1"/>
  <c r="BQ804" i="183" s="1"/>
  <c r="BQ806" i="183" s="1"/>
  <c r="BQ808" i="183" s="1"/>
  <c r="BQ810" i="183" s="1"/>
  <c r="BQ812" i="183" s="1"/>
  <c r="BQ814" i="183" s="1"/>
  <c r="BQ816" i="183" s="1"/>
  <c r="BQ818" i="183" s="1"/>
  <c r="BQ820" i="183" s="1"/>
  <c r="BQ822" i="183" s="1"/>
  <c r="BQ824" i="183" s="1"/>
  <c r="BQ826" i="183" s="1"/>
  <c r="BQ828" i="183" s="1"/>
  <c r="BQ830" i="183" s="1"/>
  <c r="BQ832" i="183" s="1"/>
  <c r="BQ834" i="183" s="1"/>
  <c r="BQ836" i="183" s="1"/>
  <c r="BQ838" i="183" s="1"/>
  <c r="BQ840" i="183" s="1"/>
  <c r="BQ842" i="183" s="1"/>
  <c r="BQ844" i="183" s="1"/>
  <c r="BQ846" i="183" s="1"/>
  <c r="BQ848" i="183" s="1"/>
  <c r="BQ850" i="183" s="1"/>
  <c r="BQ852" i="183" s="1"/>
  <c r="BQ854" i="183" s="1"/>
  <c r="BQ856" i="183" s="1"/>
  <c r="BQ858" i="183" s="1"/>
  <c r="BQ860" i="183" s="1"/>
  <c r="BQ862" i="183" s="1"/>
  <c r="BQ864" i="183" s="1"/>
  <c r="BQ866" i="183" s="1"/>
  <c r="BQ868" i="183" s="1"/>
  <c r="BQ870" i="183" s="1"/>
  <c r="BQ872" i="183" s="1"/>
  <c r="BQ874" i="183" s="1"/>
  <c r="BQ876" i="183" s="1"/>
  <c r="BQ878" i="183" s="1"/>
  <c r="BQ880" i="183" s="1"/>
  <c r="BQ882" i="183" s="1"/>
  <c r="BQ884" i="183" s="1"/>
  <c r="BQ886" i="183" s="1"/>
  <c r="BQ888" i="183" s="1"/>
  <c r="BQ890" i="183" s="1"/>
  <c r="BQ892" i="183" s="1"/>
  <c r="BQ894" i="183" s="1"/>
  <c r="BQ896" i="183" s="1"/>
  <c r="BQ898" i="183" s="1"/>
  <c r="BQ900" i="183" s="1"/>
  <c r="BQ902" i="183" s="1"/>
  <c r="BQ904" i="183" s="1"/>
  <c r="BQ906" i="183" s="1"/>
  <c r="BQ908" i="183" s="1"/>
  <c r="BQ910" i="183" s="1"/>
  <c r="BQ912" i="183" s="1"/>
  <c r="BQ914" i="183" s="1"/>
  <c r="BQ916" i="183" s="1"/>
  <c r="BQ918" i="183" s="1"/>
  <c r="BQ920" i="183" s="1"/>
  <c r="BQ922" i="183" s="1"/>
  <c r="BQ924" i="183" s="1"/>
  <c r="BQ926" i="183" s="1"/>
  <c r="BQ928" i="183" s="1"/>
  <c r="BQ930" i="183" s="1"/>
  <c r="BQ932" i="183" s="1"/>
  <c r="BQ934" i="183" s="1"/>
  <c r="BQ936" i="183" s="1"/>
  <c r="BQ938" i="183" s="1"/>
  <c r="BQ940" i="183" s="1"/>
  <c r="BQ942" i="183" s="1"/>
  <c r="BQ944" i="183" s="1"/>
  <c r="BQ946" i="183" s="1"/>
  <c r="BQ948" i="183" s="1"/>
  <c r="BQ950" i="183" s="1"/>
  <c r="BQ952" i="183" s="1"/>
  <c r="BQ954" i="183" s="1"/>
  <c r="BQ956" i="183" s="1"/>
  <c r="BQ958" i="183" s="1"/>
  <c r="BQ960" i="183" s="1"/>
  <c r="BQ962" i="183" s="1"/>
  <c r="BQ964" i="183" s="1"/>
  <c r="BQ966" i="183" s="1"/>
  <c r="BQ968" i="183" s="1"/>
  <c r="BQ970" i="183" s="1"/>
  <c r="BQ972" i="183" s="1"/>
  <c r="BQ974" i="183" s="1"/>
  <c r="BQ976" i="183" s="1"/>
  <c r="BQ978" i="183" s="1"/>
  <c r="BQ980" i="183" s="1"/>
  <c r="BQ982" i="183" s="1"/>
  <c r="BQ984" i="183" s="1"/>
  <c r="BQ986" i="183" s="1"/>
  <c r="BQ988" i="183" s="1"/>
  <c r="BQ990" i="183" s="1"/>
  <c r="BQ992" i="183" s="1"/>
  <c r="BQ994" i="183" s="1"/>
  <c r="BQ996" i="183" s="1"/>
  <c r="BQ998" i="183" s="1"/>
  <c r="BQ1000" i="183" s="1"/>
  <c r="BQ1002" i="183" s="1"/>
  <c r="BQ1004" i="183" s="1"/>
  <c r="BQ1006" i="183" s="1"/>
  <c r="BQ1008" i="183" s="1"/>
  <c r="BQ1010" i="183" s="1"/>
  <c r="BQ1012" i="183" s="1"/>
  <c r="BQ1014" i="183" s="1"/>
  <c r="BQ1016" i="183" s="1"/>
  <c r="BQ1018" i="183" s="1"/>
  <c r="BQ1020" i="183" s="1"/>
  <c r="BQ1022" i="183" s="1"/>
  <c r="BQ1024" i="183" s="1"/>
  <c r="BQ1026" i="183" s="1"/>
  <c r="BQ1028" i="183" s="1"/>
  <c r="BQ1030" i="183" s="1"/>
  <c r="BQ1032" i="183" s="1"/>
  <c r="BQ1034" i="183" s="1"/>
  <c r="BQ1036" i="183" s="1"/>
  <c r="BQ1038" i="183" s="1"/>
  <c r="BQ1040" i="183" s="1"/>
  <c r="BQ1042" i="183" s="1"/>
  <c r="BQ1044" i="183" s="1"/>
  <c r="BQ1046" i="183" s="1"/>
  <c r="BQ1048" i="183" s="1"/>
  <c r="BQ1050" i="183" s="1"/>
  <c r="BQ1052" i="183" s="1"/>
  <c r="BQ1054" i="183" s="1"/>
  <c r="BQ1056" i="183" s="1"/>
  <c r="BQ1058" i="183" s="1"/>
  <c r="BQ1060" i="183" s="1"/>
  <c r="BQ1062" i="183" s="1"/>
  <c r="BQ1064" i="183" s="1"/>
  <c r="BQ1066" i="183" s="1"/>
  <c r="BQ1068" i="183" s="1"/>
  <c r="BQ1070" i="183" s="1"/>
  <c r="BQ1072" i="183" s="1"/>
  <c r="BQ1074" i="183" s="1"/>
  <c r="BQ1076" i="183" s="1"/>
  <c r="BQ1078" i="183" s="1"/>
  <c r="BQ1080" i="183" s="1"/>
  <c r="BQ1082" i="183" s="1"/>
  <c r="BQ1084" i="183" s="1"/>
  <c r="BQ1086" i="183" s="1"/>
  <c r="BQ1088" i="183" s="1"/>
  <c r="BQ1090" i="183" s="1"/>
  <c r="BQ1092" i="183" s="1"/>
  <c r="BQ1094" i="183" s="1"/>
  <c r="BQ1096" i="183" s="1"/>
  <c r="BQ1098" i="183" s="1"/>
  <c r="BQ1100" i="183" s="1"/>
  <c r="BQ1102" i="183" s="1"/>
  <c r="BQ1104" i="183" s="1"/>
  <c r="BQ1106" i="183" s="1"/>
  <c r="BQ1108" i="183" s="1"/>
  <c r="BQ1110" i="183" s="1"/>
  <c r="BQ1112" i="183" s="1"/>
  <c r="BQ1114" i="183" s="1"/>
  <c r="BQ1116" i="183" s="1"/>
  <c r="BQ1118" i="183" s="1"/>
  <c r="BQ1120" i="183" s="1"/>
  <c r="BQ1122" i="183" s="1"/>
  <c r="BQ1124" i="183" s="1"/>
  <c r="BQ1126" i="183" s="1"/>
  <c r="BQ1128" i="183" s="1"/>
  <c r="BQ1130" i="183" s="1"/>
  <c r="BQ1132" i="183" s="1"/>
  <c r="BQ1134" i="183" s="1"/>
  <c r="BQ1136" i="183" s="1"/>
  <c r="BQ1138" i="183" s="1"/>
  <c r="BQ1140" i="183" s="1"/>
  <c r="BQ1142" i="183" s="1"/>
  <c r="BQ1144" i="183" s="1"/>
  <c r="BQ1146" i="183" s="1"/>
  <c r="BQ1148" i="183" s="1"/>
  <c r="BQ1150" i="183" s="1"/>
  <c r="BQ1152" i="183" s="1"/>
  <c r="BQ1154" i="183" s="1"/>
  <c r="BQ1156" i="183" s="1"/>
  <c r="BQ1158" i="183" s="1"/>
  <c r="BQ1160" i="183" s="1"/>
  <c r="BQ1162" i="183" s="1"/>
  <c r="BQ1164" i="183" s="1"/>
  <c r="BQ1166" i="183" s="1"/>
  <c r="BQ1168" i="183" s="1"/>
  <c r="BQ1170" i="183" s="1"/>
  <c r="BQ1172" i="183" s="1"/>
  <c r="BQ1174" i="183" s="1"/>
  <c r="BQ1176" i="183" s="1"/>
  <c r="BQ1178" i="183" s="1"/>
  <c r="BQ1180" i="183" s="1"/>
  <c r="BQ1182" i="183" s="1"/>
  <c r="BQ1184" i="183" s="1"/>
  <c r="BQ1186" i="183" s="1"/>
  <c r="BQ1188" i="183" s="1"/>
  <c r="BQ1190" i="183" s="1"/>
  <c r="BQ1192" i="183" s="1"/>
  <c r="BQ1194" i="183" s="1"/>
  <c r="BQ1196" i="183" s="1"/>
  <c r="BQ1198" i="183" s="1"/>
  <c r="BQ1200" i="183" s="1"/>
  <c r="BQ1202" i="183" s="1"/>
  <c r="BQ1204" i="183" s="1"/>
  <c r="BQ1206" i="183" s="1"/>
  <c r="BQ1208" i="183" s="1"/>
  <c r="BQ1210" i="183" s="1"/>
  <c r="BQ1212" i="183" s="1"/>
  <c r="BQ1214" i="183" s="1"/>
  <c r="BQ1216" i="183" s="1"/>
  <c r="BQ1218" i="183" s="1"/>
  <c r="BQ1220" i="183" s="1"/>
  <c r="BQ1222" i="183" s="1"/>
  <c r="BQ1224" i="183" s="1"/>
  <c r="BQ1226" i="183" s="1"/>
  <c r="BQ1228" i="183" s="1"/>
  <c r="BQ1230" i="183" s="1"/>
  <c r="BQ1232" i="183" s="1"/>
  <c r="BQ1234" i="183" s="1"/>
  <c r="BQ1236" i="183" s="1"/>
  <c r="BQ1238" i="183" s="1"/>
  <c r="BQ1240" i="183" s="1"/>
  <c r="BQ1242" i="183" s="1"/>
  <c r="BQ1244" i="183" s="1"/>
  <c r="BQ1246" i="183" s="1"/>
  <c r="BQ1248" i="183" s="1"/>
  <c r="BQ1250" i="183" s="1"/>
  <c r="BQ1252" i="183" s="1"/>
  <c r="BQ1254" i="183" s="1"/>
  <c r="BQ1256" i="183" s="1"/>
  <c r="BQ1258" i="183" s="1"/>
  <c r="BQ1260" i="183" s="1"/>
  <c r="BQ1262" i="183" s="1"/>
  <c r="BQ1264" i="183" s="1"/>
  <c r="BQ1266" i="183" s="1"/>
  <c r="BQ1268" i="183" s="1"/>
  <c r="BQ1270" i="183" s="1"/>
  <c r="BQ1272" i="183" s="1"/>
  <c r="BQ1274" i="183" s="1"/>
  <c r="BQ1276" i="183" s="1"/>
  <c r="BQ1278" i="183" s="1"/>
  <c r="BQ1280" i="183" s="1"/>
  <c r="BQ1282" i="183" s="1"/>
  <c r="BQ1284" i="183" s="1"/>
  <c r="BQ1286" i="183" s="1"/>
  <c r="BQ1288" i="183" s="1"/>
  <c r="BQ1290" i="183" s="1"/>
  <c r="BQ1292" i="183" s="1"/>
  <c r="BQ1294" i="183" s="1"/>
  <c r="BQ1296" i="183" s="1"/>
  <c r="BQ1298" i="183" s="1"/>
  <c r="BQ1300" i="183" s="1"/>
  <c r="BQ1302" i="183" s="1"/>
  <c r="BQ1304" i="183" s="1"/>
  <c r="BQ1306" i="183" s="1"/>
  <c r="BQ1308" i="183" s="1"/>
  <c r="BQ1310" i="183" s="1"/>
  <c r="BQ1312" i="183" s="1"/>
  <c r="BQ1314" i="183" s="1"/>
  <c r="BQ1316" i="183" s="1"/>
  <c r="BQ1318" i="183" s="1"/>
  <c r="BQ1320" i="183" s="1"/>
  <c r="BQ1322" i="183" s="1"/>
  <c r="BQ1324" i="183" s="1"/>
  <c r="BQ1326" i="183" s="1"/>
  <c r="BQ1328" i="183" s="1"/>
  <c r="BQ1330" i="183" s="1"/>
  <c r="BQ1332" i="183" s="1"/>
  <c r="BQ1334" i="183" s="1"/>
  <c r="BQ1336" i="183" s="1"/>
  <c r="BQ1338" i="183" s="1"/>
  <c r="BQ1340" i="183" s="1"/>
  <c r="BQ1342" i="183" s="1"/>
  <c r="BQ1344" i="183" s="1"/>
  <c r="BQ1346" i="183" s="1"/>
  <c r="BQ1348" i="183" s="1"/>
  <c r="BQ1350" i="183" s="1"/>
  <c r="BQ1352" i="183" s="1"/>
  <c r="BQ1354" i="183" s="1"/>
  <c r="BQ1356" i="183" s="1"/>
  <c r="BQ1358" i="183" s="1"/>
  <c r="BQ1360" i="183" s="1"/>
  <c r="BQ1362" i="183" s="1"/>
  <c r="BQ1364" i="183" s="1"/>
  <c r="BQ1366" i="183" s="1"/>
  <c r="BQ1368" i="183" s="1"/>
  <c r="BQ1370" i="183" s="1"/>
  <c r="BQ1372" i="183" s="1"/>
  <c r="BQ1374" i="183" s="1"/>
  <c r="BQ1376" i="183" s="1"/>
  <c r="BQ1378" i="183" s="1"/>
  <c r="BQ1380" i="183" s="1"/>
  <c r="BQ1382" i="183" s="1"/>
  <c r="BQ1384" i="183" s="1"/>
  <c r="BQ1386" i="183" s="1"/>
  <c r="BQ1388" i="183" s="1"/>
  <c r="BQ1390" i="183" s="1"/>
  <c r="BQ1392" i="183" s="1"/>
  <c r="BQ1394" i="183" s="1"/>
  <c r="BQ1396" i="183" s="1"/>
  <c r="BQ1398" i="183" s="1"/>
  <c r="BQ1400" i="183" s="1"/>
  <c r="BQ1402" i="183" s="1"/>
  <c r="BQ1404" i="183" s="1"/>
  <c r="BQ1406" i="183" s="1"/>
  <c r="BQ1408" i="183" s="1"/>
  <c r="BQ1410" i="183" s="1"/>
  <c r="BQ1412" i="183" s="1"/>
  <c r="BQ1414" i="183" s="1"/>
  <c r="BQ1416" i="183" s="1"/>
  <c r="BQ1418" i="183" s="1"/>
  <c r="BQ1420" i="183" s="1"/>
  <c r="BQ1422" i="183" s="1"/>
  <c r="BQ1424" i="183" s="1"/>
  <c r="BQ1426" i="183" s="1"/>
  <c r="BQ1428" i="183" s="1"/>
  <c r="BQ1430" i="183" s="1"/>
  <c r="BQ1432" i="183" s="1"/>
  <c r="BQ1434" i="183" s="1"/>
  <c r="BQ1436" i="183" s="1"/>
  <c r="BQ1438" i="183" s="1"/>
  <c r="BQ1440" i="183" s="1"/>
  <c r="BQ1442" i="183" s="1"/>
  <c r="BQ1444" i="183" s="1"/>
  <c r="BQ1446" i="183" s="1"/>
  <c r="BQ1448" i="183" s="1"/>
  <c r="BQ1450" i="183" s="1"/>
  <c r="BQ1452" i="183" s="1"/>
  <c r="BQ1454" i="183" s="1"/>
  <c r="BQ1456" i="183" s="1"/>
  <c r="BQ1458" i="183" s="1"/>
  <c r="BQ1460" i="183" s="1"/>
  <c r="BQ1462" i="183" s="1"/>
  <c r="BQ1464" i="183" s="1"/>
  <c r="BQ1466" i="183" s="1"/>
  <c r="BQ1468" i="183" s="1"/>
  <c r="BQ1470" i="183" s="1"/>
  <c r="BQ1472" i="183" s="1"/>
  <c r="BQ1474" i="183" s="1"/>
  <c r="BQ1476" i="183" s="1"/>
  <c r="BQ1478" i="183" s="1"/>
  <c r="BQ1480" i="183" s="1"/>
  <c r="BQ1482" i="183" s="1"/>
  <c r="BQ1484" i="183" s="1"/>
  <c r="BQ1486" i="183" s="1"/>
  <c r="BQ1488" i="183" s="1"/>
  <c r="BQ1490" i="183" s="1"/>
  <c r="BQ1492" i="183" s="1"/>
  <c r="BQ1494" i="183" s="1"/>
  <c r="BQ1496" i="183" s="1"/>
  <c r="BQ1498" i="183" s="1"/>
  <c r="BQ1500" i="183" s="1"/>
  <c r="BQ1502" i="183" s="1"/>
  <c r="BQ1504" i="183" s="1"/>
  <c r="BQ1506" i="183" s="1"/>
  <c r="BQ1508" i="183" s="1"/>
  <c r="BQ1510" i="183" s="1"/>
  <c r="BQ1512" i="183" s="1"/>
  <c r="BQ1514" i="183" s="1"/>
  <c r="BQ1516" i="183" s="1"/>
  <c r="BQ1518" i="183" s="1"/>
  <c r="BQ1520" i="183" s="1"/>
  <c r="BQ1522" i="183" s="1"/>
  <c r="BQ1524" i="183" s="1"/>
  <c r="BQ1526" i="183" s="1"/>
  <c r="BQ1528" i="183" s="1"/>
  <c r="BQ1530" i="183" s="1"/>
  <c r="BQ1532" i="183" s="1"/>
  <c r="BQ1534" i="183" s="1"/>
  <c r="BQ1536" i="183" s="1"/>
  <c r="BQ1538" i="183" s="1"/>
  <c r="BQ1540" i="183" s="1"/>
  <c r="BQ1542" i="183" s="1"/>
  <c r="BQ1544" i="183" s="1"/>
  <c r="BQ1546" i="183" s="1"/>
  <c r="BQ1548" i="183" s="1"/>
  <c r="BQ1550" i="183" s="1"/>
  <c r="BQ1552" i="183" s="1"/>
  <c r="BQ1554" i="183" s="1"/>
  <c r="BQ1556" i="183" s="1"/>
  <c r="BQ1558" i="183" s="1"/>
  <c r="BQ1560" i="183" s="1"/>
  <c r="BQ1562" i="183" s="1"/>
  <c r="BQ1564" i="183" s="1"/>
  <c r="BQ1566" i="183" s="1"/>
  <c r="BQ1568" i="183" s="1"/>
  <c r="BQ1570" i="183" s="1"/>
  <c r="BQ1572" i="183" s="1"/>
  <c r="BQ1574" i="183" s="1"/>
  <c r="BQ1576" i="183" s="1"/>
  <c r="BQ1578" i="183" s="1"/>
  <c r="BQ1580" i="183" s="1"/>
  <c r="BQ1582" i="183" s="1"/>
  <c r="BQ1584" i="183" s="1"/>
  <c r="BQ1586" i="183" s="1"/>
  <c r="BQ1588" i="183" s="1"/>
  <c r="BQ1590" i="183" s="1"/>
  <c r="BQ1592" i="183" s="1"/>
  <c r="BQ1594" i="183" s="1"/>
  <c r="BQ1596" i="183" s="1"/>
  <c r="BQ1598" i="183" s="1"/>
  <c r="BQ1600" i="183" s="1"/>
  <c r="BQ1602" i="183" s="1"/>
  <c r="BQ1604" i="183" s="1"/>
  <c r="BQ1606" i="183" s="1"/>
  <c r="BQ1608" i="183" s="1"/>
  <c r="BQ1610" i="183" s="1"/>
  <c r="BQ1612" i="183" s="1"/>
  <c r="BQ1614" i="183" s="1"/>
  <c r="BQ1616" i="183" s="1"/>
  <c r="BQ1618" i="183" s="1"/>
  <c r="BQ1620" i="183" s="1"/>
  <c r="BQ1622" i="183" s="1"/>
  <c r="BQ1624" i="183" s="1"/>
  <c r="BQ1626" i="183" s="1"/>
  <c r="BQ1628" i="183" s="1"/>
  <c r="BQ1630" i="183" s="1"/>
  <c r="BQ1632" i="183" s="1"/>
  <c r="BQ1634" i="183" s="1"/>
  <c r="BQ1636" i="183" s="1"/>
  <c r="BQ1638" i="183" s="1"/>
  <c r="BQ1640" i="183" s="1"/>
  <c r="BQ1642" i="183" s="1"/>
  <c r="BQ1644" i="183" s="1"/>
  <c r="BQ1646" i="183" s="1"/>
  <c r="BQ1648" i="183" s="1"/>
  <c r="BQ1650" i="183" s="1"/>
  <c r="BQ1652" i="183" s="1"/>
  <c r="BQ1654" i="183" s="1"/>
  <c r="BQ1656" i="183" s="1"/>
  <c r="BQ1658" i="183" s="1"/>
  <c r="BQ1660" i="183" s="1"/>
  <c r="BQ1662" i="183" s="1"/>
  <c r="BQ1664" i="183" s="1"/>
  <c r="BQ1666" i="183" s="1"/>
  <c r="BQ1668" i="183" s="1"/>
  <c r="BQ1670" i="183" s="1"/>
  <c r="BQ1672" i="183" s="1"/>
  <c r="BQ1674" i="183" s="1"/>
  <c r="BQ1676" i="183" s="1"/>
  <c r="BQ1678" i="183" s="1"/>
  <c r="BQ1680" i="183" s="1"/>
  <c r="BQ1682" i="183" s="1"/>
  <c r="BQ1684" i="183" s="1"/>
  <c r="BQ1686" i="183" s="1"/>
  <c r="BQ1688" i="183" s="1"/>
  <c r="BQ1690" i="183" s="1"/>
  <c r="BQ1692" i="183" s="1"/>
  <c r="BQ1694" i="183" s="1"/>
  <c r="BQ1696" i="183" s="1"/>
  <c r="BQ1698" i="183" s="1"/>
  <c r="BQ1700" i="183" s="1"/>
  <c r="BQ1702" i="183" s="1"/>
  <c r="BQ1704" i="183" s="1"/>
  <c r="BQ1706" i="183" s="1"/>
  <c r="BQ1708" i="183" s="1"/>
  <c r="BQ1710" i="183" s="1"/>
  <c r="BQ1712" i="183" s="1"/>
  <c r="BQ1714" i="183" s="1"/>
  <c r="BQ1716" i="183" s="1"/>
  <c r="BQ1718" i="183" s="1"/>
  <c r="BQ1720" i="183" s="1"/>
  <c r="BQ1722" i="183" s="1"/>
  <c r="BQ1724" i="183" s="1"/>
  <c r="BQ1726" i="183" s="1"/>
  <c r="BQ1728" i="183" s="1"/>
  <c r="BQ1730" i="183" s="1"/>
  <c r="BQ1732" i="183" s="1"/>
  <c r="BQ1734" i="183" s="1"/>
  <c r="BQ1736" i="183" s="1"/>
  <c r="BQ1738" i="183" s="1"/>
  <c r="BQ1740" i="183" s="1"/>
  <c r="BQ1742" i="183" s="1"/>
  <c r="BQ1744" i="183" s="1"/>
  <c r="BQ1746" i="183" s="1"/>
  <c r="BQ1748" i="183" s="1"/>
  <c r="BQ1750" i="183" s="1"/>
  <c r="BQ1752" i="183" s="1"/>
  <c r="BQ1754" i="183" s="1"/>
  <c r="BQ1756" i="183" s="1"/>
  <c r="BQ1758" i="183" s="1"/>
  <c r="BQ1760" i="183" s="1"/>
  <c r="BQ1762" i="183" s="1"/>
  <c r="BQ1764" i="183" s="1"/>
  <c r="BQ1766" i="183" s="1"/>
  <c r="BQ1768" i="183" s="1"/>
  <c r="BQ1770" i="183" s="1"/>
  <c r="BQ1772" i="183" s="1"/>
  <c r="BQ1774" i="183" s="1"/>
  <c r="BQ1776" i="183" s="1"/>
  <c r="BQ1778" i="183" s="1"/>
  <c r="BQ1780" i="183" s="1"/>
  <c r="BQ1782" i="183" s="1"/>
  <c r="BQ1784" i="183" s="1"/>
  <c r="BQ1786" i="183" s="1"/>
  <c r="BQ1788" i="183" s="1"/>
  <c r="BQ1790" i="183" s="1"/>
  <c r="BQ1792" i="183" s="1"/>
  <c r="BQ1794" i="183" s="1"/>
  <c r="BQ1796" i="183" s="1"/>
  <c r="BQ1798" i="183" s="1"/>
  <c r="BQ1800" i="183" s="1"/>
  <c r="BQ1802" i="183" s="1"/>
  <c r="BQ1804" i="183" s="1"/>
  <c r="BQ1806" i="183" s="1"/>
  <c r="BQ1808" i="183" s="1"/>
  <c r="BQ1810" i="183" s="1"/>
  <c r="BQ1812" i="183" s="1"/>
  <c r="BQ1814" i="183" s="1"/>
  <c r="BQ1816" i="183" s="1"/>
  <c r="BQ1818" i="183" s="1"/>
  <c r="BQ1820" i="183" s="1"/>
  <c r="BQ1822" i="183" s="1"/>
  <c r="BQ1824" i="183" s="1"/>
  <c r="BQ1826" i="183" s="1"/>
  <c r="BQ1828" i="183" s="1"/>
  <c r="BQ1830" i="183" s="1"/>
  <c r="BQ1832" i="183" s="1"/>
  <c r="BQ1834" i="183" s="1"/>
  <c r="BQ1836" i="183" s="1"/>
  <c r="BQ1838" i="183" s="1"/>
  <c r="BQ1840" i="183" s="1"/>
  <c r="BQ1842" i="183" s="1"/>
  <c r="BQ1844" i="183" s="1"/>
  <c r="BQ1846" i="183" s="1"/>
  <c r="BQ1848" i="183" s="1"/>
  <c r="BQ1850" i="183" s="1"/>
  <c r="BQ1852" i="183" s="1"/>
  <c r="BQ1854" i="183" s="1"/>
  <c r="BQ1856" i="183" s="1"/>
  <c r="BQ1858" i="183" s="1"/>
  <c r="BQ1860" i="183" s="1"/>
  <c r="BQ1862" i="183" s="1"/>
  <c r="BQ1864" i="183" s="1"/>
  <c r="BQ1866" i="183" s="1"/>
  <c r="BQ1868" i="183" s="1"/>
  <c r="BQ1870" i="183" s="1"/>
  <c r="BQ1872" i="183" s="1"/>
  <c r="BQ1874" i="183" s="1"/>
  <c r="BQ1876" i="183" s="1"/>
  <c r="BQ1878" i="183" s="1"/>
  <c r="BQ1880" i="183" s="1"/>
  <c r="BQ1882" i="183" s="1"/>
  <c r="BQ1884" i="183" s="1"/>
  <c r="BQ1886" i="183" s="1"/>
  <c r="BQ1888" i="183" s="1"/>
  <c r="BQ1890" i="183" s="1"/>
  <c r="BQ1892" i="183" s="1"/>
  <c r="BQ1894" i="183" s="1"/>
  <c r="BQ1896" i="183" s="1"/>
  <c r="BQ1898" i="183" s="1"/>
  <c r="BQ1900" i="183" s="1"/>
  <c r="BQ1902" i="183" s="1"/>
  <c r="BQ1904" i="183" s="1"/>
  <c r="BQ1906" i="183" s="1"/>
  <c r="BQ1908" i="183" s="1"/>
  <c r="BQ1910" i="183" s="1"/>
  <c r="BQ1912" i="183" s="1"/>
  <c r="BQ1914" i="183" s="1"/>
  <c r="BQ1916" i="183" s="1"/>
  <c r="BQ1918" i="183" s="1"/>
  <c r="BQ1920" i="183" s="1"/>
  <c r="BQ1922" i="183" s="1"/>
  <c r="BQ1924" i="183" s="1"/>
  <c r="BQ1926" i="183" s="1"/>
  <c r="BQ1928" i="183" s="1"/>
  <c r="BQ1930" i="183" s="1"/>
  <c r="BQ1932" i="183" s="1"/>
  <c r="BQ1934" i="183" s="1"/>
  <c r="BQ1936" i="183" s="1"/>
  <c r="BQ1938" i="183" s="1"/>
  <c r="BQ1940" i="183" s="1"/>
  <c r="BQ1942" i="183" s="1"/>
  <c r="BQ1944" i="183" s="1"/>
  <c r="BQ1946" i="183" s="1"/>
  <c r="BQ1948" i="183" s="1"/>
  <c r="BQ1950" i="183" s="1"/>
  <c r="BQ1952" i="183" s="1"/>
  <c r="BQ1954" i="183" s="1"/>
  <c r="BQ1956" i="183" s="1"/>
  <c r="BQ1958" i="183" s="1"/>
  <c r="BQ1960" i="183" s="1"/>
  <c r="BQ1962" i="183" s="1"/>
  <c r="BQ1964" i="183" s="1"/>
  <c r="BQ1966" i="183" s="1"/>
  <c r="BQ1968" i="183" s="1"/>
  <c r="BQ1970" i="183" s="1"/>
  <c r="BQ1972" i="183" s="1"/>
  <c r="BQ1974" i="183" s="1"/>
  <c r="BQ1976" i="183" s="1"/>
  <c r="BQ1978" i="183" s="1"/>
  <c r="BQ1980" i="183" s="1"/>
  <c r="BQ1982" i="183" s="1"/>
  <c r="BQ1984" i="183" s="1"/>
  <c r="BQ1986" i="183" s="1"/>
  <c r="BQ1988" i="183" s="1"/>
  <c r="BQ1990" i="183" s="1"/>
  <c r="BQ1992" i="183" s="1"/>
  <c r="BQ1994" i="183" s="1"/>
  <c r="BQ1996" i="183" s="1"/>
  <c r="AP31" i="183" l="1"/>
  <c r="T13" i="183" s="1"/>
  <c r="AK98" i="183"/>
  <c r="AM98" i="183"/>
  <c r="AQ26" i="183"/>
  <c r="AQ27" i="183"/>
  <c r="AP26" i="183"/>
  <c r="AO98" i="183"/>
  <c r="AQ98" i="183"/>
  <c r="T20" i="183"/>
  <c r="T22" i="183"/>
  <c r="AP32" i="183"/>
  <c r="AE19" i="183" s="1"/>
  <c r="E14" i="183" s="1"/>
  <c r="AP27" i="183"/>
  <c r="AQ32" i="183"/>
  <c r="AG19" i="183" s="1"/>
  <c r="T18" i="183"/>
  <c r="T24" i="183"/>
  <c r="T28" i="183"/>
  <c r="T34" i="183"/>
  <c r="T32" i="183"/>
  <c r="BQ17" i="183"/>
  <c r="AY38" i="183"/>
  <c r="AZ38" i="183" s="1"/>
  <c r="AZ37" i="183"/>
  <c r="AZ34" i="183"/>
  <c r="AW22" i="183"/>
  <c r="AX21" i="183"/>
  <c r="AX23" i="183"/>
  <c r="AY40" i="183" l="1"/>
  <c r="AZ40" i="183" s="1"/>
  <c r="AW21" i="183"/>
  <c r="AX20" i="183"/>
  <c r="BA38" i="183"/>
  <c r="BB38" i="183" s="1"/>
  <c r="BA37" i="183"/>
  <c r="BB37" i="183" s="1"/>
  <c r="AW23" i="183"/>
  <c r="AX24" i="183"/>
  <c r="AW24" i="183" l="1"/>
  <c r="AX25" i="183"/>
  <c r="AX19" i="183"/>
  <c r="AW20" i="183"/>
  <c r="AW25" i="183" l="1"/>
  <c r="AX26" i="183"/>
  <c r="AX18" i="183"/>
  <c r="AW19" i="183"/>
  <c r="AW26" i="183" l="1"/>
  <c r="AX27" i="183"/>
  <c r="AW27" i="183" s="1"/>
  <c r="AX17" i="183"/>
  <c r="AW18" i="183"/>
  <c r="AY17" i="183" l="1" a="1"/>
  <c r="AW17" i="183"/>
  <c r="AY27" i="183" l="1"/>
  <c r="AY25" i="183"/>
  <c r="AY23" i="183"/>
  <c r="AY21" i="183"/>
  <c r="AY19" i="183"/>
  <c r="AY17" i="183"/>
  <c r="AY24" i="183"/>
  <c r="AY20" i="183"/>
  <c r="AY26" i="183"/>
  <c r="AY22" i="183"/>
  <c r="AY18" i="183"/>
  <c r="AY32" i="183" l="1"/>
  <c r="BF22" i="183"/>
  <c r="BF20" i="183"/>
  <c r="AY28" i="183"/>
  <c r="AZ22" i="183" s="1"/>
  <c r="BA17" i="183"/>
  <c r="BF17" i="183"/>
  <c r="BN49" i="183"/>
  <c r="BF21" i="183"/>
  <c r="BF25" i="183"/>
  <c r="BF18" i="183"/>
  <c r="BF26" i="183"/>
  <c r="BF24" i="183"/>
  <c r="BF19" i="183"/>
  <c r="BF23" i="183"/>
  <c r="BF27" i="183"/>
  <c r="AY31" i="183" l="1"/>
  <c r="AX31" i="183" s="1"/>
  <c r="AY33" i="183"/>
  <c r="AZ19" i="183"/>
  <c r="AZ18" i="183"/>
  <c r="BN77" i="183"/>
  <c r="BN76" i="183"/>
  <c r="BN75" i="183"/>
  <c r="BN73" i="183"/>
  <c r="BN71" i="183"/>
  <c r="BN70" i="183"/>
  <c r="BN67" i="183"/>
  <c r="BN66" i="183"/>
  <c r="BN64" i="183"/>
  <c r="BN63" i="183"/>
  <c r="BN62" i="183"/>
  <c r="BN60" i="183"/>
  <c r="BN59" i="183"/>
  <c r="BN58" i="183"/>
  <c r="BN56" i="183"/>
  <c r="BN55" i="183"/>
  <c r="BN50" i="183"/>
  <c r="BN46" i="183"/>
  <c r="BN43" i="183"/>
  <c r="BN42" i="183"/>
  <c r="BN40" i="183"/>
  <c r="BN36" i="183"/>
  <c r="BN33" i="183"/>
  <c r="BN26" i="183"/>
  <c r="BN25" i="183"/>
  <c r="BN24" i="183"/>
  <c r="BN22" i="183"/>
  <c r="BN21" i="183"/>
  <c r="BN79" i="183"/>
  <c r="BN78" i="183"/>
  <c r="BN74" i="183"/>
  <c r="BN72" i="183"/>
  <c r="BN69" i="183"/>
  <c r="BN68" i="183"/>
  <c r="BN65" i="183"/>
  <c r="BN61" i="183"/>
  <c r="BN57" i="183"/>
  <c r="BN54" i="183"/>
  <c r="BN53" i="183"/>
  <c r="BN52" i="183"/>
  <c r="BN51" i="183"/>
  <c r="BN48" i="183"/>
  <c r="BN47" i="183"/>
  <c r="BN45" i="183"/>
  <c r="BN44" i="183"/>
  <c r="BN41" i="183"/>
  <c r="BN39" i="183"/>
  <c r="BN38" i="183"/>
  <c r="BN37" i="183"/>
  <c r="BN35" i="183"/>
  <c r="BN34" i="183"/>
  <c r="BN27" i="183"/>
  <c r="BN23" i="183"/>
  <c r="BN20" i="183"/>
  <c r="BN19" i="183"/>
  <c r="BN29" i="183"/>
  <c r="BN32" i="183"/>
  <c r="BN28" i="183"/>
  <c r="BN31" i="183"/>
  <c r="BN30" i="183"/>
  <c r="BA18" i="183"/>
  <c r="BB17" i="183"/>
  <c r="AX32" i="183"/>
  <c r="AZ20" i="183"/>
  <c r="AZ27" i="183"/>
  <c r="AZ23" i="183"/>
  <c r="AZ24" i="183"/>
  <c r="AZ26" i="183"/>
  <c r="AZ25" i="183"/>
  <c r="AZ21" i="183"/>
  <c r="AZ17" i="183"/>
  <c r="BA19" i="183" l="1"/>
  <c r="BB18" i="183"/>
  <c r="BA20" i="183" l="1"/>
  <c r="BB19" i="183"/>
  <c r="BB20" i="183" l="1"/>
  <c r="BA21" i="183"/>
  <c r="BB21" i="183" l="1"/>
  <c r="BA22" i="183"/>
  <c r="BB22" i="183" l="1"/>
  <c r="BA23" i="183"/>
  <c r="BB23" i="183" l="1"/>
  <c r="BA24" i="183"/>
  <c r="BB24" i="183" l="1"/>
  <c r="BA25" i="183"/>
  <c r="BB25" i="183" l="1"/>
  <c r="BA26" i="183"/>
  <c r="BB26" i="183" l="1"/>
  <c r="BA27" i="183"/>
  <c r="BB27" i="18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 Holanda</author>
  </authors>
  <commentList>
    <comment ref="X13" authorId="0" shapeId="0" xr:uid="{00000000-0006-0000-0800-000001000000}">
      <text>
        <r>
          <rPr>
            <b/>
            <sz val="12"/>
            <color indexed="81"/>
            <rFont val="Tahoma"/>
            <family val="2"/>
          </rPr>
          <t>Raphael Holanda:</t>
        </r>
        <r>
          <rPr>
            <sz val="12"/>
            <color indexed="81"/>
            <rFont val="Tahoma"/>
            <family val="2"/>
          </rPr>
          <t xml:space="preserve">
Sempre colocar a "/"
Esta planilha funciona apenas para as idades de 28 e 90 dias</t>
        </r>
      </text>
    </comment>
    <comment ref="V16" authorId="0" shapeId="0" xr:uid="{00000000-0006-0000-0800-000002000000}">
      <text>
        <r>
          <rPr>
            <b/>
            <sz val="12"/>
            <color indexed="81"/>
            <rFont val="Tahoma"/>
            <family val="2"/>
          </rPr>
          <t>Raphael Holanda:</t>
        </r>
        <r>
          <rPr>
            <sz val="12"/>
            <color indexed="81"/>
            <rFont val="Tahoma"/>
            <family val="2"/>
          </rPr>
          <t xml:space="preserve">
Lembre-se de sempre preencher o número da liberação. Este campo garante a rastreabilidade da aplicação do concreto.</t>
        </r>
      </text>
    </comment>
    <comment ref="Y16" authorId="0" shapeId="0" xr:uid="{00000000-0006-0000-0800-000003000000}">
      <text>
        <r>
          <rPr>
            <b/>
            <sz val="12"/>
            <color indexed="81"/>
            <rFont val="Tahoma"/>
            <family val="2"/>
          </rPr>
          <t>Raphael Holanda:</t>
        </r>
        <r>
          <rPr>
            <sz val="12"/>
            <color indexed="81"/>
            <rFont val="Tahoma"/>
            <family val="2"/>
          </rPr>
          <t xml:space="preserve">
Este campo não deve aparecer na folha de impressão.</t>
        </r>
      </text>
    </comment>
    <comment ref="Z16" authorId="0" shapeId="0" xr:uid="{00000000-0006-0000-0800-000004000000}">
      <text>
        <r>
          <rPr>
            <b/>
            <sz val="12"/>
            <color indexed="81"/>
            <rFont val="Tahoma"/>
            <family val="2"/>
          </rPr>
          <t>Raphael Holanda:</t>
        </r>
        <r>
          <rPr>
            <sz val="12"/>
            <color indexed="81"/>
            <rFont val="Tahoma"/>
            <family val="2"/>
          </rPr>
          <t xml:space="preserve">
Sempre amarrar o número da não conformidade ou qualquer anomalia no ensaio.</t>
        </r>
      </text>
    </comment>
  </commentList>
</comments>
</file>

<file path=xl/sharedStrings.xml><?xml version="1.0" encoding="utf-8"?>
<sst xmlns="http://schemas.openxmlformats.org/spreadsheetml/2006/main" count="163" uniqueCount="126">
  <si>
    <t>Média</t>
  </si>
  <si>
    <t>Desvio Padrão</t>
  </si>
  <si>
    <t>Traço/Mistura:</t>
  </si>
  <si>
    <t>PADRÕES DE CONTROLE PRODUÇÃO/LABORATÓRIO</t>
  </si>
  <si>
    <t>Número de Amostras</t>
  </si>
  <si>
    <t>n</t>
  </si>
  <si>
    <t>fck (MPa/dias)</t>
  </si>
  <si>
    <t>Idade de controle</t>
  </si>
  <si>
    <t>/28</t>
  </si>
  <si>
    <t>/90</t>
  </si>
  <si>
    <t>Sn</t>
  </si>
  <si>
    <t>Padrão de controle de produção</t>
  </si>
  <si>
    <t>Xn</t>
  </si>
  <si>
    <t>Padrão de controle de laboratório</t>
  </si>
  <si>
    <t>Conformidade de projeto</t>
  </si>
  <si>
    <t>Coeficiente de Variação</t>
  </si>
  <si>
    <t>Vn (%)</t>
  </si>
  <si>
    <t>Coef. de Variação dentro do ensaio</t>
  </si>
  <si>
    <t>V1 (%)</t>
  </si>
  <si>
    <t>CONFORMIDADE DE PROJETO</t>
  </si>
  <si>
    <t>Nº</t>
  </si>
  <si>
    <t>Data de Moldagem</t>
  </si>
  <si>
    <t>Nº Série CP</t>
  </si>
  <si>
    <t>Hora</t>
  </si>
  <si>
    <t>Temperatura (°C)</t>
  </si>
  <si>
    <t>Local de Aplicação</t>
  </si>
  <si>
    <t>Slump (cm)</t>
  </si>
  <si>
    <t>Ai na idade de controle</t>
  </si>
  <si>
    <t>Média Móvel a cada 3 amostras</t>
  </si>
  <si>
    <t>Tipo de ruptura</t>
  </si>
  <si>
    <t>Liberação nº</t>
  </si>
  <si>
    <t>Ambiente</t>
  </si>
  <si>
    <t>Concreto</t>
  </si>
  <si>
    <t>±</t>
  </si>
  <si>
    <t>PADRÕES DE CONTROLE DE PRODUÇÃO</t>
  </si>
  <si>
    <t>Variabilidade</t>
  </si>
  <si>
    <t>EXCELENTE</t>
  </si>
  <si>
    <t>MUITO BOM</t>
  </si>
  <si>
    <t>BOM</t>
  </si>
  <si>
    <t>RAZOÁVEL</t>
  </si>
  <si>
    <t>DEFICIENTE</t>
  </si>
  <si>
    <t>Concretos de</t>
  </si>
  <si>
    <t>Menor</t>
  </si>
  <si>
    <t>Maior</t>
  </si>
  <si>
    <t>a</t>
  </si>
  <si>
    <t>(na idade de controle)</t>
  </si>
  <si>
    <t>Xn  &gt; 34,5 MPa</t>
  </si>
  <si>
    <t>PADRÕES DE CONTROLE DE LABORATÓRIO</t>
  </si>
  <si>
    <t>Todas as classes</t>
  </si>
  <si>
    <t>de resistência dos</t>
  </si>
  <si>
    <t>concretos</t>
  </si>
  <si>
    <t>Freqüência (nº de eventos)</t>
  </si>
  <si>
    <t>Freqüência Relativa (%)</t>
  </si>
  <si>
    <t>Freqüência Acumulada</t>
  </si>
  <si>
    <t>Freqüência Relativa Acumulada (%)</t>
  </si>
  <si>
    <t>Soma</t>
  </si>
  <si>
    <t>Resistência à compressão (MPa)</t>
  </si>
  <si>
    <t>Desv. Padrão</t>
  </si>
  <si>
    <t>x</t>
  </si>
  <si>
    <t>y</t>
  </si>
  <si>
    <t>Distribuição Normal</t>
  </si>
  <si>
    <t>fck</t>
  </si>
  <si>
    <t>sd</t>
  </si>
  <si>
    <t>média - sd</t>
  </si>
  <si>
    <t>média - 2sd</t>
  </si>
  <si>
    <t>fck-3,5 MPa</t>
  </si>
  <si>
    <t>Moldador</t>
  </si>
  <si>
    <t>fator A/C:</t>
  </si>
  <si>
    <t>fckest (MPa)</t>
  </si>
  <si>
    <t>Média Móvel / X1</t>
  </si>
  <si>
    <t>n=</t>
  </si>
  <si>
    <t>C. Var.</t>
  </si>
  <si>
    <t>Resistência à compressão axial (MPa)</t>
  </si>
  <si>
    <t>fckest</t>
  </si>
  <si>
    <t>Idade C.</t>
  </si>
  <si>
    <t>fck est</t>
  </si>
  <si>
    <t>Lançamento/tipo:</t>
  </si>
  <si>
    <t>Consumo de Cimento (Ceq):</t>
  </si>
  <si>
    <t>Digitar as idades superiores a 28 dias</t>
  </si>
  <si>
    <t>ANÁLISE ESTATÍSTICA - Método de Avaliação: ACI 214r02 / ACI 318r05</t>
  </si>
  <si>
    <t>Menor Valor (X1)</t>
  </si>
  <si>
    <t>Registro de Não Conformidade / Observações</t>
  </si>
  <si>
    <t>CQ - Holanda Engenharia Ltda</t>
  </si>
  <si>
    <t>N</t>
  </si>
  <si>
    <t>λ</t>
  </si>
  <si>
    <t>K</t>
  </si>
  <si>
    <t>P/ 28 dias</t>
  </si>
  <si>
    <t>P/ 90 dias</t>
  </si>
  <si>
    <t>K=</t>
  </si>
  <si>
    <t>Critérios de Aceitação</t>
  </si>
  <si>
    <t>N ≥ 6</t>
  </si>
  <si>
    <t>N &lt; 6</t>
  </si>
  <si>
    <t>Xn ≥ fck + λ.Sn e Xmin ≥ fck – K</t>
  </si>
  <si>
    <t>Xn ≥ fck + 3 e Xmin ≥ fck - 1</t>
  </si>
  <si>
    <t>Xn=</t>
  </si>
  <si>
    <t>Xmin=</t>
  </si>
  <si>
    <t xml:space="preserve">fck + λ.Sn = </t>
  </si>
  <si>
    <t>28 dias</t>
  </si>
  <si>
    <t>90 dias</t>
  </si>
  <si>
    <t xml:space="preserve">fck - K = </t>
  </si>
  <si>
    <t xml:space="preserve">fck + 3 = </t>
  </si>
  <si>
    <t xml:space="preserve">fck - 1 = </t>
  </si>
  <si>
    <t xml:space="preserve">Xmin - K = </t>
  </si>
  <si>
    <t xml:space="preserve">fckest = </t>
  </si>
  <si>
    <t>PARA N ≥ 15 AMOSTRAS</t>
  </si>
  <si>
    <t>Xmin</t>
  </si>
  <si>
    <t>Controle de Qualidade do Concreto e Argamassa</t>
  </si>
  <si>
    <t>λ=</t>
  </si>
  <si>
    <t>Nº de séries moldadas:</t>
  </si>
  <si>
    <r>
      <t xml:space="preserve">DESVIOS PADRÕES (Sn) </t>
    </r>
    <r>
      <rPr>
        <sz val="10"/>
        <rFont val="Tahoma"/>
        <family val="2"/>
      </rPr>
      <t>PARA PADRÕES DIFERENTES DE CONTROLE (MPa)</t>
    </r>
  </si>
  <si>
    <t>Xn ≤ 34,5 MPa</t>
  </si>
  <si>
    <r>
      <t>COEFICIENTES DE VARIAÇÃO (Vn)</t>
    </r>
    <r>
      <rPr>
        <sz val="10"/>
        <rFont val="Tahoma"/>
        <family val="2"/>
      </rPr>
      <t xml:space="preserve"> PARA PADRÕES DIFERENTES DE CONTROLE (%)</t>
    </r>
  </si>
  <si>
    <r>
      <t>COEFICIENTES DE VARIAÇÃO DENTRO DO ENSAIO (V1)</t>
    </r>
    <r>
      <rPr>
        <sz val="11"/>
        <rFont val="Tahoma"/>
        <family val="2"/>
      </rPr>
      <t xml:space="preserve"> PARA PADRÕES DE DIFERENTES CONTROLES (%)</t>
    </r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</si>
  <si>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>: FR-IMOB-43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</si>
  <si>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</si>
  <si>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</si>
  <si>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</si>
  <si>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</si>
  <si>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Controle de Qualidade do Concreto e Argamassa</t>
    </r>
  </si>
  <si>
    <t xml:space="preserve">Elaborado por: </t>
  </si>
  <si>
    <t xml:space="preserve">Revisado por: </t>
  </si>
  <si>
    <t>Aprovado por:</t>
  </si>
  <si>
    <t>Samara Rodrigues</t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</si>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</sst>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0.000"/>
    <numFmt numFmtId="166" formatCode="000"/>
    <numFmt numFmtId="167" formatCode="dd/mm/yy;@"/>
    <numFmt numFmtId="168" formatCode="0#\ &quot;dias&quot;"/>
    <numFmt numFmtId="169" formatCode="h:mm;@"/>
    <numFmt numFmtId="170" formatCode="#\ &quot;kg/m³&quot;"/>
    <numFmt numFmtId="171" formatCode="#.0\ &quot;MPa&quot;"/>
  </numFmts>
  <fonts count="41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0"/>
      <name val="Arial Narrow"/>
      <family val="2"/>
    </font>
    <font>
      <sz val="14"/>
      <name val="Arial"/>
      <family val="2"/>
    </font>
    <font>
      <sz val="10"/>
      <color indexed="12"/>
      <name val="Arial Narrow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u/>
      <sz val="5.5"/>
      <color theme="10"/>
      <name val="Arial"/>
      <family val="2"/>
    </font>
    <font>
      <b/>
      <sz val="18"/>
      <color rgb="FFFF0000"/>
      <name val="Arial"/>
      <family val="2"/>
    </font>
    <font>
      <u/>
      <sz val="15"/>
      <color theme="10"/>
      <name val="Arial"/>
      <family val="2"/>
    </font>
    <font>
      <sz val="15"/>
      <name val="Arial"/>
      <family val="2"/>
    </font>
    <font>
      <sz val="22"/>
      <name val="Tahoma"/>
      <family val="2"/>
    </font>
    <font>
      <b/>
      <sz val="14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22"/>
      <name val="Tahoma"/>
      <family val="2"/>
    </font>
    <font>
      <sz val="11"/>
      <name val="Tahoma"/>
      <family val="2"/>
    </font>
    <font>
      <sz val="12"/>
      <color theme="0" tint="-0.249977111117893"/>
      <name val="Tahoma"/>
      <family val="2"/>
    </font>
    <font>
      <sz val="22"/>
      <color theme="0"/>
      <name val="Tahoma"/>
      <family val="2"/>
    </font>
    <font>
      <b/>
      <sz val="14"/>
      <color theme="0"/>
      <name val="Tahoma"/>
      <family val="2"/>
    </font>
    <font>
      <b/>
      <sz val="18"/>
      <color theme="0"/>
      <name val="Tahoma"/>
      <family val="2"/>
    </font>
    <font>
      <b/>
      <sz val="16"/>
      <color theme="0"/>
      <name val="Tahoma"/>
      <family val="2"/>
    </font>
    <font>
      <b/>
      <sz val="12"/>
      <color theme="0"/>
      <name val="Tahoma"/>
      <family val="2"/>
    </font>
    <font>
      <sz val="12"/>
      <color theme="0"/>
      <name val="Tahoma"/>
      <family val="2"/>
    </font>
    <font>
      <b/>
      <sz val="13"/>
      <color theme="0"/>
      <name val="Arial"/>
      <family val="2"/>
    </font>
    <font>
      <sz val="13"/>
      <color theme="0"/>
      <name val="Arial"/>
      <family val="2"/>
    </font>
    <font>
      <sz val="8"/>
      <name val="Tahoma"/>
      <family val="2"/>
    </font>
    <font>
      <b/>
      <sz val="1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lightGray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7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427">
    <xf numFmtId="0" fontId="0" fillId="0" borderId="0" xfId="0"/>
    <xf numFmtId="0" fontId="3" fillId="0" borderId="0" xfId="2" applyFont="1" applyProtection="1">
      <protection hidden="1"/>
    </xf>
    <xf numFmtId="0" fontId="3" fillId="0" borderId="0" xfId="2" applyFont="1"/>
    <xf numFmtId="0" fontId="3" fillId="0" borderId="0" xfId="2" applyFont="1" applyAlignment="1">
      <alignment vertical="center"/>
    </xf>
    <xf numFmtId="0" fontId="3" fillId="0" borderId="0" xfId="2" applyFont="1" applyAlignment="1" applyProtection="1">
      <alignment horizontal="center" vertical="center"/>
      <protection hidden="1"/>
    </xf>
    <xf numFmtId="1" fontId="3" fillId="0" borderId="0" xfId="2" applyNumberFormat="1" applyFont="1" applyAlignment="1" applyProtection="1">
      <alignment horizontal="center" vertical="center"/>
      <protection hidden="1"/>
    </xf>
    <xf numFmtId="1" fontId="9" fillId="0" borderId="0" xfId="3" applyNumberFormat="1" applyFont="1" applyAlignment="1" applyProtection="1">
      <alignment horizontal="center" vertical="center"/>
      <protection hidden="1"/>
    </xf>
    <xf numFmtId="165" fontId="3" fillId="0" borderId="0" xfId="2" applyNumberFormat="1" applyFont="1" applyProtection="1">
      <protection hidden="1"/>
    </xf>
    <xf numFmtId="0" fontId="6" fillId="0" borderId="0" xfId="1" applyFont="1" applyAlignment="1" applyProtection="1">
      <alignment horizontal="center" vertical="center" wrapText="1"/>
      <protection hidden="1"/>
    </xf>
    <xf numFmtId="165" fontId="6" fillId="0" borderId="0" xfId="1" applyNumberFormat="1" applyFont="1" applyAlignment="1" applyProtection="1">
      <alignment horizontal="center" vertical="center" wrapText="1"/>
      <protection hidden="1"/>
    </xf>
    <xf numFmtId="0" fontId="3" fillId="0" borderId="0" xfId="2" applyFont="1" applyAlignment="1" applyProtection="1">
      <alignment horizontal="right"/>
      <protection hidden="1"/>
    </xf>
    <xf numFmtId="0" fontId="3" fillId="0" borderId="0" xfId="2" applyFont="1" applyAlignment="1">
      <alignment horizontal="center"/>
    </xf>
    <xf numFmtId="164" fontId="3" fillId="0" borderId="72" xfId="2" applyNumberFormat="1" applyFont="1" applyBorder="1" applyAlignment="1" applyProtection="1">
      <alignment horizontal="center" vertical="center"/>
      <protection locked="0"/>
    </xf>
    <xf numFmtId="0" fontId="3" fillId="0" borderId="79" xfId="1" applyFont="1" applyBorder="1" applyAlignment="1" applyProtection="1">
      <alignment horizontal="center" vertical="center"/>
      <protection locked="0"/>
    </xf>
    <xf numFmtId="164" fontId="3" fillId="0" borderId="89" xfId="2" applyNumberFormat="1" applyFont="1" applyBorder="1" applyAlignment="1" applyProtection="1">
      <alignment horizontal="center" vertical="center"/>
      <protection locked="0"/>
    </xf>
    <xf numFmtId="0" fontId="3" fillId="0" borderId="97" xfId="1" applyFont="1" applyBorder="1" applyAlignment="1" applyProtection="1">
      <alignment horizontal="center" vertical="center"/>
      <protection locked="0"/>
    </xf>
    <xf numFmtId="164" fontId="3" fillId="0" borderId="68" xfId="2" applyNumberFormat="1" applyFont="1" applyBorder="1" applyAlignment="1" applyProtection="1">
      <alignment horizontal="center" vertical="center"/>
      <protection locked="0"/>
    </xf>
    <xf numFmtId="164" fontId="3" fillId="0" borderId="76" xfId="2" applyNumberFormat="1" applyFont="1" applyBorder="1" applyAlignment="1" applyProtection="1">
      <alignment horizontal="center" vertical="center"/>
      <protection locked="0"/>
    </xf>
    <xf numFmtId="164" fontId="3" fillId="0" borderId="87" xfId="2" applyNumberFormat="1" applyFont="1" applyBorder="1" applyAlignment="1" applyProtection="1">
      <alignment horizontal="center" vertical="center"/>
      <protection locked="0"/>
    </xf>
    <xf numFmtId="164" fontId="3" fillId="0" borderId="95" xfId="2" applyNumberFormat="1" applyFont="1" applyBorder="1" applyAlignment="1" applyProtection="1">
      <alignment horizontal="center" vertical="center"/>
      <protection locked="0"/>
    </xf>
    <xf numFmtId="164" fontId="3" fillId="0" borderId="70" xfId="2" applyNumberFormat="1" applyFont="1" applyBorder="1" applyAlignment="1" applyProtection="1">
      <alignment horizontal="center" vertical="center"/>
      <protection locked="0"/>
    </xf>
    <xf numFmtId="164" fontId="3" fillId="0" borderId="78" xfId="2" applyNumberFormat="1" applyFont="1" applyBorder="1" applyAlignment="1" applyProtection="1">
      <alignment horizontal="center" vertical="center"/>
      <protection locked="0"/>
    </xf>
    <xf numFmtId="164" fontId="3" fillId="0" borderId="88" xfId="2" applyNumberFormat="1" applyFont="1" applyBorder="1" applyAlignment="1" applyProtection="1">
      <alignment horizontal="center" vertical="center"/>
      <protection locked="0"/>
    </xf>
    <xf numFmtId="164" fontId="3" fillId="0" borderId="96" xfId="2" applyNumberFormat="1" applyFont="1" applyBorder="1" applyAlignment="1" applyProtection="1">
      <alignment horizontal="center" vertical="center"/>
      <protection locked="0"/>
    </xf>
    <xf numFmtId="0" fontId="1" fillId="0" borderId="1" xfId="1" applyBorder="1" applyAlignment="1">
      <alignment horizontal="center" vertical="center"/>
    </xf>
    <xf numFmtId="164" fontId="1" fillId="0" borderId="1" xfId="1" applyNumberFormat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164" fontId="1" fillId="0" borderId="4" xfId="1" applyNumberFormat="1" applyBorder="1" applyAlignment="1">
      <alignment horizontal="center" vertical="center"/>
    </xf>
    <xf numFmtId="164" fontId="1" fillId="9" borderId="7" xfId="1" applyNumberFormat="1" applyFill="1" applyBorder="1" applyAlignment="1">
      <alignment horizontal="center" vertical="center"/>
    </xf>
    <xf numFmtId="0" fontId="1" fillId="9" borderId="7" xfId="1" applyFill="1" applyBorder="1" applyAlignment="1">
      <alignment horizontal="center" vertical="center"/>
    </xf>
    <xf numFmtId="164" fontId="1" fillId="9" borderId="19" xfId="1" applyNumberFormat="1" applyFill="1" applyBorder="1" applyAlignment="1">
      <alignment horizontal="center" vertical="center"/>
    </xf>
    <xf numFmtId="165" fontId="3" fillId="0" borderId="0" xfId="2" applyNumberFormat="1" applyFont="1" applyAlignment="1">
      <alignment horizontal="center"/>
    </xf>
    <xf numFmtId="164" fontId="3" fillId="0" borderId="0" xfId="2" applyNumberFormat="1" applyFont="1" applyAlignment="1">
      <alignment horizontal="center"/>
    </xf>
    <xf numFmtId="164" fontId="3" fillId="0" borderId="0" xfId="2" applyNumberFormat="1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164" fontId="1" fillId="0" borderId="3" xfId="1" applyNumberFormat="1" applyBorder="1" applyAlignment="1">
      <alignment horizontal="center" vertical="center"/>
    </xf>
    <xf numFmtId="1" fontId="3" fillId="0" borderId="0" xfId="2" applyNumberFormat="1" applyFont="1" applyAlignment="1">
      <alignment horizontal="center" vertical="center"/>
    </xf>
    <xf numFmtId="0" fontId="4" fillId="0" borderId="0" xfId="2" applyFont="1" applyAlignment="1">
      <alignment horizontal="center"/>
    </xf>
    <xf numFmtId="0" fontId="3" fillId="12" borderId="0" xfId="2" applyFont="1" applyFill="1" applyAlignment="1">
      <alignment horizontal="center" vertical="center"/>
    </xf>
    <xf numFmtId="0" fontId="3" fillId="13" borderId="0" xfId="2" applyFont="1" applyFill="1" applyProtection="1">
      <protection hidden="1"/>
    </xf>
    <xf numFmtId="0" fontId="3" fillId="13" borderId="0" xfId="2" applyFont="1" applyFill="1"/>
    <xf numFmtId="0" fontId="3" fillId="13" borderId="0" xfId="2" applyFont="1" applyFill="1" applyAlignment="1">
      <alignment horizontal="right"/>
    </xf>
    <xf numFmtId="1" fontId="3" fillId="13" borderId="0" xfId="2" applyNumberFormat="1" applyFont="1" applyFill="1" applyAlignment="1">
      <alignment horizontal="center"/>
    </xf>
    <xf numFmtId="164" fontId="3" fillId="13" borderId="0" xfId="2" applyNumberFormat="1" applyFont="1" applyFill="1" applyAlignment="1">
      <alignment horizontal="center"/>
    </xf>
    <xf numFmtId="164" fontId="3" fillId="13" borderId="0" xfId="2" applyNumberFormat="1" applyFont="1" applyFill="1" applyAlignment="1">
      <alignment horizontal="center" vertical="center"/>
    </xf>
    <xf numFmtId="1" fontId="3" fillId="13" borderId="0" xfId="2" applyNumberFormat="1" applyFont="1" applyFill="1" applyAlignment="1">
      <alignment horizontal="center" vertical="center"/>
    </xf>
    <xf numFmtId="0" fontId="3" fillId="13" borderId="0" xfId="2" applyFont="1" applyFill="1" applyAlignment="1">
      <alignment horizontal="center" vertical="center"/>
    </xf>
    <xf numFmtId="0" fontId="3" fillId="0" borderId="0" xfId="2" applyFont="1" applyAlignment="1" applyProtection="1">
      <alignment horizontal="right" vertical="center"/>
      <protection hidden="1"/>
    </xf>
    <xf numFmtId="0" fontId="3" fillId="0" borderId="0" xfId="2" applyFont="1" applyAlignment="1">
      <alignment horizontal="right"/>
    </xf>
    <xf numFmtId="164" fontId="3" fillId="11" borderId="0" xfId="2" applyNumberFormat="1" applyFont="1" applyFill="1" applyAlignment="1">
      <alignment horizontal="center" vertical="center"/>
    </xf>
    <xf numFmtId="0" fontId="5" fillId="8" borderId="6" xfId="2" applyFont="1" applyFill="1" applyBorder="1" applyAlignment="1" applyProtection="1">
      <alignment horizontal="center" vertical="center"/>
      <protection hidden="1"/>
    </xf>
    <xf numFmtId="0" fontId="5" fillId="8" borderId="22" xfId="2" applyFont="1" applyFill="1" applyBorder="1" applyAlignment="1" applyProtection="1">
      <alignment horizontal="center" vertical="center"/>
      <protection hidden="1"/>
    </xf>
    <xf numFmtId="0" fontId="5" fillId="8" borderId="21" xfId="2" applyFont="1" applyFill="1" applyBorder="1" applyAlignment="1" applyProtection="1">
      <alignment vertical="center"/>
      <protection hidden="1"/>
    </xf>
    <xf numFmtId="0" fontId="5" fillId="8" borderId="0" xfId="2" applyFont="1" applyFill="1" applyAlignment="1" applyProtection="1">
      <alignment vertical="center"/>
      <protection hidden="1"/>
    </xf>
    <xf numFmtId="0" fontId="5" fillId="8" borderId="0" xfId="2" applyFont="1" applyFill="1" applyAlignment="1" applyProtection="1">
      <alignment horizontal="center" vertical="center"/>
      <protection hidden="1"/>
    </xf>
    <xf numFmtId="0" fontId="4" fillId="0" borderId="13" xfId="2" applyFont="1" applyBorder="1" applyAlignment="1" applyProtection="1">
      <alignment horizontal="center" vertical="center"/>
      <protection hidden="1"/>
    </xf>
    <xf numFmtId="0" fontId="4" fillId="0" borderId="14" xfId="2" applyFont="1" applyBorder="1" applyAlignment="1" applyProtection="1">
      <alignment horizontal="center" vertical="center"/>
      <protection hidden="1"/>
    </xf>
    <xf numFmtId="0" fontId="4" fillId="0" borderId="15" xfId="2" applyFont="1" applyBorder="1" applyAlignment="1" applyProtection="1">
      <alignment horizontal="center" vertical="center"/>
      <protection hidden="1"/>
    </xf>
    <xf numFmtId="0" fontId="8" fillId="8" borderId="16" xfId="2" applyFont="1" applyFill="1" applyBorder="1" applyAlignment="1" applyProtection="1">
      <alignment horizontal="center" vertical="center"/>
      <protection hidden="1"/>
    </xf>
    <xf numFmtId="0" fontId="8" fillId="8" borderId="3" xfId="2" applyFont="1" applyFill="1" applyBorder="1" applyAlignment="1" applyProtection="1">
      <alignment horizontal="center" vertical="center"/>
      <protection hidden="1"/>
    </xf>
    <xf numFmtId="0" fontId="8" fillId="8" borderId="18" xfId="2" applyFont="1" applyFill="1" applyBorder="1" applyAlignment="1" applyProtection="1">
      <alignment horizontal="center" vertical="center"/>
      <protection hidden="1"/>
    </xf>
    <xf numFmtId="0" fontId="5" fillId="8" borderId="0" xfId="2" applyFont="1" applyFill="1" applyAlignment="1" applyProtection="1">
      <alignment horizontal="right" vertical="center"/>
      <protection hidden="1"/>
    </xf>
    <xf numFmtId="1" fontId="5" fillId="8" borderId="0" xfId="2" applyNumberFormat="1" applyFont="1" applyFill="1" applyAlignment="1" applyProtection="1">
      <alignment horizontal="center" vertical="center"/>
      <protection hidden="1"/>
    </xf>
    <xf numFmtId="1" fontId="8" fillId="8" borderId="17" xfId="2" applyNumberFormat="1" applyFont="1" applyFill="1" applyBorder="1" applyAlignment="1" applyProtection="1">
      <alignment horizontal="center" vertical="center"/>
      <protection hidden="1"/>
    </xf>
    <xf numFmtId="1" fontId="8" fillId="8" borderId="4" xfId="2" applyNumberFormat="1" applyFont="1" applyFill="1" applyBorder="1" applyAlignment="1" applyProtection="1">
      <alignment horizontal="center" vertical="center"/>
      <protection hidden="1"/>
    </xf>
    <xf numFmtId="1" fontId="8" fillId="8" borderId="19" xfId="2" applyNumberFormat="1" applyFont="1" applyFill="1" applyBorder="1" applyAlignment="1" applyProtection="1">
      <alignment horizontal="center" vertical="center"/>
      <protection hidden="1"/>
    </xf>
    <xf numFmtId="2" fontId="8" fillId="8" borderId="5" xfId="2" applyNumberFormat="1" applyFont="1" applyFill="1" applyBorder="1" applyAlignment="1" applyProtection="1">
      <alignment horizontal="center" vertical="center"/>
      <protection hidden="1"/>
    </xf>
    <xf numFmtId="2" fontId="8" fillId="8" borderId="1" xfId="2" applyNumberFormat="1" applyFont="1" applyFill="1" applyBorder="1" applyAlignment="1" applyProtection="1">
      <alignment horizontal="center" vertical="center"/>
      <protection hidden="1"/>
    </xf>
    <xf numFmtId="2" fontId="8" fillId="8" borderId="7" xfId="2" applyNumberFormat="1" applyFont="1" applyFill="1" applyBorder="1" applyAlignment="1" applyProtection="1">
      <alignment horizontal="center" vertical="center"/>
      <protection hidden="1"/>
    </xf>
    <xf numFmtId="0" fontId="5" fillId="8" borderId="6" xfId="2" applyFont="1" applyFill="1" applyBorder="1" applyAlignment="1" applyProtection="1">
      <alignment horizontal="right" vertical="center"/>
      <protection hidden="1"/>
    </xf>
    <xf numFmtId="0" fontId="5" fillId="8" borderId="50" xfId="2" applyFont="1" applyFill="1" applyBorder="1" applyAlignment="1" applyProtection="1">
      <alignment vertical="center"/>
      <protection hidden="1"/>
    </xf>
    <xf numFmtId="0" fontId="5" fillId="8" borderId="34" xfId="2" applyFont="1" applyFill="1" applyBorder="1" applyAlignment="1" applyProtection="1">
      <alignment horizontal="right" vertical="center"/>
      <protection hidden="1"/>
    </xf>
    <xf numFmtId="0" fontId="5" fillId="8" borderId="34" xfId="2" applyFont="1" applyFill="1" applyBorder="1" applyAlignment="1" applyProtection="1">
      <alignment horizontal="center" vertical="center"/>
      <protection hidden="1"/>
    </xf>
    <xf numFmtId="0" fontId="5" fillId="8" borderId="51" xfId="2" applyFont="1" applyFill="1" applyBorder="1" applyAlignment="1" applyProtection="1">
      <alignment horizontal="center" vertical="center"/>
      <protection hidden="1"/>
    </xf>
    <xf numFmtId="164" fontId="5" fillId="8" borderId="6" xfId="2" applyNumberFormat="1" applyFont="1" applyFill="1" applyBorder="1" applyAlignment="1" applyProtection="1">
      <alignment horizontal="center" vertical="center"/>
      <protection hidden="1"/>
    </xf>
    <xf numFmtId="164" fontId="5" fillId="8" borderId="22" xfId="2" applyNumberFormat="1" applyFont="1" applyFill="1" applyBorder="1" applyAlignment="1" applyProtection="1">
      <alignment horizontal="center" vertical="center"/>
      <protection hidden="1"/>
    </xf>
    <xf numFmtId="164" fontId="5" fillId="8" borderId="34" xfId="2" applyNumberFormat="1" applyFont="1" applyFill="1" applyBorder="1" applyAlignment="1" applyProtection="1">
      <alignment horizontal="center" vertical="center"/>
      <protection hidden="1"/>
    </xf>
    <xf numFmtId="164" fontId="5" fillId="8" borderId="51" xfId="2" applyNumberFormat="1" applyFont="1" applyFill="1" applyBorder="1" applyAlignment="1" applyProtection="1">
      <alignment horizontal="center" vertical="center"/>
      <protection hidden="1"/>
    </xf>
    <xf numFmtId="0" fontId="3" fillId="0" borderId="21" xfId="2" applyFont="1" applyBorder="1" applyProtection="1">
      <protection hidden="1"/>
    </xf>
    <xf numFmtId="0" fontId="3" fillId="0" borderId="6" xfId="2" applyFont="1" applyBorder="1" applyProtection="1">
      <protection hidden="1"/>
    </xf>
    <xf numFmtId="0" fontId="3" fillId="0" borderId="22" xfId="2" applyFont="1" applyBorder="1" applyProtection="1">
      <protection hidden="1"/>
    </xf>
    <xf numFmtId="0" fontId="3" fillId="0" borderId="45" xfId="2" applyFont="1" applyBorder="1" applyProtection="1">
      <protection hidden="1"/>
    </xf>
    <xf numFmtId="0" fontId="3" fillId="0" borderId="46" xfId="2" applyFont="1" applyBorder="1" applyProtection="1">
      <protection hidden="1"/>
    </xf>
    <xf numFmtId="0" fontId="5" fillId="8" borderId="45" xfId="2" applyFont="1" applyFill="1" applyBorder="1" applyAlignment="1" applyProtection="1">
      <alignment vertical="center"/>
      <protection hidden="1"/>
    </xf>
    <xf numFmtId="0" fontId="5" fillId="8" borderId="46" xfId="2" applyFont="1" applyFill="1" applyBorder="1" applyAlignment="1" applyProtection="1">
      <alignment vertical="center"/>
      <protection hidden="1"/>
    </xf>
    <xf numFmtId="0" fontId="5" fillId="8" borderId="34" xfId="2" applyFont="1" applyFill="1" applyBorder="1" applyAlignment="1" applyProtection="1">
      <alignment vertical="center"/>
      <protection hidden="1"/>
    </xf>
    <xf numFmtId="0" fontId="3" fillId="0" borderId="51" xfId="2" applyFont="1" applyBorder="1" applyProtection="1">
      <protection hidden="1"/>
    </xf>
    <xf numFmtId="0" fontId="21" fillId="4" borderId="45" xfId="2" applyFont="1" applyFill="1" applyBorder="1" applyProtection="1">
      <protection hidden="1"/>
    </xf>
    <xf numFmtId="0" fontId="21" fillId="4" borderId="0" xfId="2" applyFont="1" applyFill="1" applyProtection="1">
      <protection hidden="1"/>
    </xf>
    <xf numFmtId="0" fontId="21" fillId="4" borderId="46" xfId="2" applyFont="1" applyFill="1" applyBorder="1" applyProtection="1">
      <protection hidden="1"/>
    </xf>
    <xf numFmtId="167" fontId="21" fillId="4" borderId="109" xfId="2" applyNumberFormat="1" applyFont="1" applyFill="1" applyBorder="1" applyAlignment="1" applyProtection="1">
      <alignment horizontal="right" indent="5"/>
      <protection hidden="1"/>
    </xf>
    <xf numFmtId="164" fontId="21" fillId="4" borderId="110" xfId="2" applyNumberFormat="1" applyFont="1" applyFill="1" applyBorder="1" applyAlignment="1" applyProtection="1">
      <alignment horizontal="center"/>
      <protection hidden="1"/>
    </xf>
    <xf numFmtId="0" fontId="19" fillId="14" borderId="21" xfId="2" applyFont="1" applyFill="1" applyBorder="1" applyAlignment="1" applyProtection="1">
      <alignment horizontal="right" vertical="center"/>
      <protection hidden="1"/>
    </xf>
    <xf numFmtId="2" fontId="19" fillId="14" borderId="22" xfId="2" applyNumberFormat="1" applyFont="1" applyFill="1" applyBorder="1" applyAlignment="1">
      <alignment horizontal="left" vertical="center"/>
    </xf>
    <xf numFmtId="0" fontId="21" fillId="0" borderId="0" xfId="2" applyFont="1" applyAlignment="1">
      <alignment horizontal="center"/>
    </xf>
    <xf numFmtId="0" fontId="21" fillId="0" borderId="0" xfId="2" applyFont="1"/>
    <xf numFmtId="0" fontId="22" fillId="0" borderId="0" xfId="3" applyFont="1" applyProtection="1">
      <protection hidden="1"/>
    </xf>
    <xf numFmtId="0" fontId="22" fillId="0" borderId="46" xfId="3" applyFont="1" applyBorder="1" applyProtection="1">
      <protection hidden="1"/>
    </xf>
    <xf numFmtId="0" fontId="20" fillId="4" borderId="36" xfId="2" applyFont="1" applyFill="1" applyBorder="1" applyAlignment="1" applyProtection="1">
      <alignment vertical="center"/>
      <protection hidden="1"/>
    </xf>
    <xf numFmtId="0" fontId="23" fillId="4" borderId="37" xfId="2" applyFont="1" applyFill="1" applyBorder="1" applyAlignment="1" applyProtection="1">
      <alignment vertical="center"/>
      <protection hidden="1"/>
    </xf>
    <xf numFmtId="167" fontId="21" fillId="5" borderId="38" xfId="2" applyNumberFormat="1" applyFont="1" applyFill="1" applyBorder="1" applyAlignment="1" applyProtection="1">
      <alignment horizontal="right" indent="5"/>
      <protection hidden="1"/>
    </xf>
    <xf numFmtId="164" fontId="21" fillId="5" borderId="39" xfId="2" applyNumberFormat="1" applyFont="1" applyFill="1" applyBorder="1" applyAlignment="1" applyProtection="1">
      <alignment horizontal="center"/>
      <protection hidden="1"/>
    </xf>
    <xf numFmtId="164" fontId="19" fillId="15" borderId="45" xfId="2" applyNumberFormat="1" applyFont="1" applyFill="1" applyBorder="1" applyAlignment="1" applyProtection="1">
      <alignment horizontal="right"/>
      <protection hidden="1"/>
    </xf>
    <xf numFmtId="1" fontId="19" fillId="15" borderId="46" xfId="2" applyNumberFormat="1" applyFont="1" applyFill="1" applyBorder="1" applyAlignment="1" applyProtection="1">
      <alignment horizontal="left"/>
      <protection hidden="1"/>
    </xf>
    <xf numFmtId="0" fontId="20" fillId="4" borderId="48" xfId="2" applyFont="1" applyFill="1" applyBorder="1" applyAlignment="1" applyProtection="1">
      <alignment vertical="center"/>
      <protection hidden="1"/>
    </xf>
    <xf numFmtId="0" fontId="21" fillId="4" borderId="49" xfId="2" applyFont="1" applyFill="1" applyBorder="1" applyAlignment="1" applyProtection="1">
      <alignment vertical="center"/>
      <protection hidden="1"/>
    </xf>
    <xf numFmtId="167" fontId="21" fillId="4" borderId="38" xfId="2" applyNumberFormat="1" applyFont="1" applyFill="1" applyBorder="1" applyAlignment="1" applyProtection="1">
      <alignment horizontal="right" indent="5"/>
      <protection hidden="1"/>
    </xf>
    <xf numFmtId="164" fontId="21" fillId="4" borderId="39" xfId="2" applyNumberFormat="1" applyFont="1" applyFill="1" applyBorder="1" applyAlignment="1" applyProtection="1">
      <alignment horizontal="center"/>
      <protection hidden="1"/>
    </xf>
    <xf numFmtId="164" fontId="19" fillId="16" borderId="45" xfId="2" applyNumberFormat="1" applyFont="1" applyFill="1" applyBorder="1" applyAlignment="1" applyProtection="1">
      <alignment horizontal="right"/>
      <protection hidden="1"/>
    </xf>
    <xf numFmtId="171" fontId="19" fillId="16" borderId="46" xfId="2" applyNumberFormat="1" applyFont="1" applyFill="1" applyBorder="1" applyAlignment="1" applyProtection="1">
      <alignment horizontal="left" vertical="center"/>
      <protection hidden="1"/>
    </xf>
    <xf numFmtId="0" fontId="22" fillId="0" borderId="0" xfId="2" applyFont="1" applyProtection="1">
      <protection hidden="1"/>
    </xf>
    <xf numFmtId="164" fontId="19" fillId="11" borderId="50" xfId="2" applyNumberFormat="1" applyFont="1" applyFill="1" applyBorder="1" applyAlignment="1" applyProtection="1">
      <alignment horizontal="right"/>
      <protection hidden="1"/>
    </xf>
    <xf numFmtId="171" fontId="19" fillId="11" borderId="51" xfId="2" applyNumberFormat="1" applyFont="1" applyFill="1" applyBorder="1" applyAlignment="1" applyProtection="1">
      <alignment horizontal="left" vertical="center"/>
      <protection hidden="1"/>
    </xf>
    <xf numFmtId="0" fontId="25" fillId="4" borderId="50" xfId="2" applyFont="1" applyFill="1" applyBorder="1" applyAlignment="1" applyProtection="1">
      <alignment horizontal="center"/>
      <protection hidden="1"/>
    </xf>
    <xf numFmtId="0" fontId="22" fillId="4" borderId="34" xfId="2" applyFont="1" applyFill="1" applyBorder="1" applyAlignment="1" applyProtection="1">
      <alignment horizontal="right"/>
      <protection hidden="1"/>
    </xf>
    <xf numFmtId="0" fontId="22" fillId="4" borderId="34" xfId="2" applyFont="1" applyFill="1" applyBorder="1" applyAlignment="1" applyProtection="1">
      <alignment horizontal="center"/>
      <protection hidden="1"/>
    </xf>
    <xf numFmtId="164" fontId="25" fillId="4" borderId="34" xfId="2" applyNumberFormat="1" applyFont="1" applyFill="1" applyBorder="1" applyAlignment="1" applyProtection="1">
      <alignment horizontal="center"/>
      <protection hidden="1"/>
    </xf>
    <xf numFmtId="0" fontId="21" fillId="4" borderId="51" xfId="2" applyFont="1" applyFill="1" applyBorder="1" applyProtection="1">
      <protection hidden="1"/>
    </xf>
    <xf numFmtId="167" fontId="21" fillId="4" borderId="52" xfId="2" applyNumberFormat="1" applyFont="1" applyFill="1" applyBorder="1" applyAlignment="1" applyProtection="1">
      <alignment horizontal="right" indent="5"/>
      <protection hidden="1"/>
    </xf>
    <xf numFmtId="164" fontId="21" fillId="4" borderId="53" xfId="2" applyNumberFormat="1" applyFont="1" applyFill="1" applyBorder="1" applyAlignment="1" applyProtection="1">
      <alignment horizontal="center"/>
      <protection hidden="1"/>
    </xf>
    <xf numFmtId="164" fontId="25" fillId="0" borderId="34" xfId="2" applyNumberFormat="1" applyFont="1" applyBorder="1" applyAlignment="1" applyProtection="1">
      <alignment horizontal="center"/>
      <protection hidden="1"/>
    </xf>
    <xf numFmtId="0" fontId="30" fillId="17" borderId="34" xfId="2" applyFont="1" applyFill="1" applyBorder="1" applyAlignment="1" applyProtection="1">
      <alignment vertical="center"/>
      <protection locked="0"/>
    </xf>
    <xf numFmtId="0" fontId="28" fillId="17" borderId="34" xfId="2" applyFont="1" applyFill="1" applyBorder="1" applyAlignment="1" applyProtection="1">
      <alignment vertical="center"/>
      <protection hidden="1"/>
    </xf>
    <xf numFmtId="0" fontId="31" fillId="17" borderId="34" xfId="2" applyFont="1" applyFill="1" applyBorder="1" applyAlignment="1" applyProtection="1">
      <alignment vertical="center"/>
      <protection hidden="1"/>
    </xf>
    <xf numFmtId="0" fontId="28" fillId="17" borderId="34" xfId="2" applyFont="1" applyFill="1" applyBorder="1" applyAlignment="1" applyProtection="1">
      <alignment horizontal="right" vertical="center"/>
      <protection hidden="1"/>
    </xf>
    <xf numFmtId="170" fontId="30" fillId="17" borderId="34" xfId="2" applyNumberFormat="1" applyFont="1" applyFill="1" applyBorder="1" applyAlignment="1" applyProtection="1">
      <alignment horizontal="center" vertical="center" shrinkToFit="1"/>
      <protection locked="0"/>
    </xf>
    <xf numFmtId="2" fontId="30" fillId="17" borderId="34" xfId="2" applyNumberFormat="1" applyFont="1" applyFill="1" applyBorder="1" applyAlignment="1" applyProtection="1">
      <alignment horizontal="center" vertical="center"/>
      <protection locked="0"/>
    </xf>
    <xf numFmtId="0" fontId="32" fillId="17" borderId="0" xfId="2" applyFont="1" applyFill="1" applyAlignment="1" applyProtection="1">
      <alignment vertical="center"/>
      <protection hidden="1"/>
    </xf>
    <xf numFmtId="0" fontId="31" fillId="17" borderId="18" xfId="2" applyFont="1" applyFill="1" applyBorder="1" applyAlignment="1" applyProtection="1">
      <alignment horizontal="center" vertical="center"/>
      <protection hidden="1"/>
    </xf>
    <xf numFmtId="0" fontId="31" fillId="17" borderId="19" xfId="2" applyFont="1" applyFill="1" applyBorder="1" applyAlignment="1" applyProtection="1">
      <alignment horizontal="center" vertical="center"/>
      <protection hidden="1"/>
    </xf>
    <xf numFmtId="164" fontId="31" fillId="17" borderId="33" xfId="2" applyNumberFormat="1" applyFont="1" applyFill="1" applyBorder="1" applyAlignment="1" applyProtection="1">
      <alignment horizontal="right" vertical="center" wrapText="1"/>
      <protection locked="0"/>
    </xf>
    <xf numFmtId="0" fontId="31" fillId="17" borderId="34" xfId="2" applyFont="1" applyFill="1" applyBorder="1" applyAlignment="1" applyProtection="1">
      <alignment horizontal="left" vertical="center" wrapText="1"/>
      <protection hidden="1"/>
    </xf>
    <xf numFmtId="164" fontId="31" fillId="17" borderId="51" xfId="2" applyNumberFormat="1" applyFont="1" applyFill="1" applyBorder="1" applyAlignment="1" applyProtection="1">
      <alignment horizontal="left" vertical="center" wrapText="1"/>
      <protection locked="0"/>
    </xf>
    <xf numFmtId="0" fontId="23" fillId="0" borderId="3" xfId="2" applyFont="1" applyBorder="1" applyProtection="1">
      <protection hidden="1"/>
    </xf>
    <xf numFmtId="0" fontId="23" fillId="0" borderId="1" xfId="2" applyFont="1" applyBorder="1" applyProtection="1">
      <protection hidden="1"/>
    </xf>
    <xf numFmtId="0" fontId="23" fillId="0" borderId="18" xfId="2" applyFont="1" applyBorder="1" applyProtection="1">
      <protection hidden="1"/>
    </xf>
    <xf numFmtId="0" fontId="23" fillId="0" borderId="7" xfId="2" applyFont="1" applyBorder="1" applyProtection="1">
      <protection hidden="1"/>
    </xf>
    <xf numFmtId="0" fontId="21" fillId="0" borderId="0" xfId="2" applyFont="1" applyProtection="1">
      <protection hidden="1"/>
    </xf>
    <xf numFmtId="0" fontId="19" fillId="0" borderId="0" xfId="2" applyFont="1" applyAlignment="1" applyProtection="1">
      <alignment vertical="center"/>
      <protection hidden="1"/>
    </xf>
    <xf numFmtId="0" fontId="21" fillId="2" borderId="67" xfId="2" applyFont="1" applyFill="1" applyBorder="1" applyAlignment="1" applyProtection="1">
      <alignment vertical="center" wrapText="1"/>
      <protection hidden="1"/>
    </xf>
    <xf numFmtId="0" fontId="21" fillId="2" borderId="92" xfId="2" applyFont="1" applyFill="1" applyBorder="1" applyAlignment="1" applyProtection="1">
      <alignment vertical="center" wrapText="1"/>
      <protection hidden="1"/>
    </xf>
    <xf numFmtId="0" fontId="21" fillId="2" borderId="20" xfId="2" applyFont="1" applyFill="1" applyBorder="1" applyAlignment="1" applyProtection="1">
      <alignment vertical="center" wrapText="1"/>
      <protection hidden="1"/>
    </xf>
    <xf numFmtId="0" fontId="35" fillId="2" borderId="93" xfId="2" applyFont="1" applyFill="1" applyBorder="1" applyAlignment="1" applyProtection="1">
      <alignment horizontal="center"/>
      <protection hidden="1"/>
    </xf>
    <xf numFmtId="0" fontId="35" fillId="2" borderId="7" xfId="2" applyFont="1" applyFill="1" applyBorder="1" applyAlignment="1" applyProtection="1">
      <alignment horizontal="center"/>
      <protection hidden="1"/>
    </xf>
    <xf numFmtId="0" fontId="35" fillId="2" borderId="19" xfId="2" applyFont="1" applyFill="1" applyBorder="1" applyAlignment="1" applyProtection="1">
      <alignment horizontal="center"/>
      <protection hidden="1"/>
    </xf>
    <xf numFmtId="0" fontId="23" fillId="0" borderId="67" xfId="2" applyFont="1" applyBorder="1" applyAlignment="1" applyProtection="1">
      <alignment horizontal="center" vertical="top" wrapText="1"/>
      <protection hidden="1"/>
    </xf>
    <xf numFmtId="0" fontId="21" fillId="0" borderId="10" xfId="2" applyFont="1" applyBorder="1" applyAlignment="1" applyProtection="1">
      <alignment horizontal="center"/>
      <protection hidden="1"/>
    </xf>
    <xf numFmtId="164" fontId="21" fillId="0" borderId="10" xfId="2" applyNumberFormat="1" applyFont="1" applyBorder="1" applyAlignment="1" applyProtection="1">
      <alignment horizontal="center"/>
      <protection hidden="1"/>
    </xf>
    <xf numFmtId="0" fontId="21" fillId="0" borderId="61" xfId="2" applyFont="1" applyBorder="1" applyAlignment="1" applyProtection="1">
      <alignment horizontal="center"/>
      <protection hidden="1"/>
    </xf>
    <xf numFmtId="0" fontId="23" fillId="0" borderId="92" xfId="2" applyFont="1" applyBorder="1" applyAlignment="1" applyProtection="1">
      <alignment horizontal="center" vertical="top" wrapText="1"/>
      <protection hidden="1"/>
    </xf>
    <xf numFmtId="164" fontId="21" fillId="0" borderId="9" xfId="2" applyNumberFormat="1" applyFont="1" applyBorder="1" applyAlignment="1" applyProtection="1">
      <alignment horizontal="center"/>
      <protection hidden="1"/>
    </xf>
    <xf numFmtId="0" fontId="21" fillId="0" borderId="9" xfId="2" applyFont="1" applyBorder="1" applyAlignment="1" applyProtection="1">
      <alignment horizontal="center"/>
      <protection hidden="1"/>
    </xf>
    <xf numFmtId="164" fontId="21" fillId="0" borderId="23" xfId="2" applyNumberFormat="1" applyFont="1" applyBorder="1" applyAlignment="1" applyProtection="1">
      <alignment horizontal="center"/>
      <protection hidden="1"/>
    </xf>
    <xf numFmtId="0" fontId="23" fillId="0" borderId="20" xfId="2" applyFont="1" applyBorder="1" applyAlignment="1" applyProtection="1">
      <alignment horizontal="center" vertical="top" wrapText="1"/>
      <protection hidden="1"/>
    </xf>
    <xf numFmtId="0" fontId="21" fillId="0" borderId="8" xfId="2" applyFont="1" applyBorder="1" applyAlignment="1" applyProtection="1">
      <alignment horizontal="center"/>
      <protection hidden="1"/>
    </xf>
    <xf numFmtId="164" fontId="21" fillId="0" borderId="8" xfId="2" applyNumberFormat="1" applyFont="1" applyBorder="1" applyAlignment="1" applyProtection="1">
      <alignment horizontal="center"/>
      <protection hidden="1"/>
    </xf>
    <xf numFmtId="0" fontId="21" fillId="0" borderId="24" xfId="2" applyFont="1" applyBorder="1" applyAlignment="1" applyProtection="1">
      <alignment horizontal="center"/>
      <protection hidden="1"/>
    </xf>
    <xf numFmtId="0" fontId="21" fillId="2" borderId="92" xfId="2" applyFont="1" applyFill="1" applyBorder="1" applyAlignment="1" applyProtection="1">
      <alignment horizontal="centerContinuous" vertical="center" wrapText="1"/>
      <protection hidden="1"/>
    </xf>
    <xf numFmtId="0" fontId="21" fillId="2" borderId="20" xfId="2" applyFont="1" applyFill="1" applyBorder="1" applyAlignment="1" applyProtection="1">
      <alignment horizontal="centerContinuous" vertical="center" wrapText="1"/>
      <protection hidden="1"/>
    </xf>
    <xf numFmtId="0" fontId="21" fillId="6" borderId="67" xfId="2" applyFont="1" applyFill="1" applyBorder="1" applyAlignment="1" applyProtection="1">
      <alignment vertical="center" wrapText="1"/>
      <protection hidden="1"/>
    </xf>
    <xf numFmtId="0" fontId="21" fillId="6" borderId="92" xfId="2" applyFont="1" applyFill="1" applyBorder="1" applyAlignment="1" applyProtection="1">
      <alignment horizontal="centerContinuous" vertical="center" wrapText="1"/>
      <protection hidden="1"/>
    </xf>
    <xf numFmtId="0" fontId="21" fillId="6" borderId="20" xfId="2" applyFont="1" applyFill="1" applyBorder="1" applyAlignment="1" applyProtection="1">
      <alignment horizontal="centerContinuous" vertical="center" wrapText="1"/>
      <protection hidden="1"/>
    </xf>
    <xf numFmtId="0" fontId="35" fillId="6" borderId="93" xfId="2" applyFont="1" applyFill="1" applyBorder="1" applyAlignment="1" applyProtection="1">
      <alignment horizontal="center"/>
      <protection hidden="1"/>
    </xf>
    <xf numFmtId="0" fontId="35" fillId="6" borderId="7" xfId="2" applyFont="1" applyFill="1" applyBorder="1" applyAlignment="1" applyProtection="1">
      <alignment horizontal="center"/>
      <protection hidden="1"/>
    </xf>
    <xf numFmtId="0" fontId="35" fillId="6" borderId="94" xfId="2" applyFont="1" applyFill="1" applyBorder="1" applyAlignment="1" applyProtection="1">
      <alignment horizontal="center"/>
      <protection hidden="1"/>
    </xf>
    <xf numFmtId="0" fontId="21" fillId="0" borderId="22" xfId="2" applyFont="1" applyBorder="1" applyAlignment="1" applyProtection="1">
      <alignment horizontal="center"/>
      <protection hidden="1"/>
    </xf>
    <xf numFmtId="164" fontId="21" fillId="0" borderId="46" xfId="2" applyNumberFormat="1" applyFont="1" applyBorder="1" applyAlignment="1" applyProtection="1">
      <alignment horizontal="center"/>
      <protection hidden="1"/>
    </xf>
    <xf numFmtId="0" fontId="21" fillId="0" borderId="51" xfId="2" applyFont="1" applyBorder="1" applyAlignment="1" applyProtection="1">
      <alignment horizontal="center"/>
      <protection hidden="1"/>
    </xf>
    <xf numFmtId="0" fontId="3" fillId="18" borderId="0" xfId="2" applyFont="1" applyFill="1"/>
    <xf numFmtId="0" fontId="3" fillId="18" borderId="0" xfId="2" applyFont="1" applyFill="1" applyAlignment="1">
      <alignment horizontal="center"/>
    </xf>
    <xf numFmtId="0" fontId="4" fillId="18" borderId="0" xfId="2" applyFont="1" applyFill="1"/>
    <xf numFmtId="49" fontId="3" fillId="18" borderId="0" xfId="2" applyNumberFormat="1" applyFont="1" applyFill="1"/>
    <xf numFmtId="14" fontId="3" fillId="18" borderId="0" xfId="2" applyNumberFormat="1" applyFont="1" applyFill="1"/>
    <xf numFmtId="0" fontId="37" fillId="18" borderId="80" xfId="0" applyFont="1" applyFill="1" applyBorder="1" applyAlignment="1">
      <alignment vertical="center" wrapText="1"/>
    </xf>
    <xf numFmtId="0" fontId="37" fillId="18" borderId="0" xfId="0" applyFont="1" applyFill="1" applyAlignment="1">
      <alignment vertical="center" wrapText="1"/>
    </xf>
    <xf numFmtId="0" fontId="37" fillId="18" borderId="0" xfId="0" applyFont="1" applyFill="1" applyAlignment="1">
      <alignment wrapText="1"/>
    </xf>
    <xf numFmtId="0" fontId="20" fillId="18" borderId="0" xfId="5" applyFont="1" applyFill="1" applyAlignment="1" applyProtection="1">
      <alignment vertical="center" wrapText="1"/>
      <protection locked="0"/>
    </xf>
    <xf numFmtId="0" fontId="39" fillId="18" borderId="0" xfId="5" applyFont="1" applyFill="1" applyAlignment="1" applyProtection="1">
      <alignment vertical="center"/>
      <protection locked="0"/>
    </xf>
    <xf numFmtId="0" fontId="20" fillId="18" borderId="118" xfId="5" applyFont="1" applyFill="1" applyBorder="1" applyAlignment="1" applyProtection="1">
      <alignment vertical="center" wrapText="1"/>
      <protection locked="0"/>
    </xf>
    <xf numFmtId="0" fontId="39" fillId="18" borderId="118" xfId="5" applyFont="1" applyFill="1" applyBorder="1" applyAlignment="1" applyProtection="1">
      <alignment vertical="center"/>
      <protection locked="0"/>
    </xf>
    <xf numFmtId="0" fontId="27" fillId="17" borderId="0" xfId="2" applyFont="1" applyFill="1" applyAlignment="1" applyProtection="1">
      <alignment horizontal="center"/>
      <protection hidden="1"/>
    </xf>
    <xf numFmtId="0" fontId="28" fillId="17" borderId="34" xfId="2" applyFont="1" applyFill="1" applyBorder="1" applyAlignment="1" applyProtection="1">
      <alignment horizontal="center" vertical="center"/>
      <protection hidden="1"/>
    </xf>
    <xf numFmtId="164" fontId="3" fillId="5" borderId="40" xfId="2" applyNumberFormat="1" applyFont="1" applyFill="1" applyBorder="1" applyAlignment="1" applyProtection="1">
      <alignment horizontal="center"/>
      <protection hidden="1"/>
    </xf>
    <xf numFmtId="164" fontId="3" fillId="5" borderId="44" xfId="2" applyNumberFormat="1" applyFont="1" applyFill="1" applyBorder="1" applyAlignment="1" applyProtection="1">
      <alignment horizontal="center"/>
      <protection hidden="1"/>
    </xf>
    <xf numFmtId="168" fontId="4" fillId="2" borderId="108" xfId="2" applyNumberFormat="1" applyFont="1" applyFill="1" applyBorder="1" applyAlignment="1" applyProtection="1">
      <alignment horizontal="center" vertical="center"/>
      <protection locked="0"/>
    </xf>
    <xf numFmtId="168" fontId="4" fillId="2" borderId="93" xfId="2" applyNumberFormat="1" applyFont="1" applyFill="1" applyBorder="1" applyAlignment="1" applyProtection="1">
      <alignment horizontal="center" vertical="center"/>
      <protection locked="0"/>
    </xf>
    <xf numFmtId="168" fontId="4" fillId="2" borderId="107" xfId="2" applyNumberFormat="1" applyFont="1" applyFill="1" applyBorder="1" applyAlignment="1" applyProtection="1">
      <alignment horizontal="center" vertical="center"/>
      <protection locked="0"/>
    </xf>
    <xf numFmtId="168" fontId="4" fillId="2" borderId="7" xfId="2" applyNumberFormat="1" applyFont="1" applyFill="1" applyBorder="1" applyAlignment="1" applyProtection="1">
      <alignment horizontal="center" vertical="center"/>
      <protection locked="0"/>
    </xf>
    <xf numFmtId="0" fontId="29" fillId="17" borderId="34" xfId="2" applyFont="1" applyFill="1" applyBorder="1" applyAlignment="1" applyProtection="1">
      <alignment horizontal="center" vertical="center" shrinkToFit="1"/>
      <protection locked="0"/>
    </xf>
    <xf numFmtId="0" fontId="33" fillId="17" borderId="26" xfId="2" applyFont="1" applyFill="1" applyBorder="1" applyAlignment="1" applyProtection="1">
      <alignment horizontal="center" vertical="center"/>
      <protection hidden="1"/>
    </xf>
    <xf numFmtId="0" fontId="34" fillId="17" borderId="27" xfId="1" applyFont="1" applyFill="1" applyBorder="1" applyProtection="1">
      <protection hidden="1"/>
    </xf>
    <xf numFmtId="0" fontId="34" fillId="17" borderId="30" xfId="1" applyFont="1" applyFill="1" applyBorder="1" applyProtection="1">
      <protection hidden="1"/>
    </xf>
    <xf numFmtId="0" fontId="20" fillId="3" borderId="13" xfId="2" applyFont="1" applyFill="1" applyBorder="1" applyAlignment="1" applyProtection="1">
      <alignment horizontal="center" vertical="center"/>
      <protection hidden="1"/>
    </xf>
    <xf numFmtId="0" fontId="20" fillId="3" borderId="14" xfId="2" applyFont="1" applyFill="1" applyBorder="1" applyAlignment="1" applyProtection="1">
      <alignment horizontal="center" vertical="center"/>
      <protection hidden="1"/>
    </xf>
    <xf numFmtId="0" fontId="20" fillId="3" borderId="15" xfId="2" applyFont="1" applyFill="1" applyBorder="1" applyAlignment="1" applyProtection="1">
      <alignment horizontal="center" vertical="center"/>
      <protection hidden="1"/>
    </xf>
    <xf numFmtId="0" fontId="22" fillId="0" borderId="7" xfId="2" applyFont="1" applyBorder="1" applyAlignment="1" applyProtection="1">
      <alignment horizontal="center"/>
      <protection hidden="1"/>
    </xf>
    <xf numFmtId="0" fontId="22" fillId="0" borderId="19" xfId="2" applyFont="1" applyBorder="1" applyAlignment="1" applyProtection="1">
      <alignment horizontal="center"/>
      <protection hidden="1"/>
    </xf>
    <xf numFmtId="167" fontId="20" fillId="4" borderId="47" xfId="2" applyNumberFormat="1" applyFont="1" applyFill="1" applyBorder="1" applyAlignment="1" applyProtection="1">
      <alignment horizontal="left" vertical="center"/>
      <protection hidden="1"/>
    </xf>
    <xf numFmtId="167" fontId="20" fillId="4" borderId="48" xfId="2" applyNumberFormat="1" applyFont="1" applyFill="1" applyBorder="1" applyAlignment="1" applyProtection="1">
      <alignment horizontal="left" vertical="center"/>
      <protection hidden="1"/>
    </xf>
    <xf numFmtId="164" fontId="21" fillId="5" borderId="42" xfId="2" applyNumberFormat="1" applyFont="1" applyFill="1" applyBorder="1" applyAlignment="1" applyProtection="1">
      <alignment horizontal="center"/>
      <protection hidden="1"/>
    </xf>
    <xf numFmtId="164" fontId="21" fillId="5" borderId="39" xfId="2" applyNumberFormat="1" applyFont="1" applyFill="1" applyBorder="1" applyAlignment="1" applyProtection="1">
      <alignment horizontal="center"/>
      <protection hidden="1"/>
    </xf>
    <xf numFmtId="164" fontId="21" fillId="5" borderId="40" xfId="2" applyNumberFormat="1" applyFont="1" applyFill="1" applyBorder="1" applyAlignment="1" applyProtection="1">
      <alignment horizontal="center"/>
      <protection hidden="1"/>
    </xf>
    <xf numFmtId="164" fontId="21" fillId="5" borderId="44" xfId="2" applyNumberFormat="1" applyFont="1" applyFill="1" applyBorder="1" applyAlignment="1" applyProtection="1">
      <alignment horizontal="center"/>
      <protection hidden="1"/>
    </xf>
    <xf numFmtId="164" fontId="21" fillId="5" borderId="43" xfId="2" applyNumberFormat="1" applyFont="1" applyFill="1" applyBorder="1" applyAlignment="1" applyProtection="1">
      <alignment horizontal="center"/>
      <protection hidden="1"/>
    </xf>
    <xf numFmtId="164" fontId="21" fillId="4" borderId="43" xfId="2" applyNumberFormat="1" applyFont="1" applyFill="1" applyBorder="1" applyAlignment="1" applyProtection="1">
      <alignment horizontal="center"/>
      <protection hidden="1"/>
    </xf>
    <xf numFmtId="164" fontId="21" fillId="4" borderId="44" xfId="2" applyNumberFormat="1" applyFont="1" applyFill="1" applyBorder="1" applyAlignment="1" applyProtection="1">
      <alignment horizontal="center"/>
      <protection hidden="1"/>
    </xf>
    <xf numFmtId="0" fontId="18" fillId="0" borderId="0" xfId="2" applyFont="1" applyAlignment="1" applyProtection="1">
      <alignment horizontal="right" vertical="center"/>
      <protection locked="0"/>
    </xf>
    <xf numFmtId="0" fontId="18" fillId="0" borderId="46" xfId="2" applyFont="1" applyBorder="1" applyAlignment="1" applyProtection="1">
      <alignment horizontal="left" vertical="center"/>
      <protection locked="0"/>
    </xf>
    <xf numFmtId="0" fontId="22" fillId="0" borderId="1" xfId="2" applyFont="1" applyBorder="1" applyAlignment="1" applyProtection="1">
      <alignment horizontal="center"/>
      <protection hidden="1"/>
    </xf>
    <xf numFmtId="0" fontId="22" fillId="0" borderId="4" xfId="2" applyFont="1" applyBorder="1" applyAlignment="1" applyProtection="1">
      <alignment horizontal="center"/>
      <protection hidden="1"/>
    </xf>
    <xf numFmtId="164" fontId="21" fillId="4" borderId="42" xfId="2" applyNumberFormat="1" applyFont="1" applyFill="1" applyBorder="1" applyAlignment="1" applyProtection="1">
      <alignment horizontal="center"/>
      <protection hidden="1"/>
    </xf>
    <xf numFmtId="164" fontId="21" fillId="4" borderId="39" xfId="2" applyNumberFormat="1" applyFont="1" applyFill="1" applyBorder="1" applyAlignment="1" applyProtection="1">
      <alignment horizontal="center"/>
      <protection hidden="1"/>
    </xf>
    <xf numFmtId="164" fontId="21" fillId="4" borderId="40" xfId="2" applyNumberFormat="1" applyFont="1" applyFill="1" applyBorder="1" applyAlignment="1" applyProtection="1">
      <alignment horizontal="center"/>
      <protection hidden="1"/>
    </xf>
    <xf numFmtId="167" fontId="20" fillId="4" borderId="35" xfId="2" applyNumberFormat="1" applyFont="1" applyFill="1" applyBorder="1" applyAlignment="1" applyProtection="1">
      <alignment horizontal="left" vertical="center"/>
      <protection hidden="1"/>
    </xf>
    <xf numFmtId="167" fontId="20" fillId="4" borderId="36" xfId="2" applyNumberFormat="1" applyFont="1" applyFill="1" applyBorder="1" applyAlignment="1" applyProtection="1">
      <alignment horizontal="left" vertical="center"/>
      <protection hidden="1"/>
    </xf>
    <xf numFmtId="164" fontId="21" fillId="5" borderId="41" xfId="2" applyNumberFormat="1" applyFont="1" applyFill="1" applyBorder="1" applyAlignment="1" applyProtection="1">
      <alignment horizontal="center"/>
      <protection hidden="1"/>
    </xf>
    <xf numFmtId="0" fontId="20" fillId="0" borderId="16" xfId="2" applyFont="1" applyBorder="1" applyAlignment="1" applyProtection="1">
      <alignment horizontal="center"/>
      <protection hidden="1"/>
    </xf>
    <xf numFmtId="0" fontId="20" fillId="0" borderId="5" xfId="2" applyFont="1" applyBorder="1" applyAlignment="1" applyProtection="1">
      <alignment horizontal="center"/>
      <protection hidden="1"/>
    </xf>
    <xf numFmtId="0" fontId="20" fillId="0" borderId="17" xfId="2" applyFont="1" applyBorder="1" applyAlignment="1" applyProtection="1">
      <alignment horizontal="center"/>
      <protection hidden="1"/>
    </xf>
    <xf numFmtId="1" fontId="21" fillId="4" borderId="112" xfId="2" applyNumberFormat="1" applyFont="1" applyFill="1" applyBorder="1" applyAlignment="1" applyProtection="1">
      <alignment horizontal="center"/>
      <protection hidden="1"/>
    </xf>
    <xf numFmtId="1" fontId="21" fillId="4" borderId="113" xfId="2" applyNumberFormat="1" applyFont="1" applyFill="1" applyBorder="1" applyAlignment="1" applyProtection="1">
      <alignment horizontal="center"/>
      <protection hidden="1"/>
    </xf>
    <xf numFmtId="1" fontId="21" fillId="4" borderId="110" xfId="2" applyNumberFormat="1" applyFont="1" applyFill="1" applyBorder="1" applyAlignment="1" applyProtection="1">
      <alignment horizontal="center"/>
      <protection hidden="1"/>
    </xf>
    <xf numFmtId="1" fontId="21" fillId="4" borderId="111" xfId="2" applyNumberFormat="1" applyFont="1" applyFill="1" applyBorder="1" applyAlignment="1" applyProtection="1">
      <alignment horizontal="center"/>
      <protection hidden="1"/>
    </xf>
    <xf numFmtId="1" fontId="21" fillId="4" borderId="115" xfId="2" applyNumberFormat="1" applyFont="1" applyFill="1" applyBorder="1" applyAlignment="1" applyProtection="1">
      <alignment horizontal="center"/>
      <protection hidden="1"/>
    </xf>
    <xf numFmtId="1" fontId="21" fillId="4" borderId="114" xfId="2" applyNumberFormat="1" applyFont="1" applyFill="1" applyBorder="1" applyAlignment="1" applyProtection="1">
      <alignment horizontal="center"/>
      <protection hidden="1"/>
    </xf>
    <xf numFmtId="164" fontId="26" fillId="0" borderId="34" xfId="2" applyNumberFormat="1" applyFont="1" applyBorder="1" applyAlignment="1" applyProtection="1">
      <alignment horizontal="right"/>
      <protection hidden="1"/>
    </xf>
    <xf numFmtId="164" fontId="26" fillId="0" borderId="51" xfId="2" applyNumberFormat="1" applyFont="1" applyBorder="1" applyAlignment="1" applyProtection="1">
      <alignment horizontal="right"/>
      <protection hidden="1"/>
    </xf>
    <xf numFmtId="0" fontId="31" fillId="17" borderId="62" xfId="2" applyFont="1" applyFill="1" applyBorder="1" applyAlignment="1" applyProtection="1">
      <alignment horizontal="center" vertical="center" wrapText="1"/>
      <protection hidden="1"/>
    </xf>
    <xf numFmtId="0" fontId="31" fillId="17" borderId="63" xfId="2" applyFont="1" applyFill="1" applyBorder="1" applyAlignment="1" applyProtection="1">
      <alignment horizontal="center" vertical="center" wrapText="1"/>
      <protection hidden="1"/>
    </xf>
    <xf numFmtId="0" fontId="31" fillId="17" borderId="21" xfId="2" applyFont="1" applyFill="1" applyBorder="1" applyAlignment="1" applyProtection="1">
      <alignment horizontal="center" vertical="center"/>
      <protection hidden="1"/>
    </xf>
    <xf numFmtId="0" fontId="31" fillId="17" borderId="6" xfId="2" applyFont="1" applyFill="1" applyBorder="1" applyAlignment="1" applyProtection="1">
      <alignment horizontal="center" vertical="center"/>
      <protection hidden="1"/>
    </xf>
    <xf numFmtId="0" fontId="31" fillId="17" borderId="22" xfId="2" applyFont="1" applyFill="1" applyBorder="1" applyAlignment="1" applyProtection="1">
      <alignment horizontal="center" vertical="center"/>
      <protection hidden="1"/>
    </xf>
    <xf numFmtId="0" fontId="31" fillId="17" borderId="50" xfId="2" applyFont="1" applyFill="1" applyBorder="1" applyAlignment="1" applyProtection="1">
      <alignment horizontal="center" vertical="center"/>
      <protection hidden="1"/>
    </xf>
    <xf numFmtId="0" fontId="31" fillId="17" borderId="34" xfId="2" applyFont="1" applyFill="1" applyBorder="1" applyAlignment="1" applyProtection="1">
      <alignment horizontal="center" vertical="center"/>
      <protection hidden="1"/>
    </xf>
    <xf numFmtId="0" fontId="31" fillId="17" borderId="51" xfId="2" applyFont="1" applyFill="1" applyBorder="1" applyAlignment="1" applyProtection="1">
      <alignment horizontal="center" vertical="center"/>
      <protection hidden="1"/>
    </xf>
    <xf numFmtId="164" fontId="21" fillId="4" borderId="55" xfId="2" applyNumberFormat="1" applyFont="1" applyFill="1" applyBorder="1" applyAlignment="1" applyProtection="1">
      <alignment horizontal="center"/>
      <protection hidden="1"/>
    </xf>
    <xf numFmtId="164" fontId="21" fillId="4" borderId="53" xfId="2" applyNumberFormat="1" applyFont="1" applyFill="1" applyBorder="1" applyAlignment="1" applyProtection="1">
      <alignment horizontal="center"/>
      <protection hidden="1"/>
    </xf>
    <xf numFmtId="164" fontId="21" fillId="4" borderId="54" xfId="2" applyNumberFormat="1" applyFont="1" applyFill="1" applyBorder="1" applyAlignment="1" applyProtection="1">
      <alignment horizontal="center"/>
      <protection hidden="1"/>
    </xf>
    <xf numFmtId="164" fontId="21" fillId="4" borderId="57" xfId="2" applyNumberFormat="1" applyFont="1" applyFill="1" applyBorder="1" applyAlignment="1" applyProtection="1">
      <alignment horizontal="center"/>
      <protection hidden="1"/>
    </xf>
    <xf numFmtId="164" fontId="21" fillId="4" borderId="56" xfId="2" applyNumberFormat="1" applyFont="1" applyFill="1" applyBorder="1" applyAlignment="1" applyProtection="1">
      <alignment horizontal="center"/>
      <protection hidden="1"/>
    </xf>
    <xf numFmtId="164" fontId="21" fillId="0" borderId="6" xfId="2" applyNumberFormat="1" applyFont="1" applyBorder="1" applyAlignment="1" applyProtection="1">
      <alignment horizontal="center"/>
      <protection hidden="1"/>
    </xf>
    <xf numFmtId="0" fontId="31" fillId="17" borderId="58" xfId="2" applyFont="1" applyFill="1" applyBorder="1" applyAlignment="1" applyProtection="1">
      <alignment horizontal="center" vertical="center" wrapText="1"/>
      <protection hidden="1"/>
    </xf>
    <xf numFmtId="0" fontId="31" fillId="17" borderId="64" xfId="2" applyFont="1" applyFill="1" applyBorder="1" applyAlignment="1" applyProtection="1">
      <alignment horizontal="center" vertical="center" wrapText="1"/>
      <protection hidden="1"/>
    </xf>
    <xf numFmtId="164" fontId="3" fillId="0" borderId="58" xfId="2" applyNumberFormat="1" applyFont="1" applyBorder="1" applyAlignment="1" applyProtection="1">
      <alignment horizontal="center" vertical="center"/>
      <protection locked="0"/>
    </xf>
    <xf numFmtId="164" fontId="3" fillId="0" borderId="73" xfId="2" applyNumberFormat="1" applyFont="1" applyBorder="1" applyAlignment="1" applyProtection="1">
      <alignment horizontal="center" vertical="center"/>
      <protection locked="0"/>
    </xf>
    <xf numFmtId="164" fontId="3" fillId="0" borderId="82" xfId="2" applyNumberFormat="1" applyFont="1" applyBorder="1" applyAlignment="1" applyProtection="1">
      <alignment horizontal="center" vertical="center"/>
      <protection locked="0"/>
    </xf>
    <xf numFmtId="164" fontId="3" fillId="0" borderId="58" xfId="2" applyNumberFormat="1" applyFont="1" applyBorder="1" applyAlignment="1" applyProtection="1">
      <alignment horizontal="center" vertical="center"/>
      <protection hidden="1"/>
    </xf>
    <xf numFmtId="164" fontId="3" fillId="0" borderId="73" xfId="2" applyNumberFormat="1" applyFont="1" applyBorder="1" applyAlignment="1" applyProtection="1">
      <alignment horizontal="center" vertical="center"/>
      <protection hidden="1"/>
    </xf>
    <xf numFmtId="0" fontId="21" fillId="0" borderId="84" xfId="2" applyFont="1" applyBorder="1" applyAlignment="1" applyProtection="1">
      <alignment horizontal="center" vertical="center" wrapText="1"/>
      <protection hidden="1"/>
    </xf>
    <xf numFmtId="0" fontId="21" fillId="0" borderId="83" xfId="2" applyFont="1" applyBorder="1" applyAlignment="1" applyProtection="1">
      <alignment horizontal="center" vertical="center" wrapText="1"/>
      <protection hidden="1"/>
    </xf>
    <xf numFmtId="0" fontId="21" fillId="0" borderId="12" xfId="2" applyFont="1" applyBorder="1" applyAlignment="1" applyProtection="1">
      <alignment horizontal="center" vertical="center" wrapText="1"/>
      <protection hidden="1"/>
    </xf>
    <xf numFmtId="0" fontId="21" fillId="0" borderId="116" xfId="2" applyFont="1" applyBorder="1" applyAlignment="1" applyProtection="1">
      <alignment horizontal="center" vertical="center" wrapText="1"/>
      <protection hidden="1"/>
    </xf>
    <xf numFmtId="0" fontId="21" fillId="0" borderId="33" xfId="2" applyFont="1" applyBorder="1" applyAlignment="1" applyProtection="1">
      <alignment horizontal="center" vertical="center" wrapText="1"/>
      <protection hidden="1"/>
    </xf>
    <xf numFmtId="0" fontId="21" fillId="0" borderId="65" xfId="2" applyFont="1" applyBorder="1" applyAlignment="1" applyProtection="1">
      <alignment horizontal="center" vertical="center" wrapText="1"/>
      <protection hidden="1"/>
    </xf>
    <xf numFmtId="0" fontId="21" fillId="0" borderId="91" xfId="2" applyFont="1" applyBorder="1" applyAlignment="1" applyProtection="1">
      <alignment horizontal="center" vertical="center" wrapText="1"/>
      <protection hidden="1"/>
    </xf>
    <xf numFmtId="0" fontId="21" fillId="0" borderId="46" xfId="2" applyFont="1" applyBorder="1" applyAlignment="1" applyProtection="1">
      <alignment horizontal="center" vertical="center" wrapText="1"/>
      <protection hidden="1"/>
    </xf>
    <xf numFmtId="0" fontId="21" fillId="0" borderId="51" xfId="2" applyFont="1" applyBorder="1" applyAlignment="1" applyProtection="1">
      <alignment horizontal="center" vertical="center" wrapText="1"/>
      <protection hidden="1"/>
    </xf>
    <xf numFmtId="0" fontId="5" fillId="7" borderId="117" xfId="2" applyFont="1" applyFill="1" applyBorder="1" applyAlignment="1" applyProtection="1">
      <alignment horizontal="center" vertical="center"/>
      <protection hidden="1"/>
    </xf>
    <xf numFmtId="0" fontId="20" fillId="15" borderId="21" xfId="2" applyFont="1" applyFill="1" applyBorder="1" applyAlignment="1" applyProtection="1">
      <alignment horizontal="center" vertical="center"/>
      <protection hidden="1"/>
    </xf>
    <xf numFmtId="0" fontId="20" fillId="15" borderId="22" xfId="2" applyFont="1" applyFill="1" applyBorder="1" applyAlignment="1" applyProtection="1">
      <alignment horizontal="center" vertical="center"/>
      <protection hidden="1"/>
    </xf>
    <xf numFmtId="164" fontId="24" fillId="14" borderId="45" xfId="2" applyNumberFormat="1" applyFont="1" applyFill="1" applyBorder="1" applyAlignment="1" applyProtection="1">
      <alignment horizontal="center" vertical="center"/>
      <protection hidden="1"/>
    </xf>
    <xf numFmtId="164" fontId="24" fillId="14" borderId="46" xfId="2" applyNumberFormat="1" applyFont="1" applyFill="1" applyBorder="1" applyAlignment="1" applyProtection="1">
      <alignment horizontal="center" vertical="center"/>
      <protection hidden="1"/>
    </xf>
    <xf numFmtId="164" fontId="24" fillId="14" borderId="50" xfId="2" applyNumberFormat="1" applyFont="1" applyFill="1" applyBorder="1" applyAlignment="1" applyProtection="1">
      <alignment horizontal="center" vertical="center"/>
      <protection hidden="1"/>
    </xf>
    <xf numFmtId="164" fontId="24" fillId="14" borderId="51" xfId="2" applyNumberFormat="1" applyFont="1" applyFill="1" applyBorder="1" applyAlignment="1" applyProtection="1">
      <alignment horizontal="center" vertical="center"/>
      <protection hidden="1"/>
    </xf>
    <xf numFmtId="0" fontId="31" fillId="17" borderId="29" xfId="2" applyFont="1" applyFill="1" applyBorder="1" applyAlignment="1" applyProtection="1">
      <alignment horizontal="center" vertical="center" wrapText="1"/>
      <protection hidden="1"/>
    </xf>
    <xf numFmtId="0" fontId="31" fillId="17" borderId="25" xfId="2" applyFont="1" applyFill="1" applyBorder="1" applyAlignment="1" applyProtection="1">
      <alignment horizontal="center" vertical="center" wrapText="1"/>
      <protection hidden="1"/>
    </xf>
    <xf numFmtId="0" fontId="19" fillId="7" borderId="21" xfId="2" applyFont="1" applyFill="1" applyBorder="1" applyAlignment="1" applyProtection="1">
      <alignment horizontal="center" vertical="center"/>
      <protection hidden="1"/>
    </xf>
    <xf numFmtId="0" fontId="19" fillId="7" borderId="45" xfId="2" applyFont="1" applyFill="1" applyBorder="1" applyAlignment="1" applyProtection="1">
      <alignment horizontal="center" vertical="center"/>
      <protection hidden="1"/>
    </xf>
    <xf numFmtId="0" fontId="19" fillId="7" borderId="6" xfId="2" applyFont="1" applyFill="1" applyBorder="1" applyAlignment="1" applyProtection="1">
      <alignment horizontal="center" vertical="center"/>
      <protection hidden="1"/>
    </xf>
    <xf numFmtId="0" fontId="19" fillId="7" borderId="22" xfId="2" applyFont="1" applyFill="1" applyBorder="1" applyAlignment="1" applyProtection="1">
      <alignment horizontal="center" vertical="center"/>
      <protection hidden="1"/>
    </xf>
    <xf numFmtId="0" fontId="19" fillId="7" borderId="0" xfId="2" applyFont="1" applyFill="1" applyAlignment="1" applyProtection="1">
      <alignment horizontal="center" vertical="center"/>
      <protection hidden="1"/>
    </xf>
    <xf numFmtId="0" fontId="19" fillId="7" borderId="46" xfId="2" applyFont="1" applyFill="1" applyBorder="1" applyAlignment="1" applyProtection="1">
      <alignment horizontal="center" vertical="center"/>
      <protection hidden="1"/>
    </xf>
    <xf numFmtId="0" fontId="19" fillId="7" borderId="50" xfId="2" applyFont="1" applyFill="1" applyBorder="1" applyAlignment="1" applyProtection="1">
      <alignment horizontal="center" vertical="center"/>
      <protection hidden="1"/>
    </xf>
    <xf numFmtId="0" fontId="19" fillId="7" borderId="34" xfId="2" applyFont="1" applyFill="1" applyBorder="1" applyAlignment="1" applyProtection="1">
      <alignment horizontal="center" vertical="center"/>
      <protection hidden="1"/>
    </xf>
    <xf numFmtId="0" fontId="19" fillId="7" borderId="51" xfId="2" applyFont="1" applyFill="1" applyBorder="1" applyAlignment="1" applyProtection="1">
      <alignment horizontal="center" vertical="center"/>
      <protection hidden="1"/>
    </xf>
    <xf numFmtId="164" fontId="3" fillId="0" borderId="101" xfId="2" applyNumberFormat="1" applyFont="1" applyBorder="1" applyAlignment="1" applyProtection="1">
      <alignment horizontal="left" vertical="center" wrapText="1"/>
      <protection locked="0"/>
    </xf>
    <xf numFmtId="164" fontId="3" fillId="0" borderId="102" xfId="2" applyNumberFormat="1" applyFont="1" applyBorder="1" applyAlignment="1" applyProtection="1">
      <alignment horizontal="left" vertical="center" wrapText="1"/>
      <protection locked="0"/>
    </xf>
    <xf numFmtId="164" fontId="3" fillId="0" borderId="82" xfId="2" applyNumberFormat="1" applyFont="1" applyBorder="1" applyAlignment="1" applyProtection="1">
      <alignment horizontal="center" vertical="center"/>
      <protection hidden="1"/>
    </xf>
    <xf numFmtId="49" fontId="3" fillId="0" borderId="86" xfId="2" applyNumberFormat="1" applyFont="1" applyBorder="1" applyAlignment="1" applyProtection="1">
      <alignment horizontal="center" vertical="center" wrapText="1"/>
      <protection locked="0"/>
    </xf>
    <xf numFmtId="49" fontId="3" fillId="0" borderId="90" xfId="2" applyNumberFormat="1" applyFont="1" applyBorder="1" applyAlignment="1" applyProtection="1">
      <alignment horizontal="center" vertical="center" wrapText="1"/>
      <protection locked="0"/>
    </xf>
    <xf numFmtId="49" fontId="3" fillId="0" borderId="91" xfId="2" applyNumberFormat="1" applyFont="1" applyBorder="1" applyAlignment="1" applyProtection="1">
      <alignment horizontal="center" vertical="center" wrapText="1"/>
      <protection locked="0"/>
    </xf>
    <xf numFmtId="49" fontId="3" fillId="0" borderId="75" xfId="2" applyNumberFormat="1" applyFont="1" applyBorder="1" applyAlignment="1" applyProtection="1">
      <alignment horizontal="center" vertical="center" wrapText="1"/>
      <protection locked="0"/>
    </xf>
    <xf numFmtId="49" fontId="3" fillId="0" borderId="80" xfId="2" applyNumberFormat="1" applyFont="1" applyBorder="1" applyAlignment="1" applyProtection="1">
      <alignment horizontal="center" vertical="center" wrapText="1"/>
      <protection locked="0"/>
    </xf>
    <xf numFmtId="49" fontId="3" fillId="0" borderId="81" xfId="2" applyNumberFormat="1" applyFont="1" applyBorder="1" applyAlignment="1" applyProtection="1">
      <alignment horizontal="center" vertical="center" wrapText="1"/>
      <protection locked="0"/>
    </xf>
    <xf numFmtId="164" fontId="3" fillId="0" borderId="69" xfId="2" applyNumberFormat="1" applyFont="1" applyBorder="1" applyAlignment="1" applyProtection="1">
      <alignment horizontal="center" vertical="center"/>
      <protection hidden="1"/>
    </xf>
    <xf numFmtId="164" fontId="3" fillId="0" borderId="77" xfId="2" applyNumberFormat="1" applyFont="1" applyBorder="1" applyAlignment="1" applyProtection="1">
      <alignment horizontal="center" vertical="center"/>
      <protection hidden="1"/>
    </xf>
    <xf numFmtId="0" fontId="3" fillId="0" borderId="73" xfId="1" applyFont="1" applyBorder="1" applyAlignment="1" applyProtection="1">
      <alignment horizontal="center" vertical="center"/>
      <protection hidden="1"/>
    </xf>
    <xf numFmtId="164" fontId="3" fillId="0" borderId="99" xfId="2" applyNumberFormat="1" applyFont="1" applyBorder="1" applyAlignment="1" applyProtection="1">
      <alignment horizontal="left" vertical="center" wrapText="1"/>
      <protection locked="0"/>
    </xf>
    <xf numFmtId="164" fontId="3" fillId="0" borderId="100" xfId="2" applyNumberFormat="1" applyFont="1" applyBorder="1" applyAlignment="1" applyProtection="1">
      <alignment horizontal="left" vertical="center" wrapText="1"/>
      <protection locked="0"/>
    </xf>
    <xf numFmtId="164" fontId="3" fillId="0" borderId="1" xfId="2" applyNumberFormat="1" applyFont="1" applyBorder="1" applyAlignment="1" applyProtection="1">
      <alignment horizontal="center" vertical="center" wrapText="1"/>
      <protection locked="0"/>
    </xf>
    <xf numFmtId="164" fontId="3" fillId="0" borderId="4" xfId="2" applyNumberFormat="1" applyFont="1" applyBorder="1" applyAlignment="1" applyProtection="1">
      <alignment horizontal="center" vertical="center" wrapText="1"/>
      <protection locked="0"/>
    </xf>
    <xf numFmtId="0" fontId="4" fillId="0" borderId="0" xfId="2" applyFont="1" applyAlignment="1">
      <alignment horizontal="center"/>
    </xf>
    <xf numFmtId="0" fontId="3" fillId="0" borderId="82" xfId="2" applyFont="1" applyBorder="1" applyAlignment="1" applyProtection="1">
      <alignment horizontal="center" vertical="center"/>
      <protection hidden="1"/>
    </xf>
    <xf numFmtId="0" fontId="3" fillId="0" borderId="73" xfId="2" applyFont="1" applyBorder="1" applyAlignment="1" applyProtection="1">
      <alignment horizontal="center" vertical="center"/>
      <protection hidden="1"/>
    </xf>
    <xf numFmtId="167" fontId="3" fillId="0" borderId="83" xfId="2" applyNumberFormat="1" applyFont="1" applyBorder="1" applyAlignment="1" applyProtection="1">
      <alignment horizontal="center" vertical="center" wrapText="1"/>
      <protection locked="0"/>
    </xf>
    <xf numFmtId="167" fontId="3" fillId="0" borderId="74" xfId="2" applyNumberFormat="1" applyFont="1" applyBorder="1" applyAlignment="1" applyProtection="1">
      <alignment horizontal="center" vertical="center" wrapText="1"/>
      <protection locked="0"/>
    </xf>
    <xf numFmtId="166" fontId="3" fillId="0" borderId="2" xfId="2" applyNumberFormat="1" applyFont="1" applyBorder="1" applyAlignment="1" applyProtection="1">
      <alignment horizontal="center" vertical="center" wrapText="1"/>
      <protection locked="0"/>
    </xf>
    <xf numFmtId="166" fontId="3" fillId="0" borderId="5" xfId="2" applyNumberFormat="1" applyFont="1" applyBorder="1" applyAlignment="1" applyProtection="1">
      <alignment horizontal="center" vertical="center" wrapText="1"/>
      <protection locked="0"/>
    </xf>
    <xf numFmtId="169" fontId="3" fillId="0" borderId="84" xfId="2" applyNumberFormat="1" applyFont="1" applyBorder="1" applyAlignment="1" applyProtection="1">
      <alignment horizontal="center" vertical="center" wrapText="1"/>
      <protection locked="0"/>
    </xf>
    <xf numFmtId="169" fontId="3" fillId="0" borderId="32" xfId="2" applyNumberFormat="1" applyFont="1" applyBorder="1" applyAlignment="1" applyProtection="1">
      <alignment horizontal="center" vertical="center" wrapText="1"/>
      <protection locked="0"/>
    </xf>
    <xf numFmtId="164" fontId="3" fillId="0" borderId="31" xfId="2" applyNumberFormat="1" applyFont="1" applyBorder="1" applyAlignment="1" applyProtection="1">
      <alignment horizontal="center" vertical="center" wrapText="1"/>
      <protection locked="0"/>
    </xf>
    <xf numFmtId="164" fontId="3" fillId="0" borderId="16" xfId="2" applyNumberFormat="1" applyFont="1" applyBorder="1" applyAlignment="1" applyProtection="1">
      <alignment horizontal="center" vertical="center" wrapText="1"/>
      <protection locked="0"/>
    </xf>
    <xf numFmtId="164" fontId="3" fillId="0" borderId="85" xfId="2" applyNumberFormat="1" applyFont="1" applyBorder="1" applyAlignment="1" applyProtection="1">
      <alignment horizontal="center" vertical="center" wrapText="1"/>
      <protection locked="0"/>
    </xf>
    <xf numFmtId="164" fontId="3" fillId="0" borderId="17" xfId="2" applyNumberFormat="1" applyFont="1" applyBorder="1" applyAlignment="1" applyProtection="1">
      <alignment horizontal="center" vertical="center" wrapText="1"/>
      <protection locked="0"/>
    </xf>
    <xf numFmtId="168" fontId="31" fillId="17" borderId="18" xfId="2" applyNumberFormat="1" applyFont="1" applyFill="1" applyBorder="1" applyAlignment="1" applyProtection="1">
      <alignment horizontal="center" vertical="center"/>
      <protection locked="0"/>
    </xf>
    <xf numFmtId="168" fontId="31" fillId="17" borderId="7" xfId="2" applyNumberFormat="1" applyFont="1" applyFill="1" applyBorder="1" applyAlignment="1" applyProtection="1">
      <alignment horizontal="center" vertical="center"/>
      <protection locked="0"/>
    </xf>
    <xf numFmtId="168" fontId="31" fillId="17" borderId="7" xfId="2" applyNumberFormat="1" applyFont="1" applyFill="1" applyBorder="1" applyAlignment="1" applyProtection="1">
      <alignment horizontal="center" vertical="center"/>
      <protection hidden="1"/>
    </xf>
    <xf numFmtId="0" fontId="20" fillId="0" borderId="3" xfId="2" applyFont="1" applyBorder="1" applyAlignment="1" applyProtection="1">
      <alignment horizontal="center"/>
      <protection hidden="1"/>
    </xf>
    <xf numFmtId="0" fontId="20" fillId="0" borderId="1" xfId="2" applyFont="1" applyBorder="1" applyAlignment="1" applyProtection="1">
      <alignment horizontal="center"/>
      <protection hidden="1"/>
    </xf>
    <xf numFmtId="0" fontId="20" fillId="0" borderId="4" xfId="2" applyFont="1" applyBorder="1" applyAlignment="1" applyProtection="1">
      <alignment horizontal="center"/>
      <protection hidden="1"/>
    </xf>
    <xf numFmtId="0" fontId="3" fillId="0" borderId="58" xfId="2" applyFont="1" applyBorder="1" applyAlignment="1" applyProtection="1">
      <alignment horizontal="center" vertical="center"/>
      <protection hidden="1"/>
    </xf>
    <xf numFmtId="167" fontId="3" fillId="0" borderId="66" xfId="2" applyNumberFormat="1" applyFont="1" applyBorder="1" applyAlignment="1" applyProtection="1">
      <alignment horizontal="center" vertical="center" wrapText="1"/>
      <protection locked="0"/>
    </xf>
    <xf numFmtId="166" fontId="3" fillId="0" borderId="10" xfId="2" applyNumberFormat="1" applyFont="1" applyBorder="1" applyAlignment="1" applyProtection="1">
      <alignment horizontal="center" vertical="center" wrapText="1"/>
      <protection locked="0"/>
    </xf>
    <xf numFmtId="169" fontId="3" fillId="0" borderId="28" xfId="2" applyNumberFormat="1" applyFont="1" applyBorder="1" applyAlignment="1" applyProtection="1">
      <alignment horizontal="center" vertical="center" wrapText="1"/>
      <protection locked="0"/>
    </xf>
    <xf numFmtId="164" fontId="3" fillId="0" borderId="67" xfId="2" applyNumberFormat="1" applyFont="1" applyBorder="1" applyAlignment="1" applyProtection="1">
      <alignment horizontal="center" vertical="center" wrapText="1"/>
      <protection locked="0"/>
    </xf>
    <xf numFmtId="0" fontId="20" fillId="0" borderId="86" xfId="2" applyFont="1" applyBorder="1" applyAlignment="1" applyProtection="1">
      <alignment horizontal="center" vertical="center" wrapText="1"/>
      <protection hidden="1"/>
    </xf>
    <xf numFmtId="0" fontId="20" fillId="0" borderId="90" xfId="2" applyFont="1" applyBorder="1" applyAlignment="1" applyProtection="1">
      <alignment horizontal="center" vertical="center" wrapText="1"/>
      <protection hidden="1"/>
    </xf>
    <xf numFmtId="0" fontId="20" fillId="0" borderId="83" xfId="2" applyFont="1" applyBorder="1" applyAlignment="1" applyProtection="1">
      <alignment horizontal="center" vertical="center" wrapText="1"/>
      <protection hidden="1"/>
    </xf>
    <xf numFmtId="0" fontId="20" fillId="0" borderId="45" xfId="2" applyFont="1" applyBorder="1" applyAlignment="1" applyProtection="1">
      <alignment horizontal="center" vertical="center" wrapText="1"/>
      <protection hidden="1"/>
    </xf>
    <xf numFmtId="0" fontId="20" fillId="0" borderId="0" xfId="2" applyFont="1" applyAlignment="1" applyProtection="1">
      <alignment horizontal="center" vertical="center" wrapText="1"/>
      <protection hidden="1"/>
    </xf>
    <xf numFmtId="0" fontId="20" fillId="0" borderId="116" xfId="2" applyFont="1" applyBorder="1" applyAlignment="1" applyProtection="1">
      <alignment horizontal="center" vertical="center" wrapText="1"/>
      <protection hidden="1"/>
    </xf>
    <xf numFmtId="0" fontId="20" fillId="0" borderId="50" xfId="2" applyFont="1" applyBorder="1" applyAlignment="1" applyProtection="1">
      <alignment horizontal="center" vertical="center" wrapText="1"/>
      <protection hidden="1"/>
    </xf>
    <xf numFmtId="0" fontId="20" fillId="0" borderId="34" xfId="2" applyFont="1" applyBorder="1" applyAlignment="1" applyProtection="1">
      <alignment horizontal="center" vertical="center" wrapText="1"/>
      <protection hidden="1"/>
    </xf>
    <xf numFmtId="0" fontId="20" fillId="0" borderId="65" xfId="2" applyFont="1" applyBorder="1" applyAlignment="1" applyProtection="1">
      <alignment horizontal="center" vertical="center" wrapText="1"/>
      <protection hidden="1"/>
    </xf>
    <xf numFmtId="0" fontId="32" fillId="17" borderId="64" xfId="1" applyFont="1" applyFill="1" applyBorder="1" applyAlignment="1" applyProtection="1">
      <alignment horizontal="center" vertical="center" wrapText="1"/>
      <protection hidden="1"/>
    </xf>
    <xf numFmtId="0" fontId="32" fillId="17" borderId="64" xfId="3" applyFont="1" applyFill="1" applyBorder="1" applyAlignment="1" applyProtection="1">
      <alignment horizontal="center" vertical="center" wrapText="1"/>
      <protection hidden="1"/>
    </xf>
    <xf numFmtId="0" fontId="10" fillId="10" borderId="25" xfId="1" applyFont="1" applyFill="1" applyBorder="1" applyAlignment="1">
      <alignment horizontal="center" vertical="center" wrapText="1"/>
    </xf>
    <xf numFmtId="0" fontId="10" fillId="10" borderId="1" xfId="1" applyFont="1" applyFill="1" applyBorder="1" applyAlignment="1">
      <alignment horizontal="center" vertical="center" wrapText="1"/>
    </xf>
    <xf numFmtId="0" fontId="10" fillId="10" borderId="11" xfId="1" applyFont="1" applyFill="1" applyBorder="1" applyAlignment="1">
      <alignment horizontal="center" vertical="center" wrapText="1"/>
    </xf>
    <xf numFmtId="0" fontId="10" fillId="10" borderId="4" xfId="1" applyFont="1" applyFill="1" applyBorder="1" applyAlignment="1">
      <alignment horizontal="center" vertical="center" wrapText="1"/>
    </xf>
    <xf numFmtId="0" fontId="31" fillId="17" borderId="58" xfId="2" applyFont="1" applyFill="1" applyBorder="1" applyAlignment="1" applyProtection="1">
      <alignment horizontal="center" vertical="center"/>
      <protection hidden="1"/>
    </xf>
    <xf numFmtId="0" fontId="31" fillId="17" borderId="64" xfId="2" applyFont="1" applyFill="1" applyBorder="1" applyAlignment="1" applyProtection="1">
      <alignment horizontal="center" vertical="center"/>
      <protection hidden="1"/>
    </xf>
    <xf numFmtId="0" fontId="31" fillId="17" borderId="21" xfId="2" applyFont="1" applyFill="1" applyBorder="1" applyAlignment="1" applyProtection="1">
      <alignment horizontal="center" vertical="center" wrapText="1"/>
      <protection hidden="1"/>
    </xf>
    <xf numFmtId="0" fontId="31" fillId="17" borderId="50" xfId="2" applyFont="1" applyFill="1" applyBorder="1" applyAlignment="1" applyProtection="1">
      <alignment horizontal="center" vertical="center" wrapText="1"/>
      <protection hidden="1"/>
    </xf>
    <xf numFmtId="0" fontId="31" fillId="17" borderId="10" xfId="2" applyFont="1" applyFill="1" applyBorder="1" applyAlignment="1" applyProtection="1">
      <alignment horizontal="center" vertical="center" wrapText="1"/>
      <protection hidden="1"/>
    </xf>
    <xf numFmtId="0" fontId="31" fillId="17" borderId="8" xfId="2" applyFont="1" applyFill="1" applyBorder="1" applyAlignment="1" applyProtection="1">
      <alignment horizontal="center" vertical="center" wrapText="1"/>
      <protection hidden="1"/>
    </xf>
    <xf numFmtId="0" fontId="31" fillId="17" borderId="28" xfId="2" applyFont="1" applyFill="1" applyBorder="1" applyAlignment="1" applyProtection="1">
      <alignment horizontal="center" vertical="center"/>
      <protection hidden="1"/>
    </xf>
    <xf numFmtId="0" fontId="31" fillId="17" borderId="33" xfId="2" applyFont="1" applyFill="1" applyBorder="1" applyAlignment="1" applyProtection="1">
      <alignment horizontal="center" vertical="center"/>
      <protection hidden="1"/>
    </xf>
    <xf numFmtId="0" fontId="31" fillId="17" borderId="59" xfId="2" applyFont="1" applyFill="1" applyBorder="1" applyAlignment="1" applyProtection="1">
      <alignment horizontal="center" vertical="center"/>
      <protection hidden="1"/>
    </xf>
    <xf numFmtId="0" fontId="31" fillId="17" borderId="60" xfId="2" applyFont="1" applyFill="1" applyBorder="1" applyAlignment="1" applyProtection="1">
      <alignment horizontal="center" vertical="center"/>
      <protection hidden="1"/>
    </xf>
    <xf numFmtId="0" fontId="19" fillId="6" borderId="26" xfId="2" applyFont="1" applyFill="1" applyBorder="1" applyAlignment="1" applyProtection="1">
      <alignment horizontal="center" vertical="center"/>
      <protection hidden="1"/>
    </xf>
    <xf numFmtId="0" fontId="22" fillId="0" borderId="27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1" fillId="10" borderId="29" xfId="1" applyFont="1" applyFill="1" applyBorder="1" applyAlignment="1">
      <alignment horizontal="center" vertical="center" wrapText="1"/>
    </xf>
    <xf numFmtId="0" fontId="11" fillId="10" borderId="3" xfId="1" applyFont="1" applyFill="1" applyBorder="1" applyAlignment="1">
      <alignment horizontal="center" vertical="center" wrapText="1"/>
    </xf>
    <xf numFmtId="0" fontId="19" fillId="7" borderId="29" xfId="2" applyFont="1" applyFill="1" applyBorder="1" applyAlignment="1" applyProtection="1">
      <alignment horizontal="center" vertical="center"/>
      <protection hidden="1"/>
    </xf>
    <xf numFmtId="0" fontId="19" fillId="7" borderId="25" xfId="2" applyFont="1" applyFill="1" applyBorder="1" applyAlignment="1" applyProtection="1">
      <alignment horizontal="center" vertical="center"/>
      <protection hidden="1"/>
    </xf>
    <xf numFmtId="0" fontId="19" fillId="7" borderId="11" xfId="2" applyFont="1" applyFill="1" applyBorder="1" applyAlignment="1" applyProtection="1">
      <alignment horizontal="center" vertical="center"/>
      <protection hidden="1"/>
    </xf>
    <xf numFmtId="49" fontId="3" fillId="0" borderId="21" xfId="2" applyNumberFormat="1" applyFont="1" applyBorder="1" applyAlignment="1" applyProtection="1">
      <alignment horizontal="center" vertical="center" wrapText="1"/>
      <protection locked="0"/>
    </xf>
    <xf numFmtId="49" fontId="3" fillId="0" borderId="6" xfId="2" applyNumberFormat="1" applyFont="1" applyBorder="1" applyAlignment="1" applyProtection="1">
      <alignment horizontal="center" vertical="center" wrapText="1"/>
      <protection locked="0"/>
    </xf>
    <xf numFmtId="49" fontId="3" fillId="0" borderId="22" xfId="2" applyNumberFormat="1" applyFont="1" applyBorder="1" applyAlignment="1" applyProtection="1">
      <alignment horizontal="center" vertical="center" wrapText="1"/>
      <protection locked="0"/>
    </xf>
    <xf numFmtId="164" fontId="3" fillId="0" borderId="71" xfId="2" applyNumberFormat="1" applyFont="1" applyBorder="1" applyAlignment="1" applyProtection="1">
      <alignment horizontal="center" vertical="center"/>
      <protection hidden="1"/>
    </xf>
    <xf numFmtId="164" fontId="3" fillId="0" borderId="61" xfId="2" applyNumberFormat="1" applyFont="1" applyBorder="1" applyAlignment="1" applyProtection="1">
      <alignment horizontal="center" vertical="center" wrapText="1"/>
      <protection locked="0"/>
    </xf>
    <xf numFmtId="164" fontId="3" fillId="0" borderId="103" xfId="2" applyNumberFormat="1" applyFont="1" applyBorder="1" applyAlignment="1" applyProtection="1">
      <alignment horizontal="left" vertical="center" wrapText="1"/>
      <protection locked="0"/>
    </xf>
    <xf numFmtId="164" fontId="3" fillId="0" borderId="104" xfId="2" applyNumberFormat="1" applyFont="1" applyBorder="1" applyAlignment="1" applyProtection="1">
      <alignment horizontal="left" vertical="center" wrapText="1"/>
      <protection locked="0"/>
    </xf>
    <xf numFmtId="164" fontId="3" fillId="0" borderId="25" xfId="2" applyNumberFormat="1" applyFont="1" applyBorder="1" applyAlignment="1" applyProtection="1">
      <alignment horizontal="center" vertical="center" wrapText="1"/>
      <protection locked="0"/>
    </xf>
    <xf numFmtId="164" fontId="3" fillId="0" borderId="11" xfId="2" applyNumberFormat="1" applyFont="1" applyBorder="1" applyAlignment="1" applyProtection="1">
      <alignment horizontal="center" vertical="center" wrapText="1"/>
      <protection locked="0"/>
    </xf>
    <xf numFmtId="0" fontId="20" fillId="3" borderId="26" xfId="2" applyFont="1" applyFill="1" applyBorder="1" applyAlignment="1" applyProtection="1">
      <alignment horizontal="center"/>
      <protection hidden="1"/>
    </xf>
    <xf numFmtId="0" fontId="20" fillId="3" borderId="27" xfId="2" applyFont="1" applyFill="1" applyBorder="1" applyAlignment="1" applyProtection="1">
      <alignment horizontal="center"/>
      <protection hidden="1"/>
    </xf>
    <xf numFmtId="0" fontId="20" fillId="3" borderId="30" xfId="2" applyFont="1" applyFill="1" applyBorder="1" applyAlignment="1" applyProtection="1">
      <alignment horizontal="center"/>
      <protection hidden="1"/>
    </xf>
    <xf numFmtId="0" fontId="23" fillId="2" borderId="28" xfId="2" applyFont="1" applyFill="1" applyBorder="1" applyAlignment="1" applyProtection="1">
      <alignment horizontal="center" wrapText="1"/>
      <protection hidden="1"/>
    </xf>
    <xf numFmtId="0" fontId="22" fillId="2" borderId="6" xfId="2" applyFont="1" applyFill="1" applyBorder="1" applyAlignment="1" applyProtection="1">
      <alignment horizontal="center" wrapText="1"/>
      <protection hidden="1"/>
    </xf>
    <xf numFmtId="0" fontId="22" fillId="2" borderId="22" xfId="2" applyFont="1" applyFill="1" applyBorder="1" applyAlignment="1" applyProtection="1">
      <alignment horizontal="center" wrapText="1"/>
      <protection hidden="1"/>
    </xf>
    <xf numFmtId="0" fontId="22" fillId="2" borderId="32" xfId="2" applyFont="1" applyFill="1" applyBorder="1" applyAlignment="1" applyProtection="1">
      <alignment horizontal="center" wrapText="1"/>
      <protection hidden="1"/>
    </xf>
    <xf numFmtId="0" fontId="22" fillId="2" borderId="80" xfId="2" applyFont="1" applyFill="1" applyBorder="1" applyAlignment="1" applyProtection="1">
      <alignment horizontal="center" wrapText="1"/>
      <protection hidden="1"/>
    </xf>
    <xf numFmtId="0" fontId="22" fillId="2" borderId="81" xfId="2" applyFont="1" applyFill="1" applyBorder="1" applyAlignment="1" applyProtection="1">
      <alignment horizontal="center" wrapText="1"/>
      <protection hidden="1"/>
    </xf>
    <xf numFmtId="0" fontId="36" fillId="6" borderId="28" xfId="2" applyFont="1" applyFill="1" applyBorder="1" applyAlignment="1" applyProtection="1">
      <alignment horizontal="center" wrapText="1"/>
      <protection hidden="1"/>
    </xf>
    <xf numFmtId="0" fontId="25" fillId="6" borderId="6" xfId="2" applyFont="1" applyFill="1" applyBorder="1" applyAlignment="1" applyProtection="1">
      <alignment horizontal="center" wrapText="1"/>
      <protection hidden="1"/>
    </xf>
    <xf numFmtId="0" fontId="25" fillId="6" borderId="22" xfId="2" applyFont="1" applyFill="1" applyBorder="1" applyAlignment="1" applyProtection="1">
      <alignment horizontal="center" wrapText="1"/>
      <protection hidden="1"/>
    </xf>
    <xf numFmtId="0" fontId="25" fillId="6" borderId="32" xfId="2" applyFont="1" applyFill="1" applyBorder="1" applyAlignment="1" applyProtection="1">
      <alignment horizontal="center" wrapText="1"/>
      <protection hidden="1"/>
    </xf>
    <xf numFmtId="0" fontId="25" fillId="6" borderId="80" xfId="2" applyFont="1" applyFill="1" applyBorder="1" applyAlignment="1" applyProtection="1">
      <alignment horizontal="center" wrapText="1"/>
      <protection hidden="1"/>
    </xf>
    <xf numFmtId="0" fontId="25" fillId="6" borderId="81" xfId="2" applyFont="1" applyFill="1" applyBorder="1" applyAlignment="1" applyProtection="1">
      <alignment horizontal="center" wrapText="1"/>
      <protection hidden="1"/>
    </xf>
    <xf numFmtId="49" fontId="3" fillId="0" borderId="50" xfId="2" applyNumberFormat="1" applyFont="1" applyBorder="1" applyAlignment="1" applyProtection="1">
      <alignment horizontal="center" vertical="center" wrapText="1"/>
      <protection locked="0"/>
    </xf>
    <xf numFmtId="49" fontId="3" fillId="0" borderId="34" xfId="2" applyNumberFormat="1" applyFont="1" applyBorder="1" applyAlignment="1" applyProtection="1">
      <alignment horizontal="center" vertical="center" wrapText="1"/>
      <protection locked="0"/>
    </xf>
    <xf numFmtId="49" fontId="3" fillId="0" borderId="51" xfId="2" applyNumberFormat="1" applyFont="1" applyBorder="1" applyAlignment="1" applyProtection="1">
      <alignment horizontal="center" vertical="center" wrapText="1"/>
      <protection locked="0"/>
    </xf>
    <xf numFmtId="164" fontId="3" fillId="0" borderId="64" xfId="2" applyNumberFormat="1" applyFont="1" applyBorder="1" applyAlignment="1" applyProtection="1">
      <alignment horizontal="center" vertical="center"/>
      <protection locked="0"/>
    </xf>
    <xf numFmtId="164" fontId="3" fillId="0" borderId="105" xfId="2" applyNumberFormat="1" applyFont="1" applyBorder="1" applyAlignment="1" applyProtection="1">
      <alignment horizontal="left" vertical="center" wrapText="1"/>
      <protection locked="0"/>
    </xf>
    <xf numFmtId="164" fontId="3" fillId="0" borderId="106" xfId="2" applyNumberFormat="1" applyFont="1" applyBorder="1" applyAlignment="1" applyProtection="1">
      <alignment horizontal="left" vertical="center" wrapText="1"/>
      <protection locked="0"/>
    </xf>
    <xf numFmtId="164" fontId="3" fillId="0" borderId="98" xfId="2" applyNumberFormat="1" applyFont="1" applyBorder="1" applyAlignment="1" applyProtection="1">
      <alignment horizontal="center" vertical="center"/>
      <protection hidden="1"/>
    </xf>
    <xf numFmtId="164" fontId="3" fillId="0" borderId="64" xfId="2" applyNumberFormat="1" applyFont="1" applyBorder="1" applyAlignment="1" applyProtection="1">
      <alignment horizontal="center" vertical="center"/>
      <protection hidden="1"/>
    </xf>
    <xf numFmtId="0" fontId="3" fillId="0" borderId="64" xfId="1" applyFont="1" applyBorder="1" applyAlignment="1" applyProtection="1">
      <alignment horizontal="center" vertical="center"/>
      <protection hidden="1"/>
    </xf>
    <xf numFmtId="164" fontId="3" fillId="0" borderId="7" xfId="2" applyNumberFormat="1" applyFont="1" applyBorder="1" applyAlignment="1" applyProtection="1">
      <alignment horizontal="center" vertical="center" wrapText="1"/>
      <protection locked="0"/>
    </xf>
    <xf numFmtId="164" fontId="3" fillId="0" borderId="19" xfId="2" applyNumberFormat="1" applyFont="1" applyBorder="1" applyAlignment="1" applyProtection="1">
      <alignment horizontal="center" vertical="center" wrapText="1"/>
      <protection locked="0"/>
    </xf>
    <xf numFmtId="0" fontId="3" fillId="0" borderId="64" xfId="2" applyFont="1" applyBorder="1" applyAlignment="1" applyProtection="1">
      <alignment horizontal="center" vertical="center"/>
      <protection hidden="1"/>
    </xf>
    <xf numFmtId="167" fontId="3" fillId="0" borderId="65" xfId="2" applyNumberFormat="1" applyFont="1" applyBorder="1" applyAlignment="1" applyProtection="1">
      <alignment horizontal="center" vertical="center" wrapText="1"/>
      <protection locked="0"/>
    </xf>
    <xf numFmtId="166" fontId="3" fillId="0" borderId="8" xfId="2" applyNumberFormat="1" applyFont="1" applyBorder="1" applyAlignment="1" applyProtection="1">
      <alignment horizontal="center" vertical="center" wrapText="1"/>
      <protection locked="0"/>
    </xf>
    <xf numFmtId="169" fontId="3" fillId="0" borderId="33" xfId="2" applyNumberFormat="1" applyFont="1" applyBorder="1" applyAlignment="1" applyProtection="1">
      <alignment horizontal="center" vertical="center" wrapText="1"/>
      <protection locked="0"/>
    </xf>
    <xf numFmtId="164" fontId="3" fillId="0" borderId="20" xfId="2" applyNumberFormat="1" applyFont="1" applyBorder="1" applyAlignment="1" applyProtection="1">
      <alignment horizontal="center" vertical="center" wrapText="1"/>
      <protection locked="0"/>
    </xf>
    <xf numFmtId="164" fontId="3" fillId="0" borderId="24" xfId="2" applyNumberFormat="1" applyFont="1" applyBorder="1" applyAlignment="1" applyProtection="1">
      <alignment horizontal="center" vertical="center" wrapText="1"/>
      <protection locked="0"/>
    </xf>
    <xf numFmtId="164" fontId="3" fillId="0" borderId="2" xfId="2" applyNumberFormat="1" applyFont="1" applyBorder="1" applyAlignment="1" applyProtection="1">
      <alignment horizontal="center" vertical="center"/>
      <protection hidden="1"/>
    </xf>
    <xf numFmtId="164" fontId="3" fillId="0" borderId="5" xfId="2" applyNumberFormat="1" applyFont="1" applyBorder="1" applyAlignment="1" applyProtection="1">
      <alignment horizontal="center" vertical="center"/>
      <protection hidden="1"/>
    </xf>
    <xf numFmtId="1" fontId="3" fillId="0" borderId="2" xfId="2" applyNumberFormat="1" applyFont="1" applyBorder="1" applyAlignment="1" applyProtection="1">
      <alignment horizontal="center" vertical="center"/>
      <protection hidden="1"/>
    </xf>
    <xf numFmtId="1" fontId="3" fillId="0" borderId="5" xfId="2" applyNumberFormat="1" applyFont="1" applyBorder="1" applyAlignment="1" applyProtection="1">
      <alignment horizontal="center" vertical="center"/>
      <protection hidden="1"/>
    </xf>
    <xf numFmtId="0" fontId="3" fillId="0" borderId="21" xfId="2" applyFont="1" applyBorder="1" applyAlignment="1" applyProtection="1">
      <alignment horizontal="center" vertical="center"/>
      <protection hidden="1"/>
    </xf>
    <xf numFmtId="0" fontId="3" fillId="0" borderId="6" xfId="2" applyFont="1" applyBorder="1" applyAlignment="1" applyProtection="1">
      <alignment horizontal="center" vertical="center"/>
      <protection hidden="1"/>
    </xf>
    <xf numFmtId="0" fontId="3" fillId="0" borderId="22" xfId="2" applyFont="1" applyBorder="1" applyAlignment="1" applyProtection="1">
      <alignment horizontal="center" vertical="center"/>
      <protection hidden="1"/>
    </xf>
    <xf numFmtId="0" fontId="3" fillId="0" borderId="45" xfId="2" applyFont="1" applyBorder="1" applyAlignment="1" applyProtection="1">
      <alignment horizontal="center" vertical="center"/>
      <protection hidden="1"/>
    </xf>
    <xf numFmtId="0" fontId="3" fillId="0" borderId="0" xfId="2" applyFont="1" applyAlignment="1" applyProtection="1">
      <alignment horizontal="center" vertical="center"/>
      <protection hidden="1"/>
    </xf>
    <xf numFmtId="0" fontId="3" fillId="0" borderId="46" xfId="2" applyFont="1" applyBorder="1" applyAlignment="1" applyProtection="1">
      <alignment horizontal="center" vertical="center"/>
      <protection hidden="1"/>
    </xf>
    <xf numFmtId="0" fontId="3" fillId="0" borderId="50" xfId="2" applyFont="1" applyBorder="1" applyAlignment="1" applyProtection="1">
      <alignment horizontal="center" vertical="center"/>
      <protection hidden="1"/>
    </xf>
    <xf numFmtId="0" fontId="3" fillId="0" borderId="34" xfId="2" applyFont="1" applyBorder="1" applyAlignment="1" applyProtection="1">
      <alignment horizontal="center" vertical="center"/>
      <protection hidden="1"/>
    </xf>
    <xf numFmtId="0" fontId="3" fillId="0" borderId="51" xfId="2" applyFont="1" applyBorder="1" applyAlignment="1" applyProtection="1">
      <alignment horizontal="center" vertical="center"/>
      <protection hidden="1"/>
    </xf>
    <xf numFmtId="0" fontId="20" fillId="0" borderId="0" xfId="2" applyFont="1" applyAlignment="1" applyProtection="1">
      <alignment horizontal="center" vertical="center"/>
      <protection hidden="1"/>
    </xf>
    <xf numFmtId="0" fontId="20" fillId="0" borderId="46" xfId="2" applyFont="1" applyBorder="1" applyAlignment="1" applyProtection="1">
      <alignment horizontal="center" vertical="center"/>
      <protection hidden="1"/>
    </xf>
    <xf numFmtId="0" fontId="37" fillId="18" borderId="118" xfId="0" applyFont="1" applyFill="1" applyBorder="1" applyAlignment="1">
      <alignment horizontal="left" vertical="center" wrapText="1"/>
    </xf>
    <xf numFmtId="0" fontId="20" fillId="18" borderId="118" xfId="5" applyFont="1" applyFill="1" applyBorder="1" applyAlignment="1" applyProtection="1">
      <alignment horizontal="left" vertical="center" wrapText="1"/>
      <protection locked="0"/>
    </xf>
    <xf numFmtId="0" fontId="39" fillId="18" borderId="118" xfId="5" applyFont="1" applyFill="1" applyBorder="1" applyAlignment="1" applyProtection="1">
      <alignment horizontal="left" vertical="center"/>
      <protection locked="0"/>
    </xf>
    <xf numFmtId="0" fontId="37" fillId="0" borderId="0" xfId="0" applyFont="1" applyAlignment="1">
      <alignment horizontal="left" wrapText="1"/>
    </xf>
    <xf numFmtId="0" fontId="3" fillId="18" borderId="90" xfId="2" applyFont="1" applyFill="1" applyBorder="1" applyAlignment="1">
      <alignment horizontal="center"/>
    </xf>
    <xf numFmtId="49" fontId="21" fillId="18" borderId="90" xfId="5" applyNumberFormat="1" applyFont="1" applyFill="1" applyBorder="1" applyAlignment="1" applyProtection="1">
      <alignment horizontal="center" vertical="center"/>
      <protection locked="0" hidden="1"/>
    </xf>
    <xf numFmtId="2" fontId="37" fillId="18" borderId="90" xfId="5" applyNumberFormat="1" applyFont="1" applyFill="1" applyBorder="1" applyAlignment="1" applyProtection="1">
      <alignment horizontal="left" vertical="center"/>
      <protection locked="0"/>
    </xf>
    <xf numFmtId="0" fontId="21" fillId="18" borderId="90" xfId="5" applyFont="1" applyFill="1" applyBorder="1" applyAlignment="1" applyProtection="1">
      <alignment horizontal="center" vertical="center"/>
      <protection locked="0" hidden="1"/>
    </xf>
    <xf numFmtId="0" fontId="20" fillId="18" borderId="90" xfId="5" applyFont="1" applyFill="1" applyBorder="1" applyAlignment="1" applyProtection="1">
      <alignment horizontal="left" vertical="center"/>
      <protection locked="0" hidden="1"/>
    </xf>
    <xf numFmtId="0" fontId="21" fillId="18" borderId="118" xfId="5" applyFont="1" applyFill="1" applyBorder="1" applyAlignment="1" applyProtection="1">
      <alignment horizontal="center" vertical="center"/>
      <protection locked="0" hidden="1"/>
    </xf>
    <xf numFmtId="0" fontId="20" fillId="18" borderId="118" xfId="5" applyFont="1" applyFill="1" applyBorder="1" applyAlignment="1" applyProtection="1">
      <alignment horizontal="left" vertical="center"/>
      <protection locked="0" hidden="1"/>
    </xf>
    <xf numFmtId="0" fontId="3" fillId="18" borderId="0" xfId="2" applyFont="1" applyFill="1" applyAlignment="1">
      <alignment horizontal="center" vertical="center"/>
    </xf>
    <xf numFmtId="0" fontId="3" fillId="18" borderId="0" xfId="2" applyFont="1" applyFill="1" applyProtection="1">
      <protection hidden="1"/>
    </xf>
    <xf numFmtId="0" fontId="17" fillId="18" borderId="0" xfId="2" applyFont="1" applyFill="1" applyProtection="1">
      <protection hidden="1"/>
    </xf>
    <xf numFmtId="0" fontId="3" fillId="18" borderId="0" xfId="2" applyFont="1" applyFill="1" applyAlignment="1" applyProtection="1">
      <alignment vertical="center"/>
      <protection hidden="1"/>
    </xf>
    <xf numFmtId="0" fontId="3" fillId="18" borderId="0" xfId="2" applyFont="1" applyFill="1" applyAlignment="1">
      <alignment vertical="center"/>
    </xf>
    <xf numFmtId="0" fontId="16" fillId="18" borderId="0" xfId="4" applyFont="1" applyFill="1" applyBorder="1" applyAlignment="1" applyProtection="1">
      <alignment vertical="center"/>
      <protection hidden="1"/>
    </xf>
    <xf numFmtId="0" fontId="3" fillId="18" borderId="0" xfId="2" applyFont="1" applyFill="1" applyAlignment="1" applyProtection="1">
      <alignment horizontal="center" vertical="center"/>
      <protection hidden="1"/>
    </xf>
    <xf numFmtId="0" fontId="21" fillId="18" borderId="0" xfId="2" applyFont="1" applyFill="1"/>
    <xf numFmtId="0" fontId="15" fillId="18" borderId="0" xfId="2" applyFont="1" applyFill="1" applyAlignment="1" applyProtection="1">
      <alignment horizontal="center" vertical="center" wrapText="1"/>
      <protection hidden="1"/>
    </xf>
    <xf numFmtId="0" fontId="5" fillId="18" borderId="0" xfId="2" applyFont="1" applyFill="1" applyAlignment="1" applyProtection="1">
      <alignment vertical="center"/>
      <protection hidden="1"/>
    </xf>
    <xf numFmtId="1" fontId="9" fillId="18" borderId="0" xfId="3" applyNumberFormat="1" applyFont="1" applyFill="1" applyAlignment="1" applyProtection="1">
      <alignment horizontal="center" vertical="center"/>
      <protection hidden="1"/>
    </xf>
  </cellXfs>
  <cellStyles count="6">
    <cellStyle name="Hiperlink" xfId="4" builtinId="8"/>
    <cellStyle name="Normal" xfId="0" builtinId="0"/>
    <cellStyle name="Normal 2" xfId="1" xr:uid="{00000000-0005-0000-0000-000002000000}"/>
    <cellStyle name="Normal 2 2" xfId="5" xr:uid="{C8142C47-1DDF-403E-8EFE-E3D998F1E23E}"/>
    <cellStyle name="Normal 3" xfId="3" xr:uid="{00000000-0005-0000-0000-000003000000}"/>
    <cellStyle name="Normal_Reltconcreto maio 2001" xfId="2" xr:uid="{00000000-0005-0000-0000-000004000000}"/>
  </cellStyles>
  <dxfs count="2">
    <dxf>
      <fill>
        <patternFill patternType="gray125"/>
      </fill>
    </dxf>
    <dxf>
      <font>
        <color rgb="FFFF0000"/>
      </font>
    </dxf>
  </dxfs>
  <tableStyles count="0" defaultTableStyle="TableStyleMedium9" defaultPivotStyle="PivotStyleLight16"/>
  <colors>
    <mruColors>
      <color rgb="FFFBF9C9"/>
      <color rgb="FFFDFCE3"/>
      <color rgb="FFFCFB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pt-BR"/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6433994452822835E-2"/>
          <c:y val="0.14454444828409427"/>
          <c:w val="0.8871863484738961"/>
          <c:h val="0.756920856978389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'FR-IMOB-43_Rev00'!$L$16:$Q$16</c:f>
              <c:strCache>
                <c:ptCount val="6"/>
                <c:pt idx="0">
                  <c:v>Resistência à compressão axial (MPa)</c:v>
                </c:pt>
              </c:strCache>
            </c:strRef>
          </c:tx>
          <c:invertIfNegative val="0"/>
          <c:cat>
            <c:numRef>
              <c:f>'FR-IMOB-43_Rev00'!$L$17:$Q$17</c:f>
              <c:numCache>
                <c:formatCode>0#\ "dias"</c:formatCode>
                <c:ptCount val="6"/>
                <c:pt idx="0">
                  <c:v>3</c:v>
                </c:pt>
                <c:pt idx="2">
                  <c:v>7</c:v>
                </c:pt>
                <c:pt idx="4">
                  <c:v>28</c:v>
                </c:pt>
              </c:numCache>
            </c:numRef>
          </c:cat>
          <c:val>
            <c:numRef>
              <c:f>'FR-IMOB-43_Rev00'!$L$12:$Q$12</c:f>
              <c:numCache>
                <c:formatCode>0.0</c:formatCode>
                <c:ptCount val="6"/>
                <c:pt idx="0">
                  <c:v>0</c:v>
                </c:pt>
                <c:pt idx="2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4-4715-95CC-F1C078047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480960"/>
        <c:axId val="131585920"/>
      </c:barChart>
      <c:catAx>
        <c:axId val="131480960"/>
        <c:scaling>
          <c:orientation val="minMax"/>
        </c:scaling>
        <c:delete val="0"/>
        <c:axPos val="b"/>
        <c:numFmt formatCode="0#\ &quot;dias&quot;" sourceLinked="1"/>
        <c:majorTickMark val="out"/>
        <c:minorTickMark val="none"/>
        <c:tickLblPos val="nextTo"/>
        <c:txPr>
          <a:bodyPr/>
          <a:lstStyle/>
          <a:p>
            <a:pPr>
              <a:defRPr lang="pt-BR" sz="1200"/>
            </a:pPr>
            <a:endParaRPr lang="pt-BR"/>
          </a:p>
        </c:txPr>
        <c:crossAx val="131585920"/>
        <c:crosses val="autoZero"/>
        <c:auto val="1"/>
        <c:lblAlgn val="ctr"/>
        <c:lblOffset val="100"/>
        <c:noMultiLvlLbl val="0"/>
      </c:catAx>
      <c:valAx>
        <c:axId val="131585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pt-BR" sz="1400"/>
                </a:pPr>
                <a:r>
                  <a:rPr lang="pt-BR" sz="1400"/>
                  <a:t>fc (MPa)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lang="pt-BR" sz="1200"/>
            </a:pPr>
            <a:endParaRPr lang="pt-BR"/>
          </a:p>
        </c:txPr>
        <c:crossAx val="1314809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358" footer="0.31496062000000358"/>
    <c:pageSetup paperSize="9" orientation="landscape" verticalDpi="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/>
            </a:pPr>
            <a:r>
              <a:rPr lang="en-US"/>
              <a:t>Tendência</a:t>
            </a:r>
            <a:r>
              <a:rPr lang="en-US" baseline="0"/>
              <a:t> de e</a:t>
            </a:r>
            <a:r>
              <a:rPr lang="en-US"/>
              <a:t>volução da resistência à compressão (MPa)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7682636226343919E-2"/>
          <c:y val="0.30803639287098838"/>
          <c:w val="0.84861223279705278"/>
          <c:h val="0.599934494429918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'FR-IMOB-43_Rev00'!$L$16:$Q$16</c:f>
              <c:strCache>
                <c:ptCount val="6"/>
                <c:pt idx="0">
                  <c:v>Resistência à compressão axial (MPa)</c:v>
                </c:pt>
              </c:strCache>
            </c:strRef>
          </c:tx>
          <c:trendline>
            <c:spPr>
              <a:ln w="28575">
                <a:solidFill>
                  <a:schemeClr val="accent1"/>
                </a:solidFill>
              </a:ln>
            </c:spPr>
            <c:trendlineType val="log"/>
            <c:dispRSqr val="1"/>
            <c:dispEq val="1"/>
            <c:trendlineLbl>
              <c:layout>
                <c:manualLayout>
                  <c:x val="-0.30245033086825385"/>
                  <c:y val="0.38412448543621852"/>
                </c:manualLayout>
              </c:layout>
              <c:numFmt formatCode="General" sourceLinked="0"/>
              <c:spPr>
                <a:gradFill rotWithShape="1">
                  <a:gsLst>
                    <a:gs pos="0">
                      <a:schemeClr val="accent1">
                        <a:tint val="50000"/>
                        <a:satMod val="300000"/>
                      </a:schemeClr>
                    </a:gs>
                    <a:gs pos="35000">
                      <a:schemeClr val="accent1">
                        <a:tint val="37000"/>
                        <a:satMod val="300000"/>
                      </a:schemeClr>
                    </a:gs>
                    <a:gs pos="100000">
                      <a:schemeClr val="accent1">
                        <a:tint val="15000"/>
                        <a:satMod val="350000"/>
                      </a:schemeClr>
                    </a:gs>
                  </a:gsLst>
                  <a:lin ang="16200000" scaled="1"/>
                </a:gradFill>
                <a:ln w="9525" cap="flat" cmpd="sng" algn="ctr">
                  <a:solidFill>
                    <a:schemeClr val="accent1">
                      <a:shade val="95000"/>
                      <a:satMod val="105000"/>
                    </a:schemeClr>
                  </a:solidFill>
                  <a:prstDash val="solid"/>
                </a:ln>
                <a:effectLst>
                  <a:outerShdw blurRad="40000" dist="20000" dir="5400000" rotWithShape="0">
                    <a:srgbClr val="000000">
                      <a:alpha val="38000"/>
                    </a:srgbClr>
                  </a:outerShdw>
                </a:effectLst>
              </c:spPr>
              <c:txPr>
                <a:bodyPr/>
                <a:lstStyle/>
                <a:p>
                  <a:pPr>
                    <a:defRPr lang="pt-BR" sz="12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'FR-IMOB-43_Rev00'!$AK$100:$AT$100</c:f>
              <c:numCache>
                <c:formatCode>0#\ "dias"</c:formatCode>
                <c:ptCount val="10"/>
                <c:pt idx="0">
                  <c:v>3</c:v>
                </c:pt>
                <c:pt idx="2">
                  <c:v>7</c:v>
                </c:pt>
                <c:pt idx="4">
                  <c:v>28</c:v>
                </c:pt>
              </c:numCache>
            </c:numRef>
          </c:xVal>
          <c:yVal>
            <c:numRef>
              <c:f>'FR-IMOB-43_Rev00'!$L$12:$Q$12</c:f>
              <c:numCache>
                <c:formatCode>0.0</c:formatCode>
                <c:ptCount val="6"/>
                <c:pt idx="0">
                  <c:v>0</c:v>
                </c:pt>
                <c:pt idx="2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76-4987-A11A-4BF26B587773}"/>
            </c:ext>
          </c:extLst>
        </c:ser>
        <c:ser>
          <c:idx val="1"/>
          <c:order val="1"/>
          <c:tx>
            <c:v>idade de controle</c:v>
          </c:tx>
          <c:spPr>
            <a:ln w="19050">
              <a:solidFill>
                <a:schemeClr val="bg1">
                  <a:lumMod val="50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'FR-IMOB-43_Rev00'!$AY$41:$AZ$41</c:f>
              <c:numCache>
                <c:formatCode>0</c:formatCode>
                <c:ptCount val="2"/>
                <c:pt idx="0">
                  <c:v>28</c:v>
                </c:pt>
                <c:pt idx="1">
                  <c:v>28</c:v>
                </c:pt>
              </c:numCache>
            </c:numRef>
          </c:xVal>
          <c:yVal>
            <c:numRef>
              <c:f>'FR-IMOB-43_Rev00'!$AZ$36:$BA$36</c:f>
              <c:numCache>
                <c:formatCode>General</c:formatCode>
                <c:ptCount val="2"/>
                <c:pt idx="0">
                  <c:v>30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76-4987-A11A-4BF26B587773}"/>
            </c:ext>
          </c:extLst>
        </c:ser>
        <c:ser>
          <c:idx val="2"/>
          <c:order val="2"/>
          <c:tx>
            <c:v>fck</c:v>
          </c:tx>
          <c:spPr>
            <a:ln w="41275">
              <a:solidFill>
                <a:srgbClr val="C00000"/>
              </a:solidFill>
              <a:prstDash val="lgDash"/>
            </a:ln>
          </c:spPr>
          <c:marker>
            <c:symbol val="none"/>
          </c:marker>
          <c:xVal>
            <c:numRef>
              <c:f>'FR-IMOB-43_Rev00'!$AZ$41:$BA$41</c:f>
              <c:numCache>
                <c:formatCode>General</c:formatCode>
                <c:ptCount val="2"/>
                <c:pt idx="0" formatCode="0">
                  <c:v>28</c:v>
                </c:pt>
                <c:pt idx="1">
                  <c:v>0</c:v>
                </c:pt>
              </c:numCache>
            </c:numRef>
          </c:xVal>
          <c:yVal>
            <c:numRef>
              <c:f>'FR-IMOB-43_Rev00'!$AY$36:$AZ$36</c:f>
              <c:numCache>
                <c:formatCode>General</c:formatCode>
                <c:ptCount val="2"/>
                <c:pt idx="0">
                  <c:v>30</c:v>
                </c:pt>
                <c:pt idx="1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676-4987-A11A-4BF26B587773}"/>
            </c:ext>
          </c:extLst>
        </c:ser>
        <c:ser>
          <c:idx val="3"/>
          <c:order val="3"/>
          <c:tx>
            <c:strRef>
              <c:f>'FR-IMOB-43_Rev00'!$AJ$98</c:f>
              <c:strCache>
                <c:ptCount val="1"/>
                <c:pt idx="0">
                  <c:v>fck est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triangle"/>
            <c:size val="7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trendline>
            <c:spPr>
              <a:ln w="31750">
                <a:solidFill>
                  <a:srgbClr val="92D050"/>
                </a:solidFill>
              </a:ln>
            </c:spPr>
            <c:trendlineType val="log"/>
            <c:dispRSqr val="1"/>
            <c:dispEq val="1"/>
            <c:trendlineLbl>
              <c:layout>
                <c:manualLayout>
                  <c:x val="-8.9413156917104955E-2"/>
                  <c:y val="0.27449940496888181"/>
                </c:manualLayout>
              </c:layout>
              <c:numFmt formatCode="General" sourceLinked="0"/>
              <c:spPr>
                <a:gradFill rotWithShape="1">
                  <a:gsLst>
                    <a:gs pos="0">
                      <a:schemeClr val="accent3">
                        <a:tint val="50000"/>
                        <a:satMod val="300000"/>
                      </a:schemeClr>
                    </a:gs>
                    <a:gs pos="35000">
                      <a:schemeClr val="accent3">
                        <a:tint val="37000"/>
                        <a:satMod val="300000"/>
                      </a:schemeClr>
                    </a:gs>
                    <a:gs pos="100000">
                      <a:schemeClr val="accent3">
                        <a:tint val="15000"/>
                        <a:satMod val="350000"/>
                      </a:schemeClr>
                    </a:gs>
                  </a:gsLst>
                  <a:lin ang="16200000" scaled="1"/>
                </a:gradFill>
                <a:ln w="9525" cap="flat" cmpd="sng" algn="ctr">
                  <a:solidFill>
                    <a:schemeClr val="accent3">
                      <a:shade val="95000"/>
                      <a:satMod val="105000"/>
                    </a:schemeClr>
                  </a:solidFill>
                  <a:prstDash val="solid"/>
                </a:ln>
                <a:effectLst>
                  <a:outerShdw blurRad="40000" dist="20000" dir="5400000" rotWithShape="0">
                    <a:srgbClr val="000000">
                      <a:alpha val="38000"/>
                    </a:srgbClr>
                  </a:outerShdw>
                </a:effectLst>
              </c:spPr>
              <c:txPr>
                <a:bodyPr/>
                <a:lstStyle/>
                <a:p>
                  <a:pPr>
                    <a:defRPr lang="pt-BR" sz="12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'FR-IMOB-43_Rev00'!$AK$100:$AT$100</c:f>
              <c:numCache>
                <c:formatCode>0#\ "dias"</c:formatCode>
                <c:ptCount val="10"/>
                <c:pt idx="0">
                  <c:v>3</c:v>
                </c:pt>
                <c:pt idx="2">
                  <c:v>7</c:v>
                </c:pt>
                <c:pt idx="4">
                  <c:v>28</c:v>
                </c:pt>
              </c:numCache>
            </c:numRef>
          </c:xVal>
          <c:yVal>
            <c:numRef>
              <c:f>'FR-IMOB-43_Rev00'!$AK$98:$AT$98</c:f>
              <c:numCache>
                <c:formatCode>0.0</c:formatCode>
                <c:ptCount val="10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676-4987-A11A-4BF26B587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42144"/>
        <c:axId val="134343680"/>
      </c:scatterChart>
      <c:valAx>
        <c:axId val="134342144"/>
        <c:scaling>
          <c:orientation val="minMax"/>
          <c:min val="0"/>
        </c:scaling>
        <c:delete val="0"/>
        <c:axPos val="b"/>
        <c:numFmt formatCode="0#\ &quot;dias&quot;" sourceLinked="1"/>
        <c:majorTickMark val="out"/>
        <c:minorTickMark val="none"/>
        <c:tickLblPos val="nextTo"/>
        <c:txPr>
          <a:bodyPr/>
          <a:lstStyle/>
          <a:p>
            <a:pPr>
              <a:defRPr lang="pt-BR" sz="1200"/>
            </a:pPr>
            <a:endParaRPr lang="pt-BR"/>
          </a:p>
        </c:txPr>
        <c:crossAx val="134343680"/>
        <c:crossesAt val="0"/>
        <c:crossBetween val="midCat"/>
      </c:valAx>
      <c:valAx>
        <c:axId val="13434368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pt-BR" sz="1400"/>
                </a:pPr>
                <a:r>
                  <a:rPr lang="pt-BR" sz="1400" b="1" i="0" baseline="0"/>
                  <a:t>fc (MPa)</a:t>
                </a:r>
                <a:endParaRPr lang="pt-BR" sz="1400"/>
              </a:p>
            </c:rich>
          </c:tx>
          <c:layout>
            <c:manualLayout>
              <c:xMode val="edge"/>
              <c:yMode val="edge"/>
              <c:x val="5.6359571282844792E-4"/>
              <c:y val="0.43408960270192892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lang="pt-BR" sz="1200"/>
            </a:pPr>
            <a:endParaRPr lang="pt-BR"/>
          </a:p>
        </c:txPr>
        <c:crossAx val="134342144"/>
        <c:crossesAt val="0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62092283278880334"/>
          <c:y val="0.10084462686789065"/>
          <c:w val="0.3524275402731083"/>
          <c:h val="0.1687711514534492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lang="pt-BR" sz="1200"/>
          </a:pPr>
          <a:endParaRPr lang="pt-BR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374" footer="0.31496062000000374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pt-BR"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600"/>
              <a:t> Distribuição Normal </a:t>
            </a:r>
            <a:br>
              <a:rPr lang="pt-BR" sz="1600"/>
            </a:br>
            <a:r>
              <a:rPr lang="pt-BR" sz="1600"/>
              <a:t>(Curva de Gauss)</a:t>
            </a:r>
          </a:p>
        </c:rich>
      </c:tx>
      <c:layout>
        <c:manualLayout>
          <c:xMode val="edge"/>
          <c:yMode val="edge"/>
          <c:x val="0.11430859782446645"/>
          <c:y val="2.732584916522741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9244523915959E-2"/>
          <c:y val="0.21400723208415601"/>
          <c:w val="0.85761275021109662"/>
          <c:h val="0.64677820043205014"/>
        </c:manualLayout>
      </c:layout>
      <c:scatterChart>
        <c:scatterStyle val="lineMarker"/>
        <c:varyColors val="0"/>
        <c:ser>
          <c:idx val="0"/>
          <c:order val="0"/>
          <c:tx>
            <c:v>Curva Dist. Normal</c:v>
          </c:tx>
          <c:marker>
            <c:symbol val="none"/>
          </c:marker>
          <c:xVal>
            <c:numRef>
              <c:f>'FR-IMOB-43_Rev00'!$BM$19:$BM$79</c:f>
              <c:numCache>
                <c:formatCode>0.0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xVal>
          <c:yVal>
            <c:numRef>
              <c:f>'FR-IMOB-43_Rev00'!$BN$19:$BN$79</c:f>
              <c:numCache>
                <c:formatCode>0.0</c:formatCode>
                <c:ptCount val="6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 formatCode="General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0D-4AF8-83CD-5C81B767F942}"/>
            </c:ext>
          </c:extLst>
        </c:ser>
        <c:ser>
          <c:idx val="2"/>
          <c:order val="1"/>
          <c:spPr>
            <a:ln w="63500" cap="sq">
              <a:solidFill>
                <a:srgbClr val="C0504D"/>
              </a:solidFill>
            </a:ln>
          </c:spPr>
          <c:marker>
            <c:symbol val="none"/>
          </c:marker>
          <c:xVal>
            <c:numRef>
              <c:f>'FR-IMOB-43_Rev00'!$AW$17:$AX$17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'FR-IMOB-43_Rev00'!$BF$17:$BG$17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0D-4AF8-83CD-5C81B767F942}"/>
            </c:ext>
          </c:extLst>
        </c:ser>
        <c:ser>
          <c:idx val="3"/>
          <c:order val="2"/>
          <c:spPr>
            <a:ln w="63500" cap="sq">
              <a:solidFill>
                <a:srgbClr val="C0504D"/>
              </a:solidFill>
            </a:ln>
          </c:spPr>
          <c:marker>
            <c:symbol val="none"/>
          </c:marker>
          <c:xVal>
            <c:numRef>
              <c:f>'FR-IMOB-43_Rev00'!$AW$18:$AX$18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'FR-IMOB-43_Rev00'!$BF$18:$BG$18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0D-4AF8-83CD-5C81B767F942}"/>
            </c:ext>
          </c:extLst>
        </c:ser>
        <c:ser>
          <c:idx val="1"/>
          <c:order val="3"/>
          <c:spPr>
            <a:ln w="63500" cap="sq">
              <a:solidFill>
                <a:srgbClr val="C0504D"/>
              </a:solidFill>
            </a:ln>
          </c:spPr>
          <c:marker>
            <c:symbol val="none"/>
          </c:marker>
          <c:xVal>
            <c:numRef>
              <c:f>'FR-IMOB-43_Rev00'!$AW$19:$AX$19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'FR-IMOB-43_Rev00'!$BF$19:$BG$19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0D-4AF8-83CD-5C81B767F942}"/>
            </c:ext>
          </c:extLst>
        </c:ser>
        <c:ser>
          <c:idx val="4"/>
          <c:order val="4"/>
          <c:spPr>
            <a:ln w="63500" cap="sq" cmpd="sng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'FR-IMOB-43_Rev00'!$AW$20:$AX$20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'FR-IMOB-43_Rev00'!$BF$20:$BG$20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00D-4AF8-83CD-5C81B767F942}"/>
            </c:ext>
          </c:extLst>
        </c:ser>
        <c:ser>
          <c:idx val="5"/>
          <c:order val="5"/>
          <c:spPr>
            <a:ln w="63500" cap="sq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'FR-IMOB-43_Rev00'!$AW$21:$AX$21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'FR-IMOB-43_Rev00'!$BF$21:$BG$21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0D-4AF8-83CD-5C81B767F942}"/>
            </c:ext>
          </c:extLst>
        </c:ser>
        <c:ser>
          <c:idx val="6"/>
          <c:order val="6"/>
          <c:spPr>
            <a:ln w="63500" cap="sq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'FR-IMOB-43_Rev00'!$AW$22:$AX$22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'FR-IMOB-43_Rev00'!$BF$22:$BG$22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00D-4AF8-83CD-5C81B767F942}"/>
            </c:ext>
          </c:extLst>
        </c:ser>
        <c:ser>
          <c:idx val="7"/>
          <c:order val="7"/>
          <c:spPr>
            <a:ln w="63500" cap="sq"/>
          </c:spPr>
          <c:marker>
            <c:symbol val="none"/>
          </c:marker>
          <c:xVal>
            <c:numRef>
              <c:f>'FR-IMOB-43_Rev00'!$AW$23:$AX$23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'FR-IMOB-43_Rev00'!$BF$23:$BG$23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0D-4AF8-83CD-5C81B767F942}"/>
            </c:ext>
          </c:extLst>
        </c:ser>
        <c:ser>
          <c:idx val="8"/>
          <c:order val="8"/>
          <c:spPr>
            <a:ln w="63500" cap="sq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'FR-IMOB-43_Rev00'!$AW$24:$AX$24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'FR-IMOB-43_Rev00'!$BF$24:$BG$24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00D-4AF8-83CD-5C81B767F942}"/>
            </c:ext>
          </c:extLst>
        </c:ser>
        <c:ser>
          <c:idx val="9"/>
          <c:order val="9"/>
          <c:spPr>
            <a:ln w="63500" cap="sq">
              <a:solidFill>
                <a:srgbClr val="C0504D"/>
              </a:solidFill>
            </a:ln>
          </c:spPr>
          <c:marker>
            <c:symbol val="none"/>
          </c:marker>
          <c:xVal>
            <c:numRef>
              <c:f>'FR-IMOB-43_Rev00'!$AW$25:$AX$25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'FR-IMOB-43_Rev00'!$BF$25:$BG$25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00D-4AF8-83CD-5C81B767F942}"/>
            </c:ext>
          </c:extLst>
        </c:ser>
        <c:ser>
          <c:idx val="10"/>
          <c:order val="10"/>
          <c:spPr>
            <a:ln w="63500" cap="sq">
              <a:solidFill>
                <a:srgbClr val="C0504D"/>
              </a:solidFill>
            </a:ln>
          </c:spPr>
          <c:marker>
            <c:symbol val="none"/>
          </c:marker>
          <c:xVal>
            <c:numRef>
              <c:f>'FR-IMOB-43_Rev00'!$AW$26:$AX$26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'FR-IMOB-43_Rev00'!$BF$26:$BG$26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00D-4AF8-83CD-5C81B767F942}"/>
            </c:ext>
          </c:extLst>
        </c:ser>
        <c:ser>
          <c:idx val="11"/>
          <c:order val="11"/>
          <c:spPr>
            <a:ln w="63500" cap="sq">
              <a:solidFill>
                <a:srgbClr val="C0504D"/>
              </a:solidFill>
            </a:ln>
          </c:spPr>
          <c:marker>
            <c:symbol val="none"/>
          </c:marker>
          <c:xVal>
            <c:numRef>
              <c:f>'FR-IMOB-43_Rev00'!$AW$27:$AX$27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'FR-IMOB-43_Rev00'!$BF$27:$BG$27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00D-4AF8-83CD-5C81B767F942}"/>
            </c:ext>
          </c:extLst>
        </c:ser>
        <c:ser>
          <c:idx val="12"/>
          <c:order val="12"/>
          <c:tx>
            <c:v>média</c:v>
          </c:tx>
          <c:spPr>
            <a:ln w="22225">
              <a:solidFill>
                <a:schemeClr val="accent3"/>
              </a:solidFill>
              <a:prstDash val="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5451918732725343E-2"/>
                  <c:y val="-3.0303023072530893E-2"/>
                </c:manualLayout>
              </c:layout>
              <c:spPr/>
              <c:txPr>
                <a:bodyPr/>
                <a:lstStyle/>
                <a:p>
                  <a:pPr>
                    <a:defRPr lang="pt-BR" sz="1200" b="1"/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00D-4AF8-83CD-5C81B767F94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'FR-IMOB-43_Rev00'!$AY$34:$AZ$34</c:f>
              <c:strCache>
                <c:ptCount val="2"/>
                <c:pt idx="0">
                  <c:v>0</c:v>
                </c:pt>
                <c:pt idx="1">
                  <c:v>0</c:v>
                </c:pt>
              </c:strCache>
            </c:strRef>
          </c:xVal>
          <c:yVal>
            <c:numRef>
              <c:f>'FR-IMOB-43_Rev00'!$AY$33:$AZ$33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00D-4AF8-83CD-5C81B767F942}"/>
            </c:ext>
          </c:extLst>
        </c:ser>
        <c:ser>
          <c:idx val="13"/>
          <c:order val="13"/>
          <c:tx>
            <c:strRef>
              <c:f>'FR-IMOB-43_Rev00'!$AX$37</c:f>
              <c:strCache>
                <c:ptCount val="1"/>
                <c:pt idx="0">
                  <c:v>média - sd</c:v>
                </c:pt>
              </c:strCache>
            </c:strRef>
          </c:tx>
          <c:spPr>
            <a:ln w="15875">
              <a:solidFill>
                <a:sysClr val="window" lastClr="FFFFFF">
                  <a:lumMod val="75000"/>
                </a:sysClr>
              </a:solidFill>
              <a:prstDash val="sysDash"/>
            </a:ln>
          </c:spPr>
          <c:marker>
            <c:symbol val="none"/>
          </c:marker>
          <c:xVal>
            <c:numRef>
              <c:f>'FR-IMOB-43_Rev00'!$AY$37:$AZ$37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'FR-IMOB-43_Rev00'!$AY$31:$AZ$31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00D-4AF8-83CD-5C81B767F942}"/>
            </c:ext>
          </c:extLst>
        </c:ser>
        <c:ser>
          <c:idx val="14"/>
          <c:order val="14"/>
          <c:tx>
            <c:strRef>
              <c:f>'FR-IMOB-43_Rev00'!$AX$37</c:f>
              <c:strCache>
                <c:ptCount val="1"/>
                <c:pt idx="0">
                  <c:v>média - sd</c:v>
                </c:pt>
              </c:strCache>
            </c:strRef>
          </c:tx>
          <c:spPr>
            <a:ln w="15875">
              <a:solidFill>
                <a:schemeClr val="bg1">
                  <a:lumMod val="75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'FR-IMOB-43_Rev00'!$BA$37:$BB$37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'FR-IMOB-43_Rev00'!$AY$31:$AZ$31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00D-4AF8-83CD-5C81B767F942}"/>
            </c:ext>
          </c:extLst>
        </c:ser>
        <c:ser>
          <c:idx val="15"/>
          <c:order val="15"/>
          <c:spPr>
            <a:ln w="15875">
              <a:solidFill>
                <a:sysClr val="window" lastClr="FFFFFF">
                  <a:lumMod val="75000"/>
                </a:sysClr>
              </a:solidFill>
              <a:prstDash val="sysDash"/>
            </a:ln>
          </c:spPr>
          <c:marker>
            <c:symbol val="none"/>
          </c:marker>
          <c:xVal>
            <c:numRef>
              <c:f>'FR-IMOB-43_Rev00'!$AZ$37:$BA$37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'FR-IMOB-43_Rev00'!$AX$31:$AY$31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00D-4AF8-83CD-5C81B767F942}"/>
            </c:ext>
          </c:extLst>
        </c:ser>
        <c:ser>
          <c:idx val="16"/>
          <c:order val="16"/>
          <c:tx>
            <c:strRef>
              <c:f>'FR-IMOB-43_Rev00'!$AX$38</c:f>
              <c:strCache>
                <c:ptCount val="1"/>
                <c:pt idx="0">
                  <c:v>média - 2sd</c:v>
                </c:pt>
              </c:strCache>
            </c:strRef>
          </c:tx>
          <c:spPr>
            <a:ln w="15875">
              <a:solidFill>
                <a:sysClr val="window" lastClr="FFFFFF">
                  <a:lumMod val="75000"/>
                </a:sysClr>
              </a:solidFill>
              <a:prstDash val="sysDash"/>
            </a:ln>
          </c:spPr>
          <c:marker>
            <c:symbol val="none"/>
          </c:marker>
          <c:xVal>
            <c:numRef>
              <c:f>'FR-IMOB-43_Rev00'!$AY$38:$AZ$38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'FR-IMOB-43_Rev00'!$AY$32:$AZ$32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00D-4AF8-83CD-5C81B767F942}"/>
            </c:ext>
          </c:extLst>
        </c:ser>
        <c:ser>
          <c:idx val="17"/>
          <c:order val="17"/>
          <c:tx>
            <c:strRef>
              <c:f>'FR-IMOB-43_Rev00'!$AX$38</c:f>
              <c:strCache>
                <c:ptCount val="1"/>
                <c:pt idx="0">
                  <c:v>média - 2sd</c:v>
                </c:pt>
              </c:strCache>
            </c:strRef>
          </c:tx>
          <c:spPr>
            <a:ln w="15875">
              <a:solidFill>
                <a:sysClr val="window" lastClr="FFFFFF">
                  <a:lumMod val="75000"/>
                </a:sysClr>
              </a:solidFill>
              <a:prstDash val="sysDash"/>
            </a:ln>
          </c:spPr>
          <c:marker>
            <c:symbol val="none"/>
          </c:marker>
          <c:xVal>
            <c:numRef>
              <c:f>'FR-IMOB-43_Rev00'!$BA$38:$BB$38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'FR-IMOB-43_Rev00'!$AY$32:$AZ$32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00D-4AF8-83CD-5C81B767F942}"/>
            </c:ext>
          </c:extLst>
        </c:ser>
        <c:ser>
          <c:idx val="18"/>
          <c:order val="18"/>
          <c:spPr>
            <a:ln w="15875">
              <a:solidFill>
                <a:sysClr val="window" lastClr="FFFFFF">
                  <a:lumMod val="75000"/>
                </a:sysClr>
              </a:solidFill>
              <a:prstDash val="sysDash"/>
            </a:ln>
          </c:spPr>
          <c:marker>
            <c:symbol val="none"/>
          </c:marker>
          <c:xVal>
            <c:numRef>
              <c:f>'FR-IMOB-43_Rev00'!$AZ$38:$BA$38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'FR-IMOB-43_Rev00'!$AX$32:$AY$32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00D-4AF8-83CD-5C81B767F942}"/>
            </c:ext>
          </c:extLst>
        </c:ser>
        <c:ser>
          <c:idx val="19"/>
          <c:order val="19"/>
          <c:tx>
            <c:v>fck</c:v>
          </c:tx>
          <c:spPr>
            <a:ln w="19050">
              <a:solidFill>
                <a:schemeClr val="bg1">
                  <a:lumMod val="50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3861198033080008E-2"/>
                  <c:y val="-2.7321291498752641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00D-4AF8-83CD-5C81B767F94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00D-4AF8-83CD-5C81B767F9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pt-BR" sz="1200"/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'FR-IMOB-43_Rev00'!$AY$36:$AZ$36</c:f>
              <c:numCache>
                <c:formatCode>General</c:formatCode>
                <c:ptCount val="2"/>
                <c:pt idx="0">
                  <c:v>30</c:v>
                </c:pt>
                <c:pt idx="1">
                  <c:v>30</c:v>
                </c:pt>
              </c:numCache>
            </c:numRef>
          </c:xVal>
          <c:yVal>
            <c:numRef>
              <c:f>'FR-IMOB-43_Rev00'!$AY$33:$AZ$33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800D-4AF8-83CD-5C81B767F942}"/>
            </c:ext>
          </c:extLst>
        </c:ser>
        <c:ser>
          <c:idx val="20"/>
          <c:order val="20"/>
          <c:tx>
            <c:strRef>
              <c:f>'FR-IMOB-43_Rev00'!$AX$40</c:f>
              <c:strCache>
                <c:ptCount val="1"/>
                <c:pt idx="0">
                  <c:v>fckest</c:v>
                </c:pt>
              </c:strCache>
            </c:strRef>
          </c:tx>
          <c:spPr>
            <a:ln w="22225" cap="sq">
              <a:solidFill>
                <a:schemeClr val="accent6"/>
              </a:solidFill>
              <a:prstDash val="lg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6271295882382391E-2"/>
                  <c:y val="-3.3510842448666291E-2"/>
                </c:manualLayout>
              </c:layout>
              <c:spPr/>
              <c:txPr>
                <a:bodyPr/>
                <a:lstStyle/>
                <a:p>
                  <a:pPr>
                    <a:defRPr lang="pt-BR" sz="1200"/>
                  </a:pPr>
                  <a:endParaRPr lang="pt-BR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00D-4AF8-83CD-5C81B767F94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00D-4AF8-83CD-5C81B767F9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pt-BR"/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'FR-IMOB-43_Rev00'!$AY$40:$AZ$40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'FR-IMOB-43_Rev00'!$AY$33:$AZ$33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800D-4AF8-83CD-5C81B767F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10048"/>
        <c:axId val="135816320"/>
      </c:scatterChart>
      <c:valAx>
        <c:axId val="13581004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lang="pt-BR" sz="1400"/>
                </a:pPr>
                <a:r>
                  <a:rPr lang="en-US" sz="1400" b="1" i="0" u="none" strike="noStrike" baseline="0"/>
                  <a:t>Resistência a compressão (MPa)</a:t>
                </a:r>
                <a:r>
                  <a:rPr lang="pt-BR" sz="1400" b="1" i="0" u="none" strike="noStrike" baseline="0"/>
                  <a:t> </a:t>
                </a:r>
                <a:endParaRPr lang="pt-BR" sz="1400"/>
              </a:p>
            </c:rich>
          </c:tx>
          <c:layout>
            <c:manualLayout>
              <c:xMode val="edge"/>
              <c:yMode val="edge"/>
              <c:x val="0.41118743866535817"/>
              <c:y val="0.96241830654965188"/>
            </c:manualLayout>
          </c:layout>
          <c:overlay val="0"/>
        </c:title>
        <c:numFmt formatCode="0" sourceLinked="0"/>
        <c:majorTickMark val="cross"/>
        <c:minorTickMark val="in"/>
        <c:tickLblPos val="nextTo"/>
        <c:txPr>
          <a:bodyPr rot="0" vert="horz"/>
          <a:lstStyle/>
          <a:p>
            <a:pPr>
              <a:defRPr lang="pt-BR" sz="1200"/>
            </a:pPr>
            <a:endParaRPr lang="pt-BR"/>
          </a:p>
        </c:txPr>
        <c:crossAx val="135816320"/>
        <c:crosses val="autoZero"/>
        <c:crossBetween val="midCat"/>
        <c:majorUnit val="5"/>
        <c:minorUnit val="1"/>
      </c:valAx>
      <c:valAx>
        <c:axId val="1358163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pt-BR" sz="1400"/>
                </a:pPr>
                <a:r>
                  <a:rPr lang="pt-BR" sz="1400"/>
                  <a:t>Frequência  (nº de Eventos)</a:t>
                </a:r>
              </a:p>
            </c:rich>
          </c:tx>
          <c:layout>
            <c:manualLayout>
              <c:xMode val="edge"/>
              <c:yMode val="edge"/>
              <c:x val="0"/>
              <c:y val="0.31007126936978185"/>
            </c:manualLayout>
          </c:layout>
          <c:overlay val="0"/>
        </c:title>
        <c:numFmt formatCode="0" sourceLinked="0"/>
        <c:majorTickMark val="cross"/>
        <c:minorTickMark val="in"/>
        <c:tickLblPos val="nextTo"/>
        <c:txPr>
          <a:bodyPr rot="0" vert="horz"/>
          <a:lstStyle/>
          <a:p>
            <a:pPr>
              <a:defRPr lang="pt-BR" sz="1200"/>
            </a:pPr>
            <a:endParaRPr lang="pt-BR"/>
          </a:p>
        </c:txPr>
        <c:crossAx val="135810048"/>
        <c:crosses val="autoZero"/>
        <c:crossBetween val="midCat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8740157480314954" l="0.51181102362204722" r="0.51181102362204722" t="0.78740157480314954" header="0.31496062992126561" footer="0.31496062992126561"/>
    <c:pageSetup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/>
            </a:pPr>
            <a:r>
              <a:rPr lang="en-US"/>
              <a:t>Análise da Média Móvel / X1</a:t>
            </a:r>
          </a:p>
        </c:rich>
      </c:tx>
      <c:layout>
        <c:manualLayout>
          <c:xMode val="edge"/>
          <c:yMode val="edge"/>
          <c:x val="0.33845468890892944"/>
          <c:y val="2.233561378864834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0155272705340119E-2"/>
          <c:y val="0.31140609506926253"/>
          <c:w val="0.86613963238690039"/>
          <c:h val="0.57024313711264452"/>
        </c:manualLayout>
      </c:layout>
      <c:scatterChart>
        <c:scatterStyle val="smoothMarker"/>
        <c:varyColors val="0"/>
        <c:ser>
          <c:idx val="0"/>
          <c:order val="0"/>
          <c:tx>
            <c:v>fcj</c:v>
          </c:tx>
          <c:spPr>
            <a:ln>
              <a:noFill/>
            </a:ln>
          </c:spPr>
          <c:trendline>
            <c:trendlineType val="movingAvg"/>
            <c:period val="3"/>
            <c:dispRSqr val="0"/>
            <c:dispEq val="0"/>
          </c:trendline>
          <c:xVal>
            <c:strRef>
              <c:f>'FR-IMOB-43_Rev00'!$BV$18:$BV$1007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xVal>
          <c:yVal>
            <c:numRef>
              <c:f>'FR-IMOB-43_Rev00'!$BU$18:$BU$1007</c:f>
              <c:numCache>
                <c:formatCode>General</c:formatCode>
                <c:ptCount val="9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2F-44F8-8562-F841CD2F0746}"/>
            </c:ext>
          </c:extLst>
        </c:ser>
        <c:ser>
          <c:idx val="1"/>
          <c:order val="1"/>
          <c:tx>
            <c:v>fck</c:v>
          </c:tx>
          <c:marker>
            <c:symbol val="none"/>
          </c:marker>
          <c:xVal>
            <c:numRef>
              <c:f>'FR-IMOB-43_Rev00'!$BP$17:$BQ$17</c:f>
              <c:numCache>
                <c:formatCode>0</c:formatCode>
                <c:ptCount val="2"/>
                <c:pt idx="0" formatCode="General">
                  <c:v>0</c:v>
                </c:pt>
                <c:pt idx="1">
                  <c:v>3</c:v>
                </c:pt>
              </c:numCache>
            </c:numRef>
          </c:xVal>
          <c:yVal>
            <c:numRef>
              <c:f>'FR-IMOB-43_Rev00'!$AY$36:$AZ$36</c:f>
              <c:numCache>
                <c:formatCode>General</c:formatCode>
                <c:ptCount val="2"/>
                <c:pt idx="0">
                  <c:v>30</c:v>
                </c:pt>
                <c:pt idx="1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2F-44F8-8562-F841CD2F0746}"/>
            </c:ext>
          </c:extLst>
        </c:ser>
        <c:ser>
          <c:idx val="2"/>
          <c:order val="2"/>
          <c:tx>
            <c:v>fck - 3,5 MPa</c:v>
          </c:tx>
          <c:spPr>
            <a:ln w="22225">
              <a:solidFill>
                <a:schemeClr val="accent2">
                  <a:lumMod val="60000"/>
                  <a:lumOff val="40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'FR-IMOB-43_Rev00'!$BP$17:$BQ$17</c:f>
              <c:numCache>
                <c:formatCode>0</c:formatCode>
                <c:ptCount val="2"/>
                <c:pt idx="0" formatCode="General">
                  <c:v>0</c:v>
                </c:pt>
                <c:pt idx="1">
                  <c:v>3</c:v>
                </c:pt>
              </c:numCache>
            </c:numRef>
          </c:xVal>
          <c:yVal>
            <c:numRef>
              <c:f>'FR-IMOB-43_Rev00'!$AY$39:$AZ$39</c:f>
              <c:numCache>
                <c:formatCode>General</c:formatCode>
                <c:ptCount val="2"/>
                <c:pt idx="0">
                  <c:v>26.5</c:v>
                </c:pt>
                <c:pt idx="1">
                  <c:v>26.5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2F-44F8-8562-F841CD2F0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26816"/>
        <c:axId val="135878144"/>
      </c:scatterChart>
      <c:valAx>
        <c:axId val="135826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BR" sz="1400"/>
                </a:pPr>
                <a:r>
                  <a:rPr lang="pt-BR" sz="1400"/>
                  <a:t>Amostra (n)</a:t>
                </a:r>
              </a:p>
            </c:rich>
          </c:tx>
          <c:overlay val="0"/>
        </c:title>
        <c:numFmt formatCode="0" sourceLinked="1"/>
        <c:majorTickMark val="out"/>
        <c:minorTickMark val="in"/>
        <c:tickLblPos val="nextTo"/>
        <c:txPr>
          <a:bodyPr/>
          <a:lstStyle/>
          <a:p>
            <a:pPr>
              <a:defRPr lang="pt-BR" sz="1200"/>
            </a:pPr>
            <a:endParaRPr lang="pt-BR"/>
          </a:p>
        </c:txPr>
        <c:crossAx val="135878144"/>
        <c:crossesAt val="0"/>
        <c:crossBetween val="midCat"/>
        <c:majorUnit val="10"/>
        <c:minorUnit val="1"/>
      </c:valAx>
      <c:valAx>
        <c:axId val="1358781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pt-BR" sz="1400"/>
                </a:pPr>
                <a:r>
                  <a:rPr lang="pt-BR" sz="1400" b="1" i="0" baseline="0"/>
                  <a:t>fc (MPa)</a:t>
                </a:r>
                <a:endParaRPr lang="pt-BR" sz="1400"/>
              </a:p>
            </c:rich>
          </c:tx>
          <c:layout>
            <c:manualLayout>
              <c:xMode val="edge"/>
              <c:yMode val="edge"/>
              <c:x val="3.7172501065299785E-3"/>
              <c:y val="0.52335014102133492"/>
            </c:manualLayout>
          </c:layout>
          <c:overlay val="0"/>
        </c:title>
        <c:numFmt formatCode="General" sourceLinked="1"/>
        <c:majorTickMark val="out"/>
        <c:minorTickMark val="in"/>
        <c:tickLblPos val="nextTo"/>
        <c:txPr>
          <a:bodyPr/>
          <a:lstStyle/>
          <a:p>
            <a:pPr>
              <a:defRPr lang="pt-BR" sz="1200"/>
            </a:pPr>
            <a:endParaRPr lang="pt-BR"/>
          </a:p>
        </c:txPr>
        <c:crossAx val="135826816"/>
        <c:crossesAt val="0"/>
        <c:crossBetween val="midCat"/>
        <c:majorUnit val="10"/>
        <c:minorUnit val="5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5719340477711163"/>
          <c:y val="0.11051538538275255"/>
          <c:w val="0.29645288548241916"/>
          <c:h val="0.18097483361377364"/>
        </c:manualLayout>
      </c:layout>
      <c:overlay val="0"/>
      <c:spPr>
        <a:solidFill>
          <a:schemeClr val="bg1"/>
        </a:solidFill>
        <a:ln>
          <a:noFill/>
        </a:ln>
      </c:spPr>
      <c:txPr>
        <a:bodyPr/>
        <a:lstStyle/>
        <a:p>
          <a:pPr>
            <a:defRPr lang="pt-BR" sz="1200"/>
          </a:pPr>
          <a:endParaRPr lang="pt-BR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391" footer="0.31496062000000391"/>
    <c:pageSetup paperSize="9" orientation="landscape" verticalDpi="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38100</xdr:colOff>
      <xdr:row>217</xdr:row>
      <xdr:rowOff>0</xdr:rowOff>
    </xdr:from>
    <xdr:to>
      <xdr:col>23</xdr:col>
      <xdr:colOff>638175</xdr:colOff>
      <xdr:row>217</xdr:row>
      <xdr:rowOff>0</xdr:rowOff>
    </xdr:to>
    <xdr:sp macro="" textlink="">
      <xdr:nvSpPr>
        <xdr:cNvPr id="2" name="Texto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20516850" y="3973830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217</xdr:row>
      <xdr:rowOff>0</xdr:rowOff>
    </xdr:from>
    <xdr:to>
      <xdr:col>23</xdr:col>
      <xdr:colOff>638175</xdr:colOff>
      <xdr:row>217</xdr:row>
      <xdr:rowOff>0</xdr:rowOff>
    </xdr:to>
    <xdr:sp macro="" textlink="">
      <xdr:nvSpPr>
        <xdr:cNvPr id="3" name="Texto 4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20516850" y="3973830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217</xdr:row>
      <xdr:rowOff>0</xdr:rowOff>
    </xdr:from>
    <xdr:to>
      <xdr:col>23</xdr:col>
      <xdr:colOff>638175</xdr:colOff>
      <xdr:row>217</xdr:row>
      <xdr:rowOff>0</xdr:rowOff>
    </xdr:to>
    <xdr:sp macro="" textlink="">
      <xdr:nvSpPr>
        <xdr:cNvPr id="4" name="Texto 7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20516850" y="3973830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217</xdr:row>
      <xdr:rowOff>0</xdr:rowOff>
    </xdr:from>
    <xdr:to>
      <xdr:col>23</xdr:col>
      <xdr:colOff>638175</xdr:colOff>
      <xdr:row>217</xdr:row>
      <xdr:rowOff>0</xdr:rowOff>
    </xdr:to>
    <xdr:sp macro="" textlink="">
      <xdr:nvSpPr>
        <xdr:cNvPr id="5" name="Texto 8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20516850" y="3973830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525</xdr:row>
      <xdr:rowOff>0</xdr:rowOff>
    </xdr:from>
    <xdr:to>
      <xdr:col>23</xdr:col>
      <xdr:colOff>638175</xdr:colOff>
      <xdr:row>525</xdr:row>
      <xdr:rowOff>0</xdr:rowOff>
    </xdr:to>
    <xdr:sp macro="" textlink="">
      <xdr:nvSpPr>
        <xdr:cNvPr id="6" name="Texto 3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20516850" y="9547860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525</xdr:row>
      <xdr:rowOff>0</xdr:rowOff>
    </xdr:from>
    <xdr:to>
      <xdr:col>23</xdr:col>
      <xdr:colOff>638175</xdr:colOff>
      <xdr:row>525</xdr:row>
      <xdr:rowOff>0</xdr:rowOff>
    </xdr:to>
    <xdr:sp macro="" textlink="">
      <xdr:nvSpPr>
        <xdr:cNvPr id="7" name="Texto 4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20516850" y="9547860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525</xdr:row>
      <xdr:rowOff>0</xdr:rowOff>
    </xdr:from>
    <xdr:to>
      <xdr:col>23</xdr:col>
      <xdr:colOff>638175</xdr:colOff>
      <xdr:row>525</xdr:row>
      <xdr:rowOff>0</xdr:rowOff>
    </xdr:to>
    <xdr:sp macro="" textlink="">
      <xdr:nvSpPr>
        <xdr:cNvPr id="8" name="Texto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20516850" y="9547860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525</xdr:row>
      <xdr:rowOff>0</xdr:rowOff>
    </xdr:from>
    <xdr:to>
      <xdr:col>23</xdr:col>
      <xdr:colOff>638175</xdr:colOff>
      <xdr:row>525</xdr:row>
      <xdr:rowOff>0</xdr:rowOff>
    </xdr:to>
    <xdr:sp macro="" textlink="">
      <xdr:nvSpPr>
        <xdr:cNvPr id="9" name="Texto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20516850" y="9547860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727</xdr:row>
      <xdr:rowOff>0</xdr:rowOff>
    </xdr:from>
    <xdr:to>
      <xdr:col>23</xdr:col>
      <xdr:colOff>638175</xdr:colOff>
      <xdr:row>727</xdr:row>
      <xdr:rowOff>0</xdr:rowOff>
    </xdr:to>
    <xdr:sp macro="" textlink="">
      <xdr:nvSpPr>
        <xdr:cNvPr id="10" name="Texto 3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20516850" y="13203555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727</xdr:row>
      <xdr:rowOff>0</xdr:rowOff>
    </xdr:from>
    <xdr:to>
      <xdr:col>23</xdr:col>
      <xdr:colOff>638175</xdr:colOff>
      <xdr:row>727</xdr:row>
      <xdr:rowOff>0</xdr:rowOff>
    </xdr:to>
    <xdr:sp macro="" textlink="">
      <xdr:nvSpPr>
        <xdr:cNvPr id="11" name="Texto 4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20516850" y="13203555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727</xdr:row>
      <xdr:rowOff>0</xdr:rowOff>
    </xdr:from>
    <xdr:to>
      <xdr:col>23</xdr:col>
      <xdr:colOff>638175</xdr:colOff>
      <xdr:row>727</xdr:row>
      <xdr:rowOff>0</xdr:rowOff>
    </xdr:to>
    <xdr:sp macro="" textlink="">
      <xdr:nvSpPr>
        <xdr:cNvPr id="12" name="Texto 7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20516850" y="13203555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727</xdr:row>
      <xdr:rowOff>0</xdr:rowOff>
    </xdr:from>
    <xdr:to>
      <xdr:col>23</xdr:col>
      <xdr:colOff>638175</xdr:colOff>
      <xdr:row>727</xdr:row>
      <xdr:rowOff>0</xdr:rowOff>
    </xdr:to>
    <xdr:sp macro="" textlink="">
      <xdr:nvSpPr>
        <xdr:cNvPr id="13" name="Texto 8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20516850" y="13203555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929</xdr:row>
      <xdr:rowOff>0</xdr:rowOff>
    </xdr:from>
    <xdr:to>
      <xdr:col>23</xdr:col>
      <xdr:colOff>638175</xdr:colOff>
      <xdr:row>929</xdr:row>
      <xdr:rowOff>0</xdr:rowOff>
    </xdr:to>
    <xdr:sp macro="" textlink="">
      <xdr:nvSpPr>
        <xdr:cNvPr id="14" name="Texto 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20516850" y="16859250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929</xdr:row>
      <xdr:rowOff>0</xdr:rowOff>
    </xdr:from>
    <xdr:to>
      <xdr:col>23</xdr:col>
      <xdr:colOff>638175</xdr:colOff>
      <xdr:row>929</xdr:row>
      <xdr:rowOff>0</xdr:rowOff>
    </xdr:to>
    <xdr:sp macro="" textlink="">
      <xdr:nvSpPr>
        <xdr:cNvPr id="15" name="Texto 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20516850" y="16859250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929</xdr:row>
      <xdr:rowOff>0</xdr:rowOff>
    </xdr:from>
    <xdr:to>
      <xdr:col>23</xdr:col>
      <xdr:colOff>638175</xdr:colOff>
      <xdr:row>929</xdr:row>
      <xdr:rowOff>0</xdr:rowOff>
    </xdr:to>
    <xdr:sp macro="" textlink="">
      <xdr:nvSpPr>
        <xdr:cNvPr id="16" name="Texto 7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>
          <a:spLocks noChangeArrowheads="1"/>
        </xdr:cNvSpPr>
      </xdr:nvSpPr>
      <xdr:spPr bwMode="auto">
        <a:xfrm>
          <a:off x="20516850" y="16859250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929</xdr:row>
      <xdr:rowOff>0</xdr:rowOff>
    </xdr:from>
    <xdr:to>
      <xdr:col>23</xdr:col>
      <xdr:colOff>638175</xdr:colOff>
      <xdr:row>929</xdr:row>
      <xdr:rowOff>0</xdr:rowOff>
    </xdr:to>
    <xdr:sp macro="" textlink="">
      <xdr:nvSpPr>
        <xdr:cNvPr id="17" name="Texto 8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20516850" y="16859250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1131</xdr:row>
      <xdr:rowOff>0</xdr:rowOff>
    </xdr:from>
    <xdr:to>
      <xdr:col>23</xdr:col>
      <xdr:colOff>638175</xdr:colOff>
      <xdr:row>1131</xdr:row>
      <xdr:rowOff>0</xdr:rowOff>
    </xdr:to>
    <xdr:sp macro="" textlink="">
      <xdr:nvSpPr>
        <xdr:cNvPr id="18" name="Texto 3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20516850" y="20514945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1131</xdr:row>
      <xdr:rowOff>0</xdr:rowOff>
    </xdr:from>
    <xdr:to>
      <xdr:col>23</xdr:col>
      <xdr:colOff>638175</xdr:colOff>
      <xdr:row>1131</xdr:row>
      <xdr:rowOff>0</xdr:rowOff>
    </xdr:to>
    <xdr:sp macro="" textlink="">
      <xdr:nvSpPr>
        <xdr:cNvPr id="19" name="Texto 4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20516850" y="20514945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1131</xdr:row>
      <xdr:rowOff>0</xdr:rowOff>
    </xdr:from>
    <xdr:to>
      <xdr:col>23</xdr:col>
      <xdr:colOff>638175</xdr:colOff>
      <xdr:row>1131</xdr:row>
      <xdr:rowOff>0</xdr:rowOff>
    </xdr:to>
    <xdr:sp macro="" textlink="">
      <xdr:nvSpPr>
        <xdr:cNvPr id="20" name="Texto 7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20516850" y="20514945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1131</xdr:row>
      <xdr:rowOff>0</xdr:rowOff>
    </xdr:from>
    <xdr:to>
      <xdr:col>23</xdr:col>
      <xdr:colOff>638175</xdr:colOff>
      <xdr:row>1131</xdr:row>
      <xdr:rowOff>0</xdr:rowOff>
    </xdr:to>
    <xdr:sp macro="" textlink="">
      <xdr:nvSpPr>
        <xdr:cNvPr id="21" name="Texto 8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>
          <a:spLocks noChangeArrowheads="1"/>
        </xdr:cNvSpPr>
      </xdr:nvSpPr>
      <xdr:spPr bwMode="auto">
        <a:xfrm>
          <a:off x="20516850" y="20514945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1333</xdr:row>
      <xdr:rowOff>0</xdr:rowOff>
    </xdr:from>
    <xdr:to>
      <xdr:col>23</xdr:col>
      <xdr:colOff>638175</xdr:colOff>
      <xdr:row>1333</xdr:row>
      <xdr:rowOff>0</xdr:rowOff>
    </xdr:to>
    <xdr:sp macro="" textlink="">
      <xdr:nvSpPr>
        <xdr:cNvPr id="22" name="Texto 3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20516850" y="24170640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1333</xdr:row>
      <xdr:rowOff>0</xdr:rowOff>
    </xdr:from>
    <xdr:to>
      <xdr:col>23</xdr:col>
      <xdr:colOff>638175</xdr:colOff>
      <xdr:row>1333</xdr:row>
      <xdr:rowOff>0</xdr:rowOff>
    </xdr:to>
    <xdr:sp macro="" textlink="">
      <xdr:nvSpPr>
        <xdr:cNvPr id="23" name="Texto 4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20516850" y="24170640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1333</xdr:row>
      <xdr:rowOff>0</xdr:rowOff>
    </xdr:from>
    <xdr:to>
      <xdr:col>23</xdr:col>
      <xdr:colOff>638175</xdr:colOff>
      <xdr:row>1333</xdr:row>
      <xdr:rowOff>0</xdr:rowOff>
    </xdr:to>
    <xdr:sp macro="" textlink="">
      <xdr:nvSpPr>
        <xdr:cNvPr id="24" name="Texto 7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20516850" y="24170640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1333</xdr:row>
      <xdr:rowOff>0</xdr:rowOff>
    </xdr:from>
    <xdr:to>
      <xdr:col>23</xdr:col>
      <xdr:colOff>638175</xdr:colOff>
      <xdr:row>1333</xdr:row>
      <xdr:rowOff>0</xdr:rowOff>
    </xdr:to>
    <xdr:sp macro="" textlink="">
      <xdr:nvSpPr>
        <xdr:cNvPr id="25" name="Texto 8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20516850" y="24170640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1607</xdr:row>
      <xdr:rowOff>0</xdr:rowOff>
    </xdr:from>
    <xdr:to>
      <xdr:col>23</xdr:col>
      <xdr:colOff>638175</xdr:colOff>
      <xdr:row>1607</xdr:row>
      <xdr:rowOff>0</xdr:rowOff>
    </xdr:to>
    <xdr:sp macro="" textlink="">
      <xdr:nvSpPr>
        <xdr:cNvPr id="26" name="Texto 3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>
          <a:spLocks noChangeArrowheads="1"/>
        </xdr:cNvSpPr>
      </xdr:nvSpPr>
      <xdr:spPr bwMode="auto">
        <a:xfrm>
          <a:off x="20516850" y="29129355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1607</xdr:row>
      <xdr:rowOff>0</xdr:rowOff>
    </xdr:from>
    <xdr:to>
      <xdr:col>23</xdr:col>
      <xdr:colOff>638175</xdr:colOff>
      <xdr:row>1607</xdr:row>
      <xdr:rowOff>0</xdr:rowOff>
    </xdr:to>
    <xdr:sp macro="" textlink="">
      <xdr:nvSpPr>
        <xdr:cNvPr id="27" name="Texto 4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20516850" y="29129355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1607</xdr:row>
      <xdr:rowOff>0</xdr:rowOff>
    </xdr:from>
    <xdr:to>
      <xdr:col>23</xdr:col>
      <xdr:colOff>638175</xdr:colOff>
      <xdr:row>1607</xdr:row>
      <xdr:rowOff>0</xdr:rowOff>
    </xdr:to>
    <xdr:sp macro="" textlink="">
      <xdr:nvSpPr>
        <xdr:cNvPr id="28" name="Texto 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20516850" y="29129355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1607</xdr:row>
      <xdr:rowOff>0</xdr:rowOff>
    </xdr:from>
    <xdr:to>
      <xdr:col>23</xdr:col>
      <xdr:colOff>638175</xdr:colOff>
      <xdr:row>1607</xdr:row>
      <xdr:rowOff>0</xdr:rowOff>
    </xdr:to>
    <xdr:sp macro="" textlink="">
      <xdr:nvSpPr>
        <xdr:cNvPr id="29" name="Texto 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20516850" y="29129355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1785</xdr:row>
      <xdr:rowOff>0</xdr:rowOff>
    </xdr:from>
    <xdr:to>
      <xdr:col>23</xdr:col>
      <xdr:colOff>638175</xdr:colOff>
      <xdr:row>1785</xdr:row>
      <xdr:rowOff>0</xdr:rowOff>
    </xdr:to>
    <xdr:sp macro="" textlink="">
      <xdr:nvSpPr>
        <xdr:cNvPr id="30" name="Texto 3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20516850" y="32350710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1785</xdr:row>
      <xdr:rowOff>0</xdr:rowOff>
    </xdr:from>
    <xdr:to>
      <xdr:col>23</xdr:col>
      <xdr:colOff>638175</xdr:colOff>
      <xdr:row>1785</xdr:row>
      <xdr:rowOff>0</xdr:rowOff>
    </xdr:to>
    <xdr:sp macro="" textlink="">
      <xdr:nvSpPr>
        <xdr:cNvPr id="31" name="Texto 4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>
          <a:spLocks noChangeArrowheads="1"/>
        </xdr:cNvSpPr>
      </xdr:nvSpPr>
      <xdr:spPr bwMode="auto">
        <a:xfrm>
          <a:off x="20516850" y="32350710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1785</xdr:row>
      <xdr:rowOff>0</xdr:rowOff>
    </xdr:from>
    <xdr:to>
      <xdr:col>23</xdr:col>
      <xdr:colOff>638175</xdr:colOff>
      <xdr:row>1785</xdr:row>
      <xdr:rowOff>0</xdr:rowOff>
    </xdr:to>
    <xdr:sp macro="" textlink="">
      <xdr:nvSpPr>
        <xdr:cNvPr id="32" name="Texto 7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 txBox="1">
          <a:spLocks noChangeArrowheads="1"/>
        </xdr:cNvSpPr>
      </xdr:nvSpPr>
      <xdr:spPr bwMode="auto">
        <a:xfrm>
          <a:off x="20516850" y="32350710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38100</xdr:colOff>
      <xdr:row>1785</xdr:row>
      <xdr:rowOff>0</xdr:rowOff>
    </xdr:from>
    <xdr:to>
      <xdr:col>23</xdr:col>
      <xdr:colOff>638175</xdr:colOff>
      <xdr:row>1785</xdr:row>
      <xdr:rowOff>0</xdr:rowOff>
    </xdr:to>
    <xdr:sp macro="" textlink="">
      <xdr:nvSpPr>
        <xdr:cNvPr id="33" name="Texto 8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 txBox="1">
          <a:spLocks noChangeArrowheads="1"/>
        </xdr:cNvSpPr>
      </xdr:nvSpPr>
      <xdr:spPr bwMode="auto">
        <a:xfrm>
          <a:off x="20516850" y="323507100"/>
          <a:ext cx="9906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35</xdr:col>
      <xdr:colOff>1018</xdr:colOff>
      <xdr:row>44</xdr:row>
      <xdr:rowOff>87826</xdr:rowOff>
    </xdr:from>
    <xdr:to>
      <xdr:col>45</xdr:col>
      <xdr:colOff>623554</xdr:colOff>
      <xdr:row>69</xdr:row>
      <xdr:rowOff>171992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0</xdr:colOff>
      <xdr:row>70</xdr:row>
      <xdr:rowOff>127266</xdr:rowOff>
    </xdr:from>
    <xdr:to>
      <xdr:col>45</xdr:col>
      <xdr:colOff>622536</xdr:colOff>
      <xdr:row>96</xdr:row>
      <xdr:rowOff>34539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absoluteAnchor>
    <xdr:pos x="39787338" y="8473539"/>
    <xdr:ext cx="8053200" cy="4500337"/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  <xdr:twoCellAnchor>
    <xdr:from>
      <xdr:col>45</xdr:col>
      <xdr:colOff>763601</xdr:colOff>
      <xdr:row>70</xdr:row>
      <xdr:rowOff>132869</xdr:rowOff>
    </xdr:from>
    <xdr:to>
      <xdr:col>58</xdr:col>
      <xdr:colOff>175901</xdr:colOff>
      <xdr:row>96</xdr:row>
      <xdr:rowOff>40822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3150628</xdr:colOff>
      <xdr:row>0</xdr:row>
      <xdr:rowOff>99785</xdr:rowOff>
    </xdr:from>
    <xdr:to>
      <xdr:col>6</xdr:col>
      <xdr:colOff>4622493</xdr:colOff>
      <xdr:row>1</xdr:row>
      <xdr:rowOff>8056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3B4D4379-9B1F-49F8-8B1D-1B721C408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9628" y="99785"/>
          <a:ext cx="1471865" cy="751914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0.81484</cdr:x>
      <cdr:y>0.32576</cdr:y>
    </cdr:from>
    <cdr:to>
      <cdr:x>0.9462</cdr:x>
      <cdr:y>0.49503</cdr:y>
    </cdr:to>
    <cdr:sp macro="" textlink="">
      <cdr:nvSpPr>
        <cdr:cNvPr id="3" name="CaixaDeTexto 2"/>
        <cdr:cNvSpPr txBox="1"/>
      </cdr:nvSpPr>
      <cdr:spPr>
        <a:xfrm xmlns:a="http://schemas.openxmlformats.org/drawingml/2006/main">
          <a:off x="6464776" y="1401754"/>
          <a:ext cx="1042147" cy="7283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0.74288</cdr:x>
      <cdr:y>0.01816</cdr:y>
    </cdr:from>
    <cdr:to>
      <cdr:x>0.99018</cdr:x>
      <cdr:y>0.16884</cdr:y>
    </cdr:to>
    <cdr:grpSp>
      <cdr:nvGrpSpPr>
        <cdr:cNvPr id="8" name="Grupo 7">
          <a:extLst xmlns:a="http://schemas.openxmlformats.org/drawingml/2006/main">
            <a:ext uri="{FF2B5EF4-FFF2-40B4-BE49-F238E27FC236}">
              <a16:creationId xmlns:a16="http://schemas.microsoft.com/office/drawing/2014/main" id="{A14E241C-DF76-EAE8-6ECD-5D84E023DB2C}"/>
            </a:ext>
          </a:extLst>
        </cdr:cNvPr>
        <cdr:cNvGrpSpPr/>
      </cdr:nvGrpSpPr>
      <cdr:grpSpPr>
        <a:xfrm xmlns:a="http://schemas.openxmlformats.org/drawingml/2006/main">
          <a:off x="6197344" y="83897"/>
          <a:ext cx="2063056" cy="696124"/>
          <a:chOff x="0" y="0"/>
          <a:chExt cx="1974644" cy="650956"/>
        </a:xfrm>
      </cdr:grpSpPr>
      <cdr:sp macro="" textlink="">
        <cdr:nvSpPr>
          <cdr:cNvPr id="9" name="CaixaDeTexto 2"/>
          <cdr:cNvSpPr txBox="1"/>
        </cdr:nvSpPr>
        <cdr:spPr>
          <a:xfrm xmlns:a="http://schemas.openxmlformats.org/drawingml/2006/main">
            <a:off x="0" y="9914"/>
            <a:ext cx="1886120" cy="641042"/>
          </a:xfrm>
          <a:prstGeom xmlns:a="http://schemas.openxmlformats.org/drawingml/2006/main" prst="rect">
            <a:avLst/>
          </a:prstGeom>
          <a:solidFill xmlns:a="http://schemas.openxmlformats.org/drawingml/2006/main">
            <a:sysClr val="window" lastClr="FFFFFF"/>
          </a:solidFill>
          <a:ln xmlns:a="http://schemas.openxmlformats.org/drawingml/2006/main">
            <a:solidFill>
              <a:srgbClr val="4F81BD"/>
            </a:solidFill>
          </a:ln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r>
              <a:rPr lang="pt-BR" sz="1100"/>
              <a:t>Mistura:</a:t>
            </a:r>
          </a:p>
          <a:p xmlns:a="http://schemas.openxmlformats.org/drawingml/2006/main">
            <a:r>
              <a:rPr lang="pt-BR" sz="1100"/>
              <a:t>fck (MPa)=</a:t>
            </a:r>
          </a:p>
          <a:p xmlns:a="http://schemas.openxmlformats.org/drawingml/2006/main">
            <a:r>
              <a:rPr lang="pt-BR" sz="1100"/>
              <a:t>Idade de Controle</a:t>
            </a:r>
            <a:r>
              <a:rPr lang="pt-BR" sz="1100" baseline="0"/>
              <a:t> (dias)=</a:t>
            </a:r>
          </a:p>
        </cdr:txBody>
      </cdr:sp>
      <cdr:sp macro="" textlink="'FR-IMOB-43_Rev00'!$C$3">
        <cdr:nvSpPr>
          <cdr:cNvPr id="10" name="CaixaDeTexto 3"/>
          <cdr:cNvSpPr txBox="1"/>
        </cdr:nvSpPr>
        <cdr:spPr>
          <a:xfrm xmlns:a="http://schemas.openxmlformats.org/drawingml/2006/main">
            <a:off x="578959" y="0"/>
            <a:ext cx="1178970" cy="24784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pPr algn="l"/>
            <a:fld id="{1EB5B692-3D64-4F62-84B1-EDFEBC28D535}" type="TxLink">
              <a:rPr lang="pt-BR" sz="1200" b="1"/>
              <a:pPr algn="l"/>
              <a:t> </a:t>
            </a:fld>
            <a:endParaRPr lang="pt-BR" sz="1200" b="1"/>
          </a:p>
        </cdr:txBody>
      </cdr:sp>
      <cdr:sp macro="" textlink="'FR-IMOB-43_Rev00'!$AE$7">
        <cdr:nvSpPr>
          <cdr:cNvPr id="11" name="CaixaDeTexto 1"/>
          <cdr:cNvSpPr txBox="1"/>
        </cdr:nvSpPr>
        <cdr:spPr>
          <a:xfrm xmlns:a="http://schemas.openxmlformats.org/drawingml/2006/main">
            <a:off x="651287" y="170215"/>
            <a:ext cx="1074660" cy="24784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pPr algn="l"/>
            <a:fld id="{A1467C8A-B6CD-4580-9481-A3E5F60DBA6D}" type="TxLink">
              <a:rPr lang="pt-BR" sz="1200" b="1"/>
              <a:pPr algn="l"/>
              <a:t> </a:t>
            </a:fld>
            <a:endParaRPr lang="pt-BR" sz="1200" b="1"/>
          </a:p>
        </cdr:txBody>
      </cdr:sp>
      <cdr:sp macro="" textlink="'FR-IMOB-43_Rev00'!$AF$7">
        <cdr:nvSpPr>
          <cdr:cNvPr id="12" name="CaixaDeTexto 1"/>
          <cdr:cNvSpPr txBox="1"/>
        </cdr:nvSpPr>
        <cdr:spPr>
          <a:xfrm xmlns:a="http://schemas.openxmlformats.org/drawingml/2006/main">
            <a:off x="1448317" y="339375"/>
            <a:ext cx="526327" cy="24784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pPr algn="l"/>
            <a:fld id="{84FEE535-3DEA-49EA-B356-EEB57407754C}" type="TxLink">
              <a:rPr lang="pt-BR" sz="1200" b="1"/>
              <a:pPr algn="l"/>
              <a:t> </a:t>
            </a:fld>
            <a:endParaRPr lang="pt-BR" sz="1200" b="1"/>
          </a:p>
        </cdr:txBody>
      </cdr:sp>
    </cdr:grp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0.81484</cdr:x>
      <cdr:y>0.32576</cdr:y>
    </cdr:from>
    <cdr:to>
      <cdr:x>0.9462</cdr:x>
      <cdr:y>0.49503</cdr:y>
    </cdr:to>
    <cdr:sp macro="" textlink="">
      <cdr:nvSpPr>
        <cdr:cNvPr id="7" name="CaixaDeTexto 2"/>
        <cdr:cNvSpPr txBox="1"/>
      </cdr:nvSpPr>
      <cdr:spPr>
        <a:xfrm xmlns:a="http://schemas.openxmlformats.org/drawingml/2006/main">
          <a:off x="6464776" y="1401754"/>
          <a:ext cx="1042147" cy="7283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0.36796</cdr:x>
      <cdr:y>0.09694</cdr:y>
    </cdr:from>
    <cdr:to>
      <cdr:x>0.6046</cdr:x>
      <cdr:y>0.26977</cdr:y>
    </cdr:to>
    <cdr:grpSp>
      <cdr:nvGrpSpPr>
        <cdr:cNvPr id="17" name="Grupo 16">
          <a:extLst xmlns:a="http://schemas.openxmlformats.org/drawingml/2006/main">
            <a:ext uri="{FF2B5EF4-FFF2-40B4-BE49-F238E27FC236}">
              <a16:creationId xmlns:a16="http://schemas.microsoft.com/office/drawing/2014/main" id="{6C237C15-A673-F662-0A50-4BAA4EDAAFB9}"/>
            </a:ext>
          </a:extLst>
        </cdr:cNvPr>
        <cdr:cNvGrpSpPr/>
      </cdr:nvGrpSpPr>
      <cdr:grpSpPr>
        <a:xfrm xmlns:a="http://schemas.openxmlformats.org/drawingml/2006/main">
          <a:off x="3069641" y="448291"/>
          <a:ext cx="1974127" cy="799238"/>
          <a:chOff x="2157188" y="1414"/>
          <a:chExt cx="1886123" cy="746511"/>
        </a:xfrm>
      </cdr:grpSpPr>
      <cdr:sp macro="" textlink="">
        <cdr:nvSpPr>
          <cdr:cNvPr id="23" name="CaixaDeTexto 2"/>
          <cdr:cNvSpPr txBox="1"/>
        </cdr:nvSpPr>
        <cdr:spPr>
          <a:xfrm xmlns:a="http://schemas.openxmlformats.org/drawingml/2006/main">
            <a:off x="2157188" y="15194"/>
            <a:ext cx="1886123" cy="732731"/>
          </a:xfrm>
          <a:prstGeom xmlns:a="http://schemas.openxmlformats.org/drawingml/2006/main" prst="rect">
            <a:avLst/>
          </a:prstGeom>
          <a:solidFill xmlns:a="http://schemas.openxmlformats.org/drawingml/2006/main">
            <a:sysClr val="window" lastClr="FFFFFF"/>
          </a:solidFill>
          <a:ln xmlns:a="http://schemas.openxmlformats.org/drawingml/2006/main">
            <a:solidFill>
              <a:srgbClr val="4F81BD"/>
            </a:solidFill>
          </a:ln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r>
              <a:rPr lang="pt-BR" sz="1100" baseline="0"/>
              <a:t>Número de amostras:</a:t>
            </a:r>
          </a:p>
          <a:p xmlns:a="http://schemas.openxmlformats.org/drawingml/2006/main">
            <a:r>
              <a:rPr lang="pt-BR" sz="1100"/>
              <a:t>Média (MPa):</a:t>
            </a:r>
          </a:p>
          <a:p xmlns:a="http://schemas.openxmlformats.org/drawingml/2006/main">
            <a:r>
              <a:rPr lang="pt-BR" sz="1100"/>
              <a:t>Desvio Padrão:</a:t>
            </a:r>
            <a:r>
              <a:rPr lang="pt-BR" sz="1100" baseline="0"/>
              <a:t> </a:t>
            </a:r>
          </a:p>
          <a:p xmlns:a="http://schemas.openxmlformats.org/drawingml/2006/main">
            <a:r>
              <a:rPr lang="pt-BR" sz="1100" baseline="0"/>
              <a:t>Coef. Variação (%):</a:t>
            </a:r>
            <a:endParaRPr lang="pt-BR" sz="1100"/>
          </a:p>
        </cdr:txBody>
      </cdr:sp>
      <cdr:sp macro="" textlink="'FR-IMOB-43_Rev00'!$BQ$12">
        <cdr:nvSpPr>
          <cdr:cNvPr id="24" name="CaixaDeTexto 1"/>
          <cdr:cNvSpPr txBox="1"/>
        </cdr:nvSpPr>
        <cdr:spPr>
          <a:xfrm xmlns:a="http://schemas.openxmlformats.org/drawingml/2006/main">
            <a:off x="3489985" y="1414"/>
            <a:ext cx="472110" cy="237551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pPr algn="l"/>
            <a:fld id="{F7A96FF6-D96A-4048-8099-6E4B7009E7CF}" type="TxLink">
              <a:rPr lang="pt-BR" sz="1200" b="1"/>
              <a:pPr algn="l"/>
              <a:t> </a:t>
            </a:fld>
            <a:endParaRPr lang="pt-BR" sz="1200" b="1"/>
          </a:p>
        </cdr:txBody>
      </cdr:sp>
      <cdr:sp macro="" textlink="'FR-IMOB-43_Rev00'!$BQ$13">
        <cdr:nvSpPr>
          <cdr:cNvPr id="25" name="CaixaDeTexto 1"/>
          <cdr:cNvSpPr txBox="1"/>
        </cdr:nvSpPr>
        <cdr:spPr>
          <a:xfrm xmlns:a="http://schemas.openxmlformats.org/drawingml/2006/main">
            <a:off x="3026740" y="160188"/>
            <a:ext cx="526328" cy="237551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pPr algn="l"/>
            <a:fld id="{3E61FF42-D6C9-4EF5-9F54-511ED20A995B}" type="TxLink">
              <a:rPr lang="pt-BR" sz="1200" b="1"/>
              <a:pPr algn="l"/>
              <a:t> </a:t>
            </a:fld>
            <a:endParaRPr lang="pt-BR" sz="1200" b="1"/>
          </a:p>
        </cdr:txBody>
      </cdr:sp>
      <cdr:sp macro="" textlink="'FR-IMOB-43_Rev00'!$BQ$14">
        <cdr:nvSpPr>
          <cdr:cNvPr id="26" name="CaixaDeTexto 1"/>
          <cdr:cNvSpPr txBox="1"/>
        </cdr:nvSpPr>
        <cdr:spPr>
          <a:xfrm xmlns:a="http://schemas.openxmlformats.org/drawingml/2006/main">
            <a:off x="3109569" y="326902"/>
            <a:ext cx="526328" cy="237551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pPr algn="l"/>
            <a:fld id="{D7B2CB40-614B-46C1-BF89-1E3FB3F40E3D}" type="TxLink">
              <a:rPr lang="pt-BR" sz="1200" b="1"/>
              <a:pPr algn="l"/>
              <a:t> </a:t>
            </a:fld>
            <a:endParaRPr lang="pt-BR" sz="1200" b="1"/>
          </a:p>
        </cdr:txBody>
      </cdr:sp>
      <cdr:sp macro="" textlink="'FR-IMOB-43_Rev00'!$BQ$15">
        <cdr:nvSpPr>
          <cdr:cNvPr id="27" name="CaixaDeTexto 1"/>
          <cdr:cNvSpPr txBox="1"/>
        </cdr:nvSpPr>
        <cdr:spPr>
          <a:xfrm xmlns:a="http://schemas.openxmlformats.org/drawingml/2006/main">
            <a:off x="3300068" y="493614"/>
            <a:ext cx="526328" cy="237551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pPr algn="l"/>
            <a:fld id="{455BC859-F079-4E12-B213-C768CED41A75}" type="TxLink">
              <a:rPr lang="pt-BR" sz="1200" b="1"/>
              <a:pPr algn="l"/>
              <a:t> </a:t>
            </a:fld>
            <a:endParaRPr lang="pt-BR" sz="1200" b="1"/>
          </a:p>
        </cdr:txBody>
      </cdr:sp>
    </cdr:grpSp>
  </cdr:relSizeAnchor>
  <cdr:relSizeAnchor xmlns:cdr="http://schemas.openxmlformats.org/drawingml/2006/chartDrawing">
    <cdr:from>
      <cdr:x>0.09731</cdr:x>
      <cdr:y>0.09662</cdr:y>
    </cdr:from>
    <cdr:to>
      <cdr:x>0.34506</cdr:x>
      <cdr:y>0.23207</cdr:y>
    </cdr:to>
    <cdr:grpSp>
      <cdr:nvGrpSpPr>
        <cdr:cNvPr id="18" name="Grupo 17">
          <a:extLst xmlns:a="http://schemas.openxmlformats.org/drawingml/2006/main">
            <a:ext uri="{FF2B5EF4-FFF2-40B4-BE49-F238E27FC236}">
              <a16:creationId xmlns:a16="http://schemas.microsoft.com/office/drawing/2014/main" id="{7563790F-5604-06A4-0CBE-CB9F196E494A}"/>
            </a:ext>
          </a:extLst>
        </cdr:cNvPr>
        <cdr:cNvGrpSpPr/>
      </cdr:nvGrpSpPr>
      <cdr:grpSpPr>
        <a:xfrm xmlns:a="http://schemas.openxmlformats.org/drawingml/2006/main">
          <a:off x="811791" y="446811"/>
          <a:ext cx="2066811" cy="626377"/>
          <a:chOff x="0" y="0"/>
          <a:chExt cx="1974650" cy="585060"/>
        </a:xfrm>
      </cdr:grpSpPr>
      <cdr:sp macro="" textlink="">
        <cdr:nvSpPr>
          <cdr:cNvPr id="19" name="CaixaDeTexto 2"/>
          <cdr:cNvSpPr txBox="1"/>
        </cdr:nvSpPr>
        <cdr:spPr>
          <a:xfrm xmlns:a="http://schemas.openxmlformats.org/drawingml/2006/main">
            <a:off x="0" y="9637"/>
            <a:ext cx="1886126" cy="575423"/>
          </a:xfrm>
          <a:prstGeom xmlns:a="http://schemas.openxmlformats.org/drawingml/2006/main" prst="rect">
            <a:avLst/>
          </a:prstGeom>
          <a:solidFill xmlns:a="http://schemas.openxmlformats.org/drawingml/2006/main">
            <a:sysClr val="window" lastClr="FFFFFF"/>
          </a:solidFill>
          <a:ln xmlns:a="http://schemas.openxmlformats.org/drawingml/2006/main">
            <a:solidFill>
              <a:srgbClr val="4F81BD"/>
            </a:solidFill>
          </a:ln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r>
              <a:rPr lang="pt-BR" sz="1100"/>
              <a:t>Mistura:</a:t>
            </a:r>
          </a:p>
          <a:p xmlns:a="http://schemas.openxmlformats.org/drawingml/2006/main">
            <a:r>
              <a:rPr lang="pt-BR" sz="1100"/>
              <a:t>fck (MPa)=</a:t>
            </a:r>
          </a:p>
          <a:p xmlns:a="http://schemas.openxmlformats.org/drawingml/2006/main">
            <a:r>
              <a:rPr lang="pt-BR" sz="1100"/>
              <a:t>Idade de Controle</a:t>
            </a:r>
            <a:r>
              <a:rPr lang="pt-BR" sz="1100" baseline="0"/>
              <a:t> (dias)=</a:t>
            </a:r>
          </a:p>
        </cdr:txBody>
      </cdr:sp>
      <cdr:sp macro="" textlink="'FR-IMOB-43_Rev00'!$C$3">
        <cdr:nvSpPr>
          <cdr:cNvPr id="20" name="CaixaDeTexto 3"/>
          <cdr:cNvSpPr txBox="1"/>
        </cdr:nvSpPr>
        <cdr:spPr>
          <a:xfrm xmlns:a="http://schemas.openxmlformats.org/drawingml/2006/main">
            <a:off x="578961" y="0"/>
            <a:ext cx="1178974" cy="24090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pPr algn="l"/>
            <a:fld id="{C786862B-A1DB-4C08-86CD-01619B633E4C}" type="TxLink">
              <a:rPr lang="pt-BR" sz="1200" b="1"/>
              <a:pPr algn="l"/>
              <a:t> </a:t>
            </a:fld>
            <a:endParaRPr lang="pt-BR" sz="1200" b="1"/>
          </a:p>
        </cdr:txBody>
      </cdr:sp>
      <cdr:sp macro="" textlink="'FR-IMOB-43_Rev00'!$AE$7">
        <cdr:nvSpPr>
          <cdr:cNvPr id="21" name="CaixaDeTexto 1"/>
          <cdr:cNvSpPr txBox="1"/>
        </cdr:nvSpPr>
        <cdr:spPr>
          <a:xfrm xmlns:a="http://schemas.openxmlformats.org/drawingml/2006/main">
            <a:off x="651289" y="165448"/>
            <a:ext cx="1074664" cy="24090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pPr algn="l"/>
            <a:fld id="{A725ED49-BAE3-4217-BF33-C4C71DCAE26A}" type="TxLink">
              <a:rPr lang="pt-BR" sz="1200" b="1"/>
              <a:pPr algn="l"/>
              <a:t> </a:t>
            </a:fld>
            <a:endParaRPr lang="pt-BR" sz="1200" b="1"/>
          </a:p>
        </cdr:txBody>
      </cdr:sp>
      <cdr:sp macro="" textlink="'FR-IMOB-43_Rev00'!$AF$7">
        <cdr:nvSpPr>
          <cdr:cNvPr id="22" name="CaixaDeTexto 1"/>
          <cdr:cNvSpPr txBox="1"/>
        </cdr:nvSpPr>
        <cdr:spPr>
          <a:xfrm xmlns:a="http://schemas.openxmlformats.org/drawingml/2006/main">
            <a:off x="1448321" y="329871"/>
            <a:ext cx="526329" cy="24090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pPr algn="l"/>
            <a:fld id="{49B97B5C-8698-4DA5-B895-89DDD7B98DAE}" type="TxLink">
              <a:rPr lang="pt-BR" sz="1200" b="1"/>
              <a:pPr algn="l"/>
              <a:t> </a:t>
            </a:fld>
            <a:endParaRPr lang="pt-BR" sz="1200" b="1"/>
          </a:p>
        </cdr:txBody>
      </cdr:sp>
    </cdr:grp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0.60275</cdr:x>
      <cdr:y>0.23825</cdr:y>
    </cdr:from>
    <cdr:to>
      <cdr:x>0.80475</cdr:x>
      <cdr:y>0.257</cdr:y>
    </cdr:to>
    <cdr:sp macro="" textlink="">
      <cdr:nvSpPr>
        <cdr:cNvPr id="112661" name="Text Box 2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50276" y="1388831"/>
          <a:ext cx="1960607" cy="1092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0.60275</cdr:x>
      <cdr:y>0.17825</cdr:y>
    </cdr:from>
    <cdr:to>
      <cdr:x>0.6385</cdr:x>
      <cdr:y>0.239</cdr:y>
    </cdr:to>
    <cdr:sp macro="" textlink="">
      <cdr:nvSpPr>
        <cdr:cNvPr id="112668" name="Text Box 2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50276" y="1039073"/>
          <a:ext cx="346989" cy="3541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0.73584</cdr:x>
      <cdr:y>0.01746</cdr:y>
    </cdr:from>
    <cdr:to>
      <cdr:x>0.97005</cdr:x>
      <cdr:y>0.20429</cdr:y>
    </cdr:to>
    <cdr:grpSp>
      <cdr:nvGrpSpPr>
        <cdr:cNvPr id="19" name="Grupo 18">
          <a:extLst xmlns:a="http://schemas.openxmlformats.org/drawingml/2006/main">
            <a:ext uri="{FF2B5EF4-FFF2-40B4-BE49-F238E27FC236}">
              <a16:creationId xmlns:a16="http://schemas.microsoft.com/office/drawing/2014/main" id="{7DB2B9A3-F135-55D1-7D80-E323A9C92628}"/>
            </a:ext>
          </a:extLst>
        </cdr:cNvPr>
        <cdr:cNvGrpSpPr/>
      </cdr:nvGrpSpPr>
      <cdr:grpSpPr>
        <a:xfrm xmlns:a="http://schemas.openxmlformats.org/drawingml/2006/main">
          <a:off x="5925867" y="78576"/>
          <a:ext cx="1886140" cy="840798"/>
          <a:chOff x="2556386" y="1349"/>
          <a:chExt cx="1880515" cy="782025"/>
        </a:xfrm>
      </cdr:grpSpPr>
      <cdr:sp macro="" textlink="">
        <cdr:nvSpPr>
          <cdr:cNvPr id="25" name="CaixaDeTexto 2"/>
          <cdr:cNvSpPr txBox="1"/>
        </cdr:nvSpPr>
        <cdr:spPr>
          <a:xfrm xmlns:a="http://schemas.openxmlformats.org/drawingml/2006/main">
            <a:off x="2556386" y="15785"/>
            <a:ext cx="1880515" cy="767589"/>
          </a:xfrm>
          <a:prstGeom xmlns:a="http://schemas.openxmlformats.org/drawingml/2006/main" prst="rect">
            <a:avLst/>
          </a:prstGeom>
          <a:solidFill xmlns:a="http://schemas.openxmlformats.org/drawingml/2006/main">
            <a:sysClr val="window" lastClr="FFFFFF"/>
          </a:solidFill>
          <a:ln xmlns:a="http://schemas.openxmlformats.org/drawingml/2006/main">
            <a:solidFill>
              <a:srgbClr val="4F81BD"/>
            </a:solidFill>
          </a:ln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r>
              <a:rPr lang="pt-BR" sz="1100" baseline="0"/>
              <a:t>Número de amostras:</a:t>
            </a:r>
          </a:p>
          <a:p xmlns:a="http://schemas.openxmlformats.org/drawingml/2006/main">
            <a:r>
              <a:rPr lang="pt-BR" sz="1100"/>
              <a:t>Média (MPa):</a:t>
            </a:r>
          </a:p>
          <a:p xmlns:a="http://schemas.openxmlformats.org/drawingml/2006/main">
            <a:r>
              <a:rPr lang="pt-BR" sz="1100"/>
              <a:t>Desvio Padrão:</a:t>
            </a:r>
            <a:r>
              <a:rPr lang="pt-BR" sz="1100" baseline="0"/>
              <a:t> </a:t>
            </a:r>
          </a:p>
          <a:p xmlns:a="http://schemas.openxmlformats.org/drawingml/2006/main">
            <a:r>
              <a:rPr lang="pt-BR" sz="1100" baseline="0"/>
              <a:t>Coef. Variação (%):</a:t>
            </a:r>
            <a:endParaRPr lang="pt-BR" sz="1100"/>
          </a:p>
        </cdr:txBody>
      </cdr:sp>
      <cdr:sp macro="" textlink="'FR-IMOB-43_Rev00'!$BQ$12">
        <cdr:nvSpPr>
          <cdr:cNvPr id="26" name="CaixaDeTexto 1"/>
          <cdr:cNvSpPr txBox="1"/>
        </cdr:nvSpPr>
        <cdr:spPr>
          <a:xfrm xmlns:a="http://schemas.openxmlformats.org/drawingml/2006/main">
            <a:off x="3885220" y="1349"/>
            <a:ext cx="470706" cy="248853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pPr algn="l"/>
            <a:fld id="{F78CCF33-2EF5-4D29-B9CB-EEB3A286BCC7}" type="TxLink">
              <a:rPr lang="pt-BR" sz="1200" b="1"/>
              <a:pPr algn="l"/>
              <a:t> </a:t>
            </a:fld>
            <a:endParaRPr lang="pt-BR" sz="1200" b="1"/>
          </a:p>
        </cdr:txBody>
      </cdr:sp>
      <cdr:sp macro="" textlink="'FR-IMOB-43_Rev00'!$BQ$13">
        <cdr:nvSpPr>
          <cdr:cNvPr id="27" name="CaixaDeTexto 1"/>
          <cdr:cNvSpPr txBox="1"/>
        </cdr:nvSpPr>
        <cdr:spPr>
          <a:xfrm xmlns:a="http://schemas.openxmlformats.org/drawingml/2006/main">
            <a:off x="3423353" y="167676"/>
            <a:ext cx="524763" cy="248853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pPr algn="l"/>
            <a:fld id="{F471349E-F965-42B5-830D-49517D378221}" type="TxLink">
              <a:rPr lang="pt-BR" sz="1200" b="1"/>
              <a:pPr algn="l"/>
              <a:t> </a:t>
            </a:fld>
            <a:endParaRPr lang="pt-BR" sz="1200" b="1"/>
          </a:p>
        </cdr:txBody>
      </cdr:sp>
      <cdr:sp macro="" textlink="'FR-IMOB-43_Rev00'!$BQ$14">
        <cdr:nvSpPr>
          <cdr:cNvPr id="28" name="CaixaDeTexto 1"/>
          <cdr:cNvSpPr txBox="1"/>
        </cdr:nvSpPr>
        <cdr:spPr>
          <a:xfrm xmlns:a="http://schemas.openxmlformats.org/drawingml/2006/main">
            <a:off x="3505935" y="342322"/>
            <a:ext cx="524763" cy="248853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pPr algn="l"/>
            <a:fld id="{F8F87489-7F2E-495C-A848-B0932F33CCDF}" type="TxLink">
              <a:rPr lang="pt-BR" sz="1200" b="1"/>
              <a:pPr algn="l"/>
              <a:t> </a:t>
            </a:fld>
            <a:endParaRPr lang="pt-BR" sz="1200" b="1"/>
          </a:p>
        </cdr:txBody>
      </cdr:sp>
      <cdr:sp macro="" textlink="'FR-IMOB-43_Rev00'!$BQ$15">
        <cdr:nvSpPr>
          <cdr:cNvPr id="29" name="CaixaDeTexto 1"/>
          <cdr:cNvSpPr txBox="1"/>
        </cdr:nvSpPr>
        <cdr:spPr>
          <a:xfrm xmlns:a="http://schemas.openxmlformats.org/drawingml/2006/main">
            <a:off x="3695868" y="516965"/>
            <a:ext cx="524763" cy="248853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pPr algn="l"/>
            <a:fld id="{0F49D5A7-88D2-4D15-BF7E-B757A1CC4641}" type="TxLink">
              <a:rPr lang="pt-BR" sz="1200" b="1"/>
              <a:pPr algn="l"/>
              <a:t> </a:t>
            </a:fld>
            <a:endParaRPr lang="pt-BR" sz="1200" b="1"/>
          </a:p>
        </cdr:txBody>
      </cdr:sp>
    </cdr:grpSp>
  </cdr:relSizeAnchor>
  <cdr:relSizeAnchor xmlns:cdr="http://schemas.openxmlformats.org/drawingml/2006/chartDrawing">
    <cdr:from>
      <cdr:x>0.4184</cdr:x>
      <cdr:y>0.01714</cdr:y>
    </cdr:from>
    <cdr:to>
      <cdr:x>0.6636</cdr:x>
      <cdr:y>0.16356</cdr:y>
    </cdr:to>
    <cdr:grpSp>
      <cdr:nvGrpSpPr>
        <cdr:cNvPr id="20" name="Grupo 19">
          <a:extLst xmlns:a="http://schemas.openxmlformats.org/drawingml/2006/main">
            <a:ext uri="{FF2B5EF4-FFF2-40B4-BE49-F238E27FC236}">
              <a16:creationId xmlns:a16="http://schemas.microsoft.com/office/drawing/2014/main" id="{791468A2-40E6-9B17-B6A7-B01FA0A1AB34}"/>
            </a:ext>
          </a:extLst>
        </cdr:cNvPr>
        <cdr:cNvGrpSpPr/>
      </cdr:nvGrpSpPr>
      <cdr:grpSpPr>
        <a:xfrm xmlns:a="http://schemas.openxmlformats.org/drawingml/2006/main">
          <a:off x="3369459" y="77136"/>
          <a:ext cx="1974645" cy="658939"/>
          <a:chOff x="0" y="0"/>
          <a:chExt cx="1968779" cy="612893"/>
        </a:xfrm>
      </cdr:grpSpPr>
      <cdr:sp macro="" textlink="">
        <cdr:nvSpPr>
          <cdr:cNvPr id="21" name="CaixaDeTexto 2"/>
          <cdr:cNvSpPr txBox="1"/>
        </cdr:nvSpPr>
        <cdr:spPr>
          <a:xfrm xmlns:a="http://schemas.openxmlformats.org/drawingml/2006/main">
            <a:off x="0" y="10095"/>
            <a:ext cx="1880518" cy="602798"/>
          </a:xfrm>
          <a:prstGeom xmlns:a="http://schemas.openxmlformats.org/drawingml/2006/main" prst="rect">
            <a:avLst/>
          </a:prstGeom>
          <a:solidFill xmlns:a="http://schemas.openxmlformats.org/drawingml/2006/main">
            <a:sysClr val="window" lastClr="FFFFFF"/>
          </a:solidFill>
          <a:ln xmlns:a="http://schemas.openxmlformats.org/drawingml/2006/main">
            <a:solidFill>
              <a:srgbClr val="4F81BD"/>
            </a:solidFill>
          </a:ln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r>
              <a:rPr lang="pt-BR" sz="1100"/>
              <a:t>Mistura:</a:t>
            </a:r>
          </a:p>
          <a:p xmlns:a="http://schemas.openxmlformats.org/drawingml/2006/main">
            <a:r>
              <a:rPr lang="pt-BR" sz="1100"/>
              <a:t>fck (MPa)=</a:t>
            </a:r>
          </a:p>
          <a:p xmlns:a="http://schemas.openxmlformats.org/drawingml/2006/main">
            <a:r>
              <a:rPr lang="pt-BR" sz="1100"/>
              <a:t>Idade de Controle</a:t>
            </a:r>
            <a:r>
              <a:rPr lang="pt-BR" sz="1100" baseline="0"/>
              <a:t> (dias)=</a:t>
            </a:r>
          </a:p>
        </cdr:txBody>
      </cdr:sp>
      <cdr:sp macro="" textlink="'FR-IMOB-43_Rev00'!$C$3">
        <cdr:nvSpPr>
          <cdr:cNvPr id="22" name="CaixaDeTexto 3"/>
          <cdr:cNvSpPr txBox="1"/>
        </cdr:nvSpPr>
        <cdr:spPr>
          <a:xfrm xmlns:a="http://schemas.openxmlformats.org/drawingml/2006/main">
            <a:off x="577239" y="0"/>
            <a:ext cx="1175468" cy="25236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pPr algn="l"/>
            <a:fld id="{130E02D6-C533-48B4-8A91-9B06FDECE825}" type="TxLink">
              <a:rPr lang="pt-BR" sz="1200" b="1"/>
              <a:pPr algn="l"/>
              <a:t> </a:t>
            </a:fld>
            <a:endParaRPr lang="pt-BR" sz="1200" b="1"/>
          </a:p>
        </cdr:txBody>
      </cdr:sp>
      <cdr:sp macro="" textlink="'FR-IMOB-43_Rev00'!$AE$7">
        <cdr:nvSpPr>
          <cdr:cNvPr id="23" name="CaixaDeTexto 1"/>
          <cdr:cNvSpPr txBox="1"/>
        </cdr:nvSpPr>
        <cdr:spPr>
          <a:xfrm xmlns:a="http://schemas.openxmlformats.org/drawingml/2006/main">
            <a:off x="649352" y="173319"/>
            <a:ext cx="1071468" cy="25236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pPr algn="l"/>
            <a:fld id="{97BC6145-B30E-425F-9F18-3DF04F10796C}" type="TxLink">
              <a:rPr lang="pt-BR" sz="1200" b="1"/>
              <a:pPr algn="l"/>
              <a:t> </a:t>
            </a:fld>
            <a:endParaRPr lang="pt-BR" sz="1200" b="1"/>
          </a:p>
        </cdr:txBody>
      </cdr:sp>
      <cdr:sp macro="" textlink="'FR-IMOB-43_Rev00'!$AF$7">
        <cdr:nvSpPr>
          <cdr:cNvPr id="24" name="CaixaDeTexto 1"/>
          <cdr:cNvSpPr txBox="1"/>
        </cdr:nvSpPr>
        <cdr:spPr>
          <a:xfrm xmlns:a="http://schemas.openxmlformats.org/drawingml/2006/main">
            <a:off x="1444015" y="345564"/>
            <a:ext cx="524764" cy="25236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pPr algn="l"/>
            <a:fld id="{114A31DE-15E8-4438-A42B-5F1B02951211}" type="TxLink">
              <a:rPr lang="pt-BR" sz="1200" b="1"/>
              <a:pPr algn="l"/>
              <a:t> </a:t>
            </a:fld>
            <a:endParaRPr lang="pt-BR" sz="1200" b="1"/>
          </a:p>
        </cdr:txBody>
      </cdr:sp>
    </cdr:grp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0.81484</cdr:x>
      <cdr:y>0.32576</cdr:y>
    </cdr:from>
    <cdr:to>
      <cdr:x>0.9462</cdr:x>
      <cdr:y>0.49503</cdr:y>
    </cdr:to>
    <cdr:sp macro="" textlink="">
      <cdr:nvSpPr>
        <cdr:cNvPr id="7" name="CaixaDeTexto 2"/>
        <cdr:cNvSpPr txBox="1"/>
      </cdr:nvSpPr>
      <cdr:spPr>
        <a:xfrm xmlns:a="http://schemas.openxmlformats.org/drawingml/2006/main">
          <a:off x="6464776" y="1401754"/>
          <a:ext cx="1042147" cy="7283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0.38693</cdr:x>
      <cdr:y>0.10732</cdr:y>
    </cdr:from>
    <cdr:to>
      <cdr:x>0.62314</cdr:x>
      <cdr:y>0.28761</cdr:y>
    </cdr:to>
    <cdr:grpSp>
      <cdr:nvGrpSpPr>
        <cdr:cNvPr id="8" name="Grupo 7">
          <a:extLst xmlns:a="http://schemas.openxmlformats.org/drawingml/2006/main">
            <a:ext uri="{FF2B5EF4-FFF2-40B4-BE49-F238E27FC236}">
              <a16:creationId xmlns:a16="http://schemas.microsoft.com/office/drawing/2014/main" id="{0B28CFD1-C8C9-65EB-9F25-B1C06AB93C4C}"/>
            </a:ext>
          </a:extLst>
        </cdr:cNvPr>
        <cdr:cNvGrpSpPr/>
      </cdr:nvGrpSpPr>
      <cdr:grpSpPr>
        <a:xfrm xmlns:a="http://schemas.openxmlformats.org/drawingml/2006/main">
          <a:off x="3303669" y="496365"/>
          <a:ext cx="2016798" cy="833859"/>
          <a:chOff x="0" y="-4463"/>
          <a:chExt cx="1886120" cy="778849"/>
        </a:xfrm>
      </cdr:grpSpPr>
      <cdr:sp macro="" textlink="">
        <cdr:nvSpPr>
          <cdr:cNvPr id="9" name="CaixaDeTexto 2"/>
          <cdr:cNvSpPr txBox="1"/>
        </cdr:nvSpPr>
        <cdr:spPr>
          <a:xfrm xmlns:a="http://schemas.openxmlformats.org/drawingml/2006/main">
            <a:off x="0" y="9914"/>
            <a:ext cx="1886120" cy="764472"/>
          </a:xfrm>
          <a:prstGeom xmlns:a="http://schemas.openxmlformats.org/drawingml/2006/main" prst="rect">
            <a:avLst/>
          </a:prstGeom>
          <a:solidFill xmlns:a="http://schemas.openxmlformats.org/drawingml/2006/main">
            <a:sysClr val="window" lastClr="FFFFFF"/>
          </a:solidFill>
          <a:ln xmlns:a="http://schemas.openxmlformats.org/drawingml/2006/main">
            <a:solidFill>
              <a:srgbClr val="4F81BD"/>
            </a:solidFill>
          </a:ln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r>
              <a:rPr lang="pt-BR" sz="1100" baseline="0"/>
              <a:t>Número de amostras:</a:t>
            </a:r>
          </a:p>
          <a:p xmlns:a="http://schemas.openxmlformats.org/drawingml/2006/main">
            <a:r>
              <a:rPr lang="pt-BR" sz="1100"/>
              <a:t>Média (MPa):</a:t>
            </a:r>
          </a:p>
          <a:p xmlns:a="http://schemas.openxmlformats.org/drawingml/2006/main">
            <a:r>
              <a:rPr lang="pt-BR" sz="1100"/>
              <a:t>Desvio Padrão:</a:t>
            </a:r>
            <a:r>
              <a:rPr lang="pt-BR" sz="1100" baseline="0"/>
              <a:t> </a:t>
            </a:r>
          </a:p>
          <a:p xmlns:a="http://schemas.openxmlformats.org/drawingml/2006/main">
            <a:r>
              <a:rPr lang="pt-BR" sz="1100" baseline="0"/>
              <a:t>Coef. Variação (%):</a:t>
            </a:r>
            <a:endParaRPr lang="pt-BR" sz="1100"/>
          </a:p>
        </cdr:txBody>
      </cdr:sp>
      <cdr:sp macro="" textlink="'FR-IMOB-43_Rev00'!$BQ$12">
        <cdr:nvSpPr>
          <cdr:cNvPr id="13" name="CaixaDeTexto 1"/>
          <cdr:cNvSpPr txBox="1"/>
        </cdr:nvSpPr>
        <cdr:spPr>
          <a:xfrm xmlns:a="http://schemas.openxmlformats.org/drawingml/2006/main">
            <a:off x="1332795" y="-4463"/>
            <a:ext cx="472109" cy="24784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pPr algn="l"/>
            <a:fld id="{3604B1D6-FFC4-4494-A028-D601C015484C}" type="TxLink">
              <a:rPr lang="pt-BR" sz="1200" b="1"/>
              <a:pPr algn="l"/>
              <a:t> </a:t>
            </a:fld>
            <a:endParaRPr lang="pt-BR" sz="1200" b="1"/>
          </a:p>
        </cdr:txBody>
      </cdr:sp>
      <cdr:sp macro="" textlink="'FR-IMOB-43_Rev00'!$BQ$13">
        <cdr:nvSpPr>
          <cdr:cNvPr id="14" name="CaixaDeTexto 1"/>
          <cdr:cNvSpPr txBox="1"/>
        </cdr:nvSpPr>
        <cdr:spPr>
          <a:xfrm xmlns:a="http://schemas.openxmlformats.org/drawingml/2006/main">
            <a:off x="869551" y="161189"/>
            <a:ext cx="526327" cy="24784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pPr algn="l"/>
            <a:fld id="{DD66E191-249C-45A8-85EC-76A164CA65CE}" type="TxLink">
              <a:rPr lang="pt-BR" sz="1200" b="1"/>
              <a:pPr algn="l"/>
              <a:t> </a:t>
            </a:fld>
            <a:endParaRPr lang="pt-BR" sz="1200" b="1"/>
          </a:p>
        </cdr:txBody>
      </cdr:sp>
      <cdr:sp macro="" textlink="'FR-IMOB-43_Rev00'!$BQ$14">
        <cdr:nvSpPr>
          <cdr:cNvPr id="15" name="CaixaDeTexto 1"/>
          <cdr:cNvSpPr txBox="1"/>
        </cdr:nvSpPr>
        <cdr:spPr>
          <a:xfrm xmlns:a="http://schemas.openxmlformats.org/drawingml/2006/main">
            <a:off x="952379" y="335125"/>
            <a:ext cx="526327" cy="24784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pPr algn="l"/>
            <a:fld id="{A17F0FED-8ACE-436D-B35C-B03B1ECE08E8}" type="TxLink">
              <a:rPr lang="pt-BR" sz="1200" b="1"/>
              <a:pPr algn="l"/>
              <a:t> </a:t>
            </a:fld>
            <a:endParaRPr lang="pt-BR" sz="1200" b="1"/>
          </a:p>
        </cdr:txBody>
      </cdr:sp>
      <cdr:sp macro="" textlink="'FR-IMOB-43_Rev00'!$BQ$15">
        <cdr:nvSpPr>
          <cdr:cNvPr id="16" name="CaixaDeTexto 1"/>
          <cdr:cNvSpPr txBox="1"/>
        </cdr:nvSpPr>
        <cdr:spPr>
          <a:xfrm xmlns:a="http://schemas.openxmlformats.org/drawingml/2006/main">
            <a:off x="1142878" y="509059"/>
            <a:ext cx="526327" cy="24784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pPr algn="l"/>
            <a:fld id="{A47FD38A-E79F-4D60-8B59-B7646F780CC4}" type="TxLink">
              <a:rPr lang="pt-BR" sz="1200" b="1"/>
              <a:pPr algn="l"/>
              <a:t> </a:t>
            </a:fld>
            <a:endParaRPr lang="pt-BR" sz="1200" b="1"/>
          </a:p>
        </cdr:txBody>
      </cdr:sp>
    </cdr:grpSp>
  </cdr:relSizeAnchor>
  <cdr:relSizeAnchor xmlns:cdr="http://schemas.openxmlformats.org/drawingml/2006/chartDrawing">
    <cdr:from>
      <cdr:x>0.11676</cdr:x>
      <cdr:y>0.10701</cdr:y>
    </cdr:from>
    <cdr:to>
      <cdr:x>0.36406</cdr:x>
      <cdr:y>0.2483</cdr:y>
    </cdr:to>
    <cdr:grpSp>
      <cdr:nvGrpSpPr>
        <cdr:cNvPr id="17" name="Grupo 16">
          <a:extLst xmlns:a="http://schemas.openxmlformats.org/drawingml/2006/main">
            <a:ext uri="{FF2B5EF4-FFF2-40B4-BE49-F238E27FC236}">
              <a16:creationId xmlns:a16="http://schemas.microsoft.com/office/drawing/2014/main" id="{BA25649D-0EE7-B346-1C03-22376AFE030B}"/>
            </a:ext>
          </a:extLst>
        </cdr:cNvPr>
        <cdr:cNvGrpSpPr/>
      </cdr:nvGrpSpPr>
      <cdr:grpSpPr>
        <a:xfrm xmlns:a="http://schemas.openxmlformats.org/drawingml/2006/main">
          <a:off x="996915" y="494932"/>
          <a:ext cx="2111486" cy="653479"/>
          <a:chOff x="0" y="0"/>
          <a:chExt cx="1974647" cy="610403"/>
        </a:xfrm>
      </cdr:grpSpPr>
      <cdr:sp macro="" textlink="">
        <cdr:nvSpPr>
          <cdr:cNvPr id="18" name="CaixaDeTexto 2"/>
          <cdr:cNvSpPr txBox="1"/>
        </cdr:nvSpPr>
        <cdr:spPr>
          <a:xfrm xmlns:a="http://schemas.openxmlformats.org/drawingml/2006/main">
            <a:off x="0" y="10054"/>
            <a:ext cx="1886123" cy="600349"/>
          </a:xfrm>
          <a:prstGeom xmlns:a="http://schemas.openxmlformats.org/drawingml/2006/main" prst="rect">
            <a:avLst/>
          </a:prstGeom>
          <a:solidFill xmlns:a="http://schemas.openxmlformats.org/drawingml/2006/main">
            <a:sysClr val="window" lastClr="FFFFFF"/>
          </a:solidFill>
          <a:ln xmlns:a="http://schemas.openxmlformats.org/drawingml/2006/main">
            <a:solidFill>
              <a:srgbClr val="4F81BD"/>
            </a:solidFill>
          </a:ln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r>
              <a:rPr lang="pt-BR" sz="1100"/>
              <a:t>Mistura:</a:t>
            </a:r>
          </a:p>
          <a:p xmlns:a="http://schemas.openxmlformats.org/drawingml/2006/main">
            <a:r>
              <a:rPr lang="pt-BR" sz="1100"/>
              <a:t>fck (MPa)=</a:t>
            </a:r>
          </a:p>
          <a:p xmlns:a="http://schemas.openxmlformats.org/drawingml/2006/main">
            <a:r>
              <a:rPr lang="pt-BR" sz="1100"/>
              <a:t>Idade de Controle</a:t>
            </a:r>
            <a:r>
              <a:rPr lang="pt-BR" sz="1100" baseline="0"/>
              <a:t> (dias)=</a:t>
            </a:r>
          </a:p>
        </cdr:txBody>
      </cdr:sp>
      <cdr:sp macro="" textlink="'FR-IMOB-43_Rev00'!$C$3">
        <cdr:nvSpPr>
          <cdr:cNvPr id="19" name="CaixaDeTexto 3"/>
          <cdr:cNvSpPr txBox="1"/>
        </cdr:nvSpPr>
        <cdr:spPr>
          <a:xfrm xmlns:a="http://schemas.openxmlformats.org/drawingml/2006/main">
            <a:off x="578960" y="0"/>
            <a:ext cx="1178972" cy="251337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pPr algn="l"/>
            <a:fld id="{2517AF92-BE09-4A3B-9B1E-33426C160D8F}" type="TxLink">
              <a:rPr lang="pt-BR" sz="1200" b="1"/>
              <a:pPr algn="l"/>
              <a:t> </a:t>
            </a:fld>
            <a:endParaRPr lang="pt-BR" sz="1200" b="1"/>
          </a:p>
        </cdr:txBody>
      </cdr:sp>
      <cdr:sp macro="" textlink="'FR-IMOB-43_Rev00'!$AE$7">
        <cdr:nvSpPr>
          <cdr:cNvPr id="20" name="CaixaDeTexto 1"/>
          <cdr:cNvSpPr txBox="1"/>
        </cdr:nvSpPr>
        <cdr:spPr>
          <a:xfrm xmlns:a="http://schemas.openxmlformats.org/drawingml/2006/main">
            <a:off x="651288" y="172615"/>
            <a:ext cx="1074662" cy="251337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pPr algn="l"/>
            <a:fld id="{0A96CB0B-71DB-4F12-BEFB-26B03EB47608}" type="TxLink">
              <a:rPr lang="pt-BR" sz="1200" b="1"/>
              <a:pPr algn="l"/>
              <a:t> </a:t>
            </a:fld>
            <a:endParaRPr lang="pt-BR" sz="1200" b="1"/>
          </a:p>
        </cdr:txBody>
      </cdr:sp>
      <cdr:sp macro="" textlink="'FR-IMOB-43_Rev00'!$AF$7">
        <cdr:nvSpPr>
          <cdr:cNvPr id="21" name="CaixaDeTexto 1"/>
          <cdr:cNvSpPr txBox="1"/>
        </cdr:nvSpPr>
        <cdr:spPr>
          <a:xfrm xmlns:a="http://schemas.openxmlformats.org/drawingml/2006/main">
            <a:off x="1448319" y="344160"/>
            <a:ext cx="526328" cy="251337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pPr algn="l"/>
            <a:fld id="{9791391C-0C3D-420F-A9FA-C5D26A037C93}" type="TxLink">
              <a:rPr lang="pt-BR" sz="1200" b="1"/>
              <a:pPr algn="l"/>
              <a:t> </a:t>
            </a:fld>
            <a:endParaRPr lang="pt-BR" sz="1200" b="1"/>
          </a:p>
        </cdr:txBody>
      </cdr:sp>
    </cdr:grp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E_E-1188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1ens1"/>
      <sheetName val="CP1ens2"/>
      <sheetName val="CP1ens3"/>
      <sheetName val="CP2ens1"/>
      <sheetName val="CP2ens2"/>
      <sheetName val="CP2ens3"/>
      <sheetName val="CP3ens1"/>
      <sheetName val="CP3ens2"/>
      <sheetName val="CP3ens3"/>
      <sheetName val="gráfico"/>
      <sheetName val="1CP1ens1"/>
      <sheetName val="1CP1ns1"/>
      <sheetName val="1CP1s1"/>
      <sheetName val="1CP11"/>
      <sheetName val="1CP1"/>
      <sheetName val="Modelo Holanda CCV ic 28-90dias"/>
      <sheetName val="CCV idade de controle 28 e 90d"/>
    </sheetNames>
    <sheetDataSet>
      <sheetData sheetId="0" refreshError="1">
        <row r="9">
          <cell r="B9">
            <v>0</v>
          </cell>
          <cell r="L9">
            <v>26.232272483800003</v>
          </cell>
        </row>
        <row r="10">
          <cell r="B10">
            <v>5</v>
          </cell>
          <cell r="L10">
            <v>26.292301327820802</v>
          </cell>
        </row>
        <row r="11">
          <cell r="B11">
            <v>10</v>
          </cell>
          <cell r="L11">
            <v>26.242277278973802</v>
          </cell>
        </row>
        <row r="12">
          <cell r="B12">
            <v>15</v>
          </cell>
          <cell r="L12">
            <v>26.222267693494203</v>
          </cell>
        </row>
        <row r="13">
          <cell r="B13">
            <v>20</v>
          </cell>
          <cell r="L13">
            <v>26.282296508325</v>
          </cell>
        </row>
        <row r="14">
          <cell r="B14">
            <v>25</v>
          </cell>
          <cell r="L14">
            <v>26.272291693691201</v>
          </cell>
        </row>
        <row r="15">
          <cell r="B15">
            <v>30</v>
          </cell>
          <cell r="L15">
            <v>26.272291693691201</v>
          </cell>
        </row>
        <row r="16">
          <cell r="B16">
            <v>35</v>
          </cell>
          <cell r="L16">
            <v>27.773067560051203</v>
          </cell>
        </row>
        <row r="17">
          <cell r="B17">
            <v>40</v>
          </cell>
          <cell r="L17">
            <v>29.654188290918402</v>
          </cell>
        </row>
        <row r="18">
          <cell r="B18">
            <v>45</v>
          </cell>
          <cell r="L18">
            <v>31.085146683525</v>
          </cell>
        </row>
        <row r="19">
          <cell r="B19">
            <v>50</v>
          </cell>
          <cell r="L19">
            <v>32.756376619854393</v>
          </cell>
        </row>
        <row r="20">
          <cell r="B20">
            <v>55</v>
          </cell>
          <cell r="L20">
            <v>34.217545437337598</v>
          </cell>
        </row>
        <row r="21">
          <cell r="B21">
            <v>60</v>
          </cell>
          <cell r="L21">
            <v>35.638762224999994</v>
          </cell>
        </row>
        <row r="22">
          <cell r="B22">
            <v>65</v>
          </cell>
          <cell r="L22">
            <v>36.7197383427376</v>
          </cell>
        </row>
        <row r="23">
          <cell r="B23">
            <v>70</v>
          </cell>
          <cell r="L23">
            <v>38.191134322974996</v>
          </cell>
        </row>
        <row r="24">
          <cell r="B24">
            <v>75</v>
          </cell>
          <cell r="L24">
            <v>39.672614755164602</v>
          </cell>
        </row>
        <row r="25">
          <cell r="B25">
            <v>80</v>
          </cell>
          <cell r="L25">
            <v>40.793782705074996</v>
          </cell>
        </row>
        <row r="26">
          <cell r="B26">
            <v>85</v>
          </cell>
          <cell r="L26">
            <v>42.555696530095794</v>
          </cell>
        </row>
        <row r="27">
          <cell r="B27">
            <v>90</v>
          </cell>
          <cell r="L27">
            <v>43.706996153996798</v>
          </cell>
        </row>
        <row r="28">
          <cell r="B28">
            <v>95</v>
          </cell>
          <cell r="L28">
            <v>43.406653512404795</v>
          </cell>
        </row>
        <row r="29">
          <cell r="B29">
            <v>100</v>
          </cell>
          <cell r="L29">
            <v>43.086290815163196</v>
          </cell>
        </row>
        <row r="30">
          <cell r="B30">
            <v>105</v>
          </cell>
          <cell r="L30">
            <v>42.825998268633597</v>
          </cell>
        </row>
        <row r="31">
          <cell r="B31">
            <v>110</v>
          </cell>
          <cell r="L31">
            <v>42.625774555801598</v>
          </cell>
        </row>
        <row r="32">
          <cell r="B32">
            <v>115</v>
          </cell>
          <cell r="L32">
            <v>42.525663134145603</v>
          </cell>
        </row>
        <row r="33">
          <cell r="B33">
            <v>120</v>
          </cell>
          <cell r="L33">
            <v>42.3654854661904</v>
          </cell>
        </row>
        <row r="34">
          <cell r="B34">
            <v>125</v>
          </cell>
          <cell r="L34">
            <v>42.225330622617591</v>
          </cell>
        </row>
        <row r="35">
          <cell r="B35">
            <v>130</v>
          </cell>
          <cell r="L35">
            <v>42.135231385480203</v>
          </cell>
        </row>
        <row r="36">
          <cell r="B36">
            <v>135</v>
          </cell>
          <cell r="L36">
            <v>42.035121403346196</v>
          </cell>
        </row>
        <row r="37">
          <cell r="B37">
            <v>140</v>
          </cell>
          <cell r="L37">
            <v>41.935011718532195</v>
          </cell>
        </row>
        <row r="38">
          <cell r="B38">
            <v>145</v>
          </cell>
          <cell r="L38">
            <v>41.884956987995196</v>
          </cell>
        </row>
        <row r="39">
          <cell r="B39">
            <v>150</v>
          </cell>
          <cell r="L39">
            <v>41.794858661574999</v>
          </cell>
        </row>
        <row r="40">
          <cell r="B40">
            <v>155</v>
          </cell>
          <cell r="L40">
            <v>41.714771464421396</v>
          </cell>
        </row>
        <row r="41">
          <cell r="B41">
            <v>160</v>
          </cell>
          <cell r="L41">
            <v>41.604651883172799</v>
          </cell>
        </row>
        <row r="42">
          <cell r="B42">
            <v>165</v>
          </cell>
          <cell r="L42">
            <v>41.524565144785598</v>
          </cell>
        </row>
        <row r="43">
          <cell r="B43">
            <v>170</v>
          </cell>
          <cell r="L43">
            <v>41.474511031872595</v>
          </cell>
        </row>
        <row r="44">
          <cell r="B44">
            <v>175</v>
          </cell>
          <cell r="L44">
            <v>41.424456994969603</v>
          </cell>
        </row>
        <row r="45">
          <cell r="B45">
            <v>180</v>
          </cell>
          <cell r="L45">
            <v>41.334359920568197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1">
    <tabColor theme="1"/>
  </sheetPr>
  <dimension ref="A1:BW2001"/>
  <sheetViews>
    <sheetView tabSelected="1" zoomScale="70" zoomScaleNormal="70" zoomScaleSheetLayoutView="70" workbookViewId="0">
      <selection sqref="A1:G1"/>
    </sheetView>
  </sheetViews>
  <sheetFormatPr defaultColWidth="10.26953125" defaultRowHeight="15.5" x14ac:dyDescent="0.35"/>
  <cols>
    <col min="1" max="1" width="8.453125" style="11" customWidth="1"/>
    <col min="2" max="2" width="13.453125" style="2" customWidth="1"/>
    <col min="3" max="3" width="10.7265625" style="2" customWidth="1"/>
    <col min="4" max="4" width="9.54296875" style="11" customWidth="1"/>
    <col min="5" max="6" width="12.453125" style="2" customWidth="1"/>
    <col min="7" max="7" width="67.54296875" style="2" customWidth="1"/>
    <col min="8" max="8" width="9.54296875" style="11" customWidth="1"/>
    <col min="9" max="9" width="5.453125" style="2" customWidth="1"/>
    <col min="10" max="10" width="2.26953125" style="2" customWidth="1"/>
    <col min="11" max="11" width="4.1796875" style="2" customWidth="1"/>
    <col min="12" max="17" width="6.453125" style="2" customWidth="1"/>
    <col min="18" max="18" width="10.7265625" style="11" customWidth="1"/>
    <col min="19" max="19" width="15.81640625" style="11" customWidth="1"/>
    <col min="20" max="20" width="17.1796875" style="11" customWidth="1"/>
    <col min="21" max="21" width="11.54296875" style="11" customWidth="1"/>
    <col min="22" max="24" width="7.7265625" style="2" customWidth="1"/>
    <col min="25" max="25" width="27.453125" style="2" customWidth="1"/>
    <col min="26" max="26" width="27.7265625" style="2" customWidth="1"/>
    <col min="27" max="27" width="12.54296875" style="2" customWidth="1"/>
    <col min="28" max="28" width="15.7265625" style="2" customWidth="1"/>
    <col min="29" max="29" width="10.81640625" style="2" customWidth="1"/>
    <col min="30" max="34" width="10.1796875" style="2" customWidth="1"/>
    <col min="35" max="35" width="5.7265625" style="2" customWidth="1"/>
    <col min="36" max="36" width="15.81640625" style="2" customWidth="1"/>
    <col min="37" max="37" width="11" style="2" customWidth="1"/>
    <col min="38" max="39" width="10.26953125" style="2" customWidth="1"/>
    <col min="40" max="40" width="11.81640625" style="2" customWidth="1"/>
    <col min="41" max="45" width="10.26953125" style="2" customWidth="1"/>
    <col min="46" max="47" width="11.81640625" style="2" customWidth="1"/>
    <col min="48" max="48" width="7.54296875" style="2" customWidth="1"/>
    <col min="49" max="49" width="11" style="2" bestFit="1" customWidth="1"/>
    <col min="50" max="54" width="10.453125" style="2" bestFit="1" customWidth="1"/>
    <col min="55" max="55" width="11.1796875" style="2" customWidth="1"/>
    <col min="56" max="57" width="6.26953125" style="2" customWidth="1"/>
    <col min="58" max="58" width="12.1796875" style="2" bestFit="1" customWidth="1"/>
    <col min="59" max="61" width="10.26953125" style="2"/>
    <col min="62" max="62" width="5.81640625" style="2" bestFit="1" customWidth="1"/>
    <col min="63" max="63" width="7" style="2" bestFit="1" customWidth="1"/>
    <col min="64" max="64" width="6.453125" style="2" bestFit="1" customWidth="1"/>
    <col min="65" max="66" width="5.7265625" style="2" bestFit="1" customWidth="1"/>
    <col min="67" max="67" width="10.26953125" style="2"/>
    <col min="68" max="68" width="5.7265625" style="2" bestFit="1" customWidth="1"/>
    <col min="69" max="69" width="4" style="2" bestFit="1" customWidth="1"/>
    <col min="70" max="70" width="10.26953125" style="2"/>
    <col min="71" max="71" width="5.7265625" style="35" bestFit="1" customWidth="1"/>
    <col min="72" max="72" width="10.26953125" style="35"/>
    <col min="73" max="73" width="7.7265625" style="2" bestFit="1" customWidth="1"/>
    <col min="74" max="74" width="4" style="2" bestFit="1" customWidth="1"/>
    <col min="75" max="16384" width="10.26953125" style="2"/>
  </cols>
  <sheetData>
    <row r="1" spans="1:75" ht="66.5" customHeight="1" x14ac:dyDescent="0.35">
      <c r="A1" s="408" t="s">
        <v>118</v>
      </c>
      <c r="B1" s="408"/>
      <c r="C1" s="408"/>
      <c r="D1" s="408"/>
      <c r="E1" s="408"/>
      <c r="F1" s="408"/>
      <c r="G1" s="408"/>
      <c r="H1" s="176"/>
      <c r="I1" s="176"/>
      <c r="J1" s="176"/>
      <c r="K1" s="176"/>
      <c r="L1" s="176"/>
      <c r="M1" s="169"/>
      <c r="N1" s="169"/>
      <c r="O1" s="169"/>
      <c r="P1" s="169"/>
      <c r="Q1" s="169"/>
      <c r="R1" s="170"/>
      <c r="S1" s="170"/>
      <c r="T1" s="170"/>
      <c r="U1" s="170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69"/>
      <c r="BK1" s="169"/>
      <c r="BL1" s="169"/>
      <c r="BM1" s="169"/>
      <c r="BN1" s="169"/>
      <c r="BO1" s="169"/>
      <c r="BP1" s="169"/>
      <c r="BQ1" s="169"/>
      <c r="BR1" s="169"/>
      <c r="BS1" s="416"/>
      <c r="BT1" s="416"/>
      <c r="BU1" s="169"/>
      <c r="BV1" s="169"/>
      <c r="BW1" s="169"/>
    </row>
    <row r="2" spans="1:75" ht="12.5" customHeight="1" x14ac:dyDescent="0.35">
      <c r="A2" s="174"/>
      <c r="B2" s="174"/>
      <c r="C2" s="174"/>
      <c r="D2" s="174"/>
      <c r="E2" s="174"/>
      <c r="F2" s="174"/>
      <c r="G2" s="174"/>
      <c r="H2" s="175"/>
      <c r="I2" s="175"/>
      <c r="J2" s="175"/>
      <c r="K2" s="175"/>
      <c r="L2" s="175"/>
      <c r="M2" s="169"/>
      <c r="N2" s="169"/>
      <c r="O2" s="169"/>
      <c r="P2" s="169"/>
      <c r="Q2" s="169"/>
      <c r="R2" s="170"/>
      <c r="S2" s="170"/>
      <c r="T2" s="170"/>
      <c r="U2" s="170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69"/>
      <c r="BH2" s="169"/>
      <c r="BI2" s="169"/>
      <c r="BJ2" s="169"/>
      <c r="BK2" s="169"/>
      <c r="BL2" s="169"/>
      <c r="BM2" s="169"/>
      <c r="BN2" s="169"/>
      <c r="BO2" s="169"/>
      <c r="BP2" s="169"/>
      <c r="BQ2" s="169"/>
      <c r="BR2" s="169"/>
      <c r="BS2" s="416"/>
      <c r="BT2" s="416"/>
      <c r="BU2" s="169"/>
      <c r="BV2" s="169"/>
      <c r="BW2" s="169"/>
    </row>
    <row r="3" spans="1:75" ht="30" customHeight="1" x14ac:dyDescent="0.35">
      <c r="A3" s="405" t="s">
        <v>115</v>
      </c>
      <c r="B3" s="405"/>
      <c r="C3" s="405"/>
      <c r="D3" s="405"/>
      <c r="E3" s="405"/>
      <c r="F3" s="405"/>
      <c r="G3" s="179" t="s">
        <v>113</v>
      </c>
      <c r="H3" s="177"/>
      <c r="I3" s="177"/>
      <c r="J3" s="177"/>
      <c r="K3" s="177"/>
      <c r="L3" s="177"/>
      <c r="M3" s="169"/>
      <c r="N3" s="169"/>
      <c r="O3" s="169"/>
      <c r="P3" s="169"/>
      <c r="Q3" s="169"/>
      <c r="R3" s="170"/>
      <c r="S3" s="170"/>
      <c r="T3" s="170"/>
      <c r="U3" s="170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416"/>
      <c r="BT3" s="416"/>
      <c r="BU3" s="169"/>
      <c r="BV3" s="169"/>
      <c r="BW3" s="169"/>
    </row>
    <row r="4" spans="1:75" ht="30" customHeight="1" x14ac:dyDescent="0.35">
      <c r="A4" s="406" t="s">
        <v>123</v>
      </c>
      <c r="B4" s="406"/>
      <c r="C4" s="406"/>
      <c r="D4" s="406"/>
      <c r="E4" s="406"/>
      <c r="F4" s="406"/>
      <c r="G4" s="179" t="s">
        <v>114</v>
      </c>
      <c r="H4" s="177"/>
      <c r="I4" s="177"/>
      <c r="J4" s="177"/>
      <c r="K4" s="177"/>
      <c r="L4" s="177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416"/>
      <c r="BT4" s="416"/>
      <c r="BU4" s="169"/>
      <c r="BV4" s="169"/>
      <c r="BW4" s="169"/>
    </row>
    <row r="5" spans="1:75" ht="31.5" customHeight="1" x14ac:dyDescent="0.35">
      <c r="A5" s="407" t="s">
        <v>116</v>
      </c>
      <c r="B5" s="407"/>
      <c r="C5" s="407"/>
      <c r="D5" s="407"/>
      <c r="E5" s="407"/>
      <c r="F5" s="407"/>
      <c r="G5" s="180" t="s">
        <v>117</v>
      </c>
      <c r="H5" s="178"/>
      <c r="I5" s="178"/>
      <c r="J5" s="178"/>
      <c r="K5" s="178"/>
      <c r="L5" s="178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416"/>
      <c r="BT5" s="416"/>
      <c r="BU5" s="169"/>
      <c r="BV5" s="169"/>
      <c r="BW5" s="169"/>
    </row>
    <row r="6" spans="1:75" ht="15" customHeight="1" x14ac:dyDescent="0.35">
      <c r="A6" s="409"/>
      <c r="B6" s="409"/>
      <c r="C6" s="409"/>
      <c r="D6" s="409"/>
      <c r="E6" s="409"/>
      <c r="F6" s="409"/>
      <c r="G6" s="409"/>
      <c r="H6" s="173"/>
      <c r="I6" s="169"/>
      <c r="J6" s="169"/>
      <c r="K6" s="169"/>
      <c r="L6" s="169"/>
      <c r="M6" s="169"/>
      <c r="N6" s="169"/>
      <c r="O6" s="169"/>
      <c r="P6" s="172"/>
      <c r="Q6" s="172"/>
      <c r="R6" s="172"/>
      <c r="S6" s="172"/>
      <c r="T6" s="172"/>
      <c r="U6" s="172"/>
      <c r="V6" s="172"/>
      <c r="W6" s="172"/>
      <c r="X6" s="172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  <c r="AM6" s="169"/>
      <c r="AN6" s="169"/>
      <c r="AO6" s="169"/>
      <c r="AP6" s="169"/>
      <c r="AQ6" s="169"/>
      <c r="AR6" s="169"/>
      <c r="AS6" s="169"/>
      <c r="AT6" s="169"/>
      <c r="AU6" s="169"/>
      <c r="AV6" s="169"/>
      <c r="AW6" s="169"/>
      <c r="AX6" s="169"/>
      <c r="AY6" s="169"/>
      <c r="AZ6" s="169"/>
      <c r="BA6" s="169"/>
      <c r="BB6" s="169"/>
      <c r="BC6" s="169"/>
      <c r="BD6" s="169"/>
      <c r="BE6" s="169"/>
      <c r="BF6" s="169"/>
      <c r="BG6" s="169"/>
      <c r="BH6" s="169"/>
      <c r="BI6" s="169"/>
      <c r="BJ6" s="169"/>
      <c r="BK6" s="169"/>
      <c r="BL6" s="169"/>
      <c r="BM6" s="169"/>
      <c r="BN6" s="169"/>
      <c r="BO6" s="169"/>
      <c r="BP6" s="169"/>
      <c r="BQ6" s="169"/>
      <c r="BR6" s="169"/>
      <c r="BS6" s="416"/>
      <c r="BT6" s="416"/>
      <c r="BU6" s="169"/>
      <c r="BV6" s="169"/>
      <c r="BW6" s="169"/>
    </row>
    <row r="7" spans="1:75" ht="33" customHeight="1" x14ac:dyDescent="0.35">
      <c r="A7" s="181" t="s">
        <v>106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417"/>
      <c r="Z7" s="417"/>
      <c r="AA7" s="169"/>
      <c r="AB7" s="169"/>
      <c r="AC7" s="417"/>
      <c r="AD7" s="417"/>
      <c r="AE7" s="417"/>
      <c r="AF7" s="417"/>
      <c r="AG7" s="417"/>
      <c r="AH7" s="417"/>
      <c r="AI7" s="417"/>
      <c r="AJ7" s="417"/>
      <c r="AK7" s="417"/>
      <c r="AL7" s="417"/>
      <c r="AM7" s="417"/>
      <c r="AN7" s="417"/>
      <c r="AO7" s="417"/>
      <c r="AP7" s="417"/>
      <c r="AQ7" s="417"/>
      <c r="AR7" s="417"/>
      <c r="AS7" s="417"/>
      <c r="AT7" s="417"/>
      <c r="AU7" s="417"/>
      <c r="AV7" s="417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69"/>
      <c r="BK7" s="169"/>
      <c r="BL7" s="169"/>
      <c r="BM7" s="169"/>
      <c r="BN7" s="169"/>
      <c r="BO7" s="169"/>
      <c r="BP7" s="169"/>
      <c r="BQ7" s="169"/>
      <c r="BR7" s="169"/>
      <c r="BS7" s="416"/>
      <c r="BT7" s="416"/>
      <c r="BU7" s="169"/>
      <c r="BV7" s="169"/>
      <c r="BW7" s="169"/>
    </row>
    <row r="8" spans="1:75" ht="24" customHeight="1" x14ac:dyDescent="0.4">
      <c r="A8" s="181"/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417"/>
      <c r="Z8" s="417"/>
      <c r="AA8" s="169"/>
      <c r="AB8" s="169"/>
      <c r="AC8" s="417"/>
      <c r="AD8" s="417"/>
      <c r="AE8" s="417"/>
      <c r="AF8" s="417"/>
      <c r="AG8" s="417"/>
      <c r="AH8" s="417"/>
      <c r="AI8" s="417"/>
      <c r="AJ8" s="417"/>
      <c r="AK8" s="417"/>
      <c r="AL8" s="417"/>
      <c r="AM8" s="417"/>
      <c r="AN8" s="417"/>
      <c r="AO8" s="417"/>
      <c r="AP8" s="417"/>
      <c r="AQ8" s="417"/>
      <c r="AR8" s="418"/>
      <c r="AS8" s="417"/>
      <c r="AT8" s="417"/>
      <c r="AU8" s="417"/>
      <c r="AV8" s="417"/>
      <c r="AW8" s="169"/>
      <c r="AX8" s="169"/>
      <c r="AY8" s="169"/>
      <c r="AZ8" s="169"/>
      <c r="BA8" s="169"/>
      <c r="BB8" s="169"/>
      <c r="BC8" s="169"/>
      <c r="BD8" s="169"/>
      <c r="BE8" s="169"/>
      <c r="BF8" s="169"/>
      <c r="BG8" s="169"/>
      <c r="BH8" s="169"/>
      <c r="BI8" s="169"/>
      <c r="BJ8" s="169"/>
      <c r="BK8" s="169"/>
      <c r="BL8" s="169"/>
      <c r="BM8" s="169"/>
      <c r="BN8" s="169"/>
      <c r="BO8" s="169"/>
      <c r="BP8" s="169"/>
      <c r="BQ8" s="169"/>
      <c r="BR8" s="169"/>
      <c r="BS8" s="416"/>
      <c r="BT8" s="416"/>
      <c r="BU8" s="169"/>
      <c r="BV8" s="169"/>
      <c r="BW8" s="169"/>
    </row>
    <row r="9" spans="1:75" s="3" customFormat="1" ht="30.75" customHeight="1" thickBot="1" x14ac:dyDescent="0.3">
      <c r="A9" s="182" t="s">
        <v>2</v>
      </c>
      <c r="B9" s="182"/>
      <c r="C9" s="189"/>
      <c r="D9" s="189"/>
      <c r="E9" s="182" t="s">
        <v>76</v>
      </c>
      <c r="F9" s="182"/>
      <c r="G9" s="122"/>
      <c r="H9" s="123"/>
      <c r="I9" s="124"/>
      <c r="J9" s="124"/>
      <c r="K9" s="124"/>
      <c r="L9" s="124"/>
      <c r="M9" s="124"/>
      <c r="N9" s="124"/>
      <c r="O9" s="124"/>
      <c r="P9" s="124"/>
      <c r="Q9" s="124"/>
      <c r="R9" s="125" t="s">
        <v>77</v>
      </c>
      <c r="S9" s="126"/>
      <c r="T9" s="125" t="s">
        <v>67</v>
      </c>
      <c r="U9" s="127"/>
      <c r="V9" s="124"/>
      <c r="W9" s="128"/>
      <c r="X9" s="128"/>
      <c r="Y9" s="419"/>
      <c r="Z9" s="420"/>
      <c r="AA9" s="420"/>
      <c r="AB9" s="419"/>
      <c r="AC9" s="419"/>
      <c r="AD9" s="419"/>
      <c r="AE9" s="419"/>
      <c r="AF9" s="419"/>
      <c r="AG9" s="419"/>
      <c r="AH9" s="419"/>
      <c r="AI9" s="419"/>
      <c r="AJ9" s="419"/>
      <c r="AK9" s="419"/>
      <c r="AL9" s="419"/>
      <c r="AM9" s="419"/>
      <c r="AN9" s="419"/>
      <c r="AO9" s="419"/>
      <c r="AP9" s="419"/>
      <c r="AQ9" s="419"/>
      <c r="AR9" s="421"/>
      <c r="AS9" s="419"/>
      <c r="AT9" s="419"/>
      <c r="AU9" s="419"/>
      <c r="AV9" s="419"/>
      <c r="AW9" s="420"/>
      <c r="AX9" s="420"/>
      <c r="AY9" s="420"/>
      <c r="AZ9" s="420"/>
      <c r="BA9" s="420"/>
      <c r="BB9" s="420"/>
      <c r="BC9" s="420"/>
      <c r="BD9" s="420"/>
      <c r="BE9" s="420"/>
      <c r="BF9" s="420"/>
      <c r="BG9" s="420"/>
      <c r="BH9" s="420"/>
      <c r="BI9" s="420"/>
      <c r="BJ9" s="420"/>
      <c r="BK9" s="420"/>
      <c r="BL9" s="420"/>
      <c r="BM9" s="420"/>
      <c r="BN9" s="420"/>
      <c r="BO9" s="420"/>
      <c r="BP9" s="420"/>
      <c r="BQ9" s="420"/>
      <c r="BR9" s="420"/>
      <c r="BS9" s="416"/>
      <c r="BT9" s="416"/>
      <c r="BU9" s="420"/>
      <c r="BV9" s="420"/>
      <c r="BW9" s="420"/>
    </row>
    <row r="10" spans="1:75" ht="20.25" customHeight="1" thickBot="1" x14ac:dyDescent="0.4">
      <c r="A10" s="190" t="s">
        <v>79</v>
      </c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2"/>
      <c r="Y10" s="417"/>
      <c r="Z10" s="169"/>
      <c r="AA10" s="169"/>
      <c r="AB10" s="169"/>
      <c r="AC10" s="169"/>
      <c r="AD10" s="169"/>
      <c r="AE10" s="169"/>
      <c r="AF10" s="169"/>
      <c r="AG10" s="169"/>
      <c r="AH10" s="169"/>
      <c r="AI10" s="417"/>
      <c r="AJ10" s="417"/>
      <c r="AK10" s="417"/>
      <c r="AL10" s="417"/>
      <c r="AM10" s="417"/>
      <c r="AN10" s="417"/>
      <c r="AO10" s="417"/>
      <c r="AP10" s="417"/>
      <c r="AQ10" s="417"/>
      <c r="AR10" s="417"/>
      <c r="AS10" s="417"/>
      <c r="AT10" s="417"/>
      <c r="AU10" s="417"/>
      <c r="AV10" s="417"/>
      <c r="AW10" s="169"/>
      <c r="AX10" s="169"/>
      <c r="AY10" s="169"/>
      <c r="AZ10" s="169"/>
      <c r="BA10" s="169"/>
      <c r="BB10" s="169"/>
      <c r="BC10" s="169"/>
      <c r="BD10" s="169"/>
      <c r="BE10" s="169"/>
      <c r="BF10" s="169"/>
      <c r="BG10" s="169"/>
      <c r="BH10" s="169"/>
      <c r="BI10" s="169"/>
      <c r="BJ10" s="169"/>
      <c r="BK10" s="169"/>
      <c r="BL10" s="169"/>
      <c r="BM10" s="169"/>
      <c r="BN10" s="169"/>
      <c r="BO10" s="169"/>
      <c r="BP10" s="169"/>
      <c r="BQ10" s="169"/>
      <c r="BR10" s="169"/>
      <c r="BS10" s="416"/>
      <c r="BT10" s="416"/>
      <c r="BU10" s="169"/>
      <c r="BV10" s="169"/>
      <c r="BW10" s="169"/>
    </row>
    <row r="11" spans="1:75" ht="18.75" customHeight="1" thickBot="1" x14ac:dyDescent="0.4">
      <c r="A11" s="88"/>
      <c r="B11" s="89"/>
      <c r="C11" s="89"/>
      <c r="D11" s="89"/>
      <c r="E11" s="89"/>
      <c r="F11" s="90"/>
      <c r="G11" s="91" t="s">
        <v>4</v>
      </c>
      <c r="H11" s="92" t="s">
        <v>5</v>
      </c>
      <c r="I11" s="220">
        <f>COUNT(I18:I1997)</f>
        <v>0</v>
      </c>
      <c r="J11" s="221"/>
      <c r="K11" s="222"/>
      <c r="L11" s="223" t="str">
        <f>IF(SUM(M$18:M$1997)=0,"",COUNT(M$18:M$1997))</f>
        <v/>
      </c>
      <c r="M11" s="224"/>
      <c r="N11" s="225" t="str">
        <f>IF(SUM(O$18:O$1997)=0,"",COUNT(O$18:O$1997))</f>
        <v/>
      </c>
      <c r="O11" s="224"/>
      <c r="P11" s="225" t="str">
        <f>IF(SUM(Q$18:Q$1997)=0,"",COUNT(Q$18:Q$1997))</f>
        <v/>
      </c>
      <c r="Q11" s="224"/>
      <c r="R11" s="93" t="s">
        <v>107</v>
      </c>
      <c r="S11" s="94">
        <f>IF(X13="/28",AL37,AL38)</f>
        <v>1.48</v>
      </c>
      <c r="T11" s="95"/>
      <c r="U11" s="95"/>
      <c r="V11" s="96"/>
      <c r="W11" s="97"/>
      <c r="X11" s="98"/>
      <c r="Y11" s="422"/>
      <c r="Z11" s="169"/>
      <c r="AA11" s="169"/>
      <c r="AB11" s="193" t="s">
        <v>3</v>
      </c>
      <c r="AC11" s="194"/>
      <c r="AD11" s="194"/>
      <c r="AE11" s="194"/>
      <c r="AF11" s="194"/>
      <c r="AG11" s="194"/>
      <c r="AH11" s="195"/>
      <c r="AI11" s="417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17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416"/>
      <c r="BT11" s="416"/>
      <c r="BU11" s="169"/>
      <c r="BV11" s="169"/>
      <c r="BW11" s="169"/>
    </row>
    <row r="12" spans="1:75" ht="18.75" customHeight="1" x14ac:dyDescent="0.35">
      <c r="A12" s="214" t="s">
        <v>11</v>
      </c>
      <c r="B12" s="215"/>
      <c r="C12" s="215"/>
      <c r="D12" s="215"/>
      <c r="E12" s="99" t="str">
        <f>IF($X$13=AE18,AE13,IF($X$13=AG18,AG13,"erro"))</f>
        <v>n &lt; 30 AMOSTRAS</v>
      </c>
      <c r="F12" s="100"/>
      <c r="G12" s="101" t="s">
        <v>0</v>
      </c>
      <c r="H12" s="102" t="s">
        <v>12</v>
      </c>
      <c r="I12" s="216" t="e">
        <f>AVERAGE(I18:I1997)</f>
        <v>#DIV/0!</v>
      </c>
      <c r="J12" s="200"/>
      <c r="K12" s="201"/>
      <c r="L12" s="202" t="str">
        <f>IF(SUM(M$18:M$1997)=0,"",AVERAGE(M$18:M$1997))</f>
        <v/>
      </c>
      <c r="M12" s="203"/>
      <c r="N12" s="204" t="str">
        <f>IF(SUM(O$18:O$1997)=0,"",AVERAGE(O$18:O$1997))</f>
        <v/>
      </c>
      <c r="O12" s="203"/>
      <c r="P12" s="204" t="str">
        <f>IF(SUM(Q$18:Q$1997)=0,"",AVERAGE(Q$18:Q$1997))</f>
        <v/>
      </c>
      <c r="Q12" s="203"/>
      <c r="R12" s="103" t="s">
        <v>88</v>
      </c>
      <c r="S12" s="104">
        <f>IF(X13="/28",AM37,AM38)</f>
        <v>3</v>
      </c>
      <c r="T12" s="259" t="s">
        <v>68</v>
      </c>
      <c r="U12" s="260"/>
      <c r="V12" s="403" t="s">
        <v>6</v>
      </c>
      <c r="W12" s="403"/>
      <c r="X12" s="404"/>
      <c r="Y12" s="169"/>
      <c r="Z12" s="169"/>
      <c r="AA12" s="417"/>
      <c r="AB12" s="217" t="s">
        <v>7</v>
      </c>
      <c r="AC12" s="218"/>
      <c r="AD12" s="218"/>
      <c r="AE12" s="218" t="s">
        <v>8</v>
      </c>
      <c r="AF12" s="218"/>
      <c r="AG12" s="218" t="s">
        <v>9</v>
      </c>
      <c r="AH12" s="219"/>
      <c r="AI12" s="417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17"/>
      <c r="AW12" s="169"/>
      <c r="AX12" s="169"/>
      <c r="AY12" s="169"/>
      <c r="AZ12" s="169"/>
      <c r="BA12" s="169"/>
      <c r="BB12" s="169"/>
      <c r="BC12" s="169"/>
      <c r="BD12" s="169"/>
      <c r="BE12" s="169"/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416"/>
      <c r="BT12" s="416"/>
      <c r="BU12" s="169"/>
      <c r="BV12" s="169"/>
      <c r="BW12" s="169"/>
    </row>
    <row r="13" spans="1:75" ht="18.75" customHeight="1" x14ac:dyDescent="0.35">
      <c r="A13" s="198" t="s">
        <v>13</v>
      </c>
      <c r="B13" s="199"/>
      <c r="C13" s="199"/>
      <c r="D13" s="199"/>
      <c r="E13" s="105" t="str">
        <f>IF($X$13=AE18,AE14,IF($X$13=AG18,AG14,"erro"))</f>
        <v>n &lt; 30 AMOSTRAS</v>
      </c>
      <c r="F13" s="106"/>
      <c r="G13" s="107" t="s">
        <v>1</v>
      </c>
      <c r="H13" s="108" t="s">
        <v>10</v>
      </c>
      <c r="I13" s="211" t="e">
        <f>STDEV(I18:I1997)</f>
        <v>#DIV/0!</v>
      </c>
      <c r="J13" s="211"/>
      <c r="K13" s="212"/>
      <c r="L13" s="213" t="str">
        <f>IF(SUM(M$20:M$1997)=0,"",STDEV(M$18:M$1997))</f>
        <v/>
      </c>
      <c r="M13" s="206"/>
      <c r="N13" s="205" t="str">
        <f>IF(SUM(O$20:O$1997)=0,"",STDEV(O$18:O$1997))</f>
        <v/>
      </c>
      <c r="O13" s="206"/>
      <c r="P13" s="205" t="str">
        <f>IF(SUM(Q$20:Q$1997)=0,"",STDEV(Q$18:Q$1997))</f>
        <v/>
      </c>
      <c r="Q13" s="206"/>
      <c r="R13" s="109" t="s">
        <v>94</v>
      </c>
      <c r="S13" s="110" t="str">
        <f>IF(X13="/28",P12,#REF!)</f>
        <v/>
      </c>
      <c r="T13" s="261" t="e">
        <f>IF(X13="/28",AP31,AQ31)</f>
        <v>#VALUE!</v>
      </c>
      <c r="U13" s="262"/>
      <c r="V13" s="111"/>
      <c r="W13" s="207">
        <v>30</v>
      </c>
      <c r="X13" s="208" t="s">
        <v>8</v>
      </c>
      <c r="Y13" s="169"/>
      <c r="Z13" s="169"/>
      <c r="AA13" s="417"/>
      <c r="AB13" s="134" t="s">
        <v>11</v>
      </c>
      <c r="AC13" s="135"/>
      <c r="AD13" s="135"/>
      <c r="AE13" s="209" t="str">
        <f>IF(COUNT($Q$18:$Q$1997)&lt;30,"n &lt; 30 AMOSTRAS",IF($P$12&lt;=34.5,IF(P13&lt;$AC$49,$AC$47,IF(P13&lt;$AD$50,$AD$47,IF(P13&lt;$AE$50,$AE$47,IF(P13&lt;$AF$50,$AF$47,IF(P13&gt;$AG$49,$AG$47))))),IF($P$12&gt;34.5,IF(P14&lt;$AC$55,$AC$53,IF(P14&lt;$AD$56,$AD$53,IF(P14&lt;$AE$56,$AE$53,IF(P14&lt;$AF$56,$AF$53,IF(P14&gt;$AG$55,$AG$53))))))))</f>
        <v>n &lt; 30 AMOSTRAS</v>
      </c>
      <c r="AF13" s="209"/>
      <c r="AG13" s="209" t="str">
        <f>IF(COUNT(#REF!)&lt;30,"n &lt; 30 AMOSTRAS",IF(#REF!&lt;=34.5,IF(#REF!&lt;$AC$49,$AC$47,IF(#REF!&lt;$AD$50,$AD$47,IF(#REF!&lt;$AE$50,$AE$47,IF(#REF!&lt;$AF$50,$AF$47,IF(#REF!&gt;$AG$49,$AG$47))))),IF(#REF!&gt;34.5,IF(#REF!&lt;$AC$55,$AC$53,IF(#REF!&lt;$AD$56,$AD$53,IF(#REF!&lt;$AE$56,$AE$53,IF(#REF!&lt;$AF$56,$AF$53,IF(#REF!&gt;$AG$55,$AG$53))))))))</f>
        <v>n &lt; 30 AMOSTRAS</v>
      </c>
      <c r="AH13" s="210"/>
      <c r="AI13" s="417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17"/>
      <c r="AW13" s="169"/>
      <c r="AX13" s="169"/>
      <c r="AY13" s="169"/>
      <c r="AZ13" s="169"/>
      <c r="BA13" s="169"/>
      <c r="BB13" s="169"/>
      <c r="BC13" s="169"/>
      <c r="BD13" s="169"/>
      <c r="BE13" s="169"/>
      <c r="BF13" s="169"/>
      <c r="BG13" s="169"/>
      <c r="BH13" s="169"/>
      <c r="BI13" s="169"/>
      <c r="BJ13" s="169"/>
      <c r="BK13" s="169"/>
      <c r="BL13" s="169"/>
      <c r="BM13" s="169"/>
      <c r="BN13" s="169"/>
      <c r="BO13" s="169"/>
      <c r="BP13" s="169"/>
      <c r="BQ13" s="169"/>
      <c r="BR13" s="169"/>
      <c r="BS13" s="416"/>
      <c r="BT13" s="416"/>
      <c r="BU13" s="169"/>
      <c r="BV13" s="169"/>
      <c r="BW13" s="169"/>
    </row>
    <row r="14" spans="1:75" ht="18.75" customHeight="1" thickBot="1" x14ac:dyDescent="0.4">
      <c r="A14" s="198" t="s">
        <v>14</v>
      </c>
      <c r="B14" s="199"/>
      <c r="C14" s="199"/>
      <c r="D14" s="199"/>
      <c r="E14" s="105" t="str">
        <f>IF(X13="/28",AE19,AG19)</f>
        <v>-</v>
      </c>
      <c r="F14" s="106"/>
      <c r="G14" s="101" t="s">
        <v>15</v>
      </c>
      <c r="H14" s="102" t="s">
        <v>16</v>
      </c>
      <c r="I14" s="200" t="e">
        <f>IF(I13="","",I13/I12*100)</f>
        <v>#DIV/0!</v>
      </c>
      <c r="J14" s="200"/>
      <c r="K14" s="201"/>
      <c r="L14" s="202" t="str">
        <f>IF(L13="","",L13/L12*100)</f>
        <v/>
      </c>
      <c r="M14" s="203"/>
      <c r="N14" s="204" t="str">
        <f>IF(N13="","",N13/N12*100)</f>
        <v/>
      </c>
      <c r="O14" s="203"/>
      <c r="P14" s="204" t="str">
        <f>IF(P13="","",P13/P12*100)</f>
        <v/>
      </c>
      <c r="Q14" s="203"/>
      <c r="R14" s="112" t="s">
        <v>95</v>
      </c>
      <c r="S14" s="113" t="e">
        <f>IF(X13="/28",AE22,AG22)</f>
        <v>#NUM!</v>
      </c>
      <c r="T14" s="263"/>
      <c r="U14" s="264"/>
      <c r="V14" s="111"/>
      <c r="W14" s="207"/>
      <c r="X14" s="208"/>
      <c r="Y14" s="169"/>
      <c r="Z14" s="169"/>
      <c r="AA14" s="417"/>
      <c r="AB14" s="136" t="s">
        <v>13</v>
      </c>
      <c r="AC14" s="137"/>
      <c r="AD14" s="137"/>
      <c r="AE14" s="196" t="str">
        <f>IF(COUNT(Q$18:Q$1997)&lt;30,"n &lt; 30 AMOSTRAS",IF(P15="",$X$13,IF(P15&lt;$AC$62,$AC$60,IF(P15&lt;$AD$63,$AD$60,IF(P15&lt;$AE$63,$AE$60,IF(P15&lt;$AF$63,$AF$60,IF(P15&gt;$AG$62,$AG$60)))))))</f>
        <v>n &lt; 30 AMOSTRAS</v>
      </c>
      <c r="AF14" s="196"/>
      <c r="AG14" s="196" t="str">
        <f>IF(COUNT(#REF!)&lt;30,"n &lt; 30 AMOSTRAS",IF(#REF!="",$X$13,IF(#REF!&lt;$AC$62,$AC$60,IF(#REF!&lt;$AD$63,$AD$60,IF(#REF!&lt;$AE$63,$AE$60,IF(#REF!&lt;$AF$63,$AF$60,IF(#REF!&gt;$AG$62,$AG$60)))))))</f>
        <v>n &lt; 30 AMOSTRAS</v>
      </c>
      <c r="AH14" s="197"/>
      <c r="AI14" s="417"/>
      <c r="AJ14" s="417"/>
      <c r="AK14" s="417"/>
      <c r="AL14" s="417"/>
      <c r="AM14" s="417"/>
      <c r="AN14" s="417"/>
      <c r="AO14" s="417"/>
      <c r="AP14" s="417"/>
      <c r="AQ14" s="417"/>
      <c r="AR14" s="417"/>
      <c r="AS14" s="417"/>
      <c r="AT14" s="417"/>
      <c r="AU14" s="417"/>
      <c r="AV14" s="417"/>
      <c r="AW14" s="169"/>
      <c r="AX14" s="169"/>
      <c r="AY14" s="169"/>
      <c r="AZ14" s="169"/>
      <c r="BA14" s="169"/>
      <c r="BB14" s="169"/>
      <c r="BC14" s="169"/>
      <c r="BD14" s="169"/>
      <c r="BE14" s="169"/>
      <c r="BF14" s="169"/>
      <c r="BG14" s="169"/>
      <c r="BH14" s="169"/>
      <c r="BI14" s="169"/>
      <c r="BJ14" s="169"/>
      <c r="BK14" s="169"/>
      <c r="BL14" s="169"/>
      <c r="BM14" s="169"/>
      <c r="BN14" s="169"/>
      <c r="BO14" s="169"/>
      <c r="BP14" s="169"/>
      <c r="BQ14" s="169"/>
      <c r="BR14" s="169"/>
      <c r="BS14" s="416"/>
      <c r="BT14" s="416"/>
      <c r="BU14" s="169"/>
      <c r="BV14" s="169"/>
      <c r="BW14" s="169"/>
    </row>
    <row r="15" spans="1:75" ht="18.75" customHeight="1" thickBot="1" x14ac:dyDescent="0.4">
      <c r="A15" s="114"/>
      <c r="B15" s="115" t="s">
        <v>108</v>
      </c>
      <c r="C15" s="116">
        <f>COUNTA(C18:C1997)</f>
        <v>0</v>
      </c>
      <c r="D15" s="117"/>
      <c r="E15" s="117"/>
      <c r="F15" s="118"/>
      <c r="G15" s="119" t="s">
        <v>17</v>
      </c>
      <c r="H15" s="120" t="s">
        <v>18</v>
      </c>
      <c r="I15" s="236"/>
      <c r="J15" s="236"/>
      <c r="K15" s="237"/>
      <c r="L15" s="238"/>
      <c r="M15" s="239"/>
      <c r="N15" s="240"/>
      <c r="O15" s="239"/>
      <c r="P15" s="240" t="str">
        <f>IF(P12="","",IF($X$13=AE18,0.8865*AVERAGE($R$18:$R$1997)/P12*100,""))</f>
        <v/>
      </c>
      <c r="Q15" s="239"/>
      <c r="R15" s="121"/>
      <c r="S15" s="95"/>
      <c r="T15" s="95"/>
      <c r="U15" s="226" t="s">
        <v>82</v>
      </c>
      <c r="V15" s="226"/>
      <c r="W15" s="226"/>
      <c r="X15" s="227"/>
      <c r="Y15" s="417"/>
      <c r="Z15" s="417"/>
      <c r="AA15" s="417"/>
      <c r="AB15" s="423"/>
      <c r="AC15" s="423"/>
      <c r="AD15" s="423"/>
      <c r="AE15" s="423"/>
      <c r="AF15" s="423"/>
      <c r="AG15" s="423"/>
      <c r="AH15" s="423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  <c r="AU15" s="169"/>
      <c r="AV15" s="169"/>
      <c r="AW15" s="169"/>
      <c r="AX15" s="344" t="s">
        <v>56</v>
      </c>
      <c r="AY15" s="327" t="s">
        <v>51</v>
      </c>
      <c r="AZ15" s="327" t="s">
        <v>52</v>
      </c>
      <c r="BA15" s="327" t="s">
        <v>53</v>
      </c>
      <c r="BB15" s="329" t="s">
        <v>54</v>
      </c>
      <c r="BC15" s="169"/>
      <c r="BD15" s="169"/>
      <c r="BE15" s="169"/>
      <c r="BF15" s="169"/>
      <c r="BG15" s="169"/>
      <c r="BH15" s="169"/>
      <c r="BI15" s="169"/>
      <c r="BJ15" s="169"/>
      <c r="BK15" s="169"/>
      <c r="BL15" s="169"/>
      <c r="BM15" s="169"/>
      <c r="BN15" s="169"/>
      <c r="BO15" s="169"/>
      <c r="BP15" s="169"/>
      <c r="BQ15" s="169"/>
      <c r="BR15" s="169"/>
      <c r="BS15" s="416"/>
      <c r="BT15" s="416"/>
      <c r="BU15" s="169"/>
      <c r="BV15" s="169"/>
      <c r="BW15" s="169"/>
    </row>
    <row r="16" spans="1:75" ht="53.25" customHeight="1" thickBot="1" x14ac:dyDescent="0.4">
      <c r="A16" s="331" t="s">
        <v>20</v>
      </c>
      <c r="B16" s="333" t="s">
        <v>21</v>
      </c>
      <c r="C16" s="335" t="s">
        <v>22</v>
      </c>
      <c r="D16" s="337" t="s">
        <v>23</v>
      </c>
      <c r="E16" s="339" t="s">
        <v>24</v>
      </c>
      <c r="F16" s="340"/>
      <c r="G16" s="230" t="s">
        <v>25</v>
      </c>
      <c r="H16" s="232"/>
      <c r="I16" s="228" t="s">
        <v>26</v>
      </c>
      <c r="J16" s="228"/>
      <c r="K16" s="229"/>
      <c r="L16" s="265" t="s">
        <v>72</v>
      </c>
      <c r="M16" s="266"/>
      <c r="N16" s="266"/>
      <c r="O16" s="266"/>
      <c r="P16" s="266"/>
      <c r="Q16" s="266"/>
      <c r="R16" s="242" t="s">
        <v>27</v>
      </c>
      <c r="S16" s="242" t="s">
        <v>28</v>
      </c>
      <c r="T16" s="242" t="s">
        <v>105</v>
      </c>
      <c r="U16" s="242" t="s">
        <v>29</v>
      </c>
      <c r="V16" s="230" t="s">
        <v>30</v>
      </c>
      <c r="W16" s="231"/>
      <c r="X16" s="232"/>
      <c r="Y16" s="242" t="s">
        <v>66</v>
      </c>
      <c r="Z16" s="242" t="s">
        <v>81</v>
      </c>
      <c r="AA16" s="1"/>
      <c r="AB16" s="341" t="s">
        <v>19</v>
      </c>
      <c r="AC16" s="342"/>
      <c r="AD16" s="342"/>
      <c r="AE16" s="342"/>
      <c r="AF16" s="342"/>
      <c r="AG16" s="342"/>
      <c r="AH16" s="343"/>
      <c r="AI16" s="417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345"/>
      <c r="AY16" s="328"/>
      <c r="AZ16" s="328"/>
      <c r="BA16" s="328"/>
      <c r="BB16" s="330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416"/>
      <c r="BT16" s="416"/>
      <c r="BU16" s="169"/>
      <c r="BV16" s="169"/>
      <c r="BW16" s="169"/>
    </row>
    <row r="17" spans="1:74" ht="24" customHeight="1" thickBot="1" x14ac:dyDescent="0.4">
      <c r="A17" s="332"/>
      <c r="B17" s="334"/>
      <c r="C17" s="336"/>
      <c r="D17" s="338"/>
      <c r="E17" s="129" t="s">
        <v>31</v>
      </c>
      <c r="F17" s="130" t="s">
        <v>32</v>
      </c>
      <c r="G17" s="233"/>
      <c r="H17" s="235"/>
      <c r="I17" s="131">
        <v>7</v>
      </c>
      <c r="J17" s="132" t="s">
        <v>33</v>
      </c>
      <c r="K17" s="133">
        <v>2</v>
      </c>
      <c r="L17" s="305">
        <v>3</v>
      </c>
      <c r="M17" s="306"/>
      <c r="N17" s="306">
        <v>7</v>
      </c>
      <c r="O17" s="306"/>
      <c r="P17" s="307">
        <v>28</v>
      </c>
      <c r="Q17" s="307"/>
      <c r="R17" s="325"/>
      <c r="S17" s="325"/>
      <c r="T17" s="326"/>
      <c r="U17" s="243"/>
      <c r="V17" s="233"/>
      <c r="W17" s="234"/>
      <c r="X17" s="235"/>
      <c r="Y17" s="243"/>
      <c r="Z17" s="243"/>
      <c r="AA17" s="1"/>
      <c r="AB17" s="346" t="s">
        <v>104</v>
      </c>
      <c r="AC17" s="347"/>
      <c r="AD17" s="347"/>
      <c r="AE17" s="347"/>
      <c r="AF17" s="347"/>
      <c r="AG17" s="347"/>
      <c r="AH17" s="348"/>
      <c r="AI17" s="419"/>
      <c r="AJ17" s="169"/>
      <c r="AK17" s="169"/>
      <c r="AL17" s="169"/>
      <c r="AM17" s="169"/>
      <c r="AN17" s="169"/>
      <c r="AO17" s="169"/>
      <c r="AP17" s="169"/>
      <c r="AQ17" s="169"/>
      <c r="AR17" s="169"/>
      <c r="AS17" s="169"/>
      <c r="AT17" s="169"/>
      <c r="AU17" s="169"/>
      <c r="AV17" s="169"/>
      <c r="AW17" s="34" t="e">
        <f>AX17</f>
        <v>#VALUE!</v>
      </c>
      <c r="AX17" s="36" t="e">
        <f t="shared" ref="AX17:AX20" si="0">AX18-2</f>
        <v>#VALUE!</v>
      </c>
      <c r="AY17" s="24">
        <f t="array" ref="AY17:AY27">FREQUENCY(BP18:BP1997,AX17:AX27)</f>
        <v>0</v>
      </c>
      <c r="AZ17" s="25" t="e">
        <f>AY17/AY$28*100</f>
        <v>#N/A</v>
      </c>
      <c r="BA17" s="24">
        <f>AY17</f>
        <v>0</v>
      </c>
      <c r="BB17" s="28" t="e">
        <f>BA17/AY$28*100</f>
        <v>#N/A</v>
      </c>
      <c r="BC17" s="416"/>
      <c r="BD17" s="169"/>
      <c r="BE17" s="169"/>
      <c r="BF17" s="40">
        <f>AY17</f>
        <v>0</v>
      </c>
      <c r="BG17" s="40">
        <v>0</v>
      </c>
      <c r="BH17" s="41"/>
      <c r="BI17" s="41"/>
      <c r="BJ17" s="292" t="s">
        <v>60</v>
      </c>
      <c r="BK17" s="292"/>
      <c r="BL17" s="292"/>
      <c r="BM17" s="292"/>
      <c r="BN17" s="292"/>
      <c r="BP17" s="35">
        <v>0</v>
      </c>
      <c r="BQ17" s="37">
        <f>MAX(BQ18:BQ1997)</f>
        <v>3</v>
      </c>
      <c r="BS17" s="292" t="s">
        <v>69</v>
      </c>
      <c r="BT17" s="292"/>
      <c r="BU17" s="292"/>
      <c r="BV17" s="292"/>
    </row>
    <row r="18" spans="1:74" ht="14.25" customHeight="1" x14ac:dyDescent="0.35">
      <c r="A18" s="311">
        <v>1</v>
      </c>
      <c r="B18" s="312"/>
      <c r="C18" s="313"/>
      <c r="D18" s="314"/>
      <c r="E18" s="315"/>
      <c r="F18" s="353"/>
      <c r="G18" s="354"/>
      <c r="H18" s="355"/>
      <c r="I18" s="356"/>
      <c r="J18" s="356"/>
      <c r="K18" s="357"/>
      <c r="L18" s="16"/>
      <c r="M18" s="352" t="str">
        <f>IF(COUNT(L18:L19)&lt;1,"",AVERAGE(L18:L19))</f>
        <v/>
      </c>
      <c r="N18" s="20"/>
      <c r="O18" s="352" t="str">
        <f>IF(COUNT(N18:N19)&lt;1,"",AVERAGE(N18:N19))</f>
        <v/>
      </c>
      <c r="P18" s="20"/>
      <c r="Q18" s="352" t="str">
        <f>IF(COUNT(P18:P19)&lt;1,"",AVERAGE(P18:P19))</f>
        <v/>
      </c>
      <c r="R18" s="247" t="str">
        <f>IF($X$13="/28",IF(COUNT(P18:P19)&lt;=1,"",ABS(P18-P19)),IF($X$13="/90",IF(COUNT(#REF!)&lt;=1,"",ABS(#REF!-#REF!))))</f>
        <v/>
      </c>
      <c r="S18" s="278" t="str">
        <f>IF($X$13="/28",IF(Q18="","",IF(AVERAGE(Q14:Q19)&gt;=$W$13,ROUND(AVERAGE(Q14:Q19),1)&amp;" ≥ "&amp;$W$13&amp;" OK",ROUND(AVERAGE(Q14:Q19),1)&amp;" &lt; "&amp;$W$13&amp;" NC")),IF($X$13="/90",IF(#REF!="","",IF(AVERAGE(#REF!)&gt;=$W$13,ROUND(AVERAGE(#REF!),1)&amp;" ≥ "&amp;$W$13&amp;" OK",ROUND(AVERAGE(#REF!),1)&amp;" &lt; "&amp;$W$13&amp;" NC"))))</f>
        <v/>
      </c>
      <c r="T18" s="247" t="str">
        <f>IF($X$13="/28",IF(Q18="","",IF(Q18&gt;=$W$13-$S$12,ROUND((Q18),1)&amp;" ≥ "&amp;$W$13-$S$12&amp;" OK",ROUND((Q18),1)&amp;" &lt; "&amp;$W$13-$S$12&amp;" NC")),IF($X$13="/90",IF(#REF!="","",IF(#REF!&gt;=$W$13-$S$12,ROUND((#REF!),1)&amp;" ≥ "&amp;$W$13-$S$12&amp;" OK",ROUND((#REF!),1)&amp;" &lt; "&amp;$W$13-$S$12&amp;" NC"))))</f>
        <v/>
      </c>
      <c r="U18" s="12"/>
      <c r="V18" s="349"/>
      <c r="W18" s="350"/>
      <c r="X18" s="351"/>
      <c r="Y18" s="244"/>
      <c r="Z18" s="244"/>
      <c r="AA18" s="1"/>
      <c r="AB18" s="308" t="s">
        <v>7</v>
      </c>
      <c r="AC18" s="309"/>
      <c r="AD18" s="309"/>
      <c r="AE18" s="309" t="s">
        <v>8</v>
      </c>
      <c r="AF18" s="309"/>
      <c r="AG18" s="309" t="s">
        <v>9</v>
      </c>
      <c r="AH18" s="310"/>
      <c r="AI18" s="417"/>
      <c r="AJ18" s="169"/>
      <c r="AK18" s="169"/>
      <c r="AL18" s="169"/>
      <c r="AM18" s="169"/>
      <c r="AN18" s="169"/>
      <c r="AO18" s="169"/>
      <c r="AP18" s="169"/>
      <c r="AQ18" s="169"/>
      <c r="AR18" s="169"/>
      <c r="AS18" s="169"/>
      <c r="AT18" s="169"/>
      <c r="AU18" s="169"/>
      <c r="AV18" s="169"/>
      <c r="AW18" s="34" t="e">
        <f t="shared" ref="AW18:AW27" si="1">AX18</f>
        <v>#VALUE!</v>
      </c>
      <c r="AX18" s="36" t="e">
        <f t="shared" si="0"/>
        <v>#VALUE!</v>
      </c>
      <c r="AY18" s="24">
        <v>0</v>
      </c>
      <c r="AZ18" s="25" t="e">
        <f>AY18/AY$28*100</f>
        <v>#N/A</v>
      </c>
      <c r="BA18" s="24">
        <f>BA17+AY18</f>
        <v>0</v>
      </c>
      <c r="BB18" s="28" t="e">
        <f t="shared" ref="BB18:BB27" si="2">BA18/AY$28*100</f>
        <v>#N/A</v>
      </c>
      <c r="BC18" s="416"/>
      <c r="BD18" s="169"/>
      <c r="BE18" s="169"/>
      <c r="BF18" s="40">
        <f t="shared" ref="BF18:BF27" si="3">AY18</f>
        <v>0</v>
      </c>
      <c r="BG18" s="40">
        <v>0</v>
      </c>
      <c r="BH18" s="42" t="s">
        <v>70</v>
      </c>
      <c r="BI18" s="43" t="str">
        <f>IF($X$13="/28",P11,IF($X$13="/90",#REF!,"0"))</f>
        <v/>
      </c>
      <c r="BM18" s="35" t="s">
        <v>58</v>
      </c>
      <c r="BN18" s="35" t="s">
        <v>59</v>
      </c>
      <c r="BP18" s="390" t="str">
        <f>IF($X$13="/28",IF(Q18="","1",Q18),IF($X$13="/90",IF(#REF!="","1",#REF!),"Falso"))</f>
        <v>1</v>
      </c>
      <c r="BQ18" s="392">
        <v>1</v>
      </c>
      <c r="BS18" s="50" t="str">
        <f>IF(Q18="","1",Q18)</f>
        <v>1</v>
      </c>
      <c r="BT18" s="50" t="e">
        <f>IF(#REF!="","1",#REF!)</f>
        <v>#REF!</v>
      </c>
      <c r="BU18" s="39" t="str">
        <f>IF($X$13="/28",IF(BS18="","0",BS18),IF($X$13="/90",IF(BT18="","0",BT18),"Falso"))</f>
        <v>1</v>
      </c>
      <c r="BV18" s="39">
        <v>1</v>
      </c>
    </row>
    <row r="19" spans="1:74" ht="14.25" customHeight="1" x14ac:dyDescent="0.35">
      <c r="A19" s="294"/>
      <c r="B19" s="296"/>
      <c r="C19" s="298"/>
      <c r="D19" s="300"/>
      <c r="E19" s="302"/>
      <c r="F19" s="304"/>
      <c r="G19" s="276"/>
      <c r="H19" s="277"/>
      <c r="I19" s="290"/>
      <c r="J19" s="290"/>
      <c r="K19" s="291"/>
      <c r="L19" s="17"/>
      <c r="M19" s="286"/>
      <c r="N19" s="21"/>
      <c r="O19" s="286"/>
      <c r="P19" s="21"/>
      <c r="Q19" s="286"/>
      <c r="R19" s="248"/>
      <c r="S19" s="287"/>
      <c r="T19" s="248"/>
      <c r="U19" s="13"/>
      <c r="V19" s="282"/>
      <c r="W19" s="283"/>
      <c r="X19" s="284"/>
      <c r="Y19" s="245"/>
      <c r="Z19" s="245"/>
      <c r="AA19" s="1"/>
      <c r="AB19" s="316" t="s">
        <v>14</v>
      </c>
      <c r="AC19" s="317"/>
      <c r="AD19" s="318"/>
      <c r="AE19" s="249" t="str">
        <f>IF(P11="","-",IF(AND(AP31&gt;W13,AE22&gt;AP32),"CONFORME","NÃO CONFORME"))</f>
        <v>-</v>
      </c>
      <c r="AF19" s="250"/>
      <c r="AG19" s="249" t="e">
        <f>IF(#REF!="","-",IF(AND(AQ31&gt;W13,AG22&gt;AQ32),"CONFORME","NÃO CONFORME"))</f>
        <v>#REF!</v>
      </c>
      <c r="AH19" s="255"/>
      <c r="AI19" s="417"/>
      <c r="AJ19" s="169"/>
      <c r="AK19" s="169"/>
      <c r="AL19" s="169"/>
      <c r="AM19" s="169"/>
      <c r="AN19" s="169"/>
      <c r="AO19" s="169"/>
      <c r="AP19" s="169"/>
      <c r="AQ19" s="169"/>
      <c r="AR19" s="169"/>
      <c r="AS19" s="169"/>
      <c r="AT19" s="169"/>
      <c r="AU19" s="169"/>
      <c r="AV19" s="169"/>
      <c r="AW19" s="34" t="e">
        <f t="shared" si="1"/>
        <v>#VALUE!</v>
      </c>
      <c r="AX19" s="36" t="e">
        <f t="shared" si="0"/>
        <v>#VALUE!</v>
      </c>
      <c r="AY19" s="24" t="e">
        <v>#N/A</v>
      </c>
      <c r="AZ19" s="25" t="e">
        <f t="shared" ref="AZ19:AZ27" si="4">AY19/AY$28*100</f>
        <v>#N/A</v>
      </c>
      <c r="BA19" s="24" t="e">
        <f>BA18+AY19</f>
        <v>#N/A</v>
      </c>
      <c r="BB19" s="28" t="e">
        <f t="shared" si="2"/>
        <v>#N/A</v>
      </c>
      <c r="BC19" s="416"/>
      <c r="BD19" s="169"/>
      <c r="BE19" s="169"/>
      <c r="BF19" s="40" t="e">
        <f t="shared" si="3"/>
        <v>#N/A</v>
      </c>
      <c r="BG19" s="40">
        <v>0</v>
      </c>
      <c r="BH19" s="42" t="s">
        <v>0</v>
      </c>
      <c r="BI19" s="44" t="str">
        <f>IF($X$13="/28",P12,IF($X$13="/90",#REF!,"0"))</f>
        <v/>
      </c>
      <c r="BJ19" s="2">
        <v>-3</v>
      </c>
      <c r="BK19" s="32">
        <f>(1/SQRT(2*PI()))*EXP(-POWER(BJ19,2)/2)</f>
        <v>4.4318484119380075E-3</v>
      </c>
      <c r="BL19" s="33" t="e">
        <f>BJ19*$BI$20</f>
        <v>#VALUE!</v>
      </c>
      <c r="BM19" s="33" t="e">
        <f>BL19+$BI$19</f>
        <v>#VALUE!</v>
      </c>
      <c r="BN19" s="34" t="e">
        <f t="shared" ref="BN19:BN47" si="5">BK19*$BN$49/$BK$49</f>
        <v>#N/A</v>
      </c>
      <c r="BP19" s="391"/>
      <c r="BQ19" s="393"/>
      <c r="BS19" s="50" t="str">
        <f>IF(Q20="","2",Q20)</f>
        <v>2</v>
      </c>
      <c r="BT19" s="50" t="e">
        <f>IF(#REF!="","2",#REF!)</f>
        <v>#REF!</v>
      </c>
      <c r="BU19" s="39" t="str">
        <f>IF($X$13="/28",IF(BS19="","0",BS19),IF($X$13="/90",IF(BT19="","0",BT19),"Falso"))</f>
        <v>2</v>
      </c>
      <c r="BV19" s="39">
        <v>2</v>
      </c>
    </row>
    <row r="20" spans="1:74" ht="14.25" customHeight="1" x14ac:dyDescent="0.35">
      <c r="A20" s="293">
        <v>2</v>
      </c>
      <c r="B20" s="295"/>
      <c r="C20" s="297"/>
      <c r="D20" s="299"/>
      <c r="E20" s="301"/>
      <c r="F20" s="303"/>
      <c r="G20" s="288"/>
      <c r="H20" s="289"/>
      <c r="I20" s="290"/>
      <c r="J20" s="290"/>
      <c r="K20" s="291"/>
      <c r="L20" s="18"/>
      <c r="M20" s="285" t="str">
        <f>IF(COUNT(L20:L21)&lt;1,"",AVERAGE(L20:L21))</f>
        <v/>
      </c>
      <c r="N20" s="22"/>
      <c r="O20" s="285" t="str">
        <f>IF(COUNT(N20:N21)&lt;1,"",AVERAGE(N20:N21))</f>
        <v/>
      </c>
      <c r="P20" s="22"/>
      <c r="Q20" s="285" t="str">
        <f>IF(COUNT(P20:P21)&lt;1,"",AVERAGE(P20:P21))</f>
        <v/>
      </c>
      <c r="R20" s="278" t="str">
        <f>IF($X$13="/28",IF(COUNT(P20:P21)&lt;=1,"",ABS(P20-P21)),IF($X$13="/90",IF(COUNT(#REF!)&lt;=1,"",ABS(#REF!-#REF!))))</f>
        <v/>
      </c>
      <c r="S20" s="278" t="str">
        <f>IF($X$13="/28",IF(Q20="","",IF(AVERAGE(Q16:Q21)&gt;=$W$13,ROUND(AVERAGE(Q16:Q21),1)&amp;" ≥ "&amp;$W$13&amp;" OK",ROUND(AVERAGE(Q16:Q21),1)&amp;" &lt; "&amp;$W$13&amp;" NC")),IF($X$13="/90",IF(#REF!="","",IF(AVERAGE(#REF!)&gt;=$W$13,ROUND(AVERAGE(#REF!),1)&amp;" ≥ "&amp;$W$13&amp;" OK",ROUND(AVERAGE(#REF!),1)&amp;" &lt; "&amp;$W$13&amp;" NC"))))</f>
        <v/>
      </c>
      <c r="T20" s="278" t="str">
        <f>IF($X$13="/28",IF(Q20="","",IF(Q20&gt;=$W$13-$S$12,ROUND((Q20),1)&amp;" ≥ "&amp;$W$13-$S$12&amp;" OK",ROUND((Q20),1)&amp;" &lt; "&amp;$W$13-$S$12&amp;" NC")),IF($X$13="/90",IF(#REF!="","",IF(#REF!&gt;=$W$13-$S$12,ROUND((#REF!),1)&amp;" ≥ "&amp;$W$13-$S$12&amp;" OK",ROUND((#REF!),1)&amp;" &lt; "&amp;$W$13-$S$12&amp;" NC"))))</f>
        <v/>
      </c>
      <c r="U20" s="14"/>
      <c r="V20" s="279"/>
      <c r="W20" s="280"/>
      <c r="X20" s="281"/>
      <c r="Y20" s="246"/>
      <c r="Z20" s="246"/>
      <c r="AA20" s="1"/>
      <c r="AB20" s="319"/>
      <c r="AC20" s="320"/>
      <c r="AD20" s="321"/>
      <c r="AE20" s="251"/>
      <c r="AF20" s="252"/>
      <c r="AG20" s="251"/>
      <c r="AH20" s="256"/>
      <c r="AI20" s="417"/>
      <c r="AJ20" s="169"/>
      <c r="AK20" s="169"/>
      <c r="AL20" s="169"/>
      <c r="AM20" s="169"/>
      <c r="AN20" s="169"/>
      <c r="AO20" s="169"/>
      <c r="AP20" s="169"/>
      <c r="AQ20" s="169"/>
      <c r="AR20" s="169"/>
      <c r="AS20" s="169"/>
      <c r="AT20" s="169"/>
      <c r="AU20" s="169"/>
      <c r="AV20" s="169"/>
      <c r="AW20" s="34" t="e">
        <f t="shared" si="1"/>
        <v>#VALUE!</v>
      </c>
      <c r="AX20" s="36" t="e">
        <f t="shared" si="0"/>
        <v>#VALUE!</v>
      </c>
      <c r="AY20" s="24" t="e">
        <v>#N/A</v>
      </c>
      <c r="AZ20" s="25" t="e">
        <f t="shared" si="4"/>
        <v>#N/A</v>
      </c>
      <c r="BA20" s="24" t="e">
        <f t="shared" ref="BA20:BA27" si="6">BA19+AY20</f>
        <v>#N/A</v>
      </c>
      <c r="BB20" s="28" t="e">
        <f t="shared" si="2"/>
        <v>#N/A</v>
      </c>
      <c r="BC20" s="416"/>
      <c r="BD20" s="169"/>
      <c r="BE20" s="169"/>
      <c r="BF20" s="40" t="e">
        <f t="shared" si="3"/>
        <v>#N/A</v>
      </c>
      <c r="BG20" s="40">
        <v>0</v>
      </c>
      <c r="BH20" s="42" t="s">
        <v>57</v>
      </c>
      <c r="BI20" s="45" t="str">
        <f>IF($X$13="/28",P13,IF($X$13="/90",#REF!,"0"))</f>
        <v/>
      </c>
      <c r="BJ20" s="2">
        <v>-2.9</v>
      </c>
      <c r="BK20" s="32">
        <f t="shared" ref="BK20:BK79" si="7">(1/SQRT(2*PI()))*EXP(-POWER(BJ20,2)/2)</f>
        <v>5.9525324197758538E-3</v>
      </c>
      <c r="BL20" s="33" t="e">
        <f t="shared" ref="BL20:BL79" si="8">BJ20*$BI$20</f>
        <v>#VALUE!</v>
      </c>
      <c r="BM20" s="33" t="e">
        <f t="shared" ref="BM20:BM47" si="9">BL20+$BI$19</f>
        <v>#VALUE!</v>
      </c>
      <c r="BN20" s="34" t="e">
        <f t="shared" si="5"/>
        <v>#N/A</v>
      </c>
      <c r="BP20" s="390" t="str">
        <f>IF($X$13="/28",IF(Q20="","2",Q20),IF($X$13="/90",IF(#REF!="","2",#REF!),"Falso"))</f>
        <v>2</v>
      </c>
      <c r="BQ20" s="392">
        <v>2</v>
      </c>
      <c r="BS20" s="50" t="str">
        <f>IF(Q22="","3",Q22)</f>
        <v>3</v>
      </c>
      <c r="BT20" s="50" t="e">
        <f>IF(#REF!="","3",#REF!)</f>
        <v>#REF!</v>
      </c>
      <c r="BU20" s="39" t="str">
        <f>IF($X$13="/28",IF(BS20="","0",BS20),IF($X$13="/90",IF(BT20="","0",BT20),"Falso"))</f>
        <v>3</v>
      </c>
      <c r="BV20" s="39">
        <v>3</v>
      </c>
    </row>
    <row r="21" spans="1:74" ht="14.25" customHeight="1" thickBot="1" x14ac:dyDescent="0.4">
      <c r="A21" s="294"/>
      <c r="B21" s="296"/>
      <c r="C21" s="298"/>
      <c r="D21" s="300"/>
      <c r="E21" s="302"/>
      <c r="F21" s="304"/>
      <c r="G21" s="276"/>
      <c r="H21" s="277"/>
      <c r="I21" s="290"/>
      <c r="J21" s="290"/>
      <c r="K21" s="291"/>
      <c r="L21" s="17"/>
      <c r="M21" s="286"/>
      <c r="N21" s="21"/>
      <c r="O21" s="286"/>
      <c r="P21" s="21"/>
      <c r="Q21" s="286"/>
      <c r="R21" s="248"/>
      <c r="S21" s="287"/>
      <c r="T21" s="248"/>
      <c r="U21" s="13"/>
      <c r="V21" s="282"/>
      <c r="W21" s="283"/>
      <c r="X21" s="284"/>
      <c r="Y21" s="245"/>
      <c r="Z21" s="245"/>
      <c r="AA21" s="1"/>
      <c r="AB21" s="322"/>
      <c r="AC21" s="323"/>
      <c r="AD21" s="324"/>
      <c r="AE21" s="253"/>
      <c r="AF21" s="254"/>
      <c r="AG21" s="253"/>
      <c r="AH21" s="257"/>
      <c r="AI21" s="417"/>
      <c r="AJ21" s="169"/>
      <c r="AK21" s="169"/>
      <c r="AL21" s="169"/>
      <c r="AM21" s="169"/>
      <c r="AN21" s="169"/>
      <c r="AO21" s="169"/>
      <c r="AP21" s="169"/>
      <c r="AQ21" s="169"/>
      <c r="AR21" s="169"/>
      <c r="AS21" s="169"/>
      <c r="AT21" s="169"/>
      <c r="AU21" s="169"/>
      <c r="AV21" s="169"/>
      <c r="AW21" s="34" t="e">
        <f t="shared" si="1"/>
        <v>#VALUE!</v>
      </c>
      <c r="AX21" s="36" t="e">
        <f>AX22-2</f>
        <v>#VALUE!</v>
      </c>
      <c r="AY21" s="24" t="e">
        <v>#N/A</v>
      </c>
      <c r="AZ21" s="25" t="e">
        <f t="shared" si="4"/>
        <v>#N/A</v>
      </c>
      <c r="BA21" s="24" t="e">
        <f t="shared" si="6"/>
        <v>#N/A</v>
      </c>
      <c r="BB21" s="28" t="e">
        <f t="shared" si="2"/>
        <v>#N/A</v>
      </c>
      <c r="BC21" s="416"/>
      <c r="BD21" s="169"/>
      <c r="BE21" s="169"/>
      <c r="BF21" s="40" t="e">
        <f t="shared" si="3"/>
        <v>#N/A</v>
      </c>
      <c r="BG21" s="40">
        <v>0</v>
      </c>
      <c r="BH21" s="42" t="s">
        <v>71</v>
      </c>
      <c r="BI21" s="45" t="str">
        <f>IF($X$13="/28",P14,IF($X$13="/90",#REF!,"0"))</f>
        <v/>
      </c>
      <c r="BJ21" s="2">
        <v>-2.8</v>
      </c>
      <c r="BK21" s="32">
        <f t="shared" si="7"/>
        <v>7.9154515829799686E-3</v>
      </c>
      <c r="BL21" s="33" t="e">
        <f t="shared" si="8"/>
        <v>#VALUE!</v>
      </c>
      <c r="BM21" s="33" t="e">
        <f t="shared" si="9"/>
        <v>#VALUE!</v>
      </c>
      <c r="BN21" s="34" t="e">
        <f t="shared" si="5"/>
        <v>#N/A</v>
      </c>
      <c r="BP21" s="391"/>
      <c r="BQ21" s="393"/>
      <c r="BS21" s="50" t="str">
        <f>Q24</f>
        <v/>
      </c>
      <c r="BT21" s="50" t="e">
        <f>#REF!</f>
        <v>#REF!</v>
      </c>
      <c r="BU21" s="39" t="str">
        <f t="shared" ref="BU21:BU23" si="10">IF($X$13="/28",IF(BS21="","",BS21),IF($X$13="/90",IF(BT21="","",BT21),"Falso"))</f>
        <v/>
      </c>
      <c r="BV21" s="39" t="str">
        <f>IF(BU21="","",BV20+1)</f>
        <v/>
      </c>
    </row>
    <row r="22" spans="1:74" ht="14.25" customHeight="1" x14ac:dyDescent="0.35">
      <c r="A22" s="293">
        <v>3</v>
      </c>
      <c r="B22" s="295"/>
      <c r="C22" s="297"/>
      <c r="D22" s="299"/>
      <c r="E22" s="301"/>
      <c r="F22" s="303"/>
      <c r="G22" s="288"/>
      <c r="H22" s="289"/>
      <c r="I22" s="290"/>
      <c r="J22" s="290"/>
      <c r="K22" s="291"/>
      <c r="L22" s="18"/>
      <c r="M22" s="285" t="str">
        <f t="shared" ref="M22" si="11">IF(COUNT(L22:L23)&lt;1,"",AVERAGE(L22:L23))</f>
        <v/>
      </c>
      <c r="N22" s="22"/>
      <c r="O22" s="285" t="str">
        <f t="shared" ref="O22" si="12">IF(COUNT(N22:N23)&lt;1,"",AVERAGE(N22:N23))</f>
        <v/>
      </c>
      <c r="P22" s="22"/>
      <c r="Q22" s="285" t="str">
        <f t="shared" ref="Q22" si="13">IF(COUNT(P22:P23)&lt;1,"",AVERAGE(P22:P23))</f>
        <v/>
      </c>
      <c r="R22" s="278" t="str">
        <f>IF($X$13="/28",IF(COUNT(P22:P23)&lt;=1,"",ABS(P22-P23)),IF($X$13="/90",IF(COUNT(#REF!)&lt;=1,"",ABS(#REF!-#REF!))))</f>
        <v/>
      </c>
      <c r="S22" s="278" t="str">
        <f>IF($X$13="/28",IF(Q22="","",IF(AVERAGE(Q18:Q23)&gt;=$W$13,ROUND(AVERAGE(Q18:Q23),1)&amp;" ≥ "&amp;$W$13&amp;" OK",ROUND(AVERAGE(Q18:Q23),1)&amp;" &lt; "&amp;$W$13&amp;" NC")),IF($X$13="/90",IF(#REF!="","",IF(AVERAGE(#REF!)&gt;=$W$13,ROUND(AVERAGE(#REF!),1)&amp;" ≥ "&amp;$W$13&amp;" OK",ROUND(AVERAGE(#REF!),1)&amp;" &lt; "&amp;$W$13&amp;" NC"))))</f>
        <v/>
      </c>
      <c r="T22" s="278" t="str">
        <f>IF($X$13="/28",IF(Q22="","",IF(Q22&gt;=$W$13-$S$12,ROUND((Q22),1)&amp;" ≥ "&amp;$W$13-$S$12&amp;" OK",ROUND((Q22),1)&amp;" &lt; "&amp;$W$13-$S$12&amp;" NC")),IF($X$13="/90",IF(#REF!="","",IF(#REF!&gt;=$W$13-$S$12,ROUND((#REF!),1)&amp;" ≥ "&amp;$W$13-$S$12&amp;" OK",ROUND((#REF!),1)&amp;" &lt; "&amp;$W$13-$S$12&amp;" NC"))))</f>
        <v/>
      </c>
      <c r="U22" s="14"/>
      <c r="V22" s="279"/>
      <c r="W22" s="280"/>
      <c r="X22" s="281"/>
      <c r="Y22" s="246"/>
      <c r="Z22" s="246"/>
      <c r="AA22" s="1"/>
      <c r="AB22" s="96"/>
      <c r="AC22" s="96" t="s">
        <v>80</v>
      </c>
      <c r="AD22" s="138"/>
      <c r="AE22" s="241" t="e">
        <f>SMALL(Q$18:Q$1997,1)</f>
        <v>#NUM!</v>
      </c>
      <c r="AF22" s="241"/>
      <c r="AG22" s="241" t="e">
        <f>SMALL(#REF!,1)</f>
        <v>#REF!</v>
      </c>
      <c r="AH22" s="241"/>
      <c r="AI22" s="417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34" t="e">
        <f t="shared" si="1"/>
        <v>#VALUE!</v>
      </c>
      <c r="AX22" s="36" t="e">
        <f>INT(BI19)</f>
        <v>#VALUE!</v>
      </c>
      <c r="AY22" s="24" t="e">
        <v>#N/A</v>
      </c>
      <c r="AZ22" s="25" t="e">
        <f t="shared" si="4"/>
        <v>#N/A</v>
      </c>
      <c r="BA22" s="24" t="e">
        <f t="shared" si="6"/>
        <v>#N/A</v>
      </c>
      <c r="BB22" s="28" t="e">
        <f t="shared" si="2"/>
        <v>#N/A</v>
      </c>
      <c r="BC22" s="416"/>
      <c r="BD22" s="169"/>
      <c r="BE22" s="169"/>
      <c r="BF22" s="40" t="e">
        <f t="shared" si="3"/>
        <v>#N/A</v>
      </c>
      <c r="BG22" s="40">
        <v>0</v>
      </c>
      <c r="BH22" s="41"/>
      <c r="BI22" s="41"/>
      <c r="BJ22" s="2">
        <v>-2.7</v>
      </c>
      <c r="BK22" s="32">
        <f t="shared" si="7"/>
        <v>1.0420934814422592E-2</v>
      </c>
      <c r="BL22" s="33" t="e">
        <f t="shared" si="8"/>
        <v>#VALUE!</v>
      </c>
      <c r="BM22" s="33" t="e">
        <f t="shared" si="9"/>
        <v>#VALUE!</v>
      </c>
      <c r="BN22" s="34" t="e">
        <f t="shared" si="5"/>
        <v>#N/A</v>
      </c>
      <c r="BP22" s="390" t="str">
        <f>IF($X$13="/28",IF(Q22="","3",Q22),IF($X$13="/90",IF(#REF!="","3",#REF!),"Falso"))</f>
        <v>3</v>
      </c>
      <c r="BQ22" s="392">
        <v>3</v>
      </c>
      <c r="BS22" s="50" t="str">
        <f>Q26</f>
        <v/>
      </c>
      <c r="BT22" s="50" t="e">
        <f>#REF!</f>
        <v>#REF!</v>
      </c>
      <c r="BU22" s="39" t="str">
        <f t="shared" si="10"/>
        <v/>
      </c>
      <c r="BV22" s="39" t="str">
        <f t="shared" ref="BV22:BV83" si="14">IF(BU22="","",BV21+1)</f>
        <v/>
      </c>
    </row>
    <row r="23" spans="1:74" ht="14.25" customHeight="1" thickBot="1" x14ac:dyDescent="0.4">
      <c r="A23" s="294"/>
      <c r="B23" s="296"/>
      <c r="C23" s="298"/>
      <c r="D23" s="300"/>
      <c r="E23" s="302"/>
      <c r="F23" s="304"/>
      <c r="G23" s="276"/>
      <c r="H23" s="277"/>
      <c r="I23" s="290"/>
      <c r="J23" s="290"/>
      <c r="K23" s="291"/>
      <c r="L23" s="17"/>
      <c r="M23" s="286"/>
      <c r="N23" s="21"/>
      <c r="O23" s="286"/>
      <c r="P23" s="21"/>
      <c r="Q23" s="286"/>
      <c r="R23" s="248"/>
      <c r="S23" s="287"/>
      <c r="T23" s="248"/>
      <c r="U23" s="13"/>
      <c r="V23" s="282"/>
      <c r="W23" s="283"/>
      <c r="X23" s="284"/>
      <c r="Y23" s="245"/>
      <c r="Z23" s="245"/>
      <c r="AA23" s="1"/>
      <c r="AB23" s="96"/>
      <c r="AC23" s="96"/>
      <c r="AD23" s="138"/>
      <c r="AE23" s="138"/>
      <c r="AF23" s="138"/>
      <c r="AG23" s="138"/>
      <c r="AH23" s="138"/>
      <c r="AI23" s="417"/>
      <c r="AJ23" s="169"/>
      <c r="AK23" s="169"/>
      <c r="AL23" s="169"/>
      <c r="AM23" s="169"/>
      <c r="AN23" s="169"/>
      <c r="AO23" s="169"/>
      <c r="AP23" s="169"/>
      <c r="AQ23" s="169"/>
      <c r="AR23" s="169"/>
      <c r="AS23" s="169"/>
      <c r="AT23" s="169"/>
      <c r="AU23" s="169"/>
      <c r="AV23" s="169"/>
      <c r="AW23" s="34" t="e">
        <f t="shared" si="1"/>
        <v>#VALUE!</v>
      </c>
      <c r="AX23" s="36" t="e">
        <f>AX22+2</f>
        <v>#VALUE!</v>
      </c>
      <c r="AY23" s="24" t="e">
        <v>#N/A</v>
      </c>
      <c r="AZ23" s="25" t="e">
        <f t="shared" si="4"/>
        <v>#N/A</v>
      </c>
      <c r="BA23" s="24" t="e">
        <f t="shared" si="6"/>
        <v>#N/A</v>
      </c>
      <c r="BB23" s="28" t="e">
        <f t="shared" si="2"/>
        <v>#N/A</v>
      </c>
      <c r="BC23" s="416"/>
      <c r="BD23" s="169"/>
      <c r="BE23" s="169"/>
      <c r="BF23" s="40" t="e">
        <f t="shared" si="3"/>
        <v>#N/A</v>
      </c>
      <c r="BG23" s="40">
        <v>0</v>
      </c>
      <c r="BH23" s="41"/>
      <c r="BI23" s="41"/>
      <c r="BJ23" s="2">
        <v>-2.6</v>
      </c>
      <c r="BK23" s="32">
        <f t="shared" si="7"/>
        <v>1.3582969233685613E-2</v>
      </c>
      <c r="BL23" s="33" t="e">
        <f t="shared" si="8"/>
        <v>#VALUE!</v>
      </c>
      <c r="BM23" s="33" t="e">
        <f t="shared" si="9"/>
        <v>#VALUE!</v>
      </c>
      <c r="BN23" s="34" t="e">
        <f t="shared" si="5"/>
        <v>#N/A</v>
      </c>
      <c r="BP23" s="391"/>
      <c r="BQ23" s="393"/>
      <c r="BS23" s="50" t="str">
        <f>Q28</f>
        <v/>
      </c>
      <c r="BT23" s="50" t="e">
        <f>#REF!</f>
        <v>#REF!</v>
      </c>
      <c r="BU23" s="39" t="str">
        <f t="shared" si="10"/>
        <v/>
      </c>
      <c r="BV23" s="39" t="str">
        <f t="shared" si="14"/>
        <v/>
      </c>
    </row>
    <row r="24" spans="1:74" ht="14.25" customHeight="1" thickBot="1" x14ac:dyDescent="0.4">
      <c r="A24" s="293">
        <v>4</v>
      </c>
      <c r="B24" s="295"/>
      <c r="C24" s="297"/>
      <c r="D24" s="299"/>
      <c r="E24" s="301"/>
      <c r="F24" s="303"/>
      <c r="G24" s="288"/>
      <c r="H24" s="289"/>
      <c r="I24" s="290"/>
      <c r="J24" s="290"/>
      <c r="K24" s="291"/>
      <c r="L24" s="18"/>
      <c r="M24" s="285" t="str">
        <f t="shared" ref="M24" si="15">IF(COUNT(L24:L25)&lt;1,"",AVERAGE(L24:L25))</f>
        <v/>
      </c>
      <c r="N24" s="22"/>
      <c r="O24" s="285" t="str">
        <f t="shared" ref="O24" si="16">IF(COUNT(N24:N25)&lt;1,"",AVERAGE(N24:N25))</f>
        <v/>
      </c>
      <c r="P24" s="22"/>
      <c r="Q24" s="285" t="str">
        <f t="shared" ref="Q24" si="17">IF(COUNT(P24:P25)&lt;1,"",AVERAGE(P24:P25))</f>
        <v/>
      </c>
      <c r="R24" s="278" t="str">
        <f>IF($X$13="/28",IF(COUNT(P24:P25)&lt;=1,"",ABS(P24-P25)),IF($X$13="/90",IF(COUNT(#REF!)&lt;=1,"",ABS(#REF!-#REF!))))</f>
        <v/>
      </c>
      <c r="S24" s="278" t="str">
        <f>IF($X$13="/28",IF(Q24="","",IF(AVERAGE(Q20:Q25)&gt;=$W$13,ROUND(AVERAGE(Q20:Q25),1)&amp;" ≥ "&amp;$W$13&amp;" OK",ROUND(AVERAGE(Q20:Q25),1)&amp;" &lt; "&amp;$W$13&amp;" NC")),IF($X$13="/90",IF(#REF!="","",IF(AVERAGE(#REF!)&gt;=$W$13,ROUND(AVERAGE(#REF!),1)&amp;" ≥ "&amp;$W$13&amp;" OK",ROUND(AVERAGE(#REF!),1)&amp;" &lt; "&amp;$W$13&amp;" NC"))))</f>
        <v/>
      </c>
      <c r="T24" s="278" t="str">
        <f>IF($X$13="/28",IF(Q24="","",IF(Q24&gt;=$W$13-$S$12,ROUND((Q24),1)&amp;" ≥ "&amp;$W$13-$S$12&amp;" OK",ROUND((Q24),1)&amp;" &lt; "&amp;$W$13-$S$12&amp;" NC")),IF($X$13="/90",IF(#REF!="","",IF(#REF!&gt;=$W$13-$S$12,ROUND((#REF!),1)&amp;" ≥ "&amp;$W$13-$S$12&amp;" OK",ROUND((#REF!),1)&amp;" &lt; "&amp;$W$13-$S$12&amp;" NC"))))</f>
        <v/>
      </c>
      <c r="U24" s="14"/>
      <c r="V24" s="279"/>
      <c r="W24" s="280"/>
      <c r="X24" s="281"/>
      <c r="Y24" s="246"/>
      <c r="Z24" s="246"/>
      <c r="AA24" s="1"/>
      <c r="AB24" s="96"/>
      <c r="AC24" s="138"/>
      <c r="AD24" s="138"/>
      <c r="AE24" s="138"/>
      <c r="AF24" s="138"/>
      <c r="AG24" s="138"/>
      <c r="AH24" s="138"/>
      <c r="AI24" s="1"/>
      <c r="AJ24" s="79"/>
      <c r="AK24" s="80"/>
      <c r="AL24" s="80"/>
      <c r="AM24" s="80"/>
      <c r="AN24" s="80"/>
      <c r="AO24" s="80"/>
      <c r="AP24" s="80"/>
      <c r="AQ24" s="80"/>
      <c r="AR24" s="81"/>
      <c r="AS24" s="417"/>
      <c r="AT24" s="417"/>
      <c r="AU24" s="417"/>
      <c r="AV24" s="417"/>
      <c r="AW24" s="34" t="e">
        <f t="shared" si="1"/>
        <v>#VALUE!</v>
      </c>
      <c r="AX24" s="36" t="e">
        <f t="shared" ref="AX24:AX27" si="18">AX23+2</f>
        <v>#VALUE!</v>
      </c>
      <c r="AY24" s="24" t="e">
        <v>#N/A</v>
      </c>
      <c r="AZ24" s="25" t="e">
        <f t="shared" si="4"/>
        <v>#N/A</v>
      </c>
      <c r="BA24" s="24" t="e">
        <f t="shared" si="6"/>
        <v>#N/A</v>
      </c>
      <c r="BB24" s="28" t="e">
        <f t="shared" si="2"/>
        <v>#N/A</v>
      </c>
      <c r="BC24" s="416"/>
      <c r="BD24" s="169"/>
      <c r="BE24" s="169"/>
      <c r="BF24" s="40" t="e">
        <f t="shared" si="3"/>
        <v>#N/A</v>
      </c>
      <c r="BG24" s="40">
        <v>0</v>
      </c>
      <c r="BH24" s="41"/>
      <c r="BI24" s="41"/>
      <c r="BJ24" s="2">
        <v>-2.5</v>
      </c>
      <c r="BK24" s="32">
        <f t="shared" si="7"/>
        <v>1.752830049356854E-2</v>
      </c>
      <c r="BL24" s="33" t="e">
        <f t="shared" si="8"/>
        <v>#VALUE!</v>
      </c>
      <c r="BM24" s="33" t="e">
        <f t="shared" si="9"/>
        <v>#VALUE!</v>
      </c>
      <c r="BN24" s="34" t="e">
        <f t="shared" si="5"/>
        <v>#N/A</v>
      </c>
      <c r="BP24" s="390" t="str">
        <f>IF($X$13="/28",IF(Q24="","",Q24),IF($X$13="/90",IF(#REF!="","",#REF!),"Falso"))</f>
        <v/>
      </c>
      <c r="BQ24" s="392" t="str">
        <f t="shared" ref="BQ24" si="19">IF(BP24="","",BQ22+1)</f>
        <v/>
      </c>
      <c r="BS24" s="50" t="str">
        <f>Q30</f>
        <v/>
      </c>
      <c r="BT24" s="50" t="e">
        <f>#REF!</f>
        <v>#REF!</v>
      </c>
      <c r="BU24" s="39" t="str">
        <f t="shared" ref="BU24:BU87" si="20">IF($X$13="/28",IF(BS24="","",BS24),IF($X$13="/90",IF(BT24="","",BT24),"Falso"))</f>
        <v/>
      </c>
      <c r="BV24" s="39" t="str">
        <f t="shared" si="14"/>
        <v/>
      </c>
    </row>
    <row r="25" spans="1:74" ht="14.25" customHeight="1" thickBot="1" x14ac:dyDescent="0.4">
      <c r="A25" s="294"/>
      <c r="B25" s="296"/>
      <c r="C25" s="298"/>
      <c r="D25" s="300"/>
      <c r="E25" s="302"/>
      <c r="F25" s="304"/>
      <c r="G25" s="276"/>
      <c r="H25" s="277"/>
      <c r="I25" s="290"/>
      <c r="J25" s="290"/>
      <c r="K25" s="291"/>
      <c r="L25" s="17"/>
      <c r="M25" s="286"/>
      <c r="N25" s="21"/>
      <c r="O25" s="286"/>
      <c r="P25" s="21"/>
      <c r="Q25" s="286"/>
      <c r="R25" s="248"/>
      <c r="S25" s="287"/>
      <c r="T25" s="248"/>
      <c r="U25" s="13"/>
      <c r="V25" s="282"/>
      <c r="W25" s="283"/>
      <c r="X25" s="284"/>
      <c r="Y25" s="245"/>
      <c r="Z25" s="245"/>
      <c r="AA25" s="1"/>
      <c r="AB25" s="138"/>
      <c r="AC25" s="138"/>
      <c r="AD25" s="138"/>
      <c r="AE25" s="138"/>
      <c r="AF25" s="138"/>
      <c r="AG25" s="138"/>
      <c r="AH25" s="138"/>
      <c r="AI25" s="1"/>
      <c r="AJ25" s="82"/>
      <c r="AK25" s="56" t="s">
        <v>83</v>
      </c>
      <c r="AL25" s="57" t="s">
        <v>84</v>
      </c>
      <c r="AM25" s="58" t="s">
        <v>85</v>
      </c>
      <c r="AN25" s="1"/>
      <c r="AO25" s="1"/>
      <c r="AP25" s="1" t="s">
        <v>97</v>
      </c>
      <c r="AQ25" s="1" t="s">
        <v>98</v>
      </c>
      <c r="AR25" s="83"/>
      <c r="AS25" s="417"/>
      <c r="AT25" s="417"/>
      <c r="AU25" s="417"/>
      <c r="AV25" s="417"/>
      <c r="AW25" s="34" t="e">
        <f t="shared" si="1"/>
        <v>#VALUE!</v>
      </c>
      <c r="AX25" s="36" t="e">
        <f t="shared" si="18"/>
        <v>#VALUE!</v>
      </c>
      <c r="AY25" s="24" t="e">
        <v>#N/A</v>
      </c>
      <c r="AZ25" s="25" t="e">
        <f t="shared" si="4"/>
        <v>#N/A</v>
      </c>
      <c r="BA25" s="24" t="e">
        <f t="shared" si="6"/>
        <v>#N/A</v>
      </c>
      <c r="BB25" s="28" t="e">
        <f t="shared" si="2"/>
        <v>#N/A</v>
      </c>
      <c r="BC25" s="416"/>
      <c r="BD25" s="169"/>
      <c r="BE25" s="169"/>
      <c r="BF25" s="40" t="e">
        <f t="shared" si="3"/>
        <v>#N/A</v>
      </c>
      <c r="BG25" s="40">
        <v>0</v>
      </c>
      <c r="BH25" s="41"/>
      <c r="BI25" s="41"/>
      <c r="BJ25" s="2">
        <v>-2.4</v>
      </c>
      <c r="BK25" s="32">
        <f t="shared" si="7"/>
        <v>2.2394530294842899E-2</v>
      </c>
      <c r="BL25" s="33" t="e">
        <f t="shared" si="8"/>
        <v>#VALUE!</v>
      </c>
      <c r="BM25" s="33" t="e">
        <f t="shared" si="9"/>
        <v>#VALUE!</v>
      </c>
      <c r="BN25" s="34" t="e">
        <f t="shared" si="5"/>
        <v>#N/A</v>
      </c>
      <c r="BP25" s="391"/>
      <c r="BQ25" s="393"/>
      <c r="BS25" s="50" t="str">
        <f>Q32</f>
        <v/>
      </c>
      <c r="BT25" s="50" t="e">
        <f>#REF!</f>
        <v>#REF!</v>
      </c>
      <c r="BU25" s="39" t="str">
        <f t="shared" si="20"/>
        <v/>
      </c>
      <c r="BV25" s="39" t="str">
        <f t="shared" si="14"/>
        <v/>
      </c>
    </row>
    <row r="26" spans="1:74" ht="14.25" customHeight="1" x14ac:dyDescent="0.35">
      <c r="A26" s="293">
        <v>5</v>
      </c>
      <c r="B26" s="295"/>
      <c r="C26" s="297"/>
      <c r="D26" s="299"/>
      <c r="E26" s="301"/>
      <c r="F26" s="303"/>
      <c r="G26" s="288"/>
      <c r="H26" s="289"/>
      <c r="I26" s="290"/>
      <c r="J26" s="290"/>
      <c r="K26" s="291"/>
      <c r="L26" s="18"/>
      <c r="M26" s="285" t="str">
        <f t="shared" ref="M26" si="21">IF(COUNT(L26:L27)&lt;1,"",AVERAGE(L26:L27))</f>
        <v/>
      </c>
      <c r="N26" s="22"/>
      <c r="O26" s="285" t="str">
        <f t="shared" ref="O26" si="22">IF(COUNT(N26:N27)&lt;1,"",AVERAGE(N26:N27))</f>
        <v/>
      </c>
      <c r="P26" s="22"/>
      <c r="Q26" s="285" t="str">
        <f t="shared" ref="Q26" si="23">IF(COUNT(P26:P27)&lt;1,"",AVERAGE(P26:P27))</f>
        <v/>
      </c>
      <c r="R26" s="278" t="str">
        <f>IF($X$13="/28",IF(COUNT(P26:P27)&lt;=1,"",ABS(P26-P27)),IF($X$13="/90",IF(COUNT(#REF!)&lt;=1,"",ABS(#REF!-#REF!))))</f>
        <v/>
      </c>
      <c r="S26" s="278" t="str">
        <f>IF($X$13="/28",IF(Q26="","",IF(AVERAGE(Q22:Q27)&gt;=$W$13,ROUND(AVERAGE(Q22:Q27),1)&amp;" ≥ "&amp;$W$13&amp;" OK",ROUND(AVERAGE(Q22:Q27),1)&amp;" &lt; "&amp;$W$13&amp;" NC")),IF($X$13="/90",IF(#REF!="","",IF(AVERAGE(#REF!)&gt;=$W$13,ROUND(AVERAGE(#REF!),1)&amp;" ≥ "&amp;$W$13&amp;" OK",ROUND(AVERAGE(#REF!),1)&amp;" &lt; "&amp;$W$13&amp;" NC"))))</f>
        <v/>
      </c>
      <c r="T26" s="278" t="str">
        <f>IF($X$13="/28",IF(Q26="","",IF(Q26&gt;=$W$13-$S$12,ROUND((Q26),1)&amp;" ≥ "&amp;$W$13-$S$12&amp;" OK",ROUND((Q26),1)&amp;" &lt; "&amp;$W$13-$S$12&amp;" NC")),IF($X$13="/90",IF(#REF!="","",IF(#REF!&gt;=$W$13-$S$12,ROUND((#REF!),1)&amp;" ≥ "&amp;$W$13-$S$12&amp;" OK",ROUND((#REF!),1)&amp;" &lt; "&amp;$W$13-$S$12&amp;" NC"))))</f>
        <v/>
      </c>
      <c r="U26" s="14"/>
      <c r="V26" s="279"/>
      <c r="W26" s="280"/>
      <c r="X26" s="281"/>
      <c r="Y26" s="246"/>
      <c r="Z26" s="246"/>
      <c r="AA26" s="1"/>
      <c r="AB26" s="267" t="s">
        <v>83</v>
      </c>
      <c r="AC26" s="269" t="s">
        <v>89</v>
      </c>
      <c r="AD26" s="269"/>
      <c r="AE26" s="269"/>
      <c r="AF26" s="269"/>
      <c r="AG26" s="270"/>
      <c r="AH26" s="138"/>
      <c r="AI26" s="1"/>
      <c r="AJ26" s="84"/>
      <c r="AK26" s="59">
        <v>6</v>
      </c>
      <c r="AL26" s="67">
        <v>1.87</v>
      </c>
      <c r="AM26" s="64">
        <v>3</v>
      </c>
      <c r="AN26" s="53"/>
      <c r="AO26" s="70" t="s">
        <v>96</v>
      </c>
      <c r="AP26" s="75" t="e">
        <f>W13+S11*P13</f>
        <v>#VALUE!</v>
      </c>
      <c r="AQ26" s="76" t="e">
        <f>W13+S11*#REF!</f>
        <v>#REF!</v>
      </c>
      <c r="AR26" s="83"/>
      <c r="AS26" s="417"/>
      <c r="AT26" s="417"/>
      <c r="AU26" s="417"/>
      <c r="AV26" s="417"/>
      <c r="AW26" s="34" t="e">
        <f t="shared" si="1"/>
        <v>#VALUE!</v>
      </c>
      <c r="AX26" s="36" t="e">
        <f t="shared" si="18"/>
        <v>#VALUE!</v>
      </c>
      <c r="AY26" s="24" t="e">
        <v>#N/A</v>
      </c>
      <c r="AZ26" s="25" t="e">
        <f t="shared" si="4"/>
        <v>#N/A</v>
      </c>
      <c r="BA26" s="24" t="e">
        <f t="shared" si="6"/>
        <v>#N/A</v>
      </c>
      <c r="BB26" s="28" t="e">
        <f t="shared" si="2"/>
        <v>#N/A</v>
      </c>
      <c r="BC26" s="416"/>
      <c r="BD26" s="169"/>
      <c r="BE26" s="169"/>
      <c r="BF26" s="40" t="e">
        <f t="shared" si="3"/>
        <v>#N/A</v>
      </c>
      <c r="BG26" s="40">
        <v>0</v>
      </c>
      <c r="BH26" s="41"/>
      <c r="BI26" s="41"/>
      <c r="BJ26" s="2">
        <v>-2.2999999999999998</v>
      </c>
      <c r="BK26" s="32">
        <f t="shared" si="7"/>
        <v>2.8327037741601186E-2</v>
      </c>
      <c r="BL26" s="33" t="e">
        <f t="shared" si="8"/>
        <v>#VALUE!</v>
      </c>
      <c r="BM26" s="33" t="e">
        <f t="shared" si="9"/>
        <v>#VALUE!</v>
      </c>
      <c r="BN26" s="34" t="e">
        <f t="shared" si="5"/>
        <v>#N/A</v>
      </c>
      <c r="BP26" s="390" t="str">
        <f>IF($X$13="/28",IF(Q26="","",Q26),IF($X$13="/90",IF(#REF!="","",#REF!),"Falso"))</f>
        <v/>
      </c>
      <c r="BQ26" s="392" t="str">
        <f t="shared" ref="BQ26" si="24">IF(BP26="","",BQ24+1)</f>
        <v/>
      </c>
      <c r="BS26" s="50" t="str">
        <f>Q34</f>
        <v/>
      </c>
      <c r="BT26" s="50" t="e">
        <f>#REF!</f>
        <v>#REF!</v>
      </c>
      <c r="BU26" s="39" t="str">
        <f t="shared" si="20"/>
        <v/>
      </c>
      <c r="BV26" s="39" t="str">
        <f t="shared" si="14"/>
        <v/>
      </c>
    </row>
    <row r="27" spans="1:74" ht="14.25" customHeight="1" thickBot="1" x14ac:dyDescent="0.4">
      <c r="A27" s="294"/>
      <c r="B27" s="296"/>
      <c r="C27" s="298"/>
      <c r="D27" s="300"/>
      <c r="E27" s="302"/>
      <c r="F27" s="304"/>
      <c r="G27" s="276"/>
      <c r="H27" s="277"/>
      <c r="I27" s="290"/>
      <c r="J27" s="290"/>
      <c r="K27" s="291"/>
      <c r="L27" s="17"/>
      <c r="M27" s="286"/>
      <c r="N27" s="21"/>
      <c r="O27" s="286"/>
      <c r="P27" s="21"/>
      <c r="Q27" s="286"/>
      <c r="R27" s="248"/>
      <c r="S27" s="287"/>
      <c r="T27" s="248"/>
      <c r="U27" s="13"/>
      <c r="V27" s="282"/>
      <c r="W27" s="283"/>
      <c r="X27" s="284"/>
      <c r="Y27" s="245"/>
      <c r="Z27" s="245"/>
      <c r="AA27" s="1"/>
      <c r="AB27" s="268"/>
      <c r="AC27" s="271"/>
      <c r="AD27" s="271"/>
      <c r="AE27" s="271"/>
      <c r="AF27" s="271"/>
      <c r="AG27" s="272"/>
      <c r="AH27" s="138"/>
      <c r="AI27" s="1"/>
      <c r="AJ27" s="84"/>
      <c r="AK27" s="60">
        <v>7</v>
      </c>
      <c r="AL27" s="68">
        <v>1.77</v>
      </c>
      <c r="AM27" s="65">
        <v>3</v>
      </c>
      <c r="AN27" s="71"/>
      <c r="AO27" s="72" t="s">
        <v>99</v>
      </c>
      <c r="AP27" s="77">
        <f>$W$13-$S$12</f>
        <v>27</v>
      </c>
      <c r="AQ27" s="78">
        <f>$W$13-$S$12</f>
        <v>27</v>
      </c>
      <c r="AR27" s="83"/>
      <c r="AS27" s="417"/>
      <c r="AT27" s="417"/>
      <c r="AU27" s="417"/>
      <c r="AV27" s="417"/>
      <c r="AW27" s="34" t="e">
        <f t="shared" si="1"/>
        <v>#VALUE!</v>
      </c>
      <c r="AX27" s="36" t="e">
        <f t="shared" si="18"/>
        <v>#VALUE!</v>
      </c>
      <c r="AY27" s="24" t="e">
        <v>#N/A</v>
      </c>
      <c r="AZ27" s="25" t="e">
        <f t="shared" si="4"/>
        <v>#N/A</v>
      </c>
      <c r="BA27" s="24" t="e">
        <f t="shared" si="6"/>
        <v>#N/A</v>
      </c>
      <c r="BB27" s="28" t="e">
        <f t="shared" si="2"/>
        <v>#N/A</v>
      </c>
      <c r="BC27" s="416"/>
      <c r="BD27" s="169"/>
      <c r="BE27" s="169"/>
      <c r="BF27" s="40" t="e">
        <f t="shared" si="3"/>
        <v>#N/A</v>
      </c>
      <c r="BG27" s="40">
        <v>0</v>
      </c>
      <c r="BH27" s="41"/>
      <c r="BI27" s="41"/>
      <c r="BJ27" s="2">
        <v>-2.2000000000000002</v>
      </c>
      <c r="BK27" s="32">
        <f t="shared" si="7"/>
        <v>3.5474592846231424E-2</v>
      </c>
      <c r="BL27" s="33" t="e">
        <f t="shared" si="8"/>
        <v>#VALUE!</v>
      </c>
      <c r="BM27" s="33" t="e">
        <f t="shared" si="9"/>
        <v>#VALUE!</v>
      </c>
      <c r="BN27" s="34" t="e">
        <f t="shared" si="5"/>
        <v>#N/A</v>
      </c>
      <c r="BP27" s="391"/>
      <c r="BQ27" s="393"/>
      <c r="BS27" s="50" t="str">
        <f>Q36</f>
        <v/>
      </c>
      <c r="BT27" s="50" t="e">
        <f>#REF!</f>
        <v>#REF!</v>
      </c>
      <c r="BU27" s="39" t="str">
        <f t="shared" si="20"/>
        <v/>
      </c>
      <c r="BV27" s="39" t="str">
        <f t="shared" si="14"/>
        <v/>
      </c>
    </row>
    <row r="28" spans="1:74" ht="14.25" customHeight="1" thickBot="1" x14ac:dyDescent="0.4">
      <c r="A28" s="293">
        <v>6</v>
      </c>
      <c r="B28" s="295"/>
      <c r="C28" s="297"/>
      <c r="D28" s="299"/>
      <c r="E28" s="301"/>
      <c r="F28" s="303"/>
      <c r="G28" s="288"/>
      <c r="H28" s="289"/>
      <c r="I28" s="290"/>
      <c r="J28" s="290"/>
      <c r="K28" s="291"/>
      <c r="L28" s="18"/>
      <c r="M28" s="285" t="str">
        <f t="shared" ref="M28" si="25">IF(COUNT(L28:L29)&lt;1,"",AVERAGE(L28:L29))</f>
        <v/>
      </c>
      <c r="N28" s="22"/>
      <c r="O28" s="285" t="str">
        <f t="shared" ref="O28" si="26">IF(COUNT(N28:N29)&lt;1,"",AVERAGE(N28:N29))</f>
        <v/>
      </c>
      <c r="P28" s="22"/>
      <c r="Q28" s="285" t="str">
        <f t="shared" ref="Q28" si="27">IF(COUNT(P28:P29)&lt;1,"",AVERAGE(P28:P29))</f>
        <v/>
      </c>
      <c r="R28" s="278" t="str">
        <f>IF($X$13="/28",IF(COUNT(P28:P29)&lt;=1,"",ABS(P28-P29)),IF($X$13="/90",IF(COUNT(#REF!)&lt;=1,"",ABS(#REF!-#REF!))))</f>
        <v/>
      </c>
      <c r="S28" s="278" t="str">
        <f>IF($X$13="/28",IF(Q28="","",IF(AVERAGE(Q24:Q29)&gt;=$W$13,ROUND(AVERAGE(Q24:Q29),1)&amp;" ≥ "&amp;$W$13&amp;" OK",ROUND(AVERAGE(Q24:Q29),1)&amp;" &lt; "&amp;$W$13&amp;" NC")),IF($X$13="/90",IF(#REF!="","",IF(AVERAGE(#REF!)&gt;=$W$13,ROUND(AVERAGE(#REF!),1)&amp;" ≥ "&amp;$W$13&amp;" OK",ROUND(AVERAGE(#REF!),1)&amp;" &lt; "&amp;$W$13&amp;" NC"))))</f>
        <v/>
      </c>
      <c r="T28" s="278" t="str">
        <f>IF($X$13="/28",IF(Q28="","",IF(Q28&gt;=$W$13-$S$12,ROUND((Q28),1)&amp;" ≥ "&amp;$W$13-$S$12&amp;" OK",ROUND((Q28),1)&amp;" &lt; "&amp;$W$13-$S$12&amp;" NC")),IF($X$13="/90",IF(#REF!="","",IF(#REF!&gt;=$W$13-$S$12,ROUND((#REF!),1)&amp;" ≥ "&amp;$W$13-$S$12&amp;" OK",ROUND((#REF!),1)&amp;" &lt; "&amp;$W$13-$S$12&amp;" NC"))))</f>
        <v/>
      </c>
      <c r="U28" s="14"/>
      <c r="V28" s="279"/>
      <c r="W28" s="280"/>
      <c r="X28" s="281"/>
      <c r="Y28" s="246"/>
      <c r="Z28" s="246"/>
      <c r="AA28" s="1"/>
      <c r="AB28" s="268" t="s">
        <v>90</v>
      </c>
      <c r="AC28" s="271" t="s">
        <v>92</v>
      </c>
      <c r="AD28" s="271"/>
      <c r="AE28" s="271"/>
      <c r="AF28" s="271"/>
      <c r="AG28" s="272"/>
      <c r="AH28" s="138"/>
      <c r="AI28" s="1"/>
      <c r="AJ28" s="84"/>
      <c r="AK28" s="60">
        <v>8</v>
      </c>
      <c r="AL28" s="68">
        <v>1.72</v>
      </c>
      <c r="AM28" s="65">
        <v>3</v>
      </c>
      <c r="AN28" s="53"/>
      <c r="AO28" s="70" t="s">
        <v>100</v>
      </c>
      <c r="AP28" s="51">
        <f>$W$13+3</f>
        <v>33</v>
      </c>
      <c r="AQ28" s="52">
        <f>$W$13+3</f>
        <v>33</v>
      </c>
      <c r="AR28" s="83"/>
      <c r="AS28" s="417"/>
      <c r="AT28" s="169"/>
      <c r="AU28" s="169"/>
      <c r="AV28" s="417"/>
      <c r="AX28" s="26" t="s">
        <v>55</v>
      </c>
      <c r="AY28" s="27" t="e">
        <f>SUM(AY17:AY27)</f>
        <v>#N/A</v>
      </c>
      <c r="AZ28" s="29"/>
      <c r="BA28" s="30"/>
      <c r="BB28" s="31"/>
      <c r="BC28" s="169"/>
      <c r="BD28" s="169"/>
      <c r="BE28" s="169"/>
      <c r="BJ28" s="2">
        <v>-2.1</v>
      </c>
      <c r="BK28" s="32">
        <f t="shared" si="7"/>
        <v>4.3983595980427191E-2</v>
      </c>
      <c r="BL28" s="33" t="e">
        <f t="shared" si="8"/>
        <v>#VALUE!</v>
      </c>
      <c r="BM28" s="33" t="e">
        <f t="shared" si="9"/>
        <v>#VALUE!</v>
      </c>
      <c r="BN28" s="34" t="e">
        <f t="shared" si="5"/>
        <v>#N/A</v>
      </c>
      <c r="BP28" s="390" t="str">
        <f>IF($X$13="/28",IF(Q28="","",Q28),IF($X$13="/90",IF(#REF!="","",#REF!),"Falso"))</f>
        <v/>
      </c>
      <c r="BQ28" s="392" t="str">
        <f t="shared" ref="BQ28" si="28">IF(BP28="","",BQ26+1)</f>
        <v/>
      </c>
      <c r="BS28" s="50" t="str">
        <f>Q38</f>
        <v/>
      </c>
      <c r="BT28" s="50" t="e">
        <f>#REF!</f>
        <v>#REF!</v>
      </c>
      <c r="BU28" s="39" t="str">
        <f t="shared" si="20"/>
        <v/>
      </c>
      <c r="BV28" s="39" t="str">
        <f t="shared" si="14"/>
        <v/>
      </c>
    </row>
    <row r="29" spans="1:74" ht="14.25" customHeight="1" thickBot="1" x14ac:dyDescent="0.4">
      <c r="A29" s="294"/>
      <c r="B29" s="296"/>
      <c r="C29" s="298"/>
      <c r="D29" s="300"/>
      <c r="E29" s="302"/>
      <c r="F29" s="304"/>
      <c r="G29" s="276"/>
      <c r="H29" s="277"/>
      <c r="I29" s="290"/>
      <c r="J29" s="290"/>
      <c r="K29" s="291"/>
      <c r="L29" s="17"/>
      <c r="M29" s="286"/>
      <c r="N29" s="21"/>
      <c r="O29" s="286"/>
      <c r="P29" s="21"/>
      <c r="Q29" s="286"/>
      <c r="R29" s="248"/>
      <c r="S29" s="287"/>
      <c r="T29" s="248"/>
      <c r="U29" s="13"/>
      <c r="V29" s="282"/>
      <c r="W29" s="283"/>
      <c r="X29" s="284"/>
      <c r="Y29" s="245"/>
      <c r="Z29" s="245"/>
      <c r="AA29" s="1"/>
      <c r="AB29" s="268"/>
      <c r="AC29" s="271"/>
      <c r="AD29" s="271"/>
      <c r="AE29" s="271"/>
      <c r="AF29" s="271"/>
      <c r="AG29" s="272"/>
      <c r="AH29" s="138"/>
      <c r="AI29" s="1"/>
      <c r="AJ29" s="84"/>
      <c r="AK29" s="60">
        <v>9</v>
      </c>
      <c r="AL29" s="68">
        <v>1.67</v>
      </c>
      <c r="AM29" s="65">
        <v>3</v>
      </c>
      <c r="AN29" s="71"/>
      <c r="AO29" s="72" t="s">
        <v>101</v>
      </c>
      <c r="AP29" s="73">
        <f>$W$13-1</f>
        <v>29</v>
      </c>
      <c r="AQ29" s="74">
        <f>$W$13-1</f>
        <v>29</v>
      </c>
      <c r="AR29" s="83"/>
      <c r="AS29" s="417"/>
      <c r="AT29" s="169"/>
      <c r="AU29" s="169"/>
      <c r="AV29" s="417"/>
      <c r="BC29" s="169"/>
      <c r="BD29" s="169"/>
      <c r="BE29" s="169"/>
      <c r="BJ29" s="2">
        <v>-2</v>
      </c>
      <c r="BK29" s="32">
        <f t="shared" si="7"/>
        <v>5.3990966513188063E-2</v>
      </c>
      <c r="BL29" s="33" t="e">
        <f t="shared" si="8"/>
        <v>#VALUE!</v>
      </c>
      <c r="BM29" s="33" t="e">
        <f t="shared" si="9"/>
        <v>#VALUE!</v>
      </c>
      <c r="BN29" s="34" t="e">
        <f t="shared" si="5"/>
        <v>#N/A</v>
      </c>
      <c r="BP29" s="391"/>
      <c r="BQ29" s="393"/>
      <c r="BS29" s="50" t="str">
        <f>Q40</f>
        <v/>
      </c>
      <c r="BT29" s="50" t="e">
        <f>#REF!</f>
        <v>#REF!</v>
      </c>
      <c r="BU29" s="39" t="str">
        <f t="shared" si="20"/>
        <v/>
      </c>
      <c r="BV29" s="39" t="str">
        <f t="shared" si="14"/>
        <v/>
      </c>
    </row>
    <row r="30" spans="1:74" ht="14.25" customHeight="1" thickBot="1" x14ac:dyDescent="0.4">
      <c r="A30" s="293">
        <v>7</v>
      </c>
      <c r="B30" s="295"/>
      <c r="C30" s="297"/>
      <c r="D30" s="299"/>
      <c r="E30" s="301"/>
      <c r="F30" s="303"/>
      <c r="G30" s="288"/>
      <c r="H30" s="289"/>
      <c r="I30" s="290"/>
      <c r="J30" s="290"/>
      <c r="K30" s="291"/>
      <c r="L30" s="18"/>
      <c r="M30" s="285" t="str">
        <f t="shared" ref="M30" si="29">IF(COUNT(L30:L31)&lt;1,"",AVERAGE(L30:L31))</f>
        <v/>
      </c>
      <c r="N30" s="22"/>
      <c r="O30" s="285" t="str">
        <f t="shared" ref="O30" si="30">IF(COUNT(N30:N31)&lt;1,"",AVERAGE(N30:N31))</f>
        <v/>
      </c>
      <c r="P30" s="22"/>
      <c r="Q30" s="285" t="str">
        <f t="shared" ref="Q30" si="31">IF(COUNT(P30:P31)&lt;1,"",AVERAGE(P30:P31))</f>
        <v/>
      </c>
      <c r="R30" s="278" t="str">
        <f>IF($X$13="/28",IF(COUNT(P30:P31)&lt;=1,"",ABS(P30-P31)),IF($X$13="/90",IF(COUNT(#REF!)&lt;=1,"",ABS(#REF!-#REF!))))</f>
        <v/>
      </c>
      <c r="S30" s="278" t="str">
        <f>IF($X$13="/28",IF(Q30="","",IF(AVERAGE(Q26:Q31)&gt;=$W$13,ROUND(AVERAGE(Q26:Q31),1)&amp;" ≥ "&amp;$W$13&amp;" OK",ROUND(AVERAGE(Q26:Q31),1)&amp;" &lt; "&amp;$W$13&amp;" NC")),IF($X$13="/90",IF(#REF!="","",IF(AVERAGE(#REF!)&gt;=$W$13,ROUND(AVERAGE(#REF!),1)&amp;" ≥ "&amp;$W$13&amp;" OK",ROUND(AVERAGE(#REF!),1)&amp;" &lt; "&amp;$W$13&amp;" NC"))))</f>
        <v/>
      </c>
      <c r="T30" s="278" t="str">
        <f>IF($X$13="/28",IF(Q30="","",IF(Q30&gt;=$W$13-$S$12,ROUND((Q30),1)&amp;" ≥ "&amp;$W$13-$S$12&amp;" OK",ROUND((Q30),1)&amp;" &lt; "&amp;$W$13-$S$12&amp;" NC")),IF($X$13="/90",IF(#REF!="","",IF(#REF!&gt;=$W$13-$S$12,ROUND((#REF!),1)&amp;" ≥ "&amp;$W$13-$S$12&amp;" OK",ROUND((#REF!),1)&amp;" &lt; "&amp;$W$13-$S$12&amp;" NC"))))</f>
        <v/>
      </c>
      <c r="U30" s="14"/>
      <c r="V30" s="279"/>
      <c r="W30" s="280"/>
      <c r="X30" s="281"/>
      <c r="Y30" s="246"/>
      <c r="Z30" s="246"/>
      <c r="AA30" s="1"/>
      <c r="AB30" s="268"/>
      <c r="AC30" s="271"/>
      <c r="AD30" s="271"/>
      <c r="AE30" s="271"/>
      <c r="AF30" s="271"/>
      <c r="AG30" s="272"/>
      <c r="AH30" s="138"/>
      <c r="AI30" s="1"/>
      <c r="AJ30" s="84"/>
      <c r="AK30" s="60">
        <v>10</v>
      </c>
      <c r="AL30" s="68">
        <v>1.62</v>
      </c>
      <c r="AM30" s="65">
        <v>4</v>
      </c>
      <c r="AN30" s="54"/>
      <c r="AO30" s="54"/>
      <c r="AP30" s="54"/>
      <c r="AQ30" s="54"/>
      <c r="AR30" s="83"/>
      <c r="AS30" s="417"/>
      <c r="AT30" s="169"/>
      <c r="AU30" s="169"/>
      <c r="AV30" s="417"/>
      <c r="BC30" s="169"/>
      <c r="BD30" s="169"/>
      <c r="BE30" s="169"/>
      <c r="BJ30" s="2">
        <v>-1.9</v>
      </c>
      <c r="BK30" s="32">
        <f t="shared" si="7"/>
        <v>6.5615814774676595E-2</v>
      </c>
      <c r="BL30" s="33" t="e">
        <f t="shared" si="8"/>
        <v>#VALUE!</v>
      </c>
      <c r="BM30" s="33" t="e">
        <f t="shared" si="9"/>
        <v>#VALUE!</v>
      </c>
      <c r="BN30" s="34" t="e">
        <f t="shared" si="5"/>
        <v>#N/A</v>
      </c>
      <c r="BP30" s="390" t="str">
        <f>IF($X$13="/28",IF(Q30="","",Q30),IF($X$13="/90",IF(#REF!="","",#REF!),"Falso"))</f>
        <v/>
      </c>
      <c r="BQ30" s="392" t="str">
        <f t="shared" ref="BQ30:BQ90" si="32">IF(BP30="","",BQ28+1)</f>
        <v/>
      </c>
      <c r="BS30" s="50" t="str">
        <f>Q42</f>
        <v/>
      </c>
      <c r="BT30" s="50" t="e">
        <f>#REF!</f>
        <v>#REF!</v>
      </c>
      <c r="BU30" s="39" t="str">
        <f t="shared" si="20"/>
        <v/>
      </c>
      <c r="BV30" s="39" t="str">
        <f t="shared" si="14"/>
        <v/>
      </c>
    </row>
    <row r="31" spans="1:74" ht="14.25" customHeight="1" x14ac:dyDescent="0.35">
      <c r="A31" s="294"/>
      <c r="B31" s="296"/>
      <c r="C31" s="298"/>
      <c r="D31" s="300"/>
      <c r="E31" s="302"/>
      <c r="F31" s="304"/>
      <c r="G31" s="276"/>
      <c r="H31" s="277"/>
      <c r="I31" s="290"/>
      <c r="J31" s="290"/>
      <c r="K31" s="291"/>
      <c r="L31" s="17"/>
      <c r="M31" s="286"/>
      <c r="N31" s="21"/>
      <c r="O31" s="286"/>
      <c r="P31" s="21"/>
      <c r="Q31" s="286"/>
      <c r="R31" s="248"/>
      <c r="S31" s="287"/>
      <c r="T31" s="248"/>
      <c r="U31" s="13"/>
      <c r="V31" s="282"/>
      <c r="W31" s="283"/>
      <c r="X31" s="284"/>
      <c r="Y31" s="245"/>
      <c r="Z31" s="245"/>
      <c r="AA31" s="1"/>
      <c r="AB31" s="268" t="s">
        <v>91</v>
      </c>
      <c r="AC31" s="271" t="s">
        <v>93</v>
      </c>
      <c r="AD31" s="271"/>
      <c r="AE31" s="271"/>
      <c r="AF31" s="271"/>
      <c r="AG31" s="272"/>
      <c r="AH31" s="138"/>
      <c r="AI31" s="1"/>
      <c r="AJ31" s="84"/>
      <c r="AK31" s="60">
        <v>11</v>
      </c>
      <c r="AL31" s="68">
        <v>1.58</v>
      </c>
      <c r="AM31" s="65">
        <v>4</v>
      </c>
      <c r="AN31" s="53"/>
      <c r="AO31" s="70" t="s">
        <v>103</v>
      </c>
      <c r="AP31" s="75" t="e">
        <f>IF(P11&lt;6,P12-3,P12-($S$11*P13))</f>
        <v>#VALUE!</v>
      </c>
      <c r="AQ31" s="76" t="e">
        <f>IF(#REF!&lt;6,#REF!-3,#REF!-($S$11*#REF!))</f>
        <v>#REF!</v>
      </c>
      <c r="AR31" s="258"/>
      <c r="AS31" s="417"/>
      <c r="AT31" s="169"/>
      <c r="AU31" s="169"/>
      <c r="AV31" s="417"/>
      <c r="AX31" s="41" t="e">
        <f>AY31</f>
        <v>#N/A</v>
      </c>
      <c r="AY31" s="47" t="e">
        <f>AY32+1</f>
        <v>#N/A</v>
      </c>
      <c r="AZ31" s="47">
        <v>0</v>
      </c>
      <c r="BA31" s="47"/>
      <c r="BB31" s="47"/>
      <c r="BC31" s="169"/>
      <c r="BD31" s="169"/>
      <c r="BE31" s="169"/>
      <c r="BJ31" s="2">
        <v>-1.8</v>
      </c>
      <c r="BK31" s="32">
        <f t="shared" si="7"/>
        <v>7.8950158300894149E-2</v>
      </c>
      <c r="BL31" s="33" t="e">
        <f t="shared" si="8"/>
        <v>#VALUE!</v>
      </c>
      <c r="BM31" s="33" t="e">
        <f t="shared" si="9"/>
        <v>#VALUE!</v>
      </c>
      <c r="BN31" s="34" t="e">
        <f t="shared" si="5"/>
        <v>#N/A</v>
      </c>
      <c r="BP31" s="391"/>
      <c r="BQ31" s="393"/>
      <c r="BS31" s="50" t="str">
        <f>Q44</f>
        <v/>
      </c>
      <c r="BT31" s="50" t="e">
        <f>#REF!</f>
        <v>#REF!</v>
      </c>
      <c r="BU31" s="39" t="str">
        <f t="shared" si="20"/>
        <v/>
      </c>
      <c r="BV31" s="39" t="str">
        <f t="shared" si="14"/>
        <v/>
      </c>
    </row>
    <row r="32" spans="1:74" ht="14.25" customHeight="1" thickBot="1" x14ac:dyDescent="0.4">
      <c r="A32" s="293">
        <v>8</v>
      </c>
      <c r="B32" s="295"/>
      <c r="C32" s="297"/>
      <c r="D32" s="299"/>
      <c r="E32" s="301"/>
      <c r="F32" s="303"/>
      <c r="G32" s="288"/>
      <c r="H32" s="289"/>
      <c r="I32" s="290"/>
      <c r="J32" s="290"/>
      <c r="K32" s="291"/>
      <c r="L32" s="18"/>
      <c r="M32" s="285" t="str">
        <f t="shared" ref="M32" si="33">IF(COUNT(L32:L33)&lt;1,"",AVERAGE(L32:L33))</f>
        <v/>
      </c>
      <c r="N32" s="22"/>
      <c r="O32" s="285" t="str">
        <f t="shared" ref="O32" si="34">IF(COUNT(N32:N33)&lt;1,"",AVERAGE(N32:N33))</f>
        <v/>
      </c>
      <c r="P32" s="22"/>
      <c r="Q32" s="285" t="str">
        <f t="shared" ref="Q32" si="35">IF(COUNT(P32:P33)&lt;1,"",AVERAGE(P32:P33))</f>
        <v/>
      </c>
      <c r="R32" s="278" t="str">
        <f>IF($X$13="/28",IF(COUNT(P32:P33)&lt;=1,"",ABS(P32-P33)),IF($X$13="/90",IF(COUNT(#REF!)&lt;=1,"",ABS(#REF!-#REF!))))</f>
        <v/>
      </c>
      <c r="S32" s="278" t="str">
        <f>IF($X$13="/28",IF(Q32="","",IF(AVERAGE(Q28:Q33)&gt;=$W$13,ROUND(AVERAGE(Q28:Q33),1)&amp;" ≥ "&amp;$W$13&amp;" OK",ROUND(AVERAGE(Q28:Q33),1)&amp;" &lt; "&amp;$W$13&amp;" NC")),IF($X$13="/90",IF(#REF!="","",IF(AVERAGE(#REF!)&gt;=$W$13,ROUND(AVERAGE(#REF!),1)&amp;" ≥ "&amp;$W$13&amp;" OK",ROUND(AVERAGE(#REF!),1)&amp;" &lt; "&amp;$W$13&amp;" NC"))))</f>
        <v/>
      </c>
      <c r="T32" s="278" t="str">
        <f>IF($X$13="/28",IF(Q32="","",IF(Q32&gt;=$W$13-$S$12,ROUND((Q32),1)&amp;" ≥ "&amp;$W$13-$S$12&amp;" OK",ROUND((Q32),1)&amp;" &lt; "&amp;$W$13-$S$12&amp;" NC")),IF($X$13="/90",IF(#REF!="","",IF(#REF!&gt;=$W$13-$S$12,ROUND((#REF!),1)&amp;" ≥ "&amp;$W$13-$S$12&amp;" OK",ROUND((#REF!),1)&amp;" &lt; "&amp;$W$13-$S$12&amp;" NC"))))</f>
        <v/>
      </c>
      <c r="U32" s="14"/>
      <c r="V32" s="279"/>
      <c r="W32" s="280"/>
      <c r="X32" s="281"/>
      <c r="Y32" s="246"/>
      <c r="Z32" s="246"/>
      <c r="AA32" s="1"/>
      <c r="AB32" s="268"/>
      <c r="AC32" s="271"/>
      <c r="AD32" s="271"/>
      <c r="AE32" s="271"/>
      <c r="AF32" s="271"/>
      <c r="AG32" s="272"/>
      <c r="AH32" s="138"/>
      <c r="AI32" s="1"/>
      <c r="AJ32" s="84"/>
      <c r="AK32" s="60">
        <v>12</v>
      </c>
      <c r="AL32" s="68">
        <v>1.55</v>
      </c>
      <c r="AM32" s="65">
        <v>4</v>
      </c>
      <c r="AN32" s="71"/>
      <c r="AO32" s="72" t="s">
        <v>102</v>
      </c>
      <c r="AP32" s="77" t="e">
        <f>AE22-$S$12</f>
        <v>#NUM!</v>
      </c>
      <c r="AQ32" s="77" t="e">
        <f>AG22-$S$12</f>
        <v>#REF!</v>
      </c>
      <c r="AR32" s="258"/>
      <c r="AS32" s="417"/>
      <c r="AT32" s="417"/>
      <c r="AU32" s="417"/>
      <c r="AV32" s="417"/>
      <c r="AX32" s="41" t="e">
        <f>AY32</f>
        <v>#N/A</v>
      </c>
      <c r="AY32" s="47" t="e">
        <f>MAX(AY17:AY27)</f>
        <v>#N/A</v>
      </c>
      <c r="AZ32" s="47">
        <v>0</v>
      </c>
      <c r="BA32" s="47"/>
      <c r="BB32" s="47"/>
      <c r="BJ32" s="2">
        <v>-1.7</v>
      </c>
      <c r="BK32" s="32">
        <f t="shared" si="7"/>
        <v>9.4049077376886947E-2</v>
      </c>
      <c r="BL32" s="33" t="e">
        <f t="shared" si="8"/>
        <v>#VALUE!</v>
      </c>
      <c r="BM32" s="33" t="e">
        <f t="shared" si="9"/>
        <v>#VALUE!</v>
      </c>
      <c r="BN32" s="34" t="e">
        <f t="shared" si="5"/>
        <v>#N/A</v>
      </c>
      <c r="BP32" s="390" t="str">
        <f>IF($X$13="/28",IF(Q32="","",Q32),IF($X$13="/90",IF(#REF!="","",#REF!),"Falso"))</f>
        <v/>
      </c>
      <c r="BQ32" s="392" t="str">
        <f t="shared" ref="BQ32:BQ92" si="36">IF(BP32="","",BQ30+1)</f>
        <v/>
      </c>
      <c r="BS32" s="50" t="str">
        <f>Q46</f>
        <v/>
      </c>
      <c r="BT32" s="50" t="e">
        <f>#REF!</f>
        <v>#REF!</v>
      </c>
      <c r="BU32" s="39" t="str">
        <f t="shared" si="20"/>
        <v/>
      </c>
      <c r="BV32" s="39" t="str">
        <f t="shared" si="14"/>
        <v/>
      </c>
    </row>
    <row r="33" spans="1:74" ht="14.25" customHeight="1" thickBot="1" x14ac:dyDescent="0.4">
      <c r="A33" s="294"/>
      <c r="B33" s="296"/>
      <c r="C33" s="298"/>
      <c r="D33" s="300"/>
      <c r="E33" s="302"/>
      <c r="F33" s="304"/>
      <c r="G33" s="276"/>
      <c r="H33" s="277"/>
      <c r="I33" s="290"/>
      <c r="J33" s="290"/>
      <c r="K33" s="291"/>
      <c r="L33" s="17"/>
      <c r="M33" s="286"/>
      <c r="N33" s="21"/>
      <c r="O33" s="286"/>
      <c r="P33" s="21"/>
      <c r="Q33" s="286"/>
      <c r="R33" s="248"/>
      <c r="S33" s="287"/>
      <c r="T33" s="248"/>
      <c r="U33" s="13"/>
      <c r="V33" s="282"/>
      <c r="W33" s="283"/>
      <c r="X33" s="284"/>
      <c r="Y33" s="245"/>
      <c r="Z33" s="245"/>
      <c r="AA33" s="1"/>
      <c r="AB33" s="273"/>
      <c r="AC33" s="274"/>
      <c r="AD33" s="274"/>
      <c r="AE33" s="274"/>
      <c r="AF33" s="274"/>
      <c r="AG33" s="275"/>
      <c r="AH33" s="138"/>
      <c r="AI33" s="1"/>
      <c r="AJ33" s="84"/>
      <c r="AK33" s="60">
        <v>13</v>
      </c>
      <c r="AL33" s="68">
        <v>1.52</v>
      </c>
      <c r="AM33" s="65">
        <v>4</v>
      </c>
      <c r="AN33" s="54"/>
      <c r="AO33" s="54"/>
      <c r="AP33" s="54"/>
      <c r="AQ33" s="54"/>
      <c r="AR33" s="85"/>
      <c r="AS33" s="425"/>
      <c r="AT33" s="417"/>
      <c r="AU33" s="417"/>
      <c r="AV33" s="417"/>
      <c r="AX33" s="41"/>
      <c r="AY33" s="47" t="e">
        <f>AY32+2</f>
        <v>#N/A</v>
      </c>
      <c r="AZ33" s="47">
        <v>0</v>
      </c>
      <c r="BA33" s="47"/>
      <c r="BB33" s="47"/>
      <c r="BJ33" s="2">
        <v>-1.6</v>
      </c>
      <c r="BK33" s="32">
        <f t="shared" si="7"/>
        <v>0.11092083467945554</v>
      </c>
      <c r="BL33" s="33" t="e">
        <f t="shared" si="8"/>
        <v>#VALUE!</v>
      </c>
      <c r="BM33" s="33" t="e">
        <f t="shared" si="9"/>
        <v>#VALUE!</v>
      </c>
      <c r="BN33" s="34" t="e">
        <f t="shared" si="5"/>
        <v>#N/A</v>
      </c>
      <c r="BP33" s="391"/>
      <c r="BQ33" s="393"/>
      <c r="BS33" s="50" t="str">
        <f>Q48</f>
        <v/>
      </c>
      <c r="BT33" s="50" t="e">
        <f>#REF!</f>
        <v>#REF!</v>
      </c>
      <c r="BU33" s="39" t="str">
        <f t="shared" si="20"/>
        <v/>
      </c>
      <c r="BV33" s="39" t="str">
        <f t="shared" si="14"/>
        <v/>
      </c>
    </row>
    <row r="34" spans="1:74" ht="14.25" customHeight="1" x14ac:dyDescent="0.35">
      <c r="A34" s="293">
        <v>9</v>
      </c>
      <c r="B34" s="295"/>
      <c r="C34" s="297"/>
      <c r="D34" s="299"/>
      <c r="E34" s="301"/>
      <c r="F34" s="303"/>
      <c r="G34" s="288"/>
      <c r="H34" s="289"/>
      <c r="I34" s="290"/>
      <c r="J34" s="290"/>
      <c r="K34" s="291"/>
      <c r="L34" s="18"/>
      <c r="M34" s="285" t="str">
        <f t="shared" ref="M34" si="37">IF(COUNT(L34:L35)&lt;1,"",AVERAGE(L34:L35))</f>
        <v/>
      </c>
      <c r="N34" s="22"/>
      <c r="O34" s="285" t="str">
        <f t="shared" ref="O34" si="38">IF(COUNT(N34:N35)&lt;1,"",AVERAGE(N34:N35))</f>
        <v/>
      </c>
      <c r="P34" s="22"/>
      <c r="Q34" s="285" t="str">
        <f t="shared" ref="Q34" si="39">IF(COUNT(P34:P35)&lt;1,"",AVERAGE(P34:P35))</f>
        <v/>
      </c>
      <c r="R34" s="278" t="str">
        <f>IF($X$13="/28",IF(COUNT(P34:P35)&lt;=1,"",ABS(P34-P35)),IF($X$13="/90",IF(COUNT(#REF!)&lt;=1,"",ABS(#REF!-#REF!))))</f>
        <v/>
      </c>
      <c r="S34" s="278" t="str">
        <f>IF($X$13="/28",IF(Q34="","",IF(AVERAGE(Q30:Q35)&gt;=$W$13,ROUND(AVERAGE(Q30:Q35),1)&amp;" ≥ "&amp;$W$13&amp;" OK",ROUND(AVERAGE(Q30:Q35),1)&amp;" &lt; "&amp;$W$13&amp;" NC")),IF($X$13="/90",IF(#REF!="","",IF(AVERAGE(#REF!)&gt;=$W$13,ROUND(AVERAGE(#REF!),1)&amp;" ≥ "&amp;$W$13&amp;" OK",ROUND(AVERAGE(#REF!),1)&amp;" &lt; "&amp;$W$13&amp;" NC"))))</f>
        <v/>
      </c>
      <c r="T34" s="278" t="str">
        <f>IF($X$13="/28",IF(Q34="","",IF(Q34&gt;=$W$13-$S$12,ROUND((Q34),1)&amp;" ≥ "&amp;$W$13-$S$12&amp;" OK",ROUND((Q34),1)&amp;" &lt; "&amp;$W$13-$S$12&amp;" NC")),IF($X$13="/90",IF(#REF!="","",IF(#REF!&gt;=$W$13-$S$12,ROUND((#REF!),1)&amp;" ≥ "&amp;$W$13-$S$12&amp;" OK",ROUND((#REF!),1)&amp;" &lt; "&amp;$W$13-$S$12&amp;" NC"))))</f>
        <v/>
      </c>
      <c r="U34" s="14"/>
      <c r="V34" s="279"/>
      <c r="W34" s="280"/>
      <c r="X34" s="281"/>
      <c r="Y34" s="246"/>
      <c r="Z34" s="246"/>
      <c r="AA34" s="1"/>
      <c r="AB34" s="139"/>
      <c r="AC34" s="139"/>
      <c r="AD34" s="139"/>
      <c r="AE34" s="139"/>
      <c r="AF34" s="139"/>
      <c r="AG34" s="139"/>
      <c r="AH34" s="138"/>
      <c r="AI34" s="1"/>
      <c r="AJ34" s="84"/>
      <c r="AK34" s="60">
        <v>14</v>
      </c>
      <c r="AL34" s="68">
        <v>1.5</v>
      </c>
      <c r="AM34" s="65">
        <v>4</v>
      </c>
      <c r="AN34" s="54"/>
      <c r="AO34" s="54"/>
      <c r="AP34" s="54"/>
      <c r="AQ34" s="54"/>
      <c r="AR34" s="85"/>
      <c r="AS34" s="425"/>
      <c r="AT34" s="417"/>
      <c r="AU34" s="417"/>
      <c r="AV34" s="417"/>
      <c r="AX34" s="42" t="s">
        <v>0</v>
      </c>
      <c r="AY34" s="45" t="str">
        <f>IF(BI19="","0",BI19)</f>
        <v>0</v>
      </c>
      <c r="AZ34" s="45" t="str">
        <f>AY34</f>
        <v>0</v>
      </c>
      <c r="BA34" s="47"/>
      <c r="BB34" s="47"/>
      <c r="BJ34" s="2">
        <v>-1.5</v>
      </c>
      <c r="BK34" s="32">
        <f t="shared" si="7"/>
        <v>0.12951759566589174</v>
      </c>
      <c r="BL34" s="33" t="e">
        <f t="shared" si="8"/>
        <v>#VALUE!</v>
      </c>
      <c r="BM34" s="33" t="e">
        <f t="shared" si="9"/>
        <v>#VALUE!</v>
      </c>
      <c r="BN34" s="34" t="e">
        <f t="shared" si="5"/>
        <v>#N/A</v>
      </c>
      <c r="BP34" s="390" t="str">
        <f>IF($X$13="/28",IF(Q34="","",Q34),IF($X$13="/90",IF(#REF!="","",#REF!),"Falso"))</f>
        <v/>
      </c>
      <c r="BQ34" s="392" t="str">
        <f t="shared" ref="BQ34:BQ94" si="40">IF(BP34="","",BQ32+1)</f>
        <v/>
      </c>
      <c r="BS34" s="50" t="str">
        <f>Q50</f>
        <v/>
      </c>
      <c r="BT34" s="50" t="e">
        <f>#REF!</f>
        <v>#REF!</v>
      </c>
      <c r="BU34" s="39" t="str">
        <f t="shared" si="20"/>
        <v/>
      </c>
      <c r="BV34" s="39" t="str">
        <f t="shared" si="14"/>
        <v/>
      </c>
    </row>
    <row r="35" spans="1:74" ht="14.25" customHeight="1" thickBot="1" x14ac:dyDescent="0.4">
      <c r="A35" s="294"/>
      <c r="B35" s="296"/>
      <c r="C35" s="298"/>
      <c r="D35" s="300"/>
      <c r="E35" s="302"/>
      <c r="F35" s="304"/>
      <c r="G35" s="276"/>
      <c r="H35" s="277"/>
      <c r="I35" s="290"/>
      <c r="J35" s="290"/>
      <c r="K35" s="291"/>
      <c r="L35" s="17"/>
      <c r="M35" s="286"/>
      <c r="N35" s="21"/>
      <c r="O35" s="286"/>
      <c r="P35" s="21"/>
      <c r="Q35" s="286"/>
      <c r="R35" s="248"/>
      <c r="S35" s="287"/>
      <c r="T35" s="248"/>
      <c r="U35" s="13"/>
      <c r="V35" s="282"/>
      <c r="W35" s="283"/>
      <c r="X35" s="284"/>
      <c r="Y35" s="245"/>
      <c r="Z35" s="245"/>
      <c r="AA35" s="1"/>
      <c r="AB35" s="139"/>
      <c r="AC35" s="139"/>
      <c r="AD35" s="139"/>
      <c r="AE35" s="139"/>
      <c r="AF35" s="139"/>
      <c r="AG35" s="139"/>
      <c r="AH35" s="138"/>
      <c r="AI35" s="1"/>
      <c r="AJ35" s="84"/>
      <c r="AK35" s="61">
        <v>15</v>
      </c>
      <c r="AL35" s="69">
        <v>1.48</v>
      </c>
      <c r="AM35" s="66">
        <v>4</v>
      </c>
      <c r="AN35" s="54"/>
      <c r="AO35" s="54"/>
      <c r="AP35" s="54"/>
      <c r="AQ35" s="54"/>
      <c r="AR35" s="85"/>
      <c r="AS35" s="425"/>
      <c r="AT35" s="417"/>
      <c r="AU35" s="417"/>
      <c r="AV35" s="417"/>
      <c r="AX35" s="42" t="s">
        <v>62</v>
      </c>
      <c r="AY35" s="45" t="str">
        <f>IF(BI20="","0",BI20)</f>
        <v>0</v>
      </c>
      <c r="AZ35" s="45" t="str">
        <f>AY35</f>
        <v>0</v>
      </c>
      <c r="BA35" s="47"/>
      <c r="BB35" s="47"/>
      <c r="BJ35" s="2">
        <v>-1.4</v>
      </c>
      <c r="BK35" s="32">
        <f t="shared" si="7"/>
        <v>0.14972746563574488</v>
      </c>
      <c r="BL35" s="33" t="e">
        <f t="shared" si="8"/>
        <v>#VALUE!</v>
      </c>
      <c r="BM35" s="33" t="e">
        <f t="shared" si="9"/>
        <v>#VALUE!</v>
      </c>
      <c r="BN35" s="34" t="e">
        <f t="shared" si="5"/>
        <v>#N/A</v>
      </c>
      <c r="BP35" s="391"/>
      <c r="BQ35" s="393"/>
      <c r="BS35" s="50" t="str">
        <f>Q52</f>
        <v/>
      </c>
      <c r="BT35" s="50" t="e">
        <f>#REF!</f>
        <v>#REF!</v>
      </c>
      <c r="BU35" s="39" t="str">
        <f t="shared" si="20"/>
        <v/>
      </c>
      <c r="BV35" s="39" t="str">
        <f t="shared" si="14"/>
        <v/>
      </c>
    </row>
    <row r="36" spans="1:74" ht="14.25" customHeight="1" x14ac:dyDescent="0.35">
      <c r="A36" s="293">
        <v>10</v>
      </c>
      <c r="B36" s="295"/>
      <c r="C36" s="297"/>
      <c r="D36" s="299"/>
      <c r="E36" s="301"/>
      <c r="F36" s="303"/>
      <c r="G36" s="288"/>
      <c r="H36" s="289"/>
      <c r="I36" s="290"/>
      <c r="J36" s="290"/>
      <c r="K36" s="291"/>
      <c r="L36" s="18"/>
      <c r="M36" s="285" t="str">
        <f t="shared" ref="M36" si="41">IF(COUNT(L36:L37)&lt;1,"",AVERAGE(L36:L37))</f>
        <v/>
      </c>
      <c r="N36" s="22"/>
      <c r="O36" s="285" t="str">
        <f t="shared" ref="O36" si="42">IF(COUNT(N36:N37)&lt;1,"",AVERAGE(N36:N37))</f>
        <v/>
      </c>
      <c r="P36" s="22"/>
      <c r="Q36" s="285" t="str">
        <f t="shared" ref="Q36" si="43">IF(COUNT(P36:P37)&lt;1,"",AVERAGE(P36:P37))</f>
        <v/>
      </c>
      <c r="R36" s="278" t="str">
        <f>IF($X$13="/28",IF(COUNT(P36:P37)&lt;=1,"",ABS(P36-P37)),IF($X$13="/90",IF(COUNT(#REF!)&lt;=1,"",ABS(#REF!-#REF!))))</f>
        <v/>
      </c>
      <c r="S36" s="278" t="str">
        <f>IF($X$13="/28",IF(Q36="","",IF(AVERAGE(Q32:Q37)&gt;=$W$13,ROUND(AVERAGE(Q32:Q37),1)&amp;" ≥ "&amp;$W$13&amp;" OK",ROUND(AVERAGE(Q32:Q37),1)&amp;" &lt; "&amp;$W$13&amp;" NC")),IF($X$13="/90",IF(#REF!="","",IF(AVERAGE(#REF!)&gt;=$W$13,ROUND(AVERAGE(#REF!),1)&amp;" ≥ "&amp;$W$13&amp;" OK",ROUND(AVERAGE(#REF!),1)&amp;" &lt; "&amp;$W$13&amp;" NC"))))</f>
        <v/>
      </c>
      <c r="T36" s="278" t="str">
        <f>IF($X$13="/28",IF(Q36="","",IF(Q36&gt;=$W$13-$S$12,ROUND((Q36),1)&amp;" ≥ "&amp;$W$13-$S$12&amp;" OK",ROUND((Q36),1)&amp;" &lt; "&amp;$W$13-$S$12&amp;" NC")),IF($X$13="/90",IF(#REF!="","",IF(#REF!&gt;=$W$13-$S$12,ROUND((#REF!),1)&amp;" ≥ "&amp;$W$13-$S$12&amp;" OK",ROUND((#REF!),1)&amp;" &lt; "&amp;$W$13-$S$12&amp;" NC"))))</f>
        <v/>
      </c>
      <c r="U36" s="14"/>
      <c r="V36" s="279"/>
      <c r="W36" s="280"/>
      <c r="X36" s="281"/>
      <c r="Y36" s="246"/>
      <c r="Z36" s="246"/>
      <c r="AA36" s="1"/>
      <c r="AB36" s="139"/>
      <c r="AC36" s="139"/>
      <c r="AD36" s="139"/>
      <c r="AE36" s="139"/>
      <c r="AF36" s="139"/>
      <c r="AG36" s="139"/>
      <c r="AH36" s="138"/>
      <c r="AI36" s="1"/>
      <c r="AJ36" s="84"/>
      <c r="AK36" s="55"/>
      <c r="AL36" s="55"/>
      <c r="AM36" s="55"/>
      <c r="AN36" s="54"/>
      <c r="AO36" s="54"/>
      <c r="AP36" s="54"/>
      <c r="AQ36" s="54"/>
      <c r="AR36" s="85"/>
      <c r="AS36" s="425"/>
      <c r="AT36" s="417"/>
      <c r="AU36" s="417"/>
      <c r="AV36" s="417"/>
      <c r="AX36" s="42" t="s">
        <v>61</v>
      </c>
      <c r="AY36" s="47">
        <f>W13</f>
        <v>30</v>
      </c>
      <c r="AZ36" s="47">
        <f>AY36</f>
        <v>30</v>
      </c>
      <c r="BA36" s="47">
        <v>0</v>
      </c>
      <c r="BB36" s="47"/>
      <c r="BJ36" s="2">
        <v>-1.3</v>
      </c>
      <c r="BK36" s="32">
        <f t="shared" si="7"/>
        <v>0.17136859204780736</v>
      </c>
      <c r="BL36" s="33" t="e">
        <f t="shared" si="8"/>
        <v>#VALUE!</v>
      </c>
      <c r="BM36" s="33" t="e">
        <f t="shared" si="9"/>
        <v>#VALUE!</v>
      </c>
      <c r="BN36" s="34" t="e">
        <f t="shared" si="5"/>
        <v>#N/A</v>
      </c>
      <c r="BP36" s="390" t="str">
        <f>IF($X$13="/28",IF(Q36="","",Q36),IF($X$13="/90",IF(#REF!="","",#REF!),"Falso"))</f>
        <v/>
      </c>
      <c r="BQ36" s="392" t="str">
        <f t="shared" si="32"/>
        <v/>
      </c>
      <c r="BS36" s="50" t="str">
        <f>Q54</f>
        <v/>
      </c>
      <c r="BT36" s="50" t="e">
        <f>#REF!</f>
        <v>#REF!</v>
      </c>
      <c r="BU36" s="39" t="str">
        <f t="shared" si="20"/>
        <v/>
      </c>
      <c r="BV36" s="39" t="str">
        <f t="shared" si="14"/>
        <v/>
      </c>
    </row>
    <row r="37" spans="1:74" ht="14.25" customHeight="1" x14ac:dyDescent="0.35">
      <c r="A37" s="294"/>
      <c r="B37" s="296"/>
      <c r="C37" s="298"/>
      <c r="D37" s="300"/>
      <c r="E37" s="302"/>
      <c r="F37" s="304"/>
      <c r="G37" s="276"/>
      <c r="H37" s="277"/>
      <c r="I37" s="290"/>
      <c r="J37" s="290"/>
      <c r="K37" s="291"/>
      <c r="L37" s="17"/>
      <c r="M37" s="286"/>
      <c r="N37" s="21"/>
      <c r="O37" s="286"/>
      <c r="P37" s="21"/>
      <c r="Q37" s="286"/>
      <c r="R37" s="248"/>
      <c r="S37" s="287"/>
      <c r="T37" s="248"/>
      <c r="U37" s="13"/>
      <c r="V37" s="282"/>
      <c r="W37" s="283"/>
      <c r="X37" s="284"/>
      <c r="Y37" s="245"/>
      <c r="Z37" s="245"/>
      <c r="AA37" s="1"/>
      <c r="AB37" s="139"/>
      <c r="AC37" s="139"/>
      <c r="AD37" s="139"/>
      <c r="AE37" s="139"/>
      <c r="AF37" s="139"/>
      <c r="AG37" s="139"/>
      <c r="AH37" s="138"/>
      <c r="AI37" s="1"/>
      <c r="AJ37" s="84"/>
      <c r="AK37" s="62" t="s">
        <v>86</v>
      </c>
      <c r="AL37" s="55">
        <f>IF(P11&lt;6,"N&lt;6",IF(P11&gt;15,1.48,VLOOKUP(P11,AK26:AM35,2)))</f>
        <v>1.48</v>
      </c>
      <c r="AM37" s="63">
        <f>IF(P11&lt;6,1,IF(P11&gt;15,3,VLOOKUP(P11,AK26:AM35,3)))</f>
        <v>3</v>
      </c>
      <c r="AN37" s="54"/>
      <c r="AO37" s="54"/>
      <c r="AP37" s="54"/>
      <c r="AQ37" s="54"/>
      <c r="AR37" s="85"/>
      <c r="AS37" s="425"/>
      <c r="AT37" s="417"/>
      <c r="AU37" s="417"/>
      <c r="AV37" s="417"/>
      <c r="AX37" s="42" t="s">
        <v>63</v>
      </c>
      <c r="AY37" s="45">
        <f>AY34-AY35</f>
        <v>0</v>
      </c>
      <c r="AZ37" s="45">
        <f>AY37</f>
        <v>0</v>
      </c>
      <c r="BA37" s="45">
        <f>AZ34+AZ35</f>
        <v>0</v>
      </c>
      <c r="BB37" s="45">
        <f>BA37</f>
        <v>0</v>
      </c>
      <c r="BJ37" s="2">
        <v>-1.2</v>
      </c>
      <c r="BK37" s="32">
        <f t="shared" si="7"/>
        <v>0.19418605498321295</v>
      </c>
      <c r="BL37" s="33" t="e">
        <f t="shared" si="8"/>
        <v>#VALUE!</v>
      </c>
      <c r="BM37" s="33" t="e">
        <f t="shared" si="9"/>
        <v>#VALUE!</v>
      </c>
      <c r="BN37" s="34" t="e">
        <f t="shared" si="5"/>
        <v>#N/A</v>
      </c>
      <c r="BP37" s="391"/>
      <c r="BQ37" s="393"/>
      <c r="BS37" s="50" t="str">
        <f>Q56</f>
        <v/>
      </c>
      <c r="BT37" s="50" t="e">
        <f>#REF!</f>
        <v>#REF!</v>
      </c>
      <c r="BU37" s="39" t="str">
        <f t="shared" si="20"/>
        <v/>
      </c>
      <c r="BV37" s="39" t="str">
        <f t="shared" si="14"/>
        <v/>
      </c>
    </row>
    <row r="38" spans="1:74" ht="14.25" customHeight="1" x14ac:dyDescent="0.35">
      <c r="A38" s="293">
        <v>11</v>
      </c>
      <c r="B38" s="295"/>
      <c r="C38" s="297"/>
      <c r="D38" s="299"/>
      <c r="E38" s="301"/>
      <c r="F38" s="303"/>
      <c r="G38" s="288"/>
      <c r="H38" s="289"/>
      <c r="I38" s="290"/>
      <c r="J38" s="290"/>
      <c r="K38" s="291"/>
      <c r="L38" s="18"/>
      <c r="M38" s="285" t="str">
        <f t="shared" ref="M38" si="44">IF(COUNT(L38:L39)&lt;1,"",AVERAGE(L38:L39))</f>
        <v/>
      </c>
      <c r="N38" s="22"/>
      <c r="O38" s="285" t="str">
        <f t="shared" ref="O38" si="45">IF(COUNT(N38:N39)&lt;1,"",AVERAGE(N38:N39))</f>
        <v/>
      </c>
      <c r="P38" s="22"/>
      <c r="Q38" s="285" t="str">
        <f t="shared" ref="Q38" si="46">IF(COUNT(P38:P39)&lt;1,"",AVERAGE(P38:P39))</f>
        <v/>
      </c>
      <c r="R38" s="278" t="str">
        <f>IF($X$13="/28",IF(COUNT(P38:P39)&lt;=1,"",ABS(P38-P39)),IF($X$13="/90",IF(COUNT(#REF!)&lt;=1,"",ABS(#REF!-#REF!))))</f>
        <v/>
      </c>
      <c r="S38" s="278" t="str">
        <f>IF($X$13="/28",IF(Q38="","",IF(AVERAGE(Q34:Q39)&gt;=$W$13,ROUND(AVERAGE(Q34:Q39),1)&amp;" ≥ "&amp;$W$13&amp;" OK",ROUND(AVERAGE(Q34:Q39),1)&amp;" &lt; "&amp;$W$13&amp;" NC")),IF($X$13="/90",IF(#REF!="","",IF(AVERAGE(#REF!)&gt;=$W$13,ROUND(AVERAGE(#REF!),1)&amp;" ≥ "&amp;$W$13&amp;" OK",ROUND(AVERAGE(#REF!),1)&amp;" &lt; "&amp;$W$13&amp;" NC"))))</f>
        <v/>
      </c>
      <c r="T38" s="278" t="str">
        <f>IF($X$13="/28",IF(Q38="","",IF(Q38&gt;=$W$13-$S$12,ROUND((Q38),1)&amp;" ≥ "&amp;$W$13-$S$12&amp;" OK",ROUND((Q38),1)&amp;" &lt; "&amp;$W$13-$S$12&amp;" NC")),IF($X$13="/90",IF(#REF!="","",IF(#REF!&gt;=$W$13-$S$12,ROUND((#REF!),1)&amp;" ≥ "&amp;$W$13-$S$12&amp;" OK",ROUND((#REF!),1)&amp;" &lt; "&amp;$W$13-$S$12&amp;" NC"))))</f>
        <v/>
      </c>
      <c r="U38" s="14"/>
      <c r="V38" s="279"/>
      <c r="W38" s="280"/>
      <c r="X38" s="281"/>
      <c r="Y38" s="246"/>
      <c r="Z38" s="246"/>
      <c r="AA38" s="1"/>
      <c r="AB38" s="139"/>
      <c r="AC38" s="139"/>
      <c r="AD38" s="139"/>
      <c r="AE38" s="139"/>
      <c r="AF38" s="139"/>
      <c r="AG38" s="139"/>
      <c r="AH38" s="138"/>
      <c r="AI38" s="1"/>
      <c r="AJ38" s="84"/>
      <c r="AK38" s="62" t="s">
        <v>87</v>
      </c>
      <c r="AL38" s="55" t="e">
        <f>IF(#REF!&lt;6,"N&lt;6",IF(#REF!&gt;15,1.48,VLOOKUP(#REF!,AK26:AM35,2)))</f>
        <v>#REF!</v>
      </c>
      <c r="AM38" s="55" t="e">
        <f>IF(#REF!&lt;6,1,IF(#REF!&gt;15,3,VLOOKUP(#REF!,AK26:AM35,3)))</f>
        <v>#REF!</v>
      </c>
      <c r="AN38" s="54"/>
      <c r="AO38" s="54"/>
      <c r="AP38" s="54"/>
      <c r="AQ38" s="54"/>
      <c r="AR38" s="83"/>
      <c r="AS38" s="426"/>
      <c r="AT38" s="417"/>
      <c r="AU38" s="417"/>
      <c r="AV38" s="417"/>
      <c r="AX38" s="42" t="s">
        <v>64</v>
      </c>
      <c r="AY38" s="45">
        <f>AY34-2*AY35</f>
        <v>0</v>
      </c>
      <c r="AZ38" s="45">
        <f>AY38</f>
        <v>0</v>
      </c>
      <c r="BA38" s="45">
        <f>AZ34+2*AZ35</f>
        <v>0</v>
      </c>
      <c r="BB38" s="45">
        <f>BA38</f>
        <v>0</v>
      </c>
      <c r="BJ38" s="2">
        <v>-1.1000000000000001</v>
      </c>
      <c r="BK38" s="32">
        <f t="shared" si="7"/>
        <v>0.21785217703255053</v>
      </c>
      <c r="BL38" s="33" t="e">
        <f t="shared" si="8"/>
        <v>#VALUE!</v>
      </c>
      <c r="BM38" s="33" t="e">
        <f t="shared" si="9"/>
        <v>#VALUE!</v>
      </c>
      <c r="BN38" s="34" t="e">
        <f t="shared" si="5"/>
        <v>#N/A</v>
      </c>
      <c r="BP38" s="390" t="str">
        <f>IF($X$13="/28",IF(Q38="","",Q38),IF($X$13="/90",IF(#REF!="","",#REF!),"Falso"))</f>
        <v/>
      </c>
      <c r="BQ38" s="392" t="str">
        <f t="shared" si="36"/>
        <v/>
      </c>
      <c r="BS38" s="50" t="str">
        <f>Q58</f>
        <v/>
      </c>
      <c r="BT38" s="50" t="e">
        <f>#REF!</f>
        <v>#REF!</v>
      </c>
      <c r="BU38" s="39" t="str">
        <f t="shared" si="20"/>
        <v/>
      </c>
      <c r="BV38" s="39" t="str">
        <f t="shared" si="14"/>
        <v/>
      </c>
    </row>
    <row r="39" spans="1:74" ht="14.25" customHeight="1" thickBot="1" x14ac:dyDescent="0.4">
      <c r="A39" s="294"/>
      <c r="B39" s="296"/>
      <c r="C39" s="298"/>
      <c r="D39" s="300"/>
      <c r="E39" s="302"/>
      <c r="F39" s="304"/>
      <c r="G39" s="276"/>
      <c r="H39" s="277"/>
      <c r="I39" s="290"/>
      <c r="J39" s="290"/>
      <c r="K39" s="291"/>
      <c r="L39" s="17"/>
      <c r="M39" s="286"/>
      <c r="N39" s="21"/>
      <c r="O39" s="286"/>
      <c r="P39" s="21"/>
      <c r="Q39" s="286"/>
      <c r="R39" s="248"/>
      <c r="S39" s="287"/>
      <c r="T39" s="248"/>
      <c r="U39" s="13"/>
      <c r="V39" s="282"/>
      <c r="W39" s="283"/>
      <c r="X39" s="284"/>
      <c r="Y39" s="245"/>
      <c r="Z39" s="245"/>
      <c r="AA39" s="1"/>
      <c r="AB39" s="139"/>
      <c r="AC39" s="139"/>
      <c r="AD39" s="139"/>
      <c r="AE39" s="139"/>
      <c r="AF39" s="139"/>
      <c r="AG39" s="139"/>
      <c r="AH39" s="138"/>
      <c r="AI39" s="1"/>
      <c r="AJ39" s="71"/>
      <c r="AK39" s="86"/>
      <c r="AL39" s="86"/>
      <c r="AM39" s="86"/>
      <c r="AN39" s="86"/>
      <c r="AO39" s="86"/>
      <c r="AP39" s="86"/>
      <c r="AQ39" s="86"/>
      <c r="AR39" s="87"/>
      <c r="AS39" s="426"/>
      <c r="AT39" s="417"/>
      <c r="AU39" s="417"/>
      <c r="AV39" s="417"/>
      <c r="AX39" s="42" t="s">
        <v>65</v>
      </c>
      <c r="AY39" s="47">
        <f>AY36-3.5</f>
        <v>26.5</v>
      </c>
      <c r="AZ39" s="47">
        <f>AZ36-3.5</f>
        <v>26.5</v>
      </c>
      <c r="BA39" s="47"/>
      <c r="BB39" s="47"/>
      <c r="BJ39" s="2">
        <v>-1</v>
      </c>
      <c r="BK39" s="32">
        <f t="shared" si="7"/>
        <v>0.24197072451914337</v>
      </c>
      <c r="BL39" s="33" t="e">
        <f t="shared" si="8"/>
        <v>#VALUE!</v>
      </c>
      <c r="BM39" s="33" t="e">
        <f t="shared" si="9"/>
        <v>#VALUE!</v>
      </c>
      <c r="BN39" s="34" t="e">
        <f t="shared" si="5"/>
        <v>#N/A</v>
      </c>
      <c r="BP39" s="391"/>
      <c r="BQ39" s="393"/>
      <c r="BS39" s="50" t="str">
        <f>Q60</f>
        <v/>
      </c>
      <c r="BT39" s="50" t="e">
        <f>#REF!</f>
        <v>#REF!</v>
      </c>
      <c r="BU39" s="39" t="str">
        <f t="shared" si="20"/>
        <v/>
      </c>
      <c r="BV39" s="39" t="str">
        <f t="shared" si="14"/>
        <v/>
      </c>
    </row>
    <row r="40" spans="1:74" ht="14.25" customHeight="1" x14ac:dyDescent="0.35">
      <c r="A40" s="293">
        <v>12</v>
      </c>
      <c r="B40" s="295"/>
      <c r="C40" s="297"/>
      <c r="D40" s="299"/>
      <c r="E40" s="301"/>
      <c r="F40" s="303"/>
      <c r="G40" s="288"/>
      <c r="H40" s="289"/>
      <c r="I40" s="290"/>
      <c r="J40" s="290"/>
      <c r="K40" s="291"/>
      <c r="L40" s="18"/>
      <c r="M40" s="285" t="str">
        <f t="shared" ref="M40" si="47">IF(COUNT(L40:L41)&lt;1,"",AVERAGE(L40:L41))</f>
        <v/>
      </c>
      <c r="N40" s="22"/>
      <c r="O40" s="285" t="str">
        <f t="shared" ref="O40" si="48">IF(COUNT(N40:N41)&lt;1,"",AVERAGE(N40:N41))</f>
        <v/>
      </c>
      <c r="P40" s="22"/>
      <c r="Q40" s="285" t="str">
        <f t="shared" ref="Q40" si="49">IF(COUNT(P40:P41)&lt;1,"",AVERAGE(P40:P41))</f>
        <v/>
      </c>
      <c r="R40" s="278" t="str">
        <f>IF($X$13="/28",IF(COUNT(P40:P41)&lt;=1,"",ABS(P40-P41)),IF($X$13="/90",IF(COUNT(#REF!)&lt;=1,"",ABS(#REF!-#REF!))))</f>
        <v/>
      </c>
      <c r="S40" s="278" t="str">
        <f>IF($X$13="/28",IF(Q40="","",IF(AVERAGE(Q36:Q41)&gt;=$W$13,ROUND(AVERAGE(Q36:Q41),1)&amp;" ≥ "&amp;$W$13&amp;" OK",ROUND(AVERAGE(Q36:Q41),1)&amp;" &lt; "&amp;$W$13&amp;" NC")),IF($X$13="/90",IF(#REF!="","",IF(AVERAGE(#REF!)&gt;=$W$13,ROUND(AVERAGE(#REF!),1)&amp;" ≥ "&amp;$W$13&amp;" OK",ROUND(AVERAGE(#REF!),1)&amp;" &lt; "&amp;$W$13&amp;" NC"))))</f>
        <v/>
      </c>
      <c r="T40" s="278" t="str">
        <f>IF($X$13="/28",IF(Q40="","",IF(Q40&gt;=$W$13-$S$12,ROUND((Q40),1)&amp;" ≥ "&amp;$W$13-$S$12&amp;" OK",ROUND((Q40),1)&amp;" &lt; "&amp;$W$13-$S$12&amp;" NC")),IF($X$13="/90",IF(#REF!="","",IF(#REF!&gt;=$W$13-$S$12,ROUND((#REF!),1)&amp;" ≥ "&amp;$W$13-$S$12&amp;" OK",ROUND((#REF!),1)&amp;" &lt; "&amp;$W$13-$S$12&amp;" NC"))))</f>
        <v/>
      </c>
      <c r="U40" s="14"/>
      <c r="V40" s="279"/>
      <c r="W40" s="280"/>
      <c r="X40" s="281"/>
      <c r="Y40" s="246"/>
      <c r="Z40" s="246"/>
      <c r="AA40" s="1"/>
      <c r="AB40" s="139"/>
      <c r="AC40" s="139"/>
      <c r="AD40" s="139"/>
      <c r="AE40" s="139"/>
      <c r="AF40" s="139"/>
      <c r="AG40" s="139"/>
      <c r="AH40" s="138"/>
      <c r="AI40" s="1"/>
      <c r="AJ40" s="54"/>
      <c r="AK40" s="54"/>
      <c r="AL40" s="54"/>
      <c r="AM40" s="54"/>
      <c r="AN40" s="54"/>
      <c r="AO40" s="54"/>
      <c r="AP40" s="54"/>
      <c r="AQ40" s="54"/>
      <c r="AR40" s="1"/>
      <c r="AS40" s="426"/>
      <c r="AT40" s="417"/>
      <c r="AU40" s="417"/>
      <c r="AV40" s="417"/>
      <c r="AX40" s="41" t="s">
        <v>73</v>
      </c>
      <c r="AY40" s="45" t="e">
        <f>T13</f>
        <v>#VALUE!</v>
      </c>
      <c r="AZ40" s="45" t="e">
        <f>AY40</f>
        <v>#VALUE!</v>
      </c>
      <c r="BA40" s="47"/>
      <c r="BB40" s="47"/>
      <c r="BJ40" s="2">
        <v>-0.9</v>
      </c>
      <c r="BK40" s="32">
        <f t="shared" si="7"/>
        <v>0.26608524989875482</v>
      </c>
      <c r="BL40" s="33" t="e">
        <f t="shared" si="8"/>
        <v>#VALUE!</v>
      </c>
      <c r="BM40" s="33" t="e">
        <f t="shared" si="9"/>
        <v>#VALUE!</v>
      </c>
      <c r="BN40" s="34" t="e">
        <f t="shared" si="5"/>
        <v>#N/A</v>
      </c>
      <c r="BP40" s="390" t="str">
        <f>IF($X$13="/28",IF(Q40="","",Q40),IF($X$13="/90",IF(#REF!="","",#REF!),"Falso"))</f>
        <v/>
      </c>
      <c r="BQ40" s="392" t="str">
        <f t="shared" si="40"/>
        <v/>
      </c>
      <c r="BS40" s="50" t="str">
        <f>Q62</f>
        <v/>
      </c>
      <c r="BT40" s="50" t="e">
        <f>#REF!</f>
        <v>#REF!</v>
      </c>
      <c r="BU40" s="39" t="str">
        <f t="shared" si="20"/>
        <v/>
      </c>
      <c r="BV40" s="39" t="str">
        <f t="shared" si="14"/>
        <v/>
      </c>
    </row>
    <row r="41" spans="1:74" ht="14.25" customHeight="1" x14ac:dyDescent="0.35">
      <c r="A41" s="294"/>
      <c r="B41" s="296"/>
      <c r="C41" s="298"/>
      <c r="D41" s="300"/>
      <c r="E41" s="302"/>
      <c r="F41" s="304"/>
      <c r="G41" s="276"/>
      <c r="H41" s="277"/>
      <c r="I41" s="290"/>
      <c r="J41" s="290"/>
      <c r="K41" s="291"/>
      <c r="L41" s="17"/>
      <c r="M41" s="286"/>
      <c r="N41" s="21"/>
      <c r="O41" s="286"/>
      <c r="P41" s="21"/>
      <c r="Q41" s="286"/>
      <c r="R41" s="248"/>
      <c r="S41" s="287"/>
      <c r="T41" s="248"/>
      <c r="U41" s="13"/>
      <c r="V41" s="282"/>
      <c r="W41" s="283"/>
      <c r="X41" s="284"/>
      <c r="Y41" s="245"/>
      <c r="Z41" s="245"/>
      <c r="AA41" s="1"/>
      <c r="AB41" s="139"/>
      <c r="AC41" s="139"/>
      <c r="AD41" s="139"/>
      <c r="AE41" s="139"/>
      <c r="AF41" s="139"/>
      <c r="AG41" s="139"/>
      <c r="AH41" s="138"/>
      <c r="AI41" s="1"/>
      <c r="AJ41" s="54"/>
      <c r="AK41" s="54"/>
      <c r="AL41" s="54"/>
      <c r="AM41" s="54"/>
      <c r="AN41" s="54"/>
      <c r="AO41" s="54"/>
      <c r="AP41" s="54"/>
      <c r="AQ41" s="54"/>
      <c r="AR41" s="1"/>
      <c r="AS41" s="426"/>
      <c r="AT41" s="417"/>
      <c r="AU41" s="417"/>
      <c r="AV41" s="417"/>
      <c r="AX41" s="41" t="s">
        <v>74</v>
      </c>
      <c r="AY41" s="46">
        <f>IF($X$13="/28",28,IF($X$13="/90",90,"0"))</f>
        <v>28</v>
      </c>
      <c r="AZ41" s="46">
        <f>AY41</f>
        <v>28</v>
      </c>
      <c r="BA41" s="41">
        <v>0</v>
      </c>
      <c r="BB41" s="41"/>
      <c r="BJ41" s="2">
        <v>-0.8</v>
      </c>
      <c r="BK41" s="32">
        <f t="shared" si="7"/>
        <v>0.28969155276148273</v>
      </c>
      <c r="BL41" s="33" t="e">
        <f t="shared" si="8"/>
        <v>#VALUE!</v>
      </c>
      <c r="BM41" s="33" t="e">
        <f t="shared" si="9"/>
        <v>#VALUE!</v>
      </c>
      <c r="BN41" s="34" t="e">
        <f t="shared" si="5"/>
        <v>#N/A</v>
      </c>
      <c r="BP41" s="391"/>
      <c r="BQ41" s="393"/>
      <c r="BS41" s="50" t="str">
        <f>Q64</f>
        <v/>
      </c>
      <c r="BT41" s="50" t="e">
        <f>#REF!</f>
        <v>#REF!</v>
      </c>
      <c r="BU41" s="39" t="str">
        <f t="shared" si="20"/>
        <v/>
      </c>
      <c r="BV41" s="39" t="str">
        <f t="shared" si="14"/>
        <v/>
      </c>
    </row>
    <row r="42" spans="1:74" ht="14.25" customHeight="1" x14ac:dyDescent="0.35">
      <c r="A42" s="293">
        <v>13</v>
      </c>
      <c r="B42" s="295"/>
      <c r="C42" s="297"/>
      <c r="D42" s="299"/>
      <c r="E42" s="301"/>
      <c r="F42" s="303"/>
      <c r="G42" s="288"/>
      <c r="H42" s="289"/>
      <c r="I42" s="290"/>
      <c r="J42" s="290"/>
      <c r="K42" s="291"/>
      <c r="L42" s="18"/>
      <c r="M42" s="285" t="str">
        <f t="shared" ref="M42" si="50">IF(COUNT(L42:L43)&lt;1,"",AVERAGE(L42:L43))</f>
        <v/>
      </c>
      <c r="N42" s="22"/>
      <c r="O42" s="285" t="str">
        <f t="shared" ref="O42" si="51">IF(COUNT(N42:N43)&lt;1,"",AVERAGE(N42:N43))</f>
        <v/>
      </c>
      <c r="P42" s="22"/>
      <c r="Q42" s="285" t="str">
        <f t="shared" ref="Q42" si="52">IF(COUNT(P42:P43)&lt;1,"",AVERAGE(P42:P43))</f>
        <v/>
      </c>
      <c r="R42" s="278" t="str">
        <f>IF($X$13="/28",IF(COUNT(P42:P43)&lt;=1,"",ABS(P42-P43)),IF($X$13="/90",IF(COUNT(#REF!)&lt;=1,"",ABS(#REF!-#REF!))))</f>
        <v/>
      </c>
      <c r="S42" s="278" t="str">
        <f>IF($X$13="/28",IF(Q42="","",IF(AVERAGE(Q38:Q43)&gt;=$W$13,ROUND(AVERAGE(Q38:Q43),1)&amp;" ≥ "&amp;$W$13&amp;" OK",ROUND(AVERAGE(Q38:Q43),1)&amp;" &lt; "&amp;$W$13&amp;" NC")),IF($X$13="/90",IF(#REF!="","",IF(AVERAGE(#REF!)&gt;=$W$13,ROUND(AVERAGE(#REF!),1)&amp;" ≥ "&amp;$W$13&amp;" OK",ROUND(AVERAGE(#REF!),1)&amp;" &lt; "&amp;$W$13&amp;" NC"))))</f>
        <v/>
      </c>
      <c r="T42" s="278" t="str">
        <f>IF($X$13="/28",IF(Q42="","",IF(Q42&gt;=$W$13-$S$12,ROUND((Q42),1)&amp;" ≥ "&amp;$W$13-$S$12&amp;" OK",ROUND((Q42),1)&amp;" &lt; "&amp;$W$13-$S$12&amp;" NC")),IF($X$13="/90",IF(#REF!="","",IF(#REF!&gt;=$W$13-$S$12,ROUND((#REF!),1)&amp;" ≥ "&amp;$W$13-$S$12&amp;" OK",ROUND((#REF!),1)&amp;" &lt; "&amp;$W$13-$S$12&amp;" NC"))))</f>
        <v/>
      </c>
      <c r="U42" s="14"/>
      <c r="V42" s="279"/>
      <c r="W42" s="280"/>
      <c r="X42" s="281"/>
      <c r="Y42" s="246"/>
      <c r="Z42" s="246"/>
      <c r="AA42" s="1"/>
      <c r="AB42" s="138"/>
      <c r="AC42" s="138"/>
      <c r="AD42" s="138"/>
      <c r="AE42" s="138"/>
      <c r="AF42" s="138"/>
      <c r="AG42" s="138"/>
      <c r="AH42" s="138"/>
      <c r="AI42" s="1"/>
      <c r="AJ42" s="54"/>
      <c r="AK42" s="54"/>
      <c r="AL42" s="54"/>
      <c r="AM42" s="54"/>
      <c r="AN42" s="54"/>
      <c r="AO42" s="54"/>
      <c r="AP42" s="54"/>
      <c r="AQ42" s="54"/>
      <c r="AR42" s="1"/>
      <c r="AS42" s="426"/>
      <c r="AT42" s="417"/>
      <c r="AU42" s="417"/>
      <c r="AV42" s="417"/>
      <c r="BJ42" s="2">
        <v>-0.7</v>
      </c>
      <c r="BK42" s="32">
        <f t="shared" si="7"/>
        <v>0.31225393336676127</v>
      </c>
      <c r="BL42" s="33" t="e">
        <f t="shared" si="8"/>
        <v>#VALUE!</v>
      </c>
      <c r="BM42" s="33" t="e">
        <f t="shared" si="9"/>
        <v>#VALUE!</v>
      </c>
      <c r="BN42" s="34" t="e">
        <f t="shared" si="5"/>
        <v>#N/A</v>
      </c>
      <c r="BP42" s="390" t="str">
        <f>IF($X$13="/28",IF(Q42="","",Q42),IF($X$13="/90",IF(#REF!="","",#REF!),"Falso"))</f>
        <v/>
      </c>
      <c r="BQ42" s="392" t="str">
        <f t="shared" si="32"/>
        <v/>
      </c>
      <c r="BS42" s="50" t="str">
        <f>Q66</f>
        <v/>
      </c>
      <c r="BT42" s="50" t="e">
        <f>#REF!</f>
        <v>#REF!</v>
      </c>
      <c r="BU42" s="39" t="str">
        <f t="shared" si="20"/>
        <v/>
      </c>
      <c r="BV42" s="39" t="str">
        <f t="shared" si="14"/>
        <v/>
      </c>
    </row>
    <row r="43" spans="1:74" ht="14.25" customHeight="1" thickBot="1" x14ac:dyDescent="0.4">
      <c r="A43" s="294"/>
      <c r="B43" s="296"/>
      <c r="C43" s="298"/>
      <c r="D43" s="300"/>
      <c r="E43" s="302"/>
      <c r="F43" s="304"/>
      <c r="G43" s="276"/>
      <c r="H43" s="277"/>
      <c r="I43" s="290"/>
      <c r="J43" s="290"/>
      <c r="K43" s="291"/>
      <c r="L43" s="17"/>
      <c r="M43" s="286"/>
      <c r="N43" s="21"/>
      <c r="O43" s="286"/>
      <c r="P43" s="21"/>
      <c r="Q43" s="286"/>
      <c r="R43" s="248"/>
      <c r="S43" s="287"/>
      <c r="T43" s="248"/>
      <c r="U43" s="13"/>
      <c r="V43" s="282"/>
      <c r="W43" s="283"/>
      <c r="X43" s="284"/>
      <c r="Y43" s="245"/>
      <c r="Z43" s="245"/>
      <c r="AA43" s="1"/>
      <c r="AB43" s="138"/>
      <c r="AC43" s="138"/>
      <c r="AD43" s="138"/>
      <c r="AE43" s="138"/>
      <c r="AF43" s="138"/>
      <c r="AG43" s="138"/>
      <c r="AH43" s="138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426"/>
      <c r="AT43" s="417"/>
      <c r="AU43" s="417"/>
      <c r="AV43" s="417"/>
      <c r="BJ43" s="2">
        <v>-0.6</v>
      </c>
      <c r="BK43" s="32">
        <f t="shared" si="7"/>
        <v>0.33322460289179967</v>
      </c>
      <c r="BL43" s="33" t="e">
        <f t="shared" si="8"/>
        <v>#VALUE!</v>
      </c>
      <c r="BM43" s="33" t="e">
        <f t="shared" si="9"/>
        <v>#VALUE!</v>
      </c>
      <c r="BN43" s="34" t="e">
        <f t="shared" si="5"/>
        <v>#N/A</v>
      </c>
      <c r="BP43" s="391"/>
      <c r="BQ43" s="393"/>
      <c r="BS43" s="50" t="str">
        <f>Q68</f>
        <v/>
      </c>
      <c r="BT43" s="50" t="e">
        <f>#REF!</f>
        <v>#REF!</v>
      </c>
      <c r="BU43" s="39" t="str">
        <f t="shared" si="20"/>
        <v/>
      </c>
      <c r="BV43" s="39" t="str">
        <f t="shared" si="14"/>
        <v/>
      </c>
    </row>
    <row r="44" spans="1:74" ht="14.25" customHeight="1" thickBot="1" x14ac:dyDescent="0.4">
      <c r="A44" s="293">
        <v>14</v>
      </c>
      <c r="B44" s="295"/>
      <c r="C44" s="297"/>
      <c r="D44" s="299"/>
      <c r="E44" s="301"/>
      <c r="F44" s="303"/>
      <c r="G44" s="288"/>
      <c r="H44" s="289"/>
      <c r="I44" s="290"/>
      <c r="J44" s="290"/>
      <c r="K44" s="291"/>
      <c r="L44" s="18"/>
      <c r="M44" s="285" t="str">
        <f t="shared" ref="M44" si="53">IF(COUNT(L44:L45)&lt;1,"",AVERAGE(L44:L45))</f>
        <v/>
      </c>
      <c r="N44" s="22"/>
      <c r="O44" s="285" t="str">
        <f t="shared" ref="O44" si="54">IF(COUNT(N44:N45)&lt;1,"",AVERAGE(N44:N45))</f>
        <v/>
      </c>
      <c r="P44" s="22"/>
      <c r="Q44" s="285" t="str">
        <f t="shared" ref="Q44" si="55">IF(COUNT(P44:P45)&lt;1,"",AVERAGE(P44:P45))</f>
        <v/>
      </c>
      <c r="R44" s="278" t="str">
        <f>IF($X$13="/28",IF(COUNT(P44:P45)&lt;=1,"",ABS(P44-P45)),IF($X$13="/90",IF(COUNT(#REF!)&lt;=1,"",ABS(#REF!-#REF!))))</f>
        <v/>
      </c>
      <c r="S44" s="278" t="str">
        <f>IF($X$13="/28",IF(Q44="","",IF(AVERAGE(Q40:Q45)&gt;=$W$13,ROUND(AVERAGE(Q40:Q45),1)&amp;" ≥ "&amp;$W$13&amp;" OK",ROUND(AVERAGE(Q40:Q45),1)&amp;" &lt; "&amp;$W$13&amp;" NC")),IF($X$13="/90",IF(#REF!="","",IF(AVERAGE(#REF!)&gt;=$W$13,ROUND(AVERAGE(#REF!),1)&amp;" ≥ "&amp;$W$13&amp;" OK",ROUND(AVERAGE(#REF!),1)&amp;" &lt; "&amp;$W$13&amp;" NC"))))</f>
        <v/>
      </c>
      <c r="T44" s="278" t="str">
        <f>IF($X$13="/28",IF(Q44="","",IF(Q44&gt;=$W$13-$S$12,ROUND((Q44),1)&amp;" ≥ "&amp;$W$13-$S$12&amp;" OK",ROUND((Q44),1)&amp;" &lt; "&amp;$W$13-$S$12&amp;" NC")),IF($X$13="/90",IF(#REF!="","",IF(#REF!&gt;=$W$13-$S$12,ROUND((#REF!),1)&amp;" ≥ "&amp;$W$13-$S$12&amp;" OK",ROUND((#REF!),1)&amp;" &lt; "&amp;$W$13-$S$12&amp;" NC"))))</f>
        <v/>
      </c>
      <c r="U44" s="14"/>
      <c r="V44" s="279"/>
      <c r="W44" s="280"/>
      <c r="X44" s="281"/>
      <c r="Y44" s="246"/>
      <c r="Z44" s="246"/>
      <c r="AA44" s="1"/>
      <c r="AB44" s="358" t="s">
        <v>34</v>
      </c>
      <c r="AC44" s="359"/>
      <c r="AD44" s="359"/>
      <c r="AE44" s="359"/>
      <c r="AF44" s="359"/>
      <c r="AG44" s="360"/>
      <c r="AH44" s="138"/>
      <c r="AI44" s="1"/>
      <c r="AJ44" s="1"/>
      <c r="AK44" s="1"/>
      <c r="AL44" s="1"/>
      <c r="AM44" s="1"/>
      <c r="AN44" s="1"/>
      <c r="AO44" s="7"/>
      <c r="AP44" s="1"/>
      <c r="AQ44" s="1"/>
      <c r="AR44" s="1"/>
      <c r="AS44" s="426"/>
      <c r="AT44" s="417"/>
      <c r="AU44" s="417"/>
      <c r="AV44" s="417"/>
      <c r="BJ44" s="2">
        <v>-0.5</v>
      </c>
      <c r="BK44" s="32">
        <f t="shared" si="7"/>
        <v>0.35206532676429952</v>
      </c>
      <c r="BL44" s="33" t="e">
        <f t="shared" si="8"/>
        <v>#VALUE!</v>
      </c>
      <c r="BM44" s="33" t="e">
        <f t="shared" si="9"/>
        <v>#VALUE!</v>
      </c>
      <c r="BN44" s="34" t="e">
        <f t="shared" si="5"/>
        <v>#N/A</v>
      </c>
      <c r="BP44" s="390" t="str">
        <f>IF($X$13="/28",IF(Q44="","",Q44),IF($X$13="/90",IF(#REF!="","",#REF!),"Falso"))</f>
        <v/>
      </c>
      <c r="BQ44" s="392" t="str">
        <f t="shared" si="36"/>
        <v/>
      </c>
      <c r="BS44" s="50" t="str">
        <f>Q70</f>
        <v/>
      </c>
      <c r="BT44" s="50" t="e">
        <f>#REF!</f>
        <v>#REF!</v>
      </c>
      <c r="BU44" s="39" t="str">
        <f t="shared" si="20"/>
        <v/>
      </c>
      <c r="BV44" s="39" t="str">
        <f t="shared" si="14"/>
        <v/>
      </c>
    </row>
    <row r="45" spans="1:74" ht="14.25" customHeight="1" x14ac:dyDescent="0.35">
      <c r="A45" s="294"/>
      <c r="B45" s="296"/>
      <c r="C45" s="298"/>
      <c r="D45" s="300"/>
      <c r="E45" s="302"/>
      <c r="F45" s="304"/>
      <c r="G45" s="276"/>
      <c r="H45" s="277"/>
      <c r="I45" s="290"/>
      <c r="J45" s="290"/>
      <c r="K45" s="291"/>
      <c r="L45" s="17"/>
      <c r="M45" s="286"/>
      <c r="N45" s="21"/>
      <c r="O45" s="286"/>
      <c r="P45" s="21"/>
      <c r="Q45" s="286"/>
      <c r="R45" s="248"/>
      <c r="S45" s="287"/>
      <c r="T45" s="248"/>
      <c r="U45" s="13"/>
      <c r="V45" s="282"/>
      <c r="W45" s="283"/>
      <c r="X45" s="284"/>
      <c r="Y45" s="245"/>
      <c r="Z45" s="245"/>
      <c r="AA45" s="1"/>
      <c r="AB45" s="140" t="s">
        <v>35</v>
      </c>
      <c r="AC45" s="361" t="s">
        <v>109</v>
      </c>
      <c r="AD45" s="362"/>
      <c r="AE45" s="362"/>
      <c r="AF45" s="362"/>
      <c r="AG45" s="363"/>
      <c r="AH45" s="138"/>
      <c r="AI45" s="1"/>
      <c r="AJ45" s="1"/>
      <c r="AK45" s="1"/>
      <c r="AL45" s="1"/>
      <c r="AM45" s="1"/>
      <c r="AN45" s="8"/>
      <c r="AO45" s="9"/>
      <c r="AP45" s="9"/>
      <c r="AQ45" s="9"/>
      <c r="AR45" s="1"/>
      <c r="AS45" s="6"/>
      <c r="AT45" s="1"/>
      <c r="AU45" s="1"/>
      <c r="AV45" s="1"/>
      <c r="BJ45" s="2">
        <v>-0.4</v>
      </c>
      <c r="BK45" s="32">
        <f t="shared" si="7"/>
        <v>0.36827014030332333</v>
      </c>
      <c r="BL45" s="33" t="e">
        <f t="shared" si="8"/>
        <v>#VALUE!</v>
      </c>
      <c r="BM45" s="33" t="e">
        <f t="shared" si="9"/>
        <v>#VALUE!</v>
      </c>
      <c r="BN45" s="34" t="e">
        <f t="shared" si="5"/>
        <v>#N/A</v>
      </c>
      <c r="BP45" s="391"/>
      <c r="BQ45" s="393"/>
      <c r="BS45" s="50" t="str">
        <f>Q72</f>
        <v/>
      </c>
      <c r="BT45" s="50" t="e">
        <f>#REF!</f>
        <v>#REF!</v>
      </c>
      <c r="BU45" s="39" t="str">
        <f t="shared" si="20"/>
        <v/>
      </c>
      <c r="BV45" s="39" t="str">
        <f t="shared" si="14"/>
        <v/>
      </c>
    </row>
    <row r="46" spans="1:74" ht="14.25" customHeight="1" x14ac:dyDescent="0.35">
      <c r="A46" s="293">
        <v>15</v>
      </c>
      <c r="B46" s="295"/>
      <c r="C46" s="297"/>
      <c r="D46" s="299"/>
      <c r="E46" s="301"/>
      <c r="F46" s="303"/>
      <c r="G46" s="288"/>
      <c r="H46" s="289"/>
      <c r="I46" s="290"/>
      <c r="J46" s="290"/>
      <c r="K46" s="291"/>
      <c r="L46" s="18"/>
      <c r="M46" s="285" t="str">
        <f t="shared" ref="M46" si="56">IF(COUNT(L46:L47)&lt;1,"",AVERAGE(L46:L47))</f>
        <v/>
      </c>
      <c r="N46" s="22"/>
      <c r="O46" s="285" t="str">
        <f t="shared" ref="O46" si="57">IF(COUNT(N46:N47)&lt;1,"",AVERAGE(N46:N47))</f>
        <v/>
      </c>
      <c r="P46" s="22"/>
      <c r="Q46" s="285" t="str">
        <f t="shared" ref="Q46" si="58">IF(COUNT(P46:P47)&lt;1,"",AVERAGE(P46:P47))</f>
        <v/>
      </c>
      <c r="R46" s="278" t="str">
        <f>IF($X$13="/28",IF(COUNT(P46:P47)&lt;=1,"",ABS(P46-P47)),IF($X$13="/90",IF(COUNT(#REF!)&lt;=1,"",ABS(#REF!-#REF!))))</f>
        <v/>
      </c>
      <c r="S46" s="278" t="str">
        <f>IF($X$13="/28",IF(Q46="","",IF(AVERAGE(Q42:Q47)&gt;=$W$13,ROUND(AVERAGE(Q42:Q47),1)&amp;" ≥ "&amp;$W$13&amp;" OK",ROUND(AVERAGE(Q42:Q47),1)&amp;" &lt; "&amp;$W$13&amp;" NC")),IF($X$13="/90",IF(#REF!="","",IF(AVERAGE(#REF!)&gt;=$W$13,ROUND(AVERAGE(#REF!),1)&amp;" ≥ "&amp;$W$13&amp;" OK",ROUND(AVERAGE(#REF!),1)&amp;" &lt; "&amp;$W$13&amp;" NC"))))</f>
        <v/>
      </c>
      <c r="T46" s="278" t="str">
        <f>IF($X$13="/28",IF(Q46="","",IF(Q46&gt;=$W$13-$S$12,ROUND((Q46),1)&amp;" ≥ "&amp;$W$13-$S$12&amp;" OK",ROUND((Q46),1)&amp;" &lt; "&amp;$W$13-$S$12&amp;" NC")),IF($X$13="/90",IF(#REF!="","",IF(#REF!&gt;=$W$13-$S$12,ROUND((#REF!),1)&amp;" ≥ "&amp;$W$13-$S$12&amp;" OK",ROUND((#REF!),1)&amp;" &lt; "&amp;$W$13-$S$12&amp;" NC"))))</f>
        <v/>
      </c>
      <c r="U46" s="14"/>
      <c r="V46" s="279"/>
      <c r="W46" s="280"/>
      <c r="X46" s="281"/>
      <c r="Y46" s="246"/>
      <c r="Z46" s="246"/>
      <c r="AA46" s="1"/>
      <c r="AB46" s="141"/>
      <c r="AC46" s="364"/>
      <c r="AD46" s="365"/>
      <c r="AE46" s="365"/>
      <c r="AF46" s="365"/>
      <c r="AG46" s="366"/>
      <c r="AH46" s="138"/>
      <c r="AI46" s="1"/>
      <c r="AJ46" s="1"/>
      <c r="AK46" s="1"/>
      <c r="AL46" s="1"/>
      <c r="AM46" s="1"/>
      <c r="AN46" s="8"/>
      <c r="AO46" s="9"/>
      <c r="AP46" s="9"/>
      <c r="AQ46" s="9"/>
      <c r="AR46" s="1"/>
      <c r="AS46" s="6"/>
      <c r="AT46" s="1"/>
      <c r="AU46" s="1"/>
      <c r="AV46" s="1"/>
      <c r="BJ46" s="2">
        <v>-0.3</v>
      </c>
      <c r="BK46" s="32">
        <f t="shared" si="7"/>
        <v>0.38138781546052414</v>
      </c>
      <c r="BL46" s="33" t="e">
        <f t="shared" si="8"/>
        <v>#VALUE!</v>
      </c>
      <c r="BM46" s="33" t="e">
        <f t="shared" si="9"/>
        <v>#VALUE!</v>
      </c>
      <c r="BN46" s="34" t="e">
        <f t="shared" si="5"/>
        <v>#N/A</v>
      </c>
      <c r="BP46" s="390" t="str">
        <f>IF($X$13="/28",IF(Q46="","",Q46),IF($X$13="/90",IF(#REF!="","",#REF!),"Falso"))</f>
        <v/>
      </c>
      <c r="BQ46" s="392" t="str">
        <f t="shared" si="40"/>
        <v/>
      </c>
      <c r="BS46" s="50" t="str">
        <f>Q74</f>
        <v/>
      </c>
      <c r="BT46" s="50" t="e">
        <f>#REF!</f>
        <v>#REF!</v>
      </c>
      <c r="BU46" s="39" t="str">
        <f t="shared" si="20"/>
        <v/>
      </c>
      <c r="BV46" s="39" t="str">
        <f t="shared" si="14"/>
        <v/>
      </c>
    </row>
    <row r="47" spans="1:74" ht="14.25" customHeight="1" thickBot="1" x14ac:dyDescent="0.4">
      <c r="A47" s="294"/>
      <c r="B47" s="296"/>
      <c r="C47" s="298"/>
      <c r="D47" s="300"/>
      <c r="E47" s="302"/>
      <c r="F47" s="304"/>
      <c r="G47" s="276"/>
      <c r="H47" s="277"/>
      <c r="I47" s="290"/>
      <c r="J47" s="290"/>
      <c r="K47" s="291"/>
      <c r="L47" s="17"/>
      <c r="M47" s="286"/>
      <c r="N47" s="21"/>
      <c r="O47" s="286"/>
      <c r="P47" s="21"/>
      <c r="Q47" s="286"/>
      <c r="R47" s="248"/>
      <c r="S47" s="287"/>
      <c r="T47" s="248"/>
      <c r="U47" s="13"/>
      <c r="V47" s="282"/>
      <c r="W47" s="283"/>
      <c r="X47" s="284"/>
      <c r="Y47" s="245"/>
      <c r="Z47" s="245"/>
      <c r="AA47" s="1"/>
      <c r="AB47" s="142"/>
      <c r="AC47" s="143" t="s">
        <v>36</v>
      </c>
      <c r="AD47" s="144" t="s">
        <v>37</v>
      </c>
      <c r="AE47" s="144" t="s">
        <v>38</v>
      </c>
      <c r="AF47" s="144" t="s">
        <v>39</v>
      </c>
      <c r="AG47" s="145" t="s">
        <v>40</v>
      </c>
      <c r="AH47" s="138"/>
      <c r="AI47" s="1"/>
      <c r="AJ47" s="1"/>
      <c r="AK47" s="1"/>
      <c r="AL47" s="1"/>
      <c r="AM47" s="1"/>
      <c r="AN47" s="8"/>
      <c r="AO47" s="9"/>
      <c r="AP47" s="9"/>
      <c r="AQ47" s="9"/>
      <c r="AR47" s="1"/>
      <c r="AS47" s="6"/>
      <c r="AT47" s="1"/>
      <c r="AU47" s="1"/>
      <c r="AV47" s="1"/>
      <c r="BJ47" s="2">
        <v>-0.2</v>
      </c>
      <c r="BK47" s="32">
        <f t="shared" si="7"/>
        <v>0.39104269397545588</v>
      </c>
      <c r="BL47" s="33" t="e">
        <f t="shared" si="8"/>
        <v>#VALUE!</v>
      </c>
      <c r="BM47" s="33" t="e">
        <f t="shared" si="9"/>
        <v>#VALUE!</v>
      </c>
      <c r="BN47" s="34" t="e">
        <f t="shared" si="5"/>
        <v>#N/A</v>
      </c>
      <c r="BP47" s="391"/>
      <c r="BQ47" s="393"/>
      <c r="BS47" s="50" t="str">
        <f>Q76</f>
        <v/>
      </c>
      <c r="BT47" s="50" t="e">
        <f>#REF!</f>
        <v>#REF!</v>
      </c>
      <c r="BU47" s="39" t="str">
        <f t="shared" si="20"/>
        <v/>
      </c>
      <c r="BV47" s="39" t="str">
        <f t="shared" si="14"/>
        <v/>
      </c>
    </row>
    <row r="48" spans="1:74" ht="14.25" customHeight="1" x14ac:dyDescent="0.35">
      <c r="A48" s="293">
        <v>16</v>
      </c>
      <c r="B48" s="295"/>
      <c r="C48" s="297"/>
      <c r="D48" s="299"/>
      <c r="E48" s="301"/>
      <c r="F48" s="303"/>
      <c r="G48" s="288"/>
      <c r="H48" s="289"/>
      <c r="I48" s="290"/>
      <c r="J48" s="290"/>
      <c r="K48" s="291"/>
      <c r="L48" s="18"/>
      <c r="M48" s="285" t="str">
        <f t="shared" ref="M48" si="59">IF(COUNT(L48:L49)&lt;1,"",AVERAGE(L48:L49))</f>
        <v/>
      </c>
      <c r="N48" s="22"/>
      <c r="O48" s="285" t="str">
        <f t="shared" ref="O48" si="60">IF(COUNT(N48:N49)&lt;1,"",AVERAGE(N48:N49))</f>
        <v/>
      </c>
      <c r="P48" s="22"/>
      <c r="Q48" s="285" t="str">
        <f t="shared" ref="Q48" si="61">IF(COUNT(P48:P49)&lt;1,"",AVERAGE(P48:P49))</f>
        <v/>
      </c>
      <c r="R48" s="278" t="str">
        <f>IF($X$13="/28",IF(COUNT(P48:P49)&lt;=1,"",ABS(P48-P49)),IF($X$13="/90",IF(COUNT(#REF!)&lt;=1,"",ABS(#REF!-#REF!))))</f>
        <v/>
      </c>
      <c r="S48" s="278" t="str">
        <f>IF($X$13="/28",IF(Q48="","",IF(AVERAGE(Q44:Q49)&gt;=$W$13,ROUND(AVERAGE(Q44:Q49),1)&amp;" ≥ "&amp;$W$13&amp;" OK",ROUND(AVERAGE(Q44:Q49),1)&amp;" &lt; "&amp;$W$13&amp;" NC")),IF($X$13="/90",IF(#REF!="","",IF(AVERAGE(#REF!)&gt;=$W$13,ROUND(AVERAGE(#REF!),1)&amp;" ≥ "&amp;$W$13&amp;" OK",ROUND(AVERAGE(#REF!),1)&amp;" &lt; "&amp;$W$13&amp;" NC"))))</f>
        <v/>
      </c>
      <c r="T48" s="278" t="str">
        <f>IF($X$13="/28",IF(Q48="","",IF(Q48&gt;=$W$13-$S$12,ROUND((Q48),1)&amp;" ≥ "&amp;$W$13-$S$12&amp;" OK",ROUND((Q48),1)&amp;" &lt; "&amp;$W$13-$S$12&amp;" NC")),IF($X$13="/90",IF(#REF!="","",IF(#REF!&gt;=$W$13-$S$12,ROUND((#REF!),1)&amp;" ≥ "&amp;$W$13-$S$12&amp;" OK",ROUND((#REF!),1)&amp;" &lt; "&amp;$W$13-$S$12&amp;" NC"))))</f>
        <v/>
      </c>
      <c r="U48" s="14"/>
      <c r="V48" s="279"/>
      <c r="W48" s="280"/>
      <c r="X48" s="281"/>
      <c r="Y48" s="246"/>
      <c r="Z48" s="246"/>
      <c r="AA48" s="1"/>
      <c r="AB48" s="146" t="s">
        <v>41</v>
      </c>
      <c r="AC48" s="147" t="s">
        <v>42</v>
      </c>
      <c r="AD48" s="148">
        <v>2.8</v>
      </c>
      <c r="AE48" s="148">
        <v>3.4</v>
      </c>
      <c r="AF48" s="148">
        <v>4.0999999999999996</v>
      </c>
      <c r="AG48" s="149" t="s">
        <v>43</v>
      </c>
      <c r="AH48" s="138"/>
      <c r="AI48" s="1"/>
      <c r="AJ48" s="1"/>
      <c r="AK48" s="1"/>
      <c r="AL48" s="1"/>
      <c r="AM48" s="1"/>
      <c r="AN48" s="8"/>
      <c r="AO48" s="9"/>
      <c r="AP48" s="9"/>
      <c r="AQ48" s="9"/>
      <c r="AR48" s="1"/>
      <c r="AS48" s="6"/>
      <c r="AT48" s="1"/>
      <c r="AU48" s="1"/>
      <c r="AV48" s="1"/>
      <c r="BJ48" s="2">
        <v>-0.1</v>
      </c>
      <c r="BK48" s="32">
        <f t="shared" si="7"/>
        <v>0.39695254747701181</v>
      </c>
      <c r="BL48" s="33" t="e">
        <f t="shared" si="8"/>
        <v>#VALUE!</v>
      </c>
      <c r="BM48" s="33" t="e">
        <f>BL48+$BI$19</f>
        <v>#VALUE!</v>
      </c>
      <c r="BN48" s="34" t="e">
        <f>BK48*$BN$49/$BK$49</f>
        <v>#N/A</v>
      </c>
      <c r="BP48" s="390" t="str">
        <f>IF($X$13="/28",IF(Q48="","",Q48),IF($X$13="/90",IF(#REF!="","",#REF!),"Falso"))</f>
        <v/>
      </c>
      <c r="BQ48" s="392" t="str">
        <f t="shared" si="32"/>
        <v/>
      </c>
      <c r="BS48" s="50" t="str">
        <f>Q78</f>
        <v/>
      </c>
      <c r="BT48" s="50" t="e">
        <f>#REF!</f>
        <v>#REF!</v>
      </c>
      <c r="BU48" s="39" t="str">
        <f t="shared" si="20"/>
        <v/>
      </c>
      <c r="BV48" s="39" t="str">
        <f t="shared" si="14"/>
        <v/>
      </c>
    </row>
    <row r="49" spans="1:74" ht="14.25" customHeight="1" x14ac:dyDescent="0.35">
      <c r="A49" s="294"/>
      <c r="B49" s="296"/>
      <c r="C49" s="298"/>
      <c r="D49" s="300"/>
      <c r="E49" s="302"/>
      <c r="F49" s="304"/>
      <c r="G49" s="276"/>
      <c r="H49" s="277"/>
      <c r="I49" s="290"/>
      <c r="J49" s="290"/>
      <c r="K49" s="291"/>
      <c r="L49" s="17"/>
      <c r="M49" s="286"/>
      <c r="N49" s="21"/>
      <c r="O49" s="286"/>
      <c r="P49" s="21"/>
      <c r="Q49" s="286"/>
      <c r="R49" s="248"/>
      <c r="S49" s="287"/>
      <c r="T49" s="248"/>
      <c r="U49" s="13"/>
      <c r="V49" s="282"/>
      <c r="W49" s="283"/>
      <c r="X49" s="284"/>
      <c r="Y49" s="245"/>
      <c r="Z49" s="245"/>
      <c r="AA49" s="1"/>
      <c r="AB49" s="150" t="s">
        <v>110</v>
      </c>
      <c r="AC49" s="151">
        <v>2.8</v>
      </c>
      <c r="AD49" s="152" t="s">
        <v>44</v>
      </c>
      <c r="AE49" s="152" t="s">
        <v>44</v>
      </c>
      <c r="AF49" s="152" t="s">
        <v>44</v>
      </c>
      <c r="AG49" s="153">
        <v>4.8</v>
      </c>
      <c r="AH49" s="138"/>
      <c r="AI49" s="1"/>
      <c r="AJ49" s="1"/>
      <c r="AK49" s="1"/>
      <c r="AL49" s="1"/>
      <c r="AM49" s="1"/>
      <c r="AN49" s="8"/>
      <c r="AO49" s="9"/>
      <c r="AP49" s="9"/>
      <c r="AQ49" s="9"/>
      <c r="AR49" s="1"/>
      <c r="AS49" s="6"/>
      <c r="AT49" s="1"/>
      <c r="AU49" s="1"/>
      <c r="AV49" s="1"/>
      <c r="BJ49" s="2">
        <v>0</v>
      </c>
      <c r="BK49" s="32">
        <f t="shared" si="7"/>
        <v>0.3989422804014327</v>
      </c>
      <c r="BL49" s="33" t="e">
        <f t="shared" si="8"/>
        <v>#VALUE!</v>
      </c>
      <c r="BM49" s="33" t="e">
        <f t="shared" ref="BM49:BM79" si="62">BL49+$BI$19</f>
        <v>#VALUE!</v>
      </c>
      <c r="BN49" s="38" t="e">
        <f>MAX(AY17:AY27)</f>
        <v>#N/A</v>
      </c>
      <c r="BP49" s="391"/>
      <c r="BQ49" s="393"/>
      <c r="BS49" s="50" t="str">
        <f>Q80</f>
        <v/>
      </c>
      <c r="BT49" s="50" t="e">
        <f>#REF!</f>
        <v>#REF!</v>
      </c>
      <c r="BU49" s="39" t="str">
        <f t="shared" si="20"/>
        <v/>
      </c>
      <c r="BV49" s="39" t="str">
        <f t="shared" si="14"/>
        <v/>
      </c>
    </row>
    <row r="50" spans="1:74" ht="14.25" customHeight="1" thickBot="1" x14ac:dyDescent="0.4">
      <c r="A50" s="293">
        <v>17</v>
      </c>
      <c r="B50" s="295"/>
      <c r="C50" s="297"/>
      <c r="D50" s="299"/>
      <c r="E50" s="301"/>
      <c r="F50" s="303"/>
      <c r="G50" s="288"/>
      <c r="H50" s="289"/>
      <c r="I50" s="290"/>
      <c r="J50" s="290"/>
      <c r="K50" s="291"/>
      <c r="L50" s="18"/>
      <c r="M50" s="285" t="str">
        <f t="shared" ref="M50" si="63">IF(COUNT(L50:L51)&lt;1,"",AVERAGE(L50:L51))</f>
        <v/>
      </c>
      <c r="N50" s="22"/>
      <c r="O50" s="285" t="str">
        <f t="shared" ref="O50" si="64">IF(COUNT(N50:N51)&lt;1,"",AVERAGE(N50:N51))</f>
        <v/>
      </c>
      <c r="P50" s="22"/>
      <c r="Q50" s="285" t="str">
        <f t="shared" ref="Q50" si="65">IF(COUNT(P50:P51)&lt;1,"",AVERAGE(P50:P51))</f>
        <v/>
      </c>
      <c r="R50" s="278" t="str">
        <f>IF($X$13="/28",IF(COUNT(P50:P51)&lt;=1,"",ABS(P50-P51)),IF($X$13="/90",IF(COUNT(#REF!)&lt;=1,"",ABS(#REF!-#REF!))))</f>
        <v/>
      </c>
      <c r="S50" s="278" t="str">
        <f>IF($X$13="/28",IF(Q50="","",IF(AVERAGE(Q46:Q51)&gt;=$W$13,ROUND(AVERAGE(Q46:Q51),1)&amp;" ≥ "&amp;$W$13&amp;" OK",ROUND(AVERAGE(Q46:Q51),1)&amp;" &lt; "&amp;$W$13&amp;" NC")),IF($X$13="/90",IF(#REF!="","",IF(AVERAGE(#REF!)&gt;=$W$13,ROUND(AVERAGE(#REF!),1)&amp;" ≥ "&amp;$W$13&amp;" OK",ROUND(AVERAGE(#REF!),1)&amp;" &lt; "&amp;$W$13&amp;" NC"))))</f>
        <v/>
      </c>
      <c r="T50" s="278" t="str">
        <f>IF($X$13="/28",IF(Q50="","",IF(Q50&gt;=$W$13-$S$12,ROUND((Q50),1)&amp;" ≥ "&amp;$W$13-$S$12&amp;" OK",ROUND((Q50),1)&amp;" &lt; "&amp;$W$13-$S$12&amp;" NC")),IF($X$13="/90",IF(#REF!="","",IF(#REF!&gt;=$W$13-$S$12,ROUND((#REF!),1)&amp;" ≥ "&amp;$W$13-$S$12&amp;" OK",ROUND((#REF!),1)&amp;" &lt; "&amp;$W$13-$S$12&amp;" NC"))))</f>
        <v/>
      </c>
      <c r="U50" s="14"/>
      <c r="V50" s="279"/>
      <c r="W50" s="280"/>
      <c r="X50" s="281"/>
      <c r="Y50" s="246"/>
      <c r="Z50" s="246"/>
      <c r="AA50" s="1"/>
      <c r="AB50" s="154" t="s">
        <v>45</v>
      </c>
      <c r="AC50" s="155"/>
      <c r="AD50" s="156">
        <v>3.4</v>
      </c>
      <c r="AE50" s="156">
        <v>4.0999999999999996</v>
      </c>
      <c r="AF50" s="156">
        <v>4.8</v>
      </c>
      <c r="AG50" s="157"/>
      <c r="AH50" s="138"/>
      <c r="AI50" s="1"/>
      <c r="AJ50" s="1"/>
      <c r="AK50" s="1"/>
      <c r="AL50" s="1"/>
      <c r="AM50" s="1"/>
      <c r="AN50" s="8"/>
      <c r="AO50" s="9"/>
      <c r="AP50" s="9"/>
      <c r="AQ50" s="9"/>
      <c r="AR50" s="1"/>
      <c r="AS50" s="6"/>
      <c r="AT50" s="1"/>
      <c r="AU50" s="1"/>
      <c r="AV50" s="1"/>
      <c r="BJ50" s="2">
        <v>0.1</v>
      </c>
      <c r="BK50" s="32">
        <f t="shared" si="7"/>
        <v>0.39695254747701181</v>
      </c>
      <c r="BL50" s="33" t="e">
        <f t="shared" si="8"/>
        <v>#VALUE!</v>
      </c>
      <c r="BM50" s="33" t="e">
        <f t="shared" si="62"/>
        <v>#VALUE!</v>
      </c>
      <c r="BN50" s="34" t="e">
        <f>BK50*$BN$49/$BK$49</f>
        <v>#N/A</v>
      </c>
      <c r="BP50" s="390" t="str">
        <f>IF($X$13="/28",IF(Q50="","",Q50),IF($X$13="/90",IF(#REF!="","",#REF!),"Falso"))</f>
        <v/>
      </c>
      <c r="BQ50" s="392" t="str">
        <f t="shared" si="36"/>
        <v/>
      </c>
      <c r="BS50" s="50" t="str">
        <f>Q82</f>
        <v/>
      </c>
      <c r="BT50" s="50" t="e">
        <f>#REF!</f>
        <v>#REF!</v>
      </c>
      <c r="BU50" s="39" t="str">
        <f t="shared" si="20"/>
        <v/>
      </c>
      <c r="BV50" s="39" t="str">
        <f t="shared" si="14"/>
        <v/>
      </c>
    </row>
    <row r="51" spans="1:74" ht="14.25" customHeight="1" x14ac:dyDescent="0.35">
      <c r="A51" s="294"/>
      <c r="B51" s="296"/>
      <c r="C51" s="298"/>
      <c r="D51" s="300"/>
      <c r="E51" s="302"/>
      <c r="F51" s="304"/>
      <c r="G51" s="276"/>
      <c r="H51" s="277"/>
      <c r="I51" s="290"/>
      <c r="J51" s="290"/>
      <c r="K51" s="291"/>
      <c r="L51" s="17"/>
      <c r="M51" s="286"/>
      <c r="N51" s="21"/>
      <c r="O51" s="286"/>
      <c r="P51" s="21"/>
      <c r="Q51" s="286"/>
      <c r="R51" s="248"/>
      <c r="S51" s="287"/>
      <c r="T51" s="248"/>
      <c r="U51" s="13"/>
      <c r="V51" s="282"/>
      <c r="W51" s="283"/>
      <c r="X51" s="284"/>
      <c r="Y51" s="245"/>
      <c r="Z51" s="245"/>
      <c r="AA51" s="1"/>
      <c r="AB51" s="140" t="s">
        <v>35</v>
      </c>
      <c r="AC51" s="361" t="s">
        <v>111</v>
      </c>
      <c r="AD51" s="362"/>
      <c r="AE51" s="362"/>
      <c r="AF51" s="362"/>
      <c r="AG51" s="363"/>
      <c r="AH51" s="138"/>
      <c r="AI51" s="1"/>
      <c r="AJ51" s="1"/>
      <c r="AK51" s="1"/>
      <c r="AL51" s="1"/>
      <c r="AM51" s="1"/>
      <c r="AN51" s="8"/>
      <c r="AO51" s="9"/>
      <c r="AP51" s="9"/>
      <c r="AQ51" s="9"/>
      <c r="AR51" s="1"/>
      <c r="AS51" s="6"/>
      <c r="AT51" s="1"/>
      <c r="AU51" s="1"/>
      <c r="AV51" s="1"/>
      <c r="BJ51" s="2">
        <v>0.2</v>
      </c>
      <c r="BK51" s="32">
        <f t="shared" si="7"/>
        <v>0.39104269397545588</v>
      </c>
      <c r="BL51" s="33" t="e">
        <f t="shared" si="8"/>
        <v>#VALUE!</v>
      </c>
      <c r="BM51" s="33" t="e">
        <f t="shared" si="62"/>
        <v>#VALUE!</v>
      </c>
      <c r="BN51" s="34" t="e">
        <f t="shared" ref="BN51:BN79" si="66">BK51*$BN$49/$BK$49</f>
        <v>#N/A</v>
      </c>
      <c r="BP51" s="391"/>
      <c r="BQ51" s="393"/>
      <c r="BS51" s="50" t="str">
        <f>Q84</f>
        <v/>
      </c>
      <c r="BT51" s="50" t="e">
        <f>#REF!</f>
        <v>#REF!</v>
      </c>
      <c r="BU51" s="39" t="str">
        <f t="shared" si="20"/>
        <v/>
      </c>
      <c r="BV51" s="39" t="str">
        <f t="shared" si="14"/>
        <v/>
      </c>
    </row>
    <row r="52" spans="1:74" ht="14.25" customHeight="1" x14ac:dyDescent="0.35">
      <c r="A52" s="293">
        <v>18</v>
      </c>
      <c r="B52" s="295"/>
      <c r="C52" s="297"/>
      <c r="D52" s="299"/>
      <c r="E52" s="301"/>
      <c r="F52" s="303"/>
      <c r="G52" s="288"/>
      <c r="H52" s="289"/>
      <c r="I52" s="290"/>
      <c r="J52" s="290"/>
      <c r="K52" s="291"/>
      <c r="L52" s="18"/>
      <c r="M52" s="285" t="str">
        <f t="shared" ref="M52" si="67">IF(COUNT(L52:L53)&lt;1,"",AVERAGE(L52:L53))</f>
        <v/>
      </c>
      <c r="N52" s="22"/>
      <c r="O52" s="285" t="str">
        <f t="shared" ref="O52" si="68">IF(COUNT(N52:N53)&lt;1,"",AVERAGE(N52:N53))</f>
        <v/>
      </c>
      <c r="P52" s="22"/>
      <c r="Q52" s="285" t="str">
        <f t="shared" ref="Q52" si="69">IF(COUNT(P52:P53)&lt;1,"",AVERAGE(P52:P53))</f>
        <v/>
      </c>
      <c r="R52" s="278" t="str">
        <f>IF($X$13="/28",IF(COUNT(P52:P53)&lt;=1,"",ABS(P52-P53)),IF($X$13="/90",IF(COUNT(#REF!)&lt;=1,"",ABS(#REF!-#REF!))))</f>
        <v/>
      </c>
      <c r="S52" s="278" t="str">
        <f>IF($X$13="/28",IF(Q52="","",IF(AVERAGE(Q48:Q53)&gt;=$W$13,ROUND(AVERAGE(Q48:Q53),1)&amp;" ≥ "&amp;$W$13&amp;" OK",ROUND(AVERAGE(Q48:Q53),1)&amp;" &lt; "&amp;$W$13&amp;" NC")),IF($X$13="/90",IF(#REF!="","",IF(AVERAGE(#REF!)&gt;=$W$13,ROUND(AVERAGE(#REF!),1)&amp;" ≥ "&amp;$W$13&amp;" OK",ROUND(AVERAGE(#REF!),1)&amp;" &lt; "&amp;$W$13&amp;" NC"))))</f>
        <v/>
      </c>
      <c r="T52" s="278" t="str">
        <f>IF($X$13="/28",IF(Q52="","",IF(Q52&gt;=$W$13-$S$12,ROUND((Q52),1)&amp;" ≥ "&amp;$W$13-$S$12&amp;" OK",ROUND((Q52),1)&amp;" &lt; "&amp;$W$13-$S$12&amp;" NC")),IF($X$13="/90",IF(#REF!="","",IF(#REF!&gt;=$W$13-$S$12,ROUND((#REF!),1)&amp;" ≥ "&amp;$W$13-$S$12&amp;" OK",ROUND((#REF!),1)&amp;" &lt; "&amp;$W$13-$S$12&amp;" NC"))))</f>
        <v/>
      </c>
      <c r="U52" s="14"/>
      <c r="V52" s="279"/>
      <c r="W52" s="280"/>
      <c r="X52" s="281"/>
      <c r="Y52" s="246"/>
      <c r="Z52" s="246"/>
      <c r="AA52" s="1"/>
      <c r="AB52" s="158"/>
      <c r="AC52" s="364"/>
      <c r="AD52" s="365"/>
      <c r="AE52" s="365"/>
      <c r="AF52" s="365"/>
      <c r="AG52" s="366"/>
      <c r="AH52" s="138"/>
      <c r="AI52" s="1"/>
      <c r="AJ52" s="1"/>
      <c r="AK52" s="1"/>
      <c r="AL52" s="1"/>
      <c r="AM52" s="1"/>
      <c r="AN52" s="8"/>
      <c r="AO52" s="9"/>
      <c r="AP52" s="9"/>
      <c r="AQ52" s="9"/>
      <c r="AR52" s="1"/>
      <c r="AS52" s="6"/>
      <c r="AT52" s="1"/>
      <c r="AU52" s="1"/>
      <c r="AV52" s="1"/>
      <c r="BJ52" s="2">
        <v>0.3</v>
      </c>
      <c r="BK52" s="32">
        <f t="shared" si="7"/>
        <v>0.38138781546052414</v>
      </c>
      <c r="BL52" s="33" t="e">
        <f t="shared" si="8"/>
        <v>#VALUE!</v>
      </c>
      <c r="BM52" s="33" t="e">
        <f t="shared" si="62"/>
        <v>#VALUE!</v>
      </c>
      <c r="BN52" s="34" t="e">
        <f t="shared" si="66"/>
        <v>#N/A</v>
      </c>
      <c r="BP52" s="390" t="str">
        <f>IF($X$13="/28",IF(Q52="","",Q52),IF($X$13="/90",IF(#REF!="","",#REF!),"Falso"))</f>
        <v/>
      </c>
      <c r="BQ52" s="392" t="str">
        <f t="shared" si="40"/>
        <v/>
      </c>
      <c r="BS52" s="50" t="str">
        <f>Q86</f>
        <v/>
      </c>
      <c r="BT52" s="50" t="e">
        <f>#REF!</f>
        <v>#REF!</v>
      </c>
      <c r="BU52" s="39" t="str">
        <f t="shared" si="20"/>
        <v/>
      </c>
      <c r="BV52" s="39" t="str">
        <f t="shared" si="14"/>
        <v/>
      </c>
    </row>
    <row r="53" spans="1:74" ht="14.25" customHeight="1" thickBot="1" x14ac:dyDescent="0.4">
      <c r="A53" s="294"/>
      <c r="B53" s="296"/>
      <c r="C53" s="298"/>
      <c r="D53" s="300"/>
      <c r="E53" s="302"/>
      <c r="F53" s="304"/>
      <c r="G53" s="276"/>
      <c r="H53" s="277"/>
      <c r="I53" s="290"/>
      <c r="J53" s="290"/>
      <c r="K53" s="291"/>
      <c r="L53" s="17"/>
      <c r="M53" s="286"/>
      <c r="N53" s="21"/>
      <c r="O53" s="286"/>
      <c r="P53" s="21"/>
      <c r="Q53" s="286"/>
      <c r="R53" s="248"/>
      <c r="S53" s="287"/>
      <c r="T53" s="248"/>
      <c r="U53" s="13"/>
      <c r="V53" s="282"/>
      <c r="W53" s="283"/>
      <c r="X53" s="284"/>
      <c r="Y53" s="245"/>
      <c r="Z53" s="245"/>
      <c r="AA53" s="1"/>
      <c r="AB53" s="159"/>
      <c r="AC53" s="143" t="s">
        <v>36</v>
      </c>
      <c r="AD53" s="144" t="s">
        <v>37</v>
      </c>
      <c r="AE53" s="144" t="s">
        <v>38</v>
      </c>
      <c r="AF53" s="144" t="s">
        <v>39</v>
      </c>
      <c r="AG53" s="145" t="s">
        <v>40</v>
      </c>
      <c r="AH53" s="138"/>
      <c r="AI53" s="1"/>
      <c r="AJ53" s="1"/>
      <c r="AK53" s="1"/>
      <c r="AL53" s="1"/>
      <c r="AM53" s="1"/>
      <c r="AN53" s="8"/>
      <c r="AO53" s="9"/>
      <c r="AP53" s="9"/>
      <c r="AQ53" s="9"/>
      <c r="AR53" s="1"/>
      <c r="AS53" s="6"/>
      <c r="AT53" s="1"/>
      <c r="AU53" s="1"/>
      <c r="AV53" s="1"/>
      <c r="BJ53" s="2">
        <v>0.4</v>
      </c>
      <c r="BK53" s="32">
        <f t="shared" si="7"/>
        <v>0.36827014030332333</v>
      </c>
      <c r="BL53" s="33" t="e">
        <f t="shared" si="8"/>
        <v>#VALUE!</v>
      </c>
      <c r="BM53" s="33" t="e">
        <f t="shared" si="62"/>
        <v>#VALUE!</v>
      </c>
      <c r="BN53" s="34" t="e">
        <f t="shared" si="66"/>
        <v>#N/A</v>
      </c>
      <c r="BP53" s="391"/>
      <c r="BQ53" s="393"/>
      <c r="BS53" s="50" t="str">
        <f>Q88</f>
        <v/>
      </c>
      <c r="BT53" s="50" t="e">
        <f>#REF!</f>
        <v>#REF!</v>
      </c>
      <c r="BU53" s="39" t="str">
        <f t="shared" si="20"/>
        <v/>
      </c>
      <c r="BV53" s="39" t="str">
        <f t="shared" si="14"/>
        <v/>
      </c>
    </row>
    <row r="54" spans="1:74" ht="14.25" customHeight="1" x14ac:dyDescent="0.35">
      <c r="A54" s="293">
        <v>19</v>
      </c>
      <c r="B54" s="295"/>
      <c r="C54" s="297"/>
      <c r="D54" s="299"/>
      <c r="E54" s="301"/>
      <c r="F54" s="303"/>
      <c r="G54" s="288"/>
      <c r="H54" s="289"/>
      <c r="I54" s="290"/>
      <c r="J54" s="290"/>
      <c r="K54" s="291"/>
      <c r="L54" s="18"/>
      <c r="M54" s="285" t="str">
        <f t="shared" ref="M54" si="70">IF(COUNT(L54:L55)&lt;1,"",AVERAGE(L54:L55))</f>
        <v/>
      </c>
      <c r="N54" s="22"/>
      <c r="O54" s="285" t="str">
        <f t="shared" ref="O54" si="71">IF(COUNT(N54:N55)&lt;1,"",AVERAGE(N54:N55))</f>
        <v/>
      </c>
      <c r="P54" s="22"/>
      <c r="Q54" s="285" t="str">
        <f t="shared" ref="Q54" si="72">IF(COUNT(P54:P55)&lt;1,"",AVERAGE(P54:P55))</f>
        <v/>
      </c>
      <c r="R54" s="278" t="str">
        <f>IF($X$13="/28",IF(COUNT(P54:P55)&lt;=1,"",ABS(P54-P55)),IF($X$13="/90",IF(COUNT(#REF!)&lt;=1,"",ABS(#REF!-#REF!))))</f>
        <v/>
      </c>
      <c r="S54" s="278" t="str">
        <f>IF($X$13="/28",IF(Q54="","",IF(AVERAGE(Q50:Q55)&gt;=$W$13,ROUND(AVERAGE(Q50:Q55),1)&amp;" ≥ "&amp;$W$13&amp;" OK",ROUND(AVERAGE(Q50:Q55),1)&amp;" &lt; "&amp;$W$13&amp;" NC")),IF($X$13="/90",IF(#REF!="","",IF(AVERAGE(#REF!)&gt;=$W$13,ROUND(AVERAGE(#REF!),1)&amp;" ≥ "&amp;$W$13&amp;" OK",ROUND(AVERAGE(#REF!),1)&amp;" &lt; "&amp;$W$13&amp;" NC"))))</f>
        <v/>
      </c>
      <c r="T54" s="278" t="str">
        <f>IF($X$13="/28",IF(Q54="","",IF(Q54&gt;=$W$13-$S$12,ROUND((Q54),1)&amp;" ≥ "&amp;$W$13-$S$12&amp;" OK",ROUND((Q54),1)&amp;" &lt; "&amp;$W$13-$S$12&amp;" NC")),IF($X$13="/90",IF(#REF!="","",IF(#REF!&gt;=$W$13-$S$12,ROUND((#REF!),1)&amp;" ≥ "&amp;$W$13-$S$12&amp;" OK",ROUND((#REF!),1)&amp;" &lt; "&amp;$W$13-$S$12&amp;" NC"))))</f>
        <v/>
      </c>
      <c r="U54" s="14"/>
      <c r="V54" s="279"/>
      <c r="W54" s="280"/>
      <c r="X54" s="281"/>
      <c r="Y54" s="246"/>
      <c r="Z54" s="246"/>
      <c r="AA54" s="1"/>
      <c r="AB54" s="150" t="s">
        <v>41</v>
      </c>
      <c r="AC54" s="147" t="s">
        <v>42</v>
      </c>
      <c r="AD54" s="148">
        <v>7</v>
      </c>
      <c r="AE54" s="148">
        <v>9</v>
      </c>
      <c r="AF54" s="148">
        <v>11</v>
      </c>
      <c r="AG54" s="149" t="s">
        <v>43</v>
      </c>
      <c r="AH54" s="138"/>
      <c r="AI54" s="1"/>
      <c r="AJ54" s="1"/>
      <c r="AK54" s="1"/>
      <c r="AL54" s="1"/>
      <c r="AM54" s="1"/>
      <c r="AN54" s="8"/>
      <c r="AO54" s="9"/>
      <c r="AP54" s="9"/>
      <c r="AQ54" s="9"/>
      <c r="AR54" s="1"/>
      <c r="AS54" s="6"/>
      <c r="AT54" s="1"/>
      <c r="AU54" s="1"/>
      <c r="AV54" s="1"/>
      <c r="BJ54" s="2">
        <v>0.5</v>
      </c>
      <c r="BK54" s="32">
        <f t="shared" si="7"/>
        <v>0.35206532676429952</v>
      </c>
      <c r="BL54" s="33" t="e">
        <f t="shared" si="8"/>
        <v>#VALUE!</v>
      </c>
      <c r="BM54" s="33" t="e">
        <f t="shared" si="62"/>
        <v>#VALUE!</v>
      </c>
      <c r="BN54" s="34" t="e">
        <f t="shared" si="66"/>
        <v>#N/A</v>
      </c>
      <c r="BP54" s="390" t="str">
        <f>IF($X$13="/28",IF(Q54="","",Q54),IF($X$13="/90",IF(#REF!="","",#REF!),"Falso"))</f>
        <v/>
      </c>
      <c r="BQ54" s="392" t="str">
        <f t="shared" si="32"/>
        <v/>
      </c>
      <c r="BS54" s="50" t="str">
        <f>Q90</f>
        <v/>
      </c>
      <c r="BT54" s="50" t="e">
        <f>#REF!</f>
        <v>#REF!</v>
      </c>
      <c r="BU54" s="39" t="str">
        <f t="shared" si="20"/>
        <v/>
      </c>
      <c r="BV54" s="39" t="str">
        <f t="shared" si="14"/>
        <v/>
      </c>
    </row>
    <row r="55" spans="1:74" ht="14.25" customHeight="1" x14ac:dyDescent="0.35">
      <c r="A55" s="294"/>
      <c r="B55" s="296"/>
      <c r="C55" s="298"/>
      <c r="D55" s="300"/>
      <c r="E55" s="302"/>
      <c r="F55" s="304"/>
      <c r="G55" s="276"/>
      <c r="H55" s="277"/>
      <c r="I55" s="290"/>
      <c r="J55" s="290"/>
      <c r="K55" s="291"/>
      <c r="L55" s="17"/>
      <c r="M55" s="286"/>
      <c r="N55" s="21"/>
      <c r="O55" s="286"/>
      <c r="P55" s="21"/>
      <c r="Q55" s="286"/>
      <c r="R55" s="248"/>
      <c r="S55" s="287"/>
      <c r="T55" s="248"/>
      <c r="U55" s="13"/>
      <c r="V55" s="282"/>
      <c r="W55" s="283"/>
      <c r="X55" s="284"/>
      <c r="Y55" s="245"/>
      <c r="Z55" s="245"/>
      <c r="AA55" s="1"/>
      <c r="AB55" s="150" t="s">
        <v>46</v>
      </c>
      <c r="AC55" s="151">
        <v>7</v>
      </c>
      <c r="AD55" s="152" t="s">
        <v>44</v>
      </c>
      <c r="AE55" s="152" t="s">
        <v>44</v>
      </c>
      <c r="AF55" s="152" t="s">
        <v>44</v>
      </c>
      <c r="AG55" s="153">
        <v>14</v>
      </c>
      <c r="AH55" s="138"/>
      <c r="AI55" s="1"/>
      <c r="AJ55" s="1"/>
      <c r="AK55" s="1"/>
      <c r="AL55" s="1"/>
      <c r="AM55" s="1"/>
      <c r="AN55" s="8"/>
      <c r="AO55" s="9"/>
      <c r="AP55" s="9"/>
      <c r="AQ55" s="9"/>
      <c r="AR55" s="1"/>
      <c r="AS55" s="6"/>
      <c r="AT55" s="1"/>
      <c r="AU55" s="1"/>
      <c r="AV55" s="1"/>
      <c r="BJ55" s="2">
        <v>0.6</v>
      </c>
      <c r="BK55" s="32">
        <f t="shared" si="7"/>
        <v>0.33322460289179967</v>
      </c>
      <c r="BL55" s="33" t="e">
        <f t="shared" si="8"/>
        <v>#VALUE!</v>
      </c>
      <c r="BM55" s="33" t="e">
        <f t="shared" si="62"/>
        <v>#VALUE!</v>
      </c>
      <c r="BN55" s="34" t="e">
        <f t="shared" si="66"/>
        <v>#N/A</v>
      </c>
      <c r="BP55" s="391"/>
      <c r="BQ55" s="393"/>
      <c r="BS55" s="50" t="str">
        <f>Q92</f>
        <v/>
      </c>
      <c r="BT55" s="50" t="e">
        <f>#REF!</f>
        <v>#REF!</v>
      </c>
      <c r="BU55" s="39" t="str">
        <f t="shared" si="20"/>
        <v/>
      </c>
      <c r="BV55" s="39" t="str">
        <f t="shared" si="14"/>
        <v/>
      </c>
    </row>
    <row r="56" spans="1:74" ht="14.25" customHeight="1" thickBot="1" x14ac:dyDescent="0.4">
      <c r="A56" s="293">
        <v>20</v>
      </c>
      <c r="B56" s="295"/>
      <c r="C56" s="297"/>
      <c r="D56" s="299"/>
      <c r="E56" s="301"/>
      <c r="F56" s="303"/>
      <c r="G56" s="288"/>
      <c r="H56" s="289"/>
      <c r="I56" s="290"/>
      <c r="J56" s="290"/>
      <c r="K56" s="291"/>
      <c r="L56" s="18"/>
      <c r="M56" s="285" t="str">
        <f t="shared" ref="M56" si="73">IF(COUNT(L56:L57)&lt;1,"",AVERAGE(L56:L57))</f>
        <v/>
      </c>
      <c r="N56" s="22"/>
      <c r="O56" s="285" t="str">
        <f t="shared" ref="O56" si="74">IF(COUNT(N56:N57)&lt;1,"",AVERAGE(N56:N57))</f>
        <v/>
      </c>
      <c r="P56" s="22"/>
      <c r="Q56" s="285" t="str">
        <f t="shared" ref="Q56" si="75">IF(COUNT(P56:P57)&lt;1,"",AVERAGE(P56:P57))</f>
        <v/>
      </c>
      <c r="R56" s="278" t="str">
        <f>IF($X$13="/28",IF(COUNT(P56:P57)&lt;=1,"",ABS(P56-P57)),IF($X$13="/90",IF(COUNT(#REF!)&lt;=1,"",ABS(#REF!-#REF!))))</f>
        <v/>
      </c>
      <c r="S56" s="278" t="str">
        <f>IF($X$13="/28",IF(Q56="","",IF(AVERAGE(Q52:Q57)&gt;=$W$13,ROUND(AVERAGE(Q52:Q57),1)&amp;" ≥ "&amp;$W$13&amp;" OK",ROUND(AVERAGE(Q52:Q57),1)&amp;" &lt; "&amp;$W$13&amp;" NC")),IF($X$13="/90",IF(#REF!="","",IF(AVERAGE(#REF!)&gt;=$W$13,ROUND(AVERAGE(#REF!),1)&amp;" ≥ "&amp;$W$13&amp;" OK",ROUND(AVERAGE(#REF!),1)&amp;" &lt; "&amp;$W$13&amp;" NC"))))</f>
        <v/>
      </c>
      <c r="T56" s="278" t="str">
        <f>IF($X$13="/28",IF(Q56="","",IF(Q56&gt;=$W$13-$S$12,ROUND((Q56),1)&amp;" ≥ "&amp;$W$13-$S$12&amp;" OK",ROUND((Q56),1)&amp;" &lt; "&amp;$W$13-$S$12&amp;" NC")),IF($X$13="/90",IF(#REF!="","",IF(#REF!&gt;=$W$13-$S$12,ROUND((#REF!),1)&amp;" ≥ "&amp;$W$13-$S$12&amp;" OK",ROUND((#REF!),1)&amp;" &lt; "&amp;$W$13-$S$12&amp;" NC"))))</f>
        <v/>
      </c>
      <c r="U56" s="14"/>
      <c r="V56" s="279"/>
      <c r="W56" s="280"/>
      <c r="X56" s="281"/>
      <c r="Y56" s="246"/>
      <c r="Z56" s="246"/>
      <c r="AA56" s="1"/>
      <c r="AB56" s="154" t="s">
        <v>45</v>
      </c>
      <c r="AC56" s="155"/>
      <c r="AD56" s="156">
        <v>9</v>
      </c>
      <c r="AE56" s="156">
        <v>11</v>
      </c>
      <c r="AF56" s="156">
        <v>14</v>
      </c>
      <c r="AG56" s="157"/>
      <c r="AH56" s="138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6"/>
      <c r="AT56" s="1"/>
      <c r="AU56" s="1"/>
      <c r="AV56" s="1"/>
      <c r="BJ56" s="2">
        <v>0.7</v>
      </c>
      <c r="BK56" s="32">
        <f t="shared" si="7"/>
        <v>0.31225393336676127</v>
      </c>
      <c r="BL56" s="33" t="e">
        <f t="shared" si="8"/>
        <v>#VALUE!</v>
      </c>
      <c r="BM56" s="33" t="e">
        <f t="shared" si="62"/>
        <v>#VALUE!</v>
      </c>
      <c r="BN56" s="34" t="e">
        <f t="shared" si="66"/>
        <v>#N/A</v>
      </c>
      <c r="BP56" s="390" t="str">
        <f>IF($X$13="/28",IF(Q56="","",Q56),IF($X$13="/90",IF(#REF!="","",#REF!),"Falso"))</f>
        <v/>
      </c>
      <c r="BQ56" s="392" t="str">
        <f t="shared" si="36"/>
        <v/>
      </c>
      <c r="BS56" s="50" t="str">
        <f>Q94</f>
        <v/>
      </c>
      <c r="BT56" s="50" t="e">
        <f>#REF!</f>
        <v>#REF!</v>
      </c>
      <c r="BU56" s="39" t="str">
        <f t="shared" si="20"/>
        <v/>
      </c>
      <c r="BV56" s="39" t="str">
        <f t="shared" si="14"/>
        <v/>
      </c>
    </row>
    <row r="57" spans="1:74" ht="14.25" customHeight="1" thickBot="1" x14ac:dyDescent="0.4">
      <c r="A57" s="294"/>
      <c r="B57" s="296"/>
      <c r="C57" s="298"/>
      <c r="D57" s="300"/>
      <c r="E57" s="302"/>
      <c r="F57" s="304"/>
      <c r="G57" s="276"/>
      <c r="H57" s="277"/>
      <c r="I57" s="290"/>
      <c r="J57" s="290"/>
      <c r="K57" s="291"/>
      <c r="L57" s="17"/>
      <c r="M57" s="286"/>
      <c r="N57" s="21"/>
      <c r="O57" s="286"/>
      <c r="P57" s="21"/>
      <c r="Q57" s="286"/>
      <c r="R57" s="248"/>
      <c r="S57" s="287"/>
      <c r="T57" s="248"/>
      <c r="U57" s="13"/>
      <c r="V57" s="282"/>
      <c r="W57" s="283"/>
      <c r="X57" s="284"/>
      <c r="Y57" s="245"/>
      <c r="Z57" s="245"/>
      <c r="AA57" s="1"/>
      <c r="AB57" s="358" t="s">
        <v>47</v>
      </c>
      <c r="AC57" s="359"/>
      <c r="AD57" s="359"/>
      <c r="AE57" s="359"/>
      <c r="AF57" s="359"/>
      <c r="AG57" s="360"/>
      <c r="AH57" s="138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6"/>
      <c r="AT57" s="1"/>
      <c r="AU57" s="1"/>
      <c r="AV57" s="1"/>
      <c r="BJ57" s="2">
        <v>0.8</v>
      </c>
      <c r="BK57" s="32">
        <f t="shared" si="7"/>
        <v>0.28969155276148273</v>
      </c>
      <c r="BL57" s="33" t="e">
        <f t="shared" si="8"/>
        <v>#VALUE!</v>
      </c>
      <c r="BM57" s="33" t="e">
        <f t="shared" si="62"/>
        <v>#VALUE!</v>
      </c>
      <c r="BN57" s="34" t="e">
        <f t="shared" si="66"/>
        <v>#N/A</v>
      </c>
      <c r="BP57" s="391"/>
      <c r="BQ57" s="393"/>
      <c r="BS57" s="50" t="str">
        <f>Q96</f>
        <v/>
      </c>
      <c r="BT57" s="50" t="e">
        <f>#REF!</f>
        <v>#REF!</v>
      </c>
      <c r="BU57" s="39" t="str">
        <f t="shared" si="20"/>
        <v/>
      </c>
      <c r="BV57" s="39" t="str">
        <f t="shared" si="14"/>
        <v/>
      </c>
    </row>
    <row r="58" spans="1:74" ht="14.25" customHeight="1" x14ac:dyDescent="0.35">
      <c r="A58" s="293">
        <v>21</v>
      </c>
      <c r="B58" s="295"/>
      <c r="C58" s="297"/>
      <c r="D58" s="299"/>
      <c r="E58" s="301"/>
      <c r="F58" s="303"/>
      <c r="G58" s="288"/>
      <c r="H58" s="289"/>
      <c r="I58" s="290"/>
      <c r="J58" s="290"/>
      <c r="K58" s="291"/>
      <c r="L58" s="18"/>
      <c r="M58" s="285" t="str">
        <f t="shared" ref="M58" si="76">IF(COUNT(L58:L59)&lt;1,"",AVERAGE(L58:L59))</f>
        <v/>
      </c>
      <c r="N58" s="22"/>
      <c r="O58" s="285" t="str">
        <f t="shared" ref="O58" si="77">IF(COUNT(N58:N59)&lt;1,"",AVERAGE(N58:N59))</f>
        <v/>
      </c>
      <c r="P58" s="22"/>
      <c r="Q58" s="285" t="str">
        <f t="shared" ref="Q58" si="78">IF(COUNT(P58:P59)&lt;1,"",AVERAGE(P58:P59))</f>
        <v/>
      </c>
      <c r="R58" s="278" t="str">
        <f>IF($X$13="/28",IF(COUNT(P58:P59)&lt;=1,"",ABS(P58-P59)),IF($X$13="/90",IF(COUNT(#REF!)&lt;=1,"",ABS(#REF!-#REF!))))</f>
        <v/>
      </c>
      <c r="S58" s="278" t="str">
        <f>IF($X$13="/28",IF(Q58="","",IF(AVERAGE(Q54:Q59)&gt;=$W$13,ROUND(AVERAGE(Q54:Q59),1)&amp;" ≥ "&amp;$W$13&amp;" OK",ROUND(AVERAGE(Q54:Q59),1)&amp;" &lt; "&amp;$W$13&amp;" NC")),IF($X$13="/90",IF(#REF!="","",IF(AVERAGE(#REF!)&gt;=$W$13,ROUND(AVERAGE(#REF!),1)&amp;" ≥ "&amp;$W$13&amp;" OK",ROUND(AVERAGE(#REF!),1)&amp;" &lt; "&amp;$W$13&amp;" NC"))))</f>
        <v/>
      </c>
      <c r="T58" s="278" t="str">
        <f>IF($X$13="/28",IF(Q58="","",IF(Q58&gt;=$W$13-$S$12,ROUND((Q58),1)&amp;" ≥ "&amp;$W$13-$S$12&amp;" OK",ROUND((Q58),1)&amp;" &lt; "&amp;$W$13-$S$12&amp;" NC")),IF($X$13="/90",IF(#REF!="","",IF(#REF!&gt;=$W$13-$S$12,ROUND((#REF!),1)&amp;" ≥ "&amp;$W$13-$S$12&amp;" OK",ROUND((#REF!),1)&amp;" &lt; "&amp;$W$13-$S$12&amp;" NC"))))</f>
        <v/>
      </c>
      <c r="U58" s="14"/>
      <c r="V58" s="279"/>
      <c r="W58" s="280"/>
      <c r="X58" s="281"/>
      <c r="Y58" s="246"/>
      <c r="Z58" s="246"/>
      <c r="AA58" s="1"/>
      <c r="AB58" s="160" t="s">
        <v>35</v>
      </c>
      <c r="AC58" s="367" t="s">
        <v>112</v>
      </c>
      <c r="AD58" s="368"/>
      <c r="AE58" s="368"/>
      <c r="AF58" s="368"/>
      <c r="AG58" s="369"/>
      <c r="AH58" s="138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6"/>
      <c r="AT58" s="1"/>
      <c r="AU58" s="1"/>
      <c r="AV58" s="1"/>
      <c r="BJ58" s="2">
        <v>0.9</v>
      </c>
      <c r="BK58" s="32">
        <f t="shared" si="7"/>
        <v>0.26608524989875482</v>
      </c>
      <c r="BL58" s="33" t="e">
        <f t="shared" si="8"/>
        <v>#VALUE!</v>
      </c>
      <c r="BM58" s="33" t="e">
        <f t="shared" si="62"/>
        <v>#VALUE!</v>
      </c>
      <c r="BN58" s="34" t="e">
        <f t="shared" si="66"/>
        <v>#N/A</v>
      </c>
      <c r="BP58" s="390" t="str">
        <f>IF($X$13="/28",IF(Q58="","",Q58),IF($X$13="/90",IF(#REF!="","",#REF!),"Falso"))</f>
        <v/>
      </c>
      <c r="BQ58" s="392" t="str">
        <f t="shared" si="40"/>
        <v/>
      </c>
      <c r="BS58" s="50" t="str">
        <f>Q98</f>
        <v/>
      </c>
      <c r="BT58" s="50" t="e">
        <f>#REF!</f>
        <v>#REF!</v>
      </c>
      <c r="BU58" s="39" t="str">
        <f t="shared" si="20"/>
        <v/>
      </c>
      <c r="BV58" s="39" t="str">
        <f t="shared" si="14"/>
        <v/>
      </c>
    </row>
    <row r="59" spans="1:74" ht="14.25" customHeight="1" x14ac:dyDescent="0.35">
      <c r="A59" s="294"/>
      <c r="B59" s="296"/>
      <c r="C59" s="298"/>
      <c r="D59" s="300"/>
      <c r="E59" s="302"/>
      <c r="F59" s="304"/>
      <c r="G59" s="276"/>
      <c r="H59" s="277"/>
      <c r="I59" s="290"/>
      <c r="J59" s="290"/>
      <c r="K59" s="291"/>
      <c r="L59" s="17"/>
      <c r="M59" s="286"/>
      <c r="N59" s="21"/>
      <c r="O59" s="286"/>
      <c r="P59" s="21"/>
      <c r="Q59" s="286"/>
      <c r="R59" s="248"/>
      <c r="S59" s="287"/>
      <c r="T59" s="248"/>
      <c r="U59" s="13"/>
      <c r="V59" s="282"/>
      <c r="W59" s="283"/>
      <c r="X59" s="284"/>
      <c r="Y59" s="245"/>
      <c r="Z59" s="245"/>
      <c r="AA59" s="1"/>
      <c r="AB59" s="161"/>
      <c r="AC59" s="370"/>
      <c r="AD59" s="371"/>
      <c r="AE59" s="371"/>
      <c r="AF59" s="371"/>
      <c r="AG59" s="372"/>
      <c r="AH59" s="138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6"/>
      <c r="AT59" s="1"/>
      <c r="AU59" s="1"/>
      <c r="AV59" s="1"/>
      <c r="BJ59" s="2">
        <v>1</v>
      </c>
      <c r="BK59" s="32">
        <f t="shared" si="7"/>
        <v>0.24197072451914337</v>
      </c>
      <c r="BL59" s="33" t="e">
        <f t="shared" si="8"/>
        <v>#VALUE!</v>
      </c>
      <c r="BM59" s="33" t="e">
        <f t="shared" si="62"/>
        <v>#VALUE!</v>
      </c>
      <c r="BN59" s="34" t="e">
        <f t="shared" si="66"/>
        <v>#N/A</v>
      </c>
      <c r="BP59" s="391"/>
      <c r="BQ59" s="393"/>
      <c r="BS59" s="50" t="str">
        <f>Q100</f>
        <v/>
      </c>
      <c r="BT59" s="50" t="e">
        <f>#REF!</f>
        <v>#REF!</v>
      </c>
      <c r="BU59" s="39" t="str">
        <f t="shared" si="20"/>
        <v/>
      </c>
      <c r="BV59" s="39" t="str">
        <f t="shared" si="14"/>
        <v/>
      </c>
    </row>
    <row r="60" spans="1:74" ht="14.25" customHeight="1" thickBot="1" x14ac:dyDescent="0.4">
      <c r="A60" s="293">
        <v>22</v>
      </c>
      <c r="B60" s="295"/>
      <c r="C60" s="297"/>
      <c r="D60" s="299"/>
      <c r="E60" s="301"/>
      <c r="F60" s="303"/>
      <c r="G60" s="288"/>
      <c r="H60" s="289"/>
      <c r="I60" s="290"/>
      <c r="J60" s="290"/>
      <c r="K60" s="291"/>
      <c r="L60" s="18"/>
      <c r="M60" s="285" t="str">
        <f t="shared" ref="M60" si="79">IF(COUNT(L60:L61)&lt;1,"",AVERAGE(L60:L61))</f>
        <v/>
      </c>
      <c r="N60" s="22"/>
      <c r="O60" s="285" t="str">
        <f t="shared" ref="O60" si="80">IF(COUNT(N60:N61)&lt;1,"",AVERAGE(N60:N61))</f>
        <v/>
      </c>
      <c r="P60" s="22"/>
      <c r="Q60" s="285" t="str">
        <f t="shared" ref="Q60" si="81">IF(COUNT(P60:P61)&lt;1,"",AVERAGE(P60:P61))</f>
        <v/>
      </c>
      <c r="R60" s="278" t="str">
        <f>IF($X$13="/28",IF(COUNT(P60:P61)&lt;=1,"",ABS(P60-P61)),IF($X$13="/90",IF(COUNT(#REF!)&lt;=1,"",ABS(#REF!-#REF!))))</f>
        <v/>
      </c>
      <c r="S60" s="278" t="str">
        <f>IF($X$13="/28",IF(Q60="","",IF(AVERAGE(Q56:Q61)&gt;=$W$13,ROUND(AVERAGE(Q56:Q61),1)&amp;" ≥ "&amp;$W$13&amp;" OK",ROUND(AVERAGE(Q56:Q61),1)&amp;" &lt; "&amp;$W$13&amp;" NC")),IF($X$13="/90",IF(#REF!="","",IF(AVERAGE(#REF!)&gt;=$W$13,ROUND(AVERAGE(#REF!),1)&amp;" ≥ "&amp;$W$13&amp;" OK",ROUND(AVERAGE(#REF!),1)&amp;" &lt; "&amp;$W$13&amp;" NC"))))</f>
        <v/>
      </c>
      <c r="T60" s="278" t="str">
        <f>IF($X$13="/28",IF(Q60="","",IF(Q60&gt;=$W$13-$S$12,ROUND((Q60),1)&amp;" ≥ "&amp;$W$13-$S$12&amp;" OK",ROUND((Q60),1)&amp;" &lt; "&amp;$W$13-$S$12&amp;" NC")),IF($X$13="/90",IF(#REF!="","",IF(#REF!&gt;=$W$13-$S$12,ROUND((#REF!),1)&amp;" ≥ "&amp;$W$13-$S$12&amp;" OK",ROUND((#REF!),1)&amp;" &lt; "&amp;$W$13-$S$12&amp;" NC"))))</f>
        <v/>
      </c>
      <c r="U60" s="14"/>
      <c r="V60" s="279"/>
      <c r="W60" s="280"/>
      <c r="X60" s="281"/>
      <c r="Y60" s="246"/>
      <c r="Z60" s="246"/>
      <c r="AA60" s="1"/>
      <c r="AB60" s="162"/>
      <c r="AC60" s="163" t="s">
        <v>36</v>
      </c>
      <c r="AD60" s="164" t="s">
        <v>37</v>
      </c>
      <c r="AE60" s="164" t="s">
        <v>38</v>
      </c>
      <c r="AF60" s="164" t="s">
        <v>39</v>
      </c>
      <c r="AG60" s="165" t="s">
        <v>40</v>
      </c>
      <c r="AH60" s="138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6"/>
      <c r="AT60" s="1"/>
      <c r="AU60" s="1"/>
      <c r="AV60" s="1"/>
      <c r="BJ60" s="2">
        <v>1.1000000000000001</v>
      </c>
      <c r="BK60" s="32">
        <f t="shared" si="7"/>
        <v>0.21785217703255053</v>
      </c>
      <c r="BL60" s="33" t="e">
        <f t="shared" si="8"/>
        <v>#VALUE!</v>
      </c>
      <c r="BM60" s="33" t="e">
        <f t="shared" si="62"/>
        <v>#VALUE!</v>
      </c>
      <c r="BN60" s="34" t="e">
        <f t="shared" si="66"/>
        <v>#N/A</v>
      </c>
      <c r="BP60" s="390" t="str">
        <f>IF($X$13="/28",IF(Q60="","",Q60),IF($X$13="/90",IF(#REF!="","",#REF!),"Falso"))</f>
        <v/>
      </c>
      <c r="BQ60" s="392" t="str">
        <f t="shared" si="32"/>
        <v/>
      </c>
      <c r="BS60" s="50" t="str">
        <f>Q102</f>
        <v/>
      </c>
      <c r="BT60" s="50" t="e">
        <f>#REF!</f>
        <v>#REF!</v>
      </c>
      <c r="BU60" s="39" t="str">
        <f t="shared" si="20"/>
        <v/>
      </c>
      <c r="BV60" s="39" t="str">
        <f t="shared" si="14"/>
        <v/>
      </c>
    </row>
    <row r="61" spans="1:74" ht="14.25" customHeight="1" x14ac:dyDescent="0.35">
      <c r="A61" s="294"/>
      <c r="B61" s="296"/>
      <c r="C61" s="298"/>
      <c r="D61" s="300"/>
      <c r="E61" s="302"/>
      <c r="F61" s="304"/>
      <c r="G61" s="276"/>
      <c r="H61" s="277"/>
      <c r="I61" s="290"/>
      <c r="J61" s="290"/>
      <c r="K61" s="291"/>
      <c r="L61" s="17"/>
      <c r="M61" s="286"/>
      <c r="N61" s="21"/>
      <c r="O61" s="286"/>
      <c r="P61" s="21"/>
      <c r="Q61" s="286"/>
      <c r="R61" s="248"/>
      <c r="S61" s="287"/>
      <c r="T61" s="248"/>
      <c r="U61" s="13"/>
      <c r="V61" s="282"/>
      <c r="W61" s="283"/>
      <c r="X61" s="284"/>
      <c r="Y61" s="245"/>
      <c r="Z61" s="245"/>
      <c r="AA61" s="1"/>
      <c r="AB61" s="150" t="s">
        <v>48</v>
      </c>
      <c r="AC61" s="147" t="s">
        <v>42</v>
      </c>
      <c r="AD61" s="148">
        <v>3</v>
      </c>
      <c r="AE61" s="148">
        <v>4</v>
      </c>
      <c r="AF61" s="148">
        <v>5</v>
      </c>
      <c r="AG61" s="166" t="s">
        <v>43</v>
      </c>
      <c r="AH61" s="138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6"/>
      <c r="AT61" s="1"/>
      <c r="AU61" s="1"/>
      <c r="AV61" s="1"/>
      <c r="BJ61" s="2">
        <v>1.2</v>
      </c>
      <c r="BK61" s="32">
        <f t="shared" si="7"/>
        <v>0.19418605498321295</v>
      </c>
      <c r="BL61" s="33" t="e">
        <f t="shared" si="8"/>
        <v>#VALUE!</v>
      </c>
      <c r="BM61" s="33" t="e">
        <f t="shared" si="62"/>
        <v>#VALUE!</v>
      </c>
      <c r="BN61" s="34" t="e">
        <f t="shared" si="66"/>
        <v>#N/A</v>
      </c>
      <c r="BP61" s="391"/>
      <c r="BQ61" s="393"/>
      <c r="BS61" s="50" t="str">
        <f>Q104</f>
        <v/>
      </c>
      <c r="BT61" s="50" t="e">
        <f>#REF!</f>
        <v>#REF!</v>
      </c>
      <c r="BU61" s="39" t="str">
        <f t="shared" si="20"/>
        <v/>
      </c>
      <c r="BV61" s="39" t="str">
        <f t="shared" si="14"/>
        <v/>
      </c>
    </row>
    <row r="62" spans="1:74" ht="14.25" customHeight="1" x14ac:dyDescent="0.35">
      <c r="A62" s="293">
        <v>23</v>
      </c>
      <c r="B62" s="295"/>
      <c r="C62" s="297"/>
      <c r="D62" s="299"/>
      <c r="E62" s="301"/>
      <c r="F62" s="303"/>
      <c r="G62" s="288"/>
      <c r="H62" s="289"/>
      <c r="I62" s="290"/>
      <c r="J62" s="290"/>
      <c r="K62" s="291"/>
      <c r="L62" s="18"/>
      <c r="M62" s="285" t="str">
        <f t="shared" ref="M62" si="82">IF(COUNT(L62:L63)&lt;1,"",AVERAGE(L62:L63))</f>
        <v/>
      </c>
      <c r="N62" s="22"/>
      <c r="O62" s="285" t="str">
        <f t="shared" ref="O62" si="83">IF(COUNT(N62:N63)&lt;1,"",AVERAGE(N62:N63))</f>
        <v/>
      </c>
      <c r="P62" s="22"/>
      <c r="Q62" s="285" t="str">
        <f t="shared" ref="Q62" si="84">IF(COUNT(P62:P63)&lt;1,"",AVERAGE(P62:P63))</f>
        <v/>
      </c>
      <c r="R62" s="278" t="str">
        <f>IF($X$13="/28",IF(COUNT(P62:P63)&lt;=1,"",ABS(P62-P63)),IF($X$13="/90",IF(COUNT(#REF!)&lt;=1,"",ABS(#REF!-#REF!))))</f>
        <v/>
      </c>
      <c r="S62" s="278" t="str">
        <f>IF($X$13="/28",IF(Q62="","",IF(AVERAGE(Q58:Q63)&gt;=$W$13,ROUND(AVERAGE(Q58:Q63),1)&amp;" ≥ "&amp;$W$13&amp;" OK",ROUND(AVERAGE(Q58:Q63),1)&amp;" &lt; "&amp;$W$13&amp;" NC")),IF($X$13="/90",IF(#REF!="","",IF(AVERAGE(#REF!)&gt;=$W$13,ROUND(AVERAGE(#REF!),1)&amp;" ≥ "&amp;$W$13&amp;" OK",ROUND(AVERAGE(#REF!),1)&amp;" &lt; "&amp;$W$13&amp;" NC"))))</f>
        <v/>
      </c>
      <c r="T62" s="278" t="str">
        <f>IF($X$13="/28",IF(Q62="","",IF(Q62&gt;=$W$13-$S$12,ROUND((Q62),1)&amp;" ≥ "&amp;$W$13-$S$12&amp;" OK",ROUND((Q62),1)&amp;" &lt; "&amp;$W$13-$S$12&amp;" NC")),IF($X$13="/90",IF(#REF!="","",IF(#REF!&gt;=$W$13-$S$12,ROUND((#REF!),1)&amp;" ≥ "&amp;$W$13-$S$12&amp;" OK",ROUND((#REF!),1)&amp;" &lt; "&amp;$W$13-$S$12&amp;" NC"))))</f>
        <v/>
      </c>
      <c r="U62" s="14"/>
      <c r="V62" s="279"/>
      <c r="W62" s="280"/>
      <c r="X62" s="281"/>
      <c r="Y62" s="246"/>
      <c r="Z62" s="246"/>
      <c r="AA62" s="1"/>
      <c r="AB62" s="150" t="s">
        <v>49</v>
      </c>
      <c r="AC62" s="151">
        <v>3</v>
      </c>
      <c r="AD62" s="152" t="s">
        <v>44</v>
      </c>
      <c r="AE62" s="152" t="s">
        <v>44</v>
      </c>
      <c r="AF62" s="152" t="s">
        <v>44</v>
      </c>
      <c r="AG62" s="167">
        <v>6</v>
      </c>
      <c r="AH62" s="138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6"/>
      <c r="AT62" s="1"/>
      <c r="AU62" s="1"/>
      <c r="AV62" s="1"/>
      <c r="BJ62" s="2">
        <v>1.3</v>
      </c>
      <c r="BK62" s="32">
        <f t="shared" si="7"/>
        <v>0.17136859204780736</v>
      </c>
      <c r="BL62" s="33" t="e">
        <f t="shared" si="8"/>
        <v>#VALUE!</v>
      </c>
      <c r="BM62" s="33" t="e">
        <f t="shared" si="62"/>
        <v>#VALUE!</v>
      </c>
      <c r="BN62" s="34" t="e">
        <f t="shared" si="66"/>
        <v>#N/A</v>
      </c>
      <c r="BP62" s="390" t="str">
        <f>IF($X$13="/28",IF(Q62="","",Q62),IF($X$13="/90",IF(#REF!="","",#REF!),"Falso"))</f>
        <v/>
      </c>
      <c r="BQ62" s="392" t="str">
        <f t="shared" si="36"/>
        <v/>
      </c>
      <c r="BS62" s="50" t="str">
        <f>Q106</f>
        <v/>
      </c>
      <c r="BT62" s="50" t="e">
        <f>#REF!</f>
        <v>#REF!</v>
      </c>
      <c r="BU62" s="39" t="str">
        <f t="shared" si="20"/>
        <v/>
      </c>
      <c r="BV62" s="39" t="str">
        <f t="shared" si="14"/>
        <v/>
      </c>
    </row>
    <row r="63" spans="1:74" ht="14.25" customHeight="1" thickBot="1" x14ac:dyDescent="0.4">
      <c r="A63" s="294"/>
      <c r="B63" s="296"/>
      <c r="C63" s="298"/>
      <c r="D63" s="300"/>
      <c r="E63" s="302"/>
      <c r="F63" s="304"/>
      <c r="G63" s="276"/>
      <c r="H63" s="277"/>
      <c r="I63" s="290"/>
      <c r="J63" s="290"/>
      <c r="K63" s="291"/>
      <c r="L63" s="17"/>
      <c r="M63" s="286"/>
      <c r="N63" s="21"/>
      <c r="O63" s="286"/>
      <c r="P63" s="21"/>
      <c r="Q63" s="286"/>
      <c r="R63" s="248"/>
      <c r="S63" s="287"/>
      <c r="T63" s="248"/>
      <c r="U63" s="13"/>
      <c r="V63" s="282"/>
      <c r="W63" s="283"/>
      <c r="X63" s="284"/>
      <c r="Y63" s="245"/>
      <c r="Z63" s="245"/>
      <c r="AA63" s="1"/>
      <c r="AB63" s="154" t="s">
        <v>50</v>
      </c>
      <c r="AC63" s="155"/>
      <c r="AD63" s="156">
        <v>4</v>
      </c>
      <c r="AE63" s="156">
        <v>5</v>
      </c>
      <c r="AF63" s="156">
        <v>6</v>
      </c>
      <c r="AG63" s="168"/>
      <c r="AH63" s="138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6"/>
      <c r="AT63" s="1"/>
      <c r="AU63" s="1"/>
      <c r="AV63" s="1"/>
      <c r="BJ63" s="2">
        <v>1.4</v>
      </c>
      <c r="BK63" s="32">
        <f t="shared" si="7"/>
        <v>0.14972746563574488</v>
      </c>
      <c r="BL63" s="33" t="e">
        <f t="shared" si="8"/>
        <v>#VALUE!</v>
      </c>
      <c r="BM63" s="33" t="e">
        <f t="shared" si="62"/>
        <v>#VALUE!</v>
      </c>
      <c r="BN63" s="34" t="e">
        <f t="shared" si="66"/>
        <v>#N/A</v>
      </c>
      <c r="BP63" s="391"/>
      <c r="BQ63" s="393"/>
      <c r="BS63" s="50" t="str">
        <f>Q108</f>
        <v/>
      </c>
      <c r="BT63" s="50" t="e">
        <f>#REF!</f>
        <v>#REF!</v>
      </c>
      <c r="BU63" s="39" t="str">
        <f t="shared" si="20"/>
        <v/>
      </c>
      <c r="BV63" s="39" t="str">
        <f t="shared" si="14"/>
        <v/>
      </c>
    </row>
    <row r="64" spans="1:74" ht="14.25" customHeight="1" x14ac:dyDescent="0.35">
      <c r="A64" s="293">
        <v>24</v>
      </c>
      <c r="B64" s="295"/>
      <c r="C64" s="297"/>
      <c r="D64" s="299"/>
      <c r="E64" s="301"/>
      <c r="F64" s="303"/>
      <c r="G64" s="288"/>
      <c r="H64" s="289"/>
      <c r="I64" s="290"/>
      <c r="J64" s="290"/>
      <c r="K64" s="291"/>
      <c r="L64" s="18"/>
      <c r="M64" s="285" t="str">
        <f t="shared" ref="M64" si="85">IF(COUNT(L64:L65)&lt;1,"",AVERAGE(L64:L65))</f>
        <v/>
      </c>
      <c r="N64" s="22"/>
      <c r="O64" s="285" t="str">
        <f t="shared" ref="O64" si="86">IF(COUNT(N64:N65)&lt;1,"",AVERAGE(N64:N65))</f>
        <v/>
      </c>
      <c r="P64" s="22"/>
      <c r="Q64" s="285" t="str">
        <f t="shared" ref="Q64" si="87">IF(COUNT(P64:P65)&lt;1,"",AVERAGE(P64:P65))</f>
        <v/>
      </c>
      <c r="R64" s="278" t="str">
        <f>IF($X$13="/28",IF(COUNT(P64:P65)&lt;=1,"",ABS(P64-P65)),IF($X$13="/90",IF(COUNT(#REF!)&lt;=1,"",ABS(#REF!-#REF!))))</f>
        <v/>
      </c>
      <c r="S64" s="278" t="str">
        <f>IF($X$13="/28",IF(Q64="","",IF(AVERAGE(Q60:Q65)&gt;=$W$13,ROUND(AVERAGE(Q60:Q65),1)&amp;" ≥ "&amp;$W$13&amp;" OK",ROUND(AVERAGE(Q60:Q65),1)&amp;" &lt; "&amp;$W$13&amp;" NC")),IF($X$13="/90",IF(#REF!="","",IF(AVERAGE(#REF!)&gt;=$W$13,ROUND(AVERAGE(#REF!),1)&amp;" ≥ "&amp;$W$13&amp;" OK",ROUND(AVERAGE(#REF!),1)&amp;" &lt; "&amp;$W$13&amp;" NC"))))</f>
        <v/>
      </c>
      <c r="T64" s="278" t="str">
        <f>IF($X$13="/28",IF(Q64="","",IF(Q64&gt;=$W$13-$S$12,ROUND((Q64),1)&amp;" ≥ "&amp;$W$13-$S$12&amp;" OK",ROUND((Q64),1)&amp;" &lt; "&amp;$W$13-$S$12&amp;" NC")),IF($X$13="/90",IF(#REF!="","",IF(#REF!&gt;=$W$13-$S$12,ROUND((#REF!),1)&amp;" ≥ "&amp;$W$13-$S$12&amp;" OK",ROUND((#REF!),1)&amp;" &lt; "&amp;$W$13-$S$12&amp;" NC"))))</f>
        <v/>
      </c>
      <c r="U64" s="14"/>
      <c r="V64" s="279"/>
      <c r="W64" s="280"/>
      <c r="X64" s="281"/>
      <c r="Y64" s="246"/>
      <c r="Z64" s="246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6"/>
      <c r="AT64" s="1"/>
      <c r="AU64" s="1"/>
      <c r="AV64" s="1"/>
      <c r="BJ64" s="2">
        <v>1.5</v>
      </c>
      <c r="BK64" s="32">
        <f t="shared" si="7"/>
        <v>0.12951759566589174</v>
      </c>
      <c r="BL64" s="33" t="e">
        <f t="shared" si="8"/>
        <v>#VALUE!</v>
      </c>
      <c r="BM64" s="33" t="e">
        <f t="shared" si="62"/>
        <v>#VALUE!</v>
      </c>
      <c r="BN64" s="34" t="e">
        <f t="shared" si="66"/>
        <v>#N/A</v>
      </c>
      <c r="BP64" s="390" t="str">
        <f>IF($X$13="/28",IF(Q64="","",Q64),IF($X$13="/90",IF(#REF!="","",#REF!),"Falso"))</f>
        <v/>
      </c>
      <c r="BQ64" s="392" t="str">
        <f t="shared" si="40"/>
        <v/>
      </c>
      <c r="BS64" s="50" t="str">
        <f>Q110</f>
        <v/>
      </c>
      <c r="BT64" s="50" t="e">
        <f>#REF!</f>
        <v>#REF!</v>
      </c>
      <c r="BU64" s="39" t="str">
        <f t="shared" si="20"/>
        <v/>
      </c>
      <c r="BV64" s="39" t="str">
        <f t="shared" si="14"/>
        <v/>
      </c>
    </row>
    <row r="65" spans="1:74" ht="14.25" customHeight="1" x14ac:dyDescent="0.35">
      <c r="A65" s="294"/>
      <c r="B65" s="296"/>
      <c r="C65" s="298"/>
      <c r="D65" s="300"/>
      <c r="E65" s="302"/>
      <c r="F65" s="304"/>
      <c r="G65" s="276"/>
      <c r="H65" s="277"/>
      <c r="I65" s="290"/>
      <c r="J65" s="290"/>
      <c r="K65" s="291"/>
      <c r="L65" s="17"/>
      <c r="M65" s="286"/>
      <c r="N65" s="21"/>
      <c r="O65" s="286"/>
      <c r="P65" s="21"/>
      <c r="Q65" s="286"/>
      <c r="R65" s="248"/>
      <c r="S65" s="287"/>
      <c r="T65" s="248"/>
      <c r="U65" s="13"/>
      <c r="V65" s="282"/>
      <c r="W65" s="283"/>
      <c r="X65" s="284"/>
      <c r="Y65" s="245"/>
      <c r="Z65" s="245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6"/>
      <c r="AT65" s="1"/>
      <c r="AU65" s="1"/>
      <c r="AV65" s="1"/>
      <c r="BJ65" s="2">
        <v>1.6</v>
      </c>
      <c r="BK65" s="32">
        <f t="shared" si="7"/>
        <v>0.11092083467945554</v>
      </c>
      <c r="BL65" s="33" t="e">
        <f t="shared" si="8"/>
        <v>#VALUE!</v>
      </c>
      <c r="BM65" s="33" t="e">
        <f t="shared" si="62"/>
        <v>#VALUE!</v>
      </c>
      <c r="BN65" s="34" t="e">
        <f t="shared" si="66"/>
        <v>#N/A</v>
      </c>
      <c r="BP65" s="391"/>
      <c r="BQ65" s="393"/>
      <c r="BS65" s="50" t="str">
        <f>Q112</f>
        <v/>
      </c>
      <c r="BT65" s="50" t="e">
        <f>#REF!</f>
        <v>#REF!</v>
      </c>
      <c r="BU65" s="39" t="str">
        <f t="shared" si="20"/>
        <v/>
      </c>
      <c r="BV65" s="39" t="str">
        <f t="shared" si="14"/>
        <v/>
      </c>
    </row>
    <row r="66" spans="1:74" ht="14.25" customHeight="1" x14ac:dyDescent="0.35">
      <c r="A66" s="293">
        <v>25</v>
      </c>
      <c r="B66" s="295"/>
      <c r="C66" s="297"/>
      <c r="D66" s="299"/>
      <c r="E66" s="301"/>
      <c r="F66" s="303"/>
      <c r="G66" s="288"/>
      <c r="H66" s="289"/>
      <c r="I66" s="290"/>
      <c r="J66" s="290"/>
      <c r="K66" s="291"/>
      <c r="L66" s="18"/>
      <c r="M66" s="285" t="str">
        <f t="shared" ref="M66" si="88">IF(COUNT(L66:L67)&lt;1,"",AVERAGE(L66:L67))</f>
        <v/>
      </c>
      <c r="N66" s="22"/>
      <c r="O66" s="285" t="str">
        <f t="shared" ref="O66" si="89">IF(COUNT(N66:N67)&lt;1,"",AVERAGE(N66:N67))</f>
        <v/>
      </c>
      <c r="P66" s="22"/>
      <c r="Q66" s="285" t="str">
        <f t="shared" ref="Q66" si="90">IF(COUNT(P66:P67)&lt;1,"",AVERAGE(P66:P67))</f>
        <v/>
      </c>
      <c r="R66" s="278" t="str">
        <f>IF($X$13="/28",IF(COUNT(P66:P67)&lt;=1,"",ABS(P66-P67)),IF($X$13="/90",IF(COUNT(#REF!)&lt;=1,"",ABS(#REF!-#REF!))))</f>
        <v/>
      </c>
      <c r="S66" s="278" t="str">
        <f>IF($X$13="/28",IF(Q66="","",IF(AVERAGE(Q62:Q67)&gt;=$W$13,ROUND(AVERAGE(Q62:Q67),1)&amp;" ≥ "&amp;$W$13&amp;" OK",ROUND(AVERAGE(Q62:Q67),1)&amp;" &lt; "&amp;$W$13&amp;" NC")),IF($X$13="/90",IF(#REF!="","",IF(AVERAGE(#REF!)&gt;=$W$13,ROUND(AVERAGE(#REF!),1)&amp;" ≥ "&amp;$W$13&amp;" OK",ROUND(AVERAGE(#REF!),1)&amp;" &lt; "&amp;$W$13&amp;" NC"))))</f>
        <v/>
      </c>
      <c r="T66" s="278" t="str">
        <f>IF($X$13="/28",IF(Q66="","",IF(Q66&gt;=$W$13-$S$12,ROUND((Q66),1)&amp;" ≥ "&amp;$W$13-$S$12&amp;" OK",ROUND((Q66),1)&amp;" &lt; "&amp;$W$13-$S$12&amp;" NC")),IF($X$13="/90",IF(#REF!="","",IF(#REF!&gt;=$W$13-$S$12,ROUND((#REF!),1)&amp;" ≥ "&amp;$W$13-$S$12&amp;" OK",ROUND((#REF!),1)&amp;" &lt; "&amp;$W$13-$S$12&amp;" NC"))))</f>
        <v/>
      </c>
      <c r="U66" s="14"/>
      <c r="V66" s="279"/>
      <c r="W66" s="280"/>
      <c r="X66" s="281"/>
      <c r="Y66" s="246"/>
      <c r="Z66" s="246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6"/>
      <c r="AT66" s="1"/>
      <c r="AU66" s="1"/>
      <c r="AV66" s="1"/>
      <c r="BJ66" s="2">
        <v>1.7</v>
      </c>
      <c r="BK66" s="32">
        <f t="shared" si="7"/>
        <v>9.4049077376886947E-2</v>
      </c>
      <c r="BL66" s="33" t="e">
        <f t="shared" si="8"/>
        <v>#VALUE!</v>
      </c>
      <c r="BM66" s="33" t="e">
        <f t="shared" si="62"/>
        <v>#VALUE!</v>
      </c>
      <c r="BN66" s="34" t="e">
        <f t="shared" si="66"/>
        <v>#N/A</v>
      </c>
      <c r="BP66" s="390" t="str">
        <f>IF($X$13="/28",IF(Q66="","",Q66),IF($X$13="/90",IF(#REF!="","",#REF!),"Falso"))</f>
        <v/>
      </c>
      <c r="BQ66" s="392" t="str">
        <f t="shared" si="32"/>
        <v/>
      </c>
      <c r="BS66" s="50" t="str">
        <f>Q114</f>
        <v/>
      </c>
      <c r="BT66" s="50" t="e">
        <f>#REF!</f>
        <v>#REF!</v>
      </c>
      <c r="BU66" s="39" t="str">
        <f t="shared" si="20"/>
        <v/>
      </c>
      <c r="BV66" s="39" t="str">
        <f t="shared" si="14"/>
        <v/>
      </c>
    </row>
    <row r="67" spans="1:74" ht="14.25" customHeight="1" x14ac:dyDescent="0.35">
      <c r="A67" s="294"/>
      <c r="B67" s="296"/>
      <c r="C67" s="298"/>
      <c r="D67" s="300"/>
      <c r="E67" s="302"/>
      <c r="F67" s="304"/>
      <c r="G67" s="276"/>
      <c r="H67" s="277"/>
      <c r="I67" s="290"/>
      <c r="J67" s="290"/>
      <c r="K67" s="291"/>
      <c r="L67" s="17"/>
      <c r="M67" s="286"/>
      <c r="N67" s="21"/>
      <c r="O67" s="286"/>
      <c r="P67" s="21"/>
      <c r="Q67" s="286"/>
      <c r="R67" s="248"/>
      <c r="S67" s="287"/>
      <c r="T67" s="248"/>
      <c r="U67" s="13"/>
      <c r="V67" s="282"/>
      <c r="W67" s="283"/>
      <c r="X67" s="284"/>
      <c r="Y67" s="245"/>
      <c r="Z67" s="245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6"/>
      <c r="AT67" s="1"/>
      <c r="AU67" s="1"/>
      <c r="AV67" s="1"/>
      <c r="BJ67" s="2">
        <v>1.8</v>
      </c>
      <c r="BK67" s="32">
        <f t="shared" si="7"/>
        <v>7.8950158300894149E-2</v>
      </c>
      <c r="BL67" s="33" t="e">
        <f t="shared" si="8"/>
        <v>#VALUE!</v>
      </c>
      <c r="BM67" s="33" t="e">
        <f t="shared" si="62"/>
        <v>#VALUE!</v>
      </c>
      <c r="BN67" s="34" t="e">
        <f t="shared" si="66"/>
        <v>#N/A</v>
      </c>
      <c r="BP67" s="391"/>
      <c r="BQ67" s="393"/>
      <c r="BS67" s="50" t="str">
        <f>Q116</f>
        <v/>
      </c>
      <c r="BT67" s="50" t="e">
        <f>#REF!</f>
        <v>#REF!</v>
      </c>
      <c r="BU67" s="39" t="str">
        <f t="shared" si="20"/>
        <v/>
      </c>
      <c r="BV67" s="39" t="str">
        <f t="shared" si="14"/>
        <v/>
      </c>
    </row>
    <row r="68" spans="1:74" ht="14.25" customHeight="1" x14ac:dyDescent="0.35">
      <c r="A68" s="293">
        <v>26</v>
      </c>
      <c r="B68" s="295"/>
      <c r="C68" s="297"/>
      <c r="D68" s="299"/>
      <c r="E68" s="301"/>
      <c r="F68" s="303"/>
      <c r="G68" s="288"/>
      <c r="H68" s="289"/>
      <c r="I68" s="290"/>
      <c r="J68" s="290"/>
      <c r="K68" s="291"/>
      <c r="L68" s="18"/>
      <c r="M68" s="285" t="str">
        <f t="shared" ref="M68" si="91">IF(COUNT(L68:L69)&lt;1,"",AVERAGE(L68:L69))</f>
        <v/>
      </c>
      <c r="N68" s="22"/>
      <c r="O68" s="285" t="str">
        <f t="shared" ref="O68" si="92">IF(COUNT(N68:N69)&lt;1,"",AVERAGE(N68:N69))</f>
        <v/>
      </c>
      <c r="P68" s="22"/>
      <c r="Q68" s="285" t="str">
        <f t="shared" ref="Q68" si="93">IF(COUNT(P68:P69)&lt;1,"",AVERAGE(P68:P69))</f>
        <v/>
      </c>
      <c r="R68" s="278" t="str">
        <f>IF($X$13="/28",IF(COUNT(P68:P69)&lt;=1,"",ABS(P68-P69)),IF($X$13="/90",IF(COUNT(#REF!)&lt;=1,"",ABS(#REF!-#REF!))))</f>
        <v/>
      </c>
      <c r="S68" s="278" t="str">
        <f>IF($X$13="/28",IF(Q68="","",IF(AVERAGE(Q64:Q69)&gt;=$W$13,ROUND(AVERAGE(Q64:Q69),1)&amp;" ≥ "&amp;$W$13&amp;" OK",ROUND(AVERAGE(Q64:Q69),1)&amp;" &lt; "&amp;$W$13&amp;" NC")),IF($X$13="/90",IF(#REF!="","",IF(AVERAGE(#REF!)&gt;=$W$13,ROUND(AVERAGE(#REF!),1)&amp;" ≥ "&amp;$W$13&amp;" OK",ROUND(AVERAGE(#REF!),1)&amp;" &lt; "&amp;$W$13&amp;" NC"))))</f>
        <v/>
      </c>
      <c r="T68" s="278" t="str">
        <f>IF($X$13="/28",IF(Q68="","",IF(Q68&gt;=$W$13-$S$12,ROUND((Q68),1)&amp;" ≥ "&amp;$W$13-$S$12&amp;" OK",ROUND((Q68),1)&amp;" &lt; "&amp;$W$13-$S$12&amp;" NC")),IF($X$13="/90",IF(#REF!="","",IF(#REF!&gt;=$W$13-$S$12,ROUND((#REF!),1)&amp;" ≥ "&amp;$W$13-$S$12&amp;" OK",ROUND((#REF!),1)&amp;" &lt; "&amp;$W$13-$S$12&amp;" NC"))))</f>
        <v/>
      </c>
      <c r="U68" s="14"/>
      <c r="V68" s="279"/>
      <c r="W68" s="280"/>
      <c r="X68" s="281"/>
      <c r="Y68" s="246"/>
      <c r="Z68" s="246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6"/>
      <c r="AT68" s="1"/>
      <c r="AU68" s="1"/>
      <c r="AV68" s="1"/>
      <c r="BJ68" s="2">
        <v>1.9</v>
      </c>
      <c r="BK68" s="32">
        <f t="shared" si="7"/>
        <v>6.5615814774676595E-2</v>
      </c>
      <c r="BL68" s="33" t="e">
        <f t="shared" si="8"/>
        <v>#VALUE!</v>
      </c>
      <c r="BM68" s="33" t="e">
        <f t="shared" si="62"/>
        <v>#VALUE!</v>
      </c>
      <c r="BN68" s="34" t="e">
        <f t="shared" si="66"/>
        <v>#N/A</v>
      </c>
      <c r="BP68" s="390" t="str">
        <f>IF($X$13="/28",IF(Q68="","",Q68),IF($X$13="/90",IF(#REF!="","",#REF!),"Falso"))</f>
        <v/>
      </c>
      <c r="BQ68" s="392" t="str">
        <f t="shared" si="36"/>
        <v/>
      </c>
      <c r="BS68" s="50" t="str">
        <f>Q118</f>
        <v/>
      </c>
      <c r="BT68" s="50" t="e">
        <f>#REF!</f>
        <v>#REF!</v>
      </c>
      <c r="BU68" s="39" t="str">
        <f t="shared" si="20"/>
        <v/>
      </c>
      <c r="BV68" s="39" t="str">
        <f t="shared" si="14"/>
        <v/>
      </c>
    </row>
    <row r="69" spans="1:74" ht="14.25" customHeight="1" x14ac:dyDescent="0.35">
      <c r="A69" s="294"/>
      <c r="B69" s="296"/>
      <c r="C69" s="298"/>
      <c r="D69" s="300"/>
      <c r="E69" s="302"/>
      <c r="F69" s="304"/>
      <c r="G69" s="276"/>
      <c r="H69" s="277"/>
      <c r="I69" s="290"/>
      <c r="J69" s="290"/>
      <c r="K69" s="291"/>
      <c r="L69" s="17"/>
      <c r="M69" s="286"/>
      <c r="N69" s="21"/>
      <c r="O69" s="286"/>
      <c r="P69" s="21"/>
      <c r="Q69" s="286"/>
      <c r="R69" s="248"/>
      <c r="S69" s="287"/>
      <c r="T69" s="248"/>
      <c r="U69" s="13"/>
      <c r="V69" s="282"/>
      <c r="W69" s="283"/>
      <c r="X69" s="284"/>
      <c r="Y69" s="245"/>
      <c r="Z69" s="245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6"/>
      <c r="AT69" s="1"/>
      <c r="AU69" s="1"/>
      <c r="AV69" s="1"/>
      <c r="BJ69" s="2">
        <v>2</v>
      </c>
      <c r="BK69" s="32">
        <f t="shared" si="7"/>
        <v>5.3990966513188063E-2</v>
      </c>
      <c r="BL69" s="33" t="e">
        <f t="shared" si="8"/>
        <v>#VALUE!</v>
      </c>
      <c r="BM69" s="33" t="e">
        <f t="shared" si="62"/>
        <v>#VALUE!</v>
      </c>
      <c r="BN69" s="34" t="e">
        <f t="shared" si="66"/>
        <v>#N/A</v>
      </c>
      <c r="BP69" s="391"/>
      <c r="BQ69" s="393"/>
      <c r="BS69" s="50" t="str">
        <f>Q120</f>
        <v/>
      </c>
      <c r="BT69" s="50" t="e">
        <f>#REF!</f>
        <v>#REF!</v>
      </c>
      <c r="BU69" s="39" t="str">
        <f t="shared" si="20"/>
        <v/>
      </c>
      <c r="BV69" s="39" t="str">
        <f t="shared" si="14"/>
        <v/>
      </c>
    </row>
    <row r="70" spans="1:74" ht="14.25" customHeight="1" x14ac:dyDescent="0.35">
      <c r="A70" s="293">
        <v>27</v>
      </c>
      <c r="B70" s="295"/>
      <c r="C70" s="297"/>
      <c r="D70" s="299"/>
      <c r="E70" s="301"/>
      <c r="F70" s="303"/>
      <c r="G70" s="288"/>
      <c r="H70" s="289"/>
      <c r="I70" s="290"/>
      <c r="J70" s="290"/>
      <c r="K70" s="291"/>
      <c r="L70" s="18"/>
      <c r="M70" s="285" t="str">
        <f t="shared" ref="M70" si="94">IF(COUNT(L70:L71)&lt;1,"",AVERAGE(L70:L71))</f>
        <v/>
      </c>
      <c r="N70" s="22"/>
      <c r="O70" s="285" t="str">
        <f t="shared" ref="O70" si="95">IF(COUNT(N70:N71)&lt;1,"",AVERAGE(N70:N71))</f>
        <v/>
      </c>
      <c r="P70" s="22"/>
      <c r="Q70" s="285" t="str">
        <f t="shared" ref="Q70" si="96">IF(COUNT(P70:P71)&lt;1,"",AVERAGE(P70:P71))</f>
        <v/>
      </c>
      <c r="R70" s="278" t="str">
        <f>IF($X$13="/28",IF(COUNT(P70:P71)&lt;=1,"",ABS(P70-P71)),IF($X$13="/90",IF(COUNT(#REF!)&lt;=1,"",ABS(#REF!-#REF!))))</f>
        <v/>
      </c>
      <c r="S70" s="278" t="str">
        <f>IF($X$13="/28",IF(Q70="","",IF(AVERAGE(Q66:Q71)&gt;=$W$13,ROUND(AVERAGE(Q66:Q71),1)&amp;" ≥ "&amp;$W$13&amp;" OK",ROUND(AVERAGE(Q66:Q71),1)&amp;" &lt; "&amp;$W$13&amp;" NC")),IF($X$13="/90",IF(#REF!="","",IF(AVERAGE(#REF!)&gt;=$W$13,ROUND(AVERAGE(#REF!),1)&amp;" ≥ "&amp;$W$13&amp;" OK",ROUND(AVERAGE(#REF!),1)&amp;" &lt; "&amp;$W$13&amp;" NC"))))</f>
        <v/>
      </c>
      <c r="T70" s="278" t="str">
        <f>IF($X$13="/28",IF(Q70="","",IF(Q70&gt;=$W$13-$S$12,ROUND((Q70),1)&amp;" ≥ "&amp;$W$13-$S$12&amp;" OK",ROUND((Q70),1)&amp;" &lt; "&amp;$W$13-$S$12&amp;" NC")),IF($X$13="/90",IF(#REF!="","",IF(#REF!&gt;=$W$13-$S$12,ROUND((#REF!),1)&amp;" ≥ "&amp;$W$13-$S$12&amp;" OK",ROUND((#REF!),1)&amp;" &lt; "&amp;$W$13-$S$12&amp;" NC"))))</f>
        <v/>
      </c>
      <c r="U70" s="14"/>
      <c r="V70" s="279"/>
      <c r="W70" s="280"/>
      <c r="X70" s="281"/>
      <c r="Y70" s="246"/>
      <c r="Z70" s="246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6"/>
      <c r="AT70" s="1"/>
      <c r="AU70" s="1"/>
      <c r="AV70" s="1"/>
      <c r="BJ70" s="2">
        <v>2.1</v>
      </c>
      <c r="BK70" s="32">
        <f t="shared" si="7"/>
        <v>4.3983595980427191E-2</v>
      </c>
      <c r="BL70" s="33" t="e">
        <f t="shared" si="8"/>
        <v>#VALUE!</v>
      </c>
      <c r="BM70" s="33" t="e">
        <f t="shared" si="62"/>
        <v>#VALUE!</v>
      </c>
      <c r="BN70" s="34" t="e">
        <f t="shared" si="66"/>
        <v>#N/A</v>
      </c>
      <c r="BP70" s="390" t="str">
        <f>IF($X$13="/28",IF(Q70="","",Q70),IF($X$13="/90",IF(#REF!="","",#REF!),"Falso"))</f>
        <v/>
      </c>
      <c r="BQ70" s="392" t="str">
        <f t="shared" si="40"/>
        <v/>
      </c>
      <c r="BS70" s="50" t="str">
        <f>Q122</f>
        <v/>
      </c>
      <c r="BT70" s="50" t="e">
        <f>#REF!</f>
        <v>#REF!</v>
      </c>
      <c r="BU70" s="39" t="str">
        <f t="shared" si="20"/>
        <v/>
      </c>
      <c r="BV70" s="39" t="str">
        <f t="shared" si="14"/>
        <v/>
      </c>
    </row>
    <row r="71" spans="1:74" ht="14.25" customHeight="1" x14ac:dyDescent="0.35">
      <c r="A71" s="294"/>
      <c r="B71" s="296"/>
      <c r="C71" s="298"/>
      <c r="D71" s="300"/>
      <c r="E71" s="302"/>
      <c r="F71" s="304"/>
      <c r="G71" s="276"/>
      <c r="H71" s="277"/>
      <c r="I71" s="290"/>
      <c r="J71" s="290"/>
      <c r="K71" s="291"/>
      <c r="L71" s="17"/>
      <c r="M71" s="286"/>
      <c r="N71" s="21"/>
      <c r="O71" s="286"/>
      <c r="P71" s="21"/>
      <c r="Q71" s="286"/>
      <c r="R71" s="248"/>
      <c r="S71" s="287"/>
      <c r="T71" s="248"/>
      <c r="U71" s="13"/>
      <c r="V71" s="282"/>
      <c r="W71" s="283"/>
      <c r="X71" s="284"/>
      <c r="Y71" s="245"/>
      <c r="Z71" s="245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6"/>
      <c r="AT71" s="1"/>
      <c r="AU71" s="1"/>
      <c r="AV71" s="1"/>
      <c r="BJ71" s="2">
        <v>2.2000000000000002</v>
      </c>
      <c r="BK71" s="32">
        <f t="shared" si="7"/>
        <v>3.5474592846231424E-2</v>
      </c>
      <c r="BL71" s="33" t="e">
        <f t="shared" si="8"/>
        <v>#VALUE!</v>
      </c>
      <c r="BM71" s="33" t="e">
        <f t="shared" si="62"/>
        <v>#VALUE!</v>
      </c>
      <c r="BN71" s="34" t="e">
        <f t="shared" si="66"/>
        <v>#N/A</v>
      </c>
      <c r="BP71" s="391"/>
      <c r="BQ71" s="393"/>
      <c r="BS71" s="50" t="str">
        <f>Q124</f>
        <v/>
      </c>
      <c r="BT71" s="50" t="e">
        <f>#REF!</f>
        <v>#REF!</v>
      </c>
      <c r="BU71" s="39" t="str">
        <f t="shared" si="20"/>
        <v/>
      </c>
      <c r="BV71" s="39" t="str">
        <f t="shared" si="14"/>
        <v/>
      </c>
    </row>
    <row r="72" spans="1:74" ht="14.25" customHeight="1" x14ac:dyDescent="0.35">
      <c r="A72" s="293">
        <v>28</v>
      </c>
      <c r="B72" s="295"/>
      <c r="C72" s="297"/>
      <c r="D72" s="299"/>
      <c r="E72" s="301"/>
      <c r="F72" s="303"/>
      <c r="G72" s="288"/>
      <c r="H72" s="289"/>
      <c r="I72" s="290"/>
      <c r="J72" s="290"/>
      <c r="K72" s="291"/>
      <c r="L72" s="18"/>
      <c r="M72" s="285" t="str">
        <f t="shared" ref="M72" si="97">IF(COUNT(L72:L73)&lt;1,"",AVERAGE(L72:L73))</f>
        <v/>
      </c>
      <c r="N72" s="22"/>
      <c r="O72" s="285" t="str">
        <f t="shared" ref="O72" si="98">IF(COUNT(N72:N73)&lt;1,"",AVERAGE(N72:N73))</f>
        <v/>
      </c>
      <c r="P72" s="22"/>
      <c r="Q72" s="285" t="str">
        <f t="shared" ref="Q72" si="99">IF(COUNT(P72:P73)&lt;1,"",AVERAGE(P72:P73))</f>
        <v/>
      </c>
      <c r="R72" s="278" t="str">
        <f>IF($X$13="/28",IF(COUNT(P72:P73)&lt;=1,"",ABS(P72-P73)),IF($X$13="/90",IF(COUNT(#REF!)&lt;=1,"",ABS(#REF!-#REF!))))</f>
        <v/>
      </c>
      <c r="S72" s="278" t="str">
        <f>IF($X$13="/28",IF(Q72="","",IF(AVERAGE(Q68:Q73)&gt;=$W$13,ROUND(AVERAGE(Q68:Q73),1)&amp;" ≥ "&amp;$W$13&amp;" OK",ROUND(AVERAGE(Q68:Q73),1)&amp;" &lt; "&amp;$W$13&amp;" NC")),IF($X$13="/90",IF(#REF!="","",IF(AVERAGE(#REF!)&gt;=$W$13,ROUND(AVERAGE(#REF!),1)&amp;" ≥ "&amp;$W$13&amp;" OK",ROUND(AVERAGE(#REF!),1)&amp;" &lt; "&amp;$W$13&amp;" NC"))))</f>
        <v/>
      </c>
      <c r="T72" s="278" t="str">
        <f>IF($X$13="/28",IF(Q72="","",IF(Q72&gt;=$W$13-$S$12,ROUND((Q72),1)&amp;" ≥ "&amp;$W$13-$S$12&amp;" OK",ROUND((Q72),1)&amp;" &lt; "&amp;$W$13-$S$12&amp;" NC")),IF($X$13="/90",IF(#REF!="","",IF(#REF!&gt;=$W$13-$S$12,ROUND((#REF!),1)&amp;" ≥ "&amp;$W$13-$S$12&amp;" OK",ROUND((#REF!),1)&amp;" &lt; "&amp;$W$13-$S$12&amp;" NC"))))</f>
        <v/>
      </c>
      <c r="U72" s="14"/>
      <c r="V72" s="279"/>
      <c r="W72" s="280"/>
      <c r="X72" s="281"/>
      <c r="Y72" s="246"/>
      <c r="Z72" s="246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6"/>
      <c r="AT72" s="1"/>
      <c r="AU72" s="1"/>
      <c r="AV72" s="1"/>
      <c r="BJ72" s="2">
        <v>2.2999999999999998</v>
      </c>
      <c r="BK72" s="32">
        <f t="shared" si="7"/>
        <v>2.8327037741601186E-2</v>
      </c>
      <c r="BL72" s="33" t="e">
        <f t="shared" si="8"/>
        <v>#VALUE!</v>
      </c>
      <c r="BM72" s="33" t="e">
        <f t="shared" si="62"/>
        <v>#VALUE!</v>
      </c>
      <c r="BN72" s="34" t="e">
        <f t="shared" si="66"/>
        <v>#N/A</v>
      </c>
      <c r="BP72" s="390" t="str">
        <f>IF($X$13="/28",IF(Q72="","",Q72),IF($X$13="/90",IF(#REF!="","",#REF!),"Falso"))</f>
        <v/>
      </c>
      <c r="BQ72" s="392" t="str">
        <f t="shared" si="32"/>
        <v/>
      </c>
      <c r="BS72" s="50" t="str">
        <f>Q126</f>
        <v/>
      </c>
      <c r="BT72" s="50" t="e">
        <f>#REF!</f>
        <v>#REF!</v>
      </c>
      <c r="BU72" s="39" t="str">
        <f t="shared" si="20"/>
        <v/>
      </c>
      <c r="BV72" s="39" t="str">
        <f t="shared" si="14"/>
        <v/>
      </c>
    </row>
    <row r="73" spans="1:74" ht="14.25" customHeight="1" x14ac:dyDescent="0.35">
      <c r="A73" s="294"/>
      <c r="B73" s="296"/>
      <c r="C73" s="298"/>
      <c r="D73" s="300"/>
      <c r="E73" s="302"/>
      <c r="F73" s="304"/>
      <c r="G73" s="276"/>
      <c r="H73" s="277"/>
      <c r="I73" s="290"/>
      <c r="J73" s="290"/>
      <c r="K73" s="291"/>
      <c r="L73" s="17"/>
      <c r="M73" s="286"/>
      <c r="N73" s="21"/>
      <c r="O73" s="286"/>
      <c r="P73" s="21"/>
      <c r="Q73" s="286"/>
      <c r="R73" s="248"/>
      <c r="S73" s="287"/>
      <c r="T73" s="248"/>
      <c r="U73" s="13"/>
      <c r="V73" s="282"/>
      <c r="W73" s="283"/>
      <c r="X73" s="284"/>
      <c r="Y73" s="245"/>
      <c r="Z73" s="245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6"/>
      <c r="AT73" s="1"/>
      <c r="AU73" s="1"/>
      <c r="AV73" s="1"/>
      <c r="BJ73" s="2">
        <v>2.4</v>
      </c>
      <c r="BK73" s="32">
        <f t="shared" si="7"/>
        <v>2.2394530294842899E-2</v>
      </c>
      <c r="BL73" s="33" t="e">
        <f t="shared" si="8"/>
        <v>#VALUE!</v>
      </c>
      <c r="BM73" s="33" t="e">
        <f t="shared" si="62"/>
        <v>#VALUE!</v>
      </c>
      <c r="BN73" s="34" t="e">
        <f t="shared" si="66"/>
        <v>#N/A</v>
      </c>
      <c r="BP73" s="391"/>
      <c r="BQ73" s="393"/>
      <c r="BS73" s="50" t="str">
        <f>Q128</f>
        <v/>
      </c>
      <c r="BT73" s="50" t="e">
        <f>#REF!</f>
        <v>#REF!</v>
      </c>
      <c r="BU73" s="39" t="str">
        <f t="shared" si="20"/>
        <v/>
      </c>
      <c r="BV73" s="39" t="str">
        <f t="shared" si="14"/>
        <v/>
      </c>
    </row>
    <row r="74" spans="1:74" ht="14.25" customHeight="1" x14ac:dyDescent="0.35">
      <c r="A74" s="293">
        <v>29</v>
      </c>
      <c r="B74" s="295"/>
      <c r="C74" s="297"/>
      <c r="D74" s="299"/>
      <c r="E74" s="301"/>
      <c r="F74" s="303"/>
      <c r="G74" s="288"/>
      <c r="H74" s="289"/>
      <c r="I74" s="290"/>
      <c r="J74" s="290"/>
      <c r="K74" s="291"/>
      <c r="L74" s="18"/>
      <c r="M74" s="285" t="str">
        <f t="shared" ref="M74" si="100">IF(COUNT(L74:L75)&lt;1,"",AVERAGE(L74:L75))</f>
        <v/>
      </c>
      <c r="N74" s="22"/>
      <c r="O74" s="285" t="str">
        <f t="shared" ref="O74" si="101">IF(COUNT(N74:N75)&lt;1,"",AVERAGE(N74:N75))</f>
        <v/>
      </c>
      <c r="P74" s="22"/>
      <c r="Q74" s="285" t="str">
        <f t="shared" ref="Q74" si="102">IF(COUNT(P74:P75)&lt;1,"",AVERAGE(P74:P75))</f>
        <v/>
      </c>
      <c r="R74" s="278" t="str">
        <f>IF($X$13="/28",IF(COUNT(P74:P75)&lt;=1,"",ABS(P74-P75)),IF($X$13="/90",IF(COUNT(#REF!)&lt;=1,"",ABS(#REF!-#REF!))))</f>
        <v/>
      </c>
      <c r="S74" s="278" t="str">
        <f>IF($X$13="/28",IF(Q74="","",IF(AVERAGE(Q70:Q75)&gt;=$W$13,ROUND(AVERAGE(Q70:Q75),1)&amp;" ≥ "&amp;$W$13&amp;" OK",ROUND(AVERAGE(Q70:Q75),1)&amp;" &lt; "&amp;$W$13&amp;" NC")),IF($X$13="/90",IF(#REF!="","",IF(AVERAGE(#REF!)&gt;=$W$13,ROUND(AVERAGE(#REF!),1)&amp;" ≥ "&amp;$W$13&amp;" OK",ROUND(AVERAGE(#REF!),1)&amp;" &lt; "&amp;$W$13&amp;" NC"))))</f>
        <v/>
      </c>
      <c r="T74" s="278" t="str">
        <f>IF($X$13="/28",IF(Q74="","",IF(Q74&gt;=$W$13-$S$12,ROUND((Q74),1)&amp;" ≥ "&amp;$W$13-$S$12&amp;" OK",ROUND((Q74),1)&amp;" &lt; "&amp;$W$13-$S$12&amp;" NC")),IF($X$13="/90",IF(#REF!="","",IF(#REF!&gt;=$W$13-$S$12,ROUND((#REF!),1)&amp;" ≥ "&amp;$W$13-$S$12&amp;" OK",ROUND((#REF!),1)&amp;" &lt; "&amp;$W$13-$S$12&amp;" NC"))))</f>
        <v/>
      </c>
      <c r="U74" s="14"/>
      <c r="V74" s="279"/>
      <c r="W74" s="280"/>
      <c r="X74" s="281"/>
      <c r="Y74" s="246"/>
      <c r="Z74" s="246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6"/>
      <c r="AT74" s="1"/>
      <c r="AU74" s="1"/>
      <c r="AV74" s="1"/>
      <c r="BJ74" s="2">
        <v>2.5000000000000102</v>
      </c>
      <c r="BK74" s="32">
        <f t="shared" si="7"/>
        <v>1.7528300493568086E-2</v>
      </c>
      <c r="BL74" s="33" t="e">
        <f t="shared" si="8"/>
        <v>#VALUE!</v>
      </c>
      <c r="BM74" s="33" t="e">
        <f t="shared" si="62"/>
        <v>#VALUE!</v>
      </c>
      <c r="BN74" s="34" t="e">
        <f t="shared" si="66"/>
        <v>#N/A</v>
      </c>
      <c r="BP74" s="390" t="str">
        <f>IF($X$13="/28",IF(Q74="","",Q74),IF($X$13="/90",IF(#REF!="","",#REF!),"Falso"))</f>
        <v/>
      </c>
      <c r="BQ74" s="392" t="str">
        <f t="shared" si="36"/>
        <v/>
      </c>
      <c r="BS74" s="50" t="str">
        <f>Q130</f>
        <v/>
      </c>
      <c r="BT74" s="50" t="e">
        <f>#REF!</f>
        <v>#REF!</v>
      </c>
      <c r="BU74" s="39" t="str">
        <f t="shared" si="20"/>
        <v/>
      </c>
      <c r="BV74" s="39" t="str">
        <f t="shared" si="14"/>
        <v/>
      </c>
    </row>
    <row r="75" spans="1:74" ht="14.25" customHeight="1" x14ac:dyDescent="0.35">
      <c r="A75" s="294"/>
      <c r="B75" s="296"/>
      <c r="C75" s="298"/>
      <c r="D75" s="300"/>
      <c r="E75" s="302"/>
      <c r="F75" s="304"/>
      <c r="G75" s="276"/>
      <c r="H75" s="277"/>
      <c r="I75" s="290"/>
      <c r="J75" s="290"/>
      <c r="K75" s="291"/>
      <c r="L75" s="17"/>
      <c r="M75" s="286"/>
      <c r="N75" s="21"/>
      <c r="O75" s="286"/>
      <c r="P75" s="21"/>
      <c r="Q75" s="286"/>
      <c r="R75" s="248"/>
      <c r="S75" s="287"/>
      <c r="T75" s="248"/>
      <c r="U75" s="13"/>
      <c r="V75" s="282"/>
      <c r="W75" s="283"/>
      <c r="X75" s="284"/>
      <c r="Y75" s="245"/>
      <c r="Z75" s="245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6"/>
      <c r="AT75" s="1"/>
      <c r="AU75" s="1"/>
      <c r="AV75" s="1"/>
      <c r="BJ75" s="2">
        <v>2.6</v>
      </c>
      <c r="BK75" s="32">
        <f t="shared" si="7"/>
        <v>1.3582969233685613E-2</v>
      </c>
      <c r="BL75" s="33" t="e">
        <f t="shared" si="8"/>
        <v>#VALUE!</v>
      </c>
      <c r="BM75" s="33" t="e">
        <f t="shared" si="62"/>
        <v>#VALUE!</v>
      </c>
      <c r="BN75" s="34" t="e">
        <f t="shared" si="66"/>
        <v>#N/A</v>
      </c>
      <c r="BP75" s="391"/>
      <c r="BQ75" s="393"/>
      <c r="BS75" s="50" t="str">
        <f>Q132</f>
        <v/>
      </c>
      <c r="BT75" s="50" t="e">
        <f>#REF!</f>
        <v>#REF!</v>
      </c>
      <c r="BU75" s="39" t="str">
        <f t="shared" si="20"/>
        <v/>
      </c>
      <c r="BV75" s="39" t="str">
        <f t="shared" si="14"/>
        <v/>
      </c>
    </row>
    <row r="76" spans="1:74" ht="14.25" customHeight="1" x14ac:dyDescent="0.35">
      <c r="A76" s="293">
        <v>30</v>
      </c>
      <c r="B76" s="295"/>
      <c r="C76" s="297"/>
      <c r="D76" s="299"/>
      <c r="E76" s="301"/>
      <c r="F76" s="303"/>
      <c r="G76" s="288"/>
      <c r="H76" s="289"/>
      <c r="I76" s="290"/>
      <c r="J76" s="290"/>
      <c r="K76" s="291"/>
      <c r="L76" s="18"/>
      <c r="M76" s="285" t="str">
        <f t="shared" ref="M76" si="103">IF(COUNT(L76:L77)&lt;1,"",AVERAGE(L76:L77))</f>
        <v/>
      </c>
      <c r="N76" s="22"/>
      <c r="O76" s="285" t="str">
        <f t="shared" ref="O76" si="104">IF(COUNT(N76:N77)&lt;1,"",AVERAGE(N76:N77))</f>
        <v/>
      </c>
      <c r="P76" s="22"/>
      <c r="Q76" s="285" t="str">
        <f t="shared" ref="Q76" si="105">IF(COUNT(P76:P77)&lt;1,"",AVERAGE(P76:P77))</f>
        <v/>
      </c>
      <c r="R76" s="278" t="str">
        <f>IF($X$13="/28",IF(COUNT(P76:P77)&lt;=1,"",ABS(P76-P77)),IF($X$13="/90",IF(COUNT(#REF!)&lt;=1,"",ABS(#REF!-#REF!))))</f>
        <v/>
      </c>
      <c r="S76" s="278" t="str">
        <f>IF($X$13="/28",IF(Q76="","",IF(AVERAGE(Q72:Q77)&gt;=$W$13,ROUND(AVERAGE(Q72:Q77),1)&amp;" ≥ "&amp;$W$13&amp;" OK",ROUND(AVERAGE(Q72:Q77),1)&amp;" &lt; "&amp;$W$13&amp;" NC")),IF($X$13="/90",IF(#REF!="","",IF(AVERAGE(#REF!)&gt;=$W$13,ROUND(AVERAGE(#REF!),1)&amp;" ≥ "&amp;$W$13&amp;" OK",ROUND(AVERAGE(#REF!),1)&amp;" &lt; "&amp;$W$13&amp;" NC"))))</f>
        <v/>
      </c>
      <c r="T76" s="278" t="str">
        <f>IF($X$13="/28",IF(Q76="","",IF(Q76&gt;=$W$13-$S$12,ROUND((Q76),1)&amp;" ≥ "&amp;$W$13-$S$12&amp;" OK",ROUND((Q76),1)&amp;" &lt; "&amp;$W$13-$S$12&amp;" NC")),IF($X$13="/90",IF(#REF!="","",IF(#REF!&gt;=$W$13-$S$12,ROUND((#REF!),1)&amp;" ≥ "&amp;$W$13-$S$12&amp;" OK",ROUND((#REF!),1)&amp;" &lt; "&amp;$W$13-$S$12&amp;" NC"))))</f>
        <v/>
      </c>
      <c r="U76" s="14"/>
      <c r="V76" s="279"/>
      <c r="W76" s="280"/>
      <c r="X76" s="281"/>
      <c r="Y76" s="246"/>
      <c r="Z76" s="246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0"/>
      <c r="AM76" s="4"/>
      <c r="AN76" s="4"/>
      <c r="AO76" s="1"/>
      <c r="AP76" s="1"/>
      <c r="AQ76" s="1"/>
      <c r="AR76" s="1"/>
      <c r="AS76" s="6"/>
      <c r="AT76" s="1"/>
      <c r="AU76" s="1"/>
      <c r="AV76" s="1"/>
      <c r="BJ76" s="2">
        <v>2.7</v>
      </c>
      <c r="BK76" s="32">
        <f t="shared" si="7"/>
        <v>1.0420934814422592E-2</v>
      </c>
      <c r="BL76" s="33" t="e">
        <f t="shared" si="8"/>
        <v>#VALUE!</v>
      </c>
      <c r="BM76" s="33" t="e">
        <f t="shared" si="62"/>
        <v>#VALUE!</v>
      </c>
      <c r="BN76" s="34" t="e">
        <f t="shared" si="66"/>
        <v>#N/A</v>
      </c>
      <c r="BP76" s="390" t="str">
        <f>IF($X$13="/28",IF(Q76="","",Q76),IF($X$13="/90",IF(#REF!="","",#REF!),"Falso"))</f>
        <v/>
      </c>
      <c r="BQ76" s="392" t="str">
        <f t="shared" si="40"/>
        <v/>
      </c>
      <c r="BS76" s="50" t="str">
        <f>Q134</f>
        <v/>
      </c>
      <c r="BT76" s="50" t="e">
        <f>#REF!</f>
        <v>#REF!</v>
      </c>
      <c r="BU76" s="39" t="str">
        <f t="shared" si="20"/>
        <v/>
      </c>
      <c r="BV76" s="39" t="str">
        <f t="shared" si="14"/>
        <v/>
      </c>
    </row>
    <row r="77" spans="1:74" ht="14.25" customHeight="1" thickBot="1" x14ac:dyDescent="0.4">
      <c r="A77" s="384"/>
      <c r="B77" s="385"/>
      <c r="C77" s="386"/>
      <c r="D77" s="387"/>
      <c r="E77" s="388"/>
      <c r="F77" s="389"/>
      <c r="G77" s="377"/>
      <c r="H77" s="378"/>
      <c r="I77" s="382"/>
      <c r="J77" s="382"/>
      <c r="K77" s="383"/>
      <c r="L77" s="19"/>
      <c r="M77" s="379"/>
      <c r="N77" s="23"/>
      <c r="O77" s="379"/>
      <c r="P77" s="23"/>
      <c r="Q77" s="379"/>
      <c r="R77" s="380"/>
      <c r="S77" s="381"/>
      <c r="T77" s="380"/>
      <c r="U77" s="15"/>
      <c r="V77" s="373"/>
      <c r="W77" s="374"/>
      <c r="X77" s="375"/>
      <c r="Y77" s="376"/>
      <c r="Z77" s="376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4"/>
      <c r="AN77" s="5"/>
      <c r="AO77" s="1"/>
      <c r="AP77" s="1"/>
      <c r="AQ77" s="1"/>
      <c r="AR77" s="1"/>
      <c r="AS77" s="6"/>
      <c r="AT77" s="1"/>
      <c r="AU77" s="1"/>
      <c r="AV77" s="1"/>
      <c r="BJ77" s="2">
        <v>2.80000000000001</v>
      </c>
      <c r="BK77" s="32">
        <f t="shared" si="7"/>
        <v>7.915451582979743E-3</v>
      </c>
      <c r="BL77" s="33" t="e">
        <f t="shared" si="8"/>
        <v>#VALUE!</v>
      </c>
      <c r="BM77" s="33" t="e">
        <f t="shared" si="62"/>
        <v>#VALUE!</v>
      </c>
      <c r="BN77" s="34" t="e">
        <f t="shared" si="66"/>
        <v>#N/A</v>
      </c>
      <c r="BP77" s="391"/>
      <c r="BQ77" s="393"/>
      <c r="BS77" s="50" t="str">
        <f>Q136</f>
        <v/>
      </c>
      <c r="BT77" s="50" t="e">
        <f>#REF!</f>
        <v>#REF!</v>
      </c>
      <c r="BU77" s="39" t="str">
        <f t="shared" si="20"/>
        <v/>
      </c>
      <c r="BV77" s="39" t="str">
        <f t="shared" si="14"/>
        <v/>
      </c>
    </row>
    <row r="78" spans="1:74" ht="14.25" customHeight="1" x14ac:dyDescent="0.35">
      <c r="A78" s="311">
        <v>31</v>
      </c>
      <c r="B78" s="312"/>
      <c r="C78" s="313"/>
      <c r="D78" s="314"/>
      <c r="E78" s="315"/>
      <c r="F78" s="353"/>
      <c r="G78" s="354"/>
      <c r="H78" s="355"/>
      <c r="I78" s="356"/>
      <c r="J78" s="356"/>
      <c r="K78" s="357"/>
      <c r="L78" s="16"/>
      <c r="M78" s="352" t="str">
        <f t="shared" ref="M78" si="106">IF(COUNT(L78:L79)&lt;1,"",AVERAGE(L78:L79))</f>
        <v/>
      </c>
      <c r="N78" s="20"/>
      <c r="O78" s="352" t="str">
        <f t="shared" ref="O78" si="107">IF(COUNT(N78:N79)&lt;1,"",AVERAGE(N78:N79))</f>
        <v/>
      </c>
      <c r="P78" s="20"/>
      <c r="Q78" s="352" t="str">
        <f t="shared" ref="Q78" si="108">IF(COUNT(P78:P79)&lt;1,"",AVERAGE(P78:P79))</f>
        <v/>
      </c>
      <c r="R78" s="247" t="str">
        <f>IF($X$13="/28",IF(COUNT(P78:P79)&lt;=1,"",ABS(P78-P79)),IF($X$13="/90",IF(COUNT(#REF!)&lt;=1,"",ABS(#REF!-#REF!))))</f>
        <v/>
      </c>
      <c r="S78" s="247" t="str">
        <f>IF($X$13="/28",IF(Q78="","",IF(AVERAGE(Q74:Q79)&gt;=$W$13,ROUND(AVERAGE(Q74:Q79),1)&amp;" ≥ "&amp;$W$13&amp;" OK",ROUND(AVERAGE(Q74:Q79),1)&amp;" &lt; "&amp;$W$13&amp;" NC")),IF($X$13="/90",IF(#REF!="","",IF(AVERAGE(#REF!)&gt;=$W$13,ROUND(AVERAGE(#REF!),1)&amp;" ≥ "&amp;$W$13&amp;" OK",ROUND(AVERAGE(#REF!),1)&amp;" &lt; "&amp;$W$13&amp;" NC"))))</f>
        <v/>
      </c>
      <c r="T78" s="247" t="str">
        <f>IF($X$13="/28",IF(Q78="","",IF(Q78&gt;=$W$13-$S$12,ROUND((Q78),1)&amp;" ≥ "&amp;$W$13-$S$12&amp;" OK",ROUND((Q78),1)&amp;" &lt; "&amp;$W$13-$S$12&amp;" NC")),IF($X$13="/90",IF(#REF!="","",IF(#REF!&gt;=$W$13-$S$12,ROUND((#REF!),1)&amp;" ≥ "&amp;$W$13-$S$12&amp;" OK",ROUND((#REF!),1)&amp;" &lt; "&amp;$W$13-$S$12&amp;" NC"))))</f>
        <v/>
      </c>
      <c r="U78" s="12"/>
      <c r="V78" s="349"/>
      <c r="W78" s="350"/>
      <c r="X78" s="351"/>
      <c r="Y78" s="244"/>
      <c r="Z78" s="244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6"/>
      <c r="AT78" s="1"/>
      <c r="AU78" s="1"/>
      <c r="AV78" s="1"/>
      <c r="BJ78" s="2">
        <v>2.9000000000000101</v>
      </c>
      <c r="BK78" s="32">
        <f t="shared" si="7"/>
        <v>5.9525324197756795E-3</v>
      </c>
      <c r="BL78" s="33" t="e">
        <f t="shared" si="8"/>
        <v>#VALUE!</v>
      </c>
      <c r="BM78" s="33" t="e">
        <f t="shared" si="62"/>
        <v>#VALUE!</v>
      </c>
      <c r="BN78" s="34" t="e">
        <f t="shared" si="66"/>
        <v>#N/A</v>
      </c>
      <c r="BP78" s="390" t="str">
        <f>IF($X$13="/28",IF(Q78="","",Q78),IF($X$13="/90",IF(#REF!="","",#REF!),"Falso"))</f>
        <v/>
      </c>
      <c r="BQ78" s="392" t="str">
        <f t="shared" si="32"/>
        <v/>
      </c>
      <c r="BS78" s="50" t="str">
        <f>Q138</f>
        <v/>
      </c>
      <c r="BT78" s="50" t="e">
        <f>#REF!</f>
        <v>#REF!</v>
      </c>
      <c r="BU78" s="39" t="str">
        <f t="shared" si="20"/>
        <v/>
      </c>
      <c r="BV78" s="39" t="str">
        <f t="shared" si="14"/>
        <v/>
      </c>
    </row>
    <row r="79" spans="1:74" ht="14.25" customHeight="1" x14ac:dyDescent="0.35">
      <c r="A79" s="294"/>
      <c r="B79" s="296"/>
      <c r="C79" s="298"/>
      <c r="D79" s="300"/>
      <c r="E79" s="302"/>
      <c r="F79" s="304"/>
      <c r="G79" s="276"/>
      <c r="H79" s="277"/>
      <c r="I79" s="290"/>
      <c r="J79" s="290"/>
      <c r="K79" s="291"/>
      <c r="L79" s="17"/>
      <c r="M79" s="286"/>
      <c r="N79" s="21"/>
      <c r="O79" s="286"/>
      <c r="P79" s="21"/>
      <c r="Q79" s="286"/>
      <c r="R79" s="248"/>
      <c r="S79" s="248"/>
      <c r="T79" s="248"/>
      <c r="U79" s="13"/>
      <c r="V79" s="282"/>
      <c r="W79" s="283"/>
      <c r="X79" s="284"/>
      <c r="Y79" s="245"/>
      <c r="Z79" s="245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BJ79" s="2">
        <v>3.0000000000000102</v>
      </c>
      <c r="BK79" s="32">
        <f t="shared" si="7"/>
        <v>4.431848411937874E-3</v>
      </c>
      <c r="BL79" s="33" t="e">
        <f t="shared" si="8"/>
        <v>#VALUE!</v>
      </c>
      <c r="BM79" s="33" t="e">
        <f t="shared" si="62"/>
        <v>#VALUE!</v>
      </c>
      <c r="BN79" s="34" t="e">
        <f t="shared" si="66"/>
        <v>#N/A</v>
      </c>
      <c r="BP79" s="391"/>
      <c r="BQ79" s="393"/>
      <c r="BS79" s="50" t="str">
        <f>Q140</f>
        <v/>
      </c>
      <c r="BT79" s="50" t="e">
        <f>#REF!</f>
        <v>#REF!</v>
      </c>
      <c r="BU79" s="39" t="str">
        <f t="shared" si="20"/>
        <v/>
      </c>
      <c r="BV79" s="39" t="str">
        <f t="shared" si="14"/>
        <v/>
      </c>
    </row>
    <row r="80" spans="1:74" ht="14.25" customHeight="1" x14ac:dyDescent="0.35">
      <c r="A80" s="293">
        <v>32</v>
      </c>
      <c r="B80" s="295"/>
      <c r="C80" s="297"/>
      <c r="D80" s="299"/>
      <c r="E80" s="301"/>
      <c r="F80" s="303"/>
      <c r="G80" s="288"/>
      <c r="H80" s="289"/>
      <c r="I80" s="290"/>
      <c r="J80" s="290"/>
      <c r="K80" s="291"/>
      <c r="L80" s="18"/>
      <c r="M80" s="285" t="str">
        <f t="shared" ref="M80" si="109">IF(COUNT(L80:L81)&lt;1,"",AVERAGE(L80:L81))</f>
        <v/>
      </c>
      <c r="N80" s="22"/>
      <c r="O80" s="285" t="str">
        <f t="shared" ref="O80" si="110">IF(COUNT(N80:N81)&lt;1,"",AVERAGE(N80:N81))</f>
        <v/>
      </c>
      <c r="P80" s="22"/>
      <c r="Q80" s="285" t="str">
        <f t="shared" ref="Q80" si="111">IF(COUNT(P80:P81)&lt;1,"",AVERAGE(P80:P81))</f>
        <v/>
      </c>
      <c r="R80" s="278" t="str">
        <f>IF($X$13="/28",IF(COUNT(P80:P81)&lt;=1,"",ABS(P80-P81)),IF($X$13="/90",IF(COUNT(#REF!)&lt;=1,"",ABS(#REF!-#REF!))))</f>
        <v/>
      </c>
      <c r="S80" s="278" t="str">
        <f>IF($X$13="/28",IF(Q80="","",IF(AVERAGE(Q76:Q81)&gt;=$W$13,ROUND(AVERAGE(Q76:Q81),1)&amp;" ≥ "&amp;$W$13&amp;" OK",ROUND(AVERAGE(Q76:Q81),1)&amp;" &lt; "&amp;$W$13&amp;" NC")),IF($X$13="/90",IF(#REF!="","",IF(AVERAGE(#REF!)&gt;=$W$13,ROUND(AVERAGE(#REF!),1)&amp;" ≥ "&amp;$W$13&amp;" OK",ROUND(AVERAGE(#REF!),1)&amp;" &lt; "&amp;$W$13&amp;" NC"))))</f>
        <v/>
      </c>
      <c r="T80" s="278" t="str">
        <f>IF($X$13="/28",IF(Q80="","",IF(Q80&gt;=$W$13-$S$12,ROUND((Q80),1)&amp;" ≥ "&amp;$W$13-$S$12&amp;" OK",ROUND((Q80),1)&amp;" &lt; "&amp;$W$13-$S$12&amp;" NC")),IF($X$13="/90",IF(#REF!="","",IF(#REF!&gt;=$W$13-$S$12,ROUND((#REF!),1)&amp;" ≥ "&amp;$W$13-$S$12&amp;" OK",ROUND((#REF!),1)&amp;" &lt; "&amp;$W$13-$S$12&amp;" NC"))))</f>
        <v/>
      </c>
      <c r="U80" s="14"/>
      <c r="V80" s="279"/>
      <c r="W80" s="280"/>
      <c r="X80" s="281"/>
      <c r="Y80" s="246"/>
      <c r="Z80" s="246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BP80" s="390" t="str">
        <f>IF($X$13="/28",IF(Q80="","",Q80),IF($X$13="/90",IF(#REF!="","",#REF!),"Falso"))</f>
        <v/>
      </c>
      <c r="BQ80" s="392" t="str">
        <f t="shared" si="36"/>
        <v/>
      </c>
      <c r="BS80" s="50" t="str">
        <f>Q142</f>
        <v/>
      </c>
      <c r="BT80" s="50" t="e">
        <f>#REF!</f>
        <v>#REF!</v>
      </c>
      <c r="BU80" s="39" t="str">
        <f t="shared" si="20"/>
        <v/>
      </c>
      <c r="BV80" s="39" t="str">
        <f t="shared" si="14"/>
        <v/>
      </c>
    </row>
    <row r="81" spans="1:74" ht="14.25" customHeight="1" x14ac:dyDescent="0.35">
      <c r="A81" s="294"/>
      <c r="B81" s="296"/>
      <c r="C81" s="298"/>
      <c r="D81" s="300"/>
      <c r="E81" s="302"/>
      <c r="F81" s="304"/>
      <c r="G81" s="276"/>
      <c r="H81" s="277"/>
      <c r="I81" s="290"/>
      <c r="J81" s="290"/>
      <c r="K81" s="291"/>
      <c r="L81" s="17"/>
      <c r="M81" s="286"/>
      <c r="N81" s="21"/>
      <c r="O81" s="286"/>
      <c r="P81" s="21"/>
      <c r="Q81" s="286"/>
      <c r="R81" s="248"/>
      <c r="S81" s="248"/>
      <c r="T81" s="248"/>
      <c r="U81" s="13"/>
      <c r="V81" s="282"/>
      <c r="W81" s="283"/>
      <c r="X81" s="284"/>
      <c r="Y81" s="245"/>
      <c r="Z81" s="245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BP81" s="391"/>
      <c r="BQ81" s="393"/>
      <c r="BS81" s="50" t="str">
        <f>Q144</f>
        <v/>
      </c>
      <c r="BT81" s="50" t="e">
        <f>#REF!</f>
        <v>#REF!</v>
      </c>
      <c r="BU81" s="39" t="str">
        <f t="shared" si="20"/>
        <v/>
      </c>
      <c r="BV81" s="39" t="str">
        <f t="shared" si="14"/>
        <v/>
      </c>
    </row>
    <row r="82" spans="1:74" ht="14.25" customHeight="1" x14ac:dyDescent="0.35">
      <c r="A82" s="293">
        <v>33</v>
      </c>
      <c r="B82" s="295"/>
      <c r="C82" s="297"/>
      <c r="D82" s="299"/>
      <c r="E82" s="301"/>
      <c r="F82" s="303"/>
      <c r="G82" s="288"/>
      <c r="H82" s="289"/>
      <c r="I82" s="290"/>
      <c r="J82" s="290"/>
      <c r="K82" s="291"/>
      <c r="L82" s="18"/>
      <c r="M82" s="285" t="str">
        <f t="shared" ref="M82" si="112">IF(COUNT(L82:L83)&lt;1,"",AVERAGE(L82:L83))</f>
        <v/>
      </c>
      <c r="N82" s="22"/>
      <c r="O82" s="285" t="str">
        <f t="shared" ref="O82" si="113">IF(COUNT(N82:N83)&lt;1,"",AVERAGE(N82:N83))</f>
        <v/>
      </c>
      <c r="P82" s="22"/>
      <c r="Q82" s="285" t="str">
        <f t="shared" ref="Q82" si="114">IF(COUNT(P82:P83)&lt;1,"",AVERAGE(P82:P83))</f>
        <v/>
      </c>
      <c r="R82" s="278" t="str">
        <f>IF($X$13="/28",IF(COUNT(P82:P83)&lt;=1,"",ABS(P82-P83)),IF($X$13="/90",IF(COUNT(#REF!)&lt;=1,"",ABS(#REF!-#REF!))))</f>
        <v/>
      </c>
      <c r="S82" s="278" t="str">
        <f>IF($X$13="/28",IF(Q82="","",IF(AVERAGE(Q78:Q83)&gt;=$W$13,ROUND(AVERAGE(Q78:Q83),1)&amp;" ≥ "&amp;$W$13&amp;" OK",ROUND(AVERAGE(Q78:Q83),1)&amp;" &lt; "&amp;$W$13&amp;" NC")),IF($X$13="/90",IF(#REF!="","",IF(AVERAGE(#REF!)&gt;=$W$13,ROUND(AVERAGE(#REF!),1)&amp;" ≥ "&amp;$W$13&amp;" OK",ROUND(AVERAGE(#REF!),1)&amp;" &lt; "&amp;$W$13&amp;" NC"))))</f>
        <v/>
      </c>
      <c r="T82" s="278" t="str">
        <f>IF($X$13="/28",IF(Q82="","",IF(Q82&gt;=$W$13-$S$12,ROUND((Q82),1)&amp;" ≥ "&amp;$W$13-$S$12&amp;" OK",ROUND((Q82),1)&amp;" &lt; "&amp;$W$13-$S$12&amp;" NC")),IF($X$13="/90",IF(#REF!="","",IF(#REF!&gt;=$W$13-$S$12,ROUND((#REF!),1)&amp;" ≥ "&amp;$W$13-$S$12&amp;" OK",ROUND((#REF!),1)&amp;" &lt; "&amp;$W$13-$S$12&amp;" NC"))))</f>
        <v/>
      </c>
      <c r="U82" s="14"/>
      <c r="V82" s="279"/>
      <c r="W82" s="280"/>
      <c r="X82" s="281"/>
      <c r="Y82" s="246"/>
      <c r="Z82" s="246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BP82" s="390" t="str">
        <f>IF($X$13="/28",IF(Q82="","",Q82),IF($X$13="/90",IF(#REF!="","",#REF!),"Falso"))</f>
        <v/>
      </c>
      <c r="BQ82" s="392" t="str">
        <f t="shared" si="40"/>
        <v/>
      </c>
      <c r="BS82" s="50" t="str">
        <f>Q146</f>
        <v/>
      </c>
      <c r="BT82" s="50" t="e">
        <f>#REF!</f>
        <v>#REF!</v>
      </c>
      <c r="BU82" s="39" t="str">
        <f t="shared" si="20"/>
        <v/>
      </c>
      <c r="BV82" s="39" t="str">
        <f t="shared" si="14"/>
        <v/>
      </c>
    </row>
    <row r="83" spans="1:74" ht="14.25" customHeight="1" x14ac:dyDescent="0.35">
      <c r="A83" s="294"/>
      <c r="B83" s="296"/>
      <c r="C83" s="298"/>
      <c r="D83" s="300"/>
      <c r="E83" s="302"/>
      <c r="F83" s="304"/>
      <c r="G83" s="276"/>
      <c r="H83" s="277"/>
      <c r="I83" s="290"/>
      <c r="J83" s="290"/>
      <c r="K83" s="291"/>
      <c r="L83" s="17"/>
      <c r="M83" s="286"/>
      <c r="N83" s="21"/>
      <c r="O83" s="286"/>
      <c r="P83" s="21"/>
      <c r="Q83" s="286"/>
      <c r="R83" s="248"/>
      <c r="S83" s="287"/>
      <c r="T83" s="248"/>
      <c r="U83" s="13"/>
      <c r="V83" s="282"/>
      <c r="W83" s="283"/>
      <c r="X83" s="284"/>
      <c r="Y83" s="245"/>
      <c r="Z83" s="245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BP83" s="391"/>
      <c r="BQ83" s="393"/>
      <c r="BS83" s="50" t="str">
        <f>Q148</f>
        <v/>
      </c>
      <c r="BT83" s="50" t="e">
        <f>#REF!</f>
        <v>#REF!</v>
      </c>
      <c r="BU83" s="39" t="str">
        <f t="shared" si="20"/>
        <v/>
      </c>
      <c r="BV83" s="39" t="str">
        <f t="shared" si="14"/>
        <v/>
      </c>
    </row>
    <row r="84" spans="1:74" ht="14.25" customHeight="1" x14ac:dyDescent="0.35">
      <c r="A84" s="293">
        <v>34</v>
      </c>
      <c r="B84" s="295"/>
      <c r="C84" s="297"/>
      <c r="D84" s="299"/>
      <c r="E84" s="301"/>
      <c r="F84" s="303"/>
      <c r="G84" s="288"/>
      <c r="H84" s="289"/>
      <c r="I84" s="290"/>
      <c r="J84" s="290"/>
      <c r="K84" s="291"/>
      <c r="L84" s="18"/>
      <c r="M84" s="285" t="str">
        <f t="shared" ref="M84" si="115">IF(COUNT(L84:L85)&lt;1,"",AVERAGE(L84:L85))</f>
        <v/>
      </c>
      <c r="N84" s="22"/>
      <c r="O84" s="285" t="str">
        <f t="shared" ref="O84" si="116">IF(COUNT(N84:N85)&lt;1,"",AVERAGE(N84:N85))</f>
        <v/>
      </c>
      <c r="P84" s="22"/>
      <c r="Q84" s="285" t="str">
        <f t="shared" ref="Q84" si="117">IF(COUNT(P84:P85)&lt;1,"",AVERAGE(P84:P85))</f>
        <v/>
      </c>
      <c r="R84" s="278" t="str">
        <f>IF($X$13="/28",IF(COUNT(P84:P85)&lt;=1,"",ABS(P84-P85)),IF($X$13="/90",IF(COUNT(#REF!)&lt;=1,"",ABS(#REF!-#REF!))))</f>
        <v/>
      </c>
      <c r="S84" s="278" t="str">
        <f>IF($X$13="/28",IF(Q84="","",IF(AVERAGE(Q80:Q85)&gt;=$W$13,ROUND(AVERAGE(Q80:Q85),1)&amp;" ≥ "&amp;$W$13&amp;" OK",ROUND(AVERAGE(Q80:Q85),1)&amp;" &lt; "&amp;$W$13&amp;" NC")),IF($X$13="/90",IF(#REF!="","",IF(AVERAGE(#REF!)&gt;=$W$13,ROUND(AVERAGE(#REF!),1)&amp;" ≥ "&amp;$W$13&amp;" OK",ROUND(AVERAGE(#REF!),1)&amp;" &lt; "&amp;$W$13&amp;" NC"))))</f>
        <v/>
      </c>
      <c r="T84" s="278" t="str">
        <f>IF($X$13="/28",IF(Q84="","",IF(Q84&gt;=$W$13-$S$12,ROUND((Q84),1)&amp;" ≥ "&amp;$W$13-$S$12&amp;" OK",ROUND((Q84),1)&amp;" &lt; "&amp;$W$13-$S$12&amp;" NC")),IF($X$13="/90",IF(#REF!="","",IF(#REF!&gt;=$W$13-$S$12,ROUND((#REF!),1)&amp;" ≥ "&amp;$W$13-$S$12&amp;" OK",ROUND((#REF!),1)&amp;" &lt; "&amp;$W$13-$S$12&amp;" NC"))))</f>
        <v/>
      </c>
      <c r="U84" s="14"/>
      <c r="V84" s="279"/>
      <c r="W84" s="280"/>
      <c r="X84" s="281"/>
      <c r="Y84" s="246"/>
      <c r="Z84" s="246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BP84" s="390" t="str">
        <f>IF($X$13="/28",IF(Q84="","",Q84),IF($X$13="/90",IF(#REF!="","",#REF!),"Falso"))</f>
        <v/>
      </c>
      <c r="BQ84" s="392" t="str">
        <f t="shared" si="32"/>
        <v/>
      </c>
      <c r="BS84" s="50" t="str">
        <f>Q150</f>
        <v/>
      </c>
      <c r="BT84" s="50" t="e">
        <f>#REF!</f>
        <v>#REF!</v>
      </c>
      <c r="BU84" s="39" t="str">
        <f t="shared" si="20"/>
        <v/>
      </c>
      <c r="BV84" s="39" t="str">
        <f t="shared" ref="BV84:BV147" si="118">IF(BU84="","",BV83+1)</f>
        <v/>
      </c>
    </row>
    <row r="85" spans="1:74" ht="14.25" customHeight="1" x14ac:dyDescent="0.35">
      <c r="A85" s="294"/>
      <c r="B85" s="296"/>
      <c r="C85" s="298"/>
      <c r="D85" s="300"/>
      <c r="E85" s="302"/>
      <c r="F85" s="304"/>
      <c r="G85" s="276"/>
      <c r="H85" s="277"/>
      <c r="I85" s="290"/>
      <c r="J85" s="290"/>
      <c r="K85" s="291"/>
      <c r="L85" s="17"/>
      <c r="M85" s="286"/>
      <c r="N85" s="21"/>
      <c r="O85" s="286"/>
      <c r="P85" s="21"/>
      <c r="Q85" s="286"/>
      <c r="R85" s="248"/>
      <c r="S85" s="287"/>
      <c r="T85" s="248"/>
      <c r="U85" s="13"/>
      <c r="V85" s="282"/>
      <c r="W85" s="283"/>
      <c r="X85" s="284"/>
      <c r="Y85" s="245"/>
      <c r="Z85" s="245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BP85" s="391"/>
      <c r="BQ85" s="393"/>
      <c r="BS85" s="50" t="str">
        <f>Q152</f>
        <v/>
      </c>
      <c r="BT85" s="50" t="e">
        <f>#REF!</f>
        <v>#REF!</v>
      </c>
      <c r="BU85" s="39" t="str">
        <f t="shared" si="20"/>
        <v/>
      </c>
      <c r="BV85" s="39" t="str">
        <f t="shared" si="118"/>
        <v/>
      </c>
    </row>
    <row r="86" spans="1:74" ht="14.25" customHeight="1" x14ac:dyDescent="0.35">
      <c r="A86" s="293">
        <v>35</v>
      </c>
      <c r="B86" s="295"/>
      <c r="C86" s="297"/>
      <c r="D86" s="299"/>
      <c r="E86" s="301"/>
      <c r="F86" s="303"/>
      <c r="G86" s="288"/>
      <c r="H86" s="289"/>
      <c r="I86" s="290"/>
      <c r="J86" s="290"/>
      <c r="K86" s="291"/>
      <c r="L86" s="18"/>
      <c r="M86" s="285" t="str">
        <f t="shared" ref="M86" si="119">IF(COUNT(L86:L87)&lt;1,"",AVERAGE(L86:L87))</f>
        <v/>
      </c>
      <c r="N86" s="22"/>
      <c r="O86" s="285" t="str">
        <f t="shared" ref="O86" si="120">IF(COUNT(N86:N87)&lt;1,"",AVERAGE(N86:N87))</f>
        <v/>
      </c>
      <c r="P86" s="22"/>
      <c r="Q86" s="285" t="str">
        <f t="shared" ref="Q86" si="121">IF(COUNT(P86:P87)&lt;1,"",AVERAGE(P86:P87))</f>
        <v/>
      </c>
      <c r="R86" s="278" t="str">
        <f>IF($X$13="/28",IF(COUNT(P86:P87)&lt;=1,"",ABS(P86-P87)),IF($X$13="/90",IF(COUNT(#REF!)&lt;=1,"",ABS(#REF!-#REF!))))</f>
        <v/>
      </c>
      <c r="S86" s="278" t="str">
        <f>IF($X$13="/28",IF(Q86="","",IF(AVERAGE(Q82:Q87)&gt;=$W$13,ROUND(AVERAGE(Q82:Q87),1)&amp;" ≥ "&amp;$W$13&amp;" OK",ROUND(AVERAGE(Q82:Q87),1)&amp;" &lt; "&amp;$W$13&amp;" NC")),IF($X$13="/90",IF(#REF!="","",IF(AVERAGE(#REF!)&gt;=$W$13,ROUND(AVERAGE(#REF!),1)&amp;" ≥ "&amp;$W$13&amp;" OK",ROUND(AVERAGE(#REF!),1)&amp;" &lt; "&amp;$W$13&amp;" NC"))))</f>
        <v/>
      </c>
      <c r="T86" s="278" t="str">
        <f>IF($X$13="/28",IF(Q86="","",IF(Q86&gt;=$W$13-$S$12,ROUND((Q86),1)&amp;" ≥ "&amp;$W$13-$S$12&amp;" OK",ROUND((Q86),1)&amp;" &lt; "&amp;$W$13-$S$12&amp;" NC")),IF($X$13="/90",IF(#REF!="","",IF(#REF!&gt;=$W$13-$S$12,ROUND((#REF!),1)&amp;" ≥ "&amp;$W$13-$S$12&amp;" OK",ROUND((#REF!),1)&amp;" &lt; "&amp;$W$13-$S$12&amp;" NC"))))</f>
        <v/>
      </c>
      <c r="U86" s="14"/>
      <c r="V86" s="279"/>
      <c r="W86" s="280"/>
      <c r="X86" s="281"/>
      <c r="Y86" s="246"/>
      <c r="Z86" s="246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BP86" s="390" t="str">
        <f>IF($X$13="/28",IF(Q86="","",Q86),IF($X$13="/90",IF(#REF!="","",#REF!),"Falso"))</f>
        <v/>
      </c>
      <c r="BQ86" s="392" t="str">
        <f t="shared" si="36"/>
        <v/>
      </c>
      <c r="BS86" s="50" t="str">
        <f>Q154</f>
        <v/>
      </c>
      <c r="BT86" s="50" t="e">
        <f>#REF!</f>
        <v>#REF!</v>
      </c>
      <c r="BU86" s="39" t="str">
        <f t="shared" si="20"/>
        <v/>
      </c>
      <c r="BV86" s="39" t="str">
        <f t="shared" si="118"/>
        <v/>
      </c>
    </row>
    <row r="87" spans="1:74" ht="14.25" customHeight="1" x14ac:dyDescent="0.35">
      <c r="A87" s="294"/>
      <c r="B87" s="296"/>
      <c r="C87" s="298"/>
      <c r="D87" s="300"/>
      <c r="E87" s="302"/>
      <c r="F87" s="304"/>
      <c r="G87" s="276"/>
      <c r="H87" s="277"/>
      <c r="I87" s="290"/>
      <c r="J87" s="290"/>
      <c r="K87" s="291"/>
      <c r="L87" s="17"/>
      <c r="M87" s="286"/>
      <c r="N87" s="21"/>
      <c r="O87" s="286"/>
      <c r="P87" s="21"/>
      <c r="Q87" s="286"/>
      <c r="R87" s="248"/>
      <c r="S87" s="287"/>
      <c r="T87" s="248"/>
      <c r="U87" s="13"/>
      <c r="V87" s="282"/>
      <c r="W87" s="283"/>
      <c r="X87" s="284"/>
      <c r="Y87" s="245"/>
      <c r="Z87" s="245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BP87" s="391"/>
      <c r="BQ87" s="393"/>
      <c r="BS87" s="50" t="str">
        <f>Q156</f>
        <v/>
      </c>
      <c r="BT87" s="50" t="e">
        <f>#REF!</f>
        <v>#REF!</v>
      </c>
      <c r="BU87" s="39" t="str">
        <f t="shared" si="20"/>
        <v/>
      </c>
      <c r="BV87" s="39" t="str">
        <f t="shared" si="118"/>
        <v/>
      </c>
    </row>
    <row r="88" spans="1:74" ht="14.25" customHeight="1" x14ac:dyDescent="0.35">
      <c r="A88" s="293">
        <v>36</v>
      </c>
      <c r="B88" s="295"/>
      <c r="C88" s="297"/>
      <c r="D88" s="299"/>
      <c r="E88" s="301"/>
      <c r="F88" s="303"/>
      <c r="G88" s="288"/>
      <c r="H88" s="289"/>
      <c r="I88" s="290"/>
      <c r="J88" s="290"/>
      <c r="K88" s="291"/>
      <c r="L88" s="18"/>
      <c r="M88" s="285" t="str">
        <f t="shared" ref="M88" si="122">IF(COUNT(L88:L89)&lt;1,"",AVERAGE(L88:L89))</f>
        <v/>
      </c>
      <c r="N88" s="22"/>
      <c r="O88" s="285" t="str">
        <f t="shared" ref="O88" si="123">IF(COUNT(N88:N89)&lt;1,"",AVERAGE(N88:N89))</f>
        <v/>
      </c>
      <c r="P88" s="22"/>
      <c r="Q88" s="285" t="str">
        <f t="shared" ref="Q88" si="124">IF(COUNT(P88:P89)&lt;1,"",AVERAGE(P88:P89))</f>
        <v/>
      </c>
      <c r="R88" s="278" t="str">
        <f>IF($X$13="/28",IF(COUNT(P88:P89)&lt;=1,"",ABS(P88-P89)),IF($X$13="/90",IF(COUNT(#REF!)&lt;=1,"",ABS(#REF!-#REF!))))</f>
        <v/>
      </c>
      <c r="S88" s="278" t="str">
        <f>IF($X$13="/28",IF(Q88="","",IF(AVERAGE(Q84:Q89)&gt;=$W$13,ROUND(AVERAGE(Q84:Q89),1)&amp;" ≥ "&amp;$W$13&amp;" OK",ROUND(AVERAGE(Q84:Q89),1)&amp;" &lt; "&amp;$W$13&amp;" NC")),IF($X$13="/90",IF(#REF!="","",IF(AVERAGE(#REF!)&gt;=$W$13,ROUND(AVERAGE(#REF!),1)&amp;" ≥ "&amp;$W$13&amp;" OK",ROUND(AVERAGE(#REF!),1)&amp;" &lt; "&amp;$W$13&amp;" NC"))))</f>
        <v/>
      </c>
      <c r="T88" s="278" t="str">
        <f>IF($X$13="/28",IF(Q88="","",IF(Q88&gt;=$W$13-$S$12,ROUND((Q88),1)&amp;" ≥ "&amp;$W$13-$S$12&amp;" OK",ROUND((Q88),1)&amp;" &lt; "&amp;$W$13-$S$12&amp;" NC")),IF($X$13="/90",IF(#REF!="","",IF(#REF!&gt;=$W$13-$S$12,ROUND((#REF!),1)&amp;" ≥ "&amp;$W$13-$S$12&amp;" OK",ROUND((#REF!),1)&amp;" &lt; "&amp;$W$13-$S$12&amp;" NC"))))</f>
        <v/>
      </c>
      <c r="U88" s="14"/>
      <c r="V88" s="279"/>
      <c r="W88" s="280"/>
      <c r="X88" s="281"/>
      <c r="Y88" s="246"/>
      <c r="Z88" s="246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BP88" s="390" t="str">
        <f>IF($X$13="/28",IF(Q88="","",Q88),IF($X$13="/90",IF(#REF!="","",#REF!),"Falso"))</f>
        <v/>
      </c>
      <c r="BQ88" s="392" t="str">
        <f t="shared" si="40"/>
        <v/>
      </c>
      <c r="BS88" s="50" t="str">
        <f>Q158</f>
        <v/>
      </c>
      <c r="BT88" s="50" t="e">
        <f>#REF!</f>
        <v>#REF!</v>
      </c>
      <c r="BU88" s="39" t="str">
        <f t="shared" ref="BU88:BU151" si="125">IF($X$13="/28",IF(BS88="","",BS88),IF($X$13="/90",IF(BT88="","",BT88),"Falso"))</f>
        <v/>
      </c>
      <c r="BV88" s="39" t="str">
        <f t="shared" si="118"/>
        <v/>
      </c>
    </row>
    <row r="89" spans="1:74" ht="14.25" customHeight="1" x14ac:dyDescent="0.35">
      <c r="A89" s="294"/>
      <c r="B89" s="296"/>
      <c r="C89" s="298"/>
      <c r="D89" s="300"/>
      <c r="E89" s="302"/>
      <c r="F89" s="304"/>
      <c r="G89" s="276"/>
      <c r="H89" s="277"/>
      <c r="I89" s="290"/>
      <c r="J89" s="290"/>
      <c r="K89" s="291"/>
      <c r="L89" s="17"/>
      <c r="M89" s="286"/>
      <c r="N89" s="21"/>
      <c r="O89" s="286"/>
      <c r="P89" s="21"/>
      <c r="Q89" s="286"/>
      <c r="R89" s="248"/>
      <c r="S89" s="287"/>
      <c r="T89" s="248"/>
      <c r="U89" s="13"/>
      <c r="V89" s="282"/>
      <c r="W89" s="283"/>
      <c r="X89" s="284"/>
      <c r="Y89" s="245"/>
      <c r="Z89" s="245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BP89" s="391"/>
      <c r="BQ89" s="393"/>
      <c r="BS89" s="50" t="str">
        <f>Q160</f>
        <v/>
      </c>
      <c r="BT89" s="50" t="e">
        <f>#REF!</f>
        <v>#REF!</v>
      </c>
      <c r="BU89" s="39" t="str">
        <f t="shared" si="125"/>
        <v/>
      </c>
      <c r="BV89" s="39" t="str">
        <f t="shared" si="118"/>
        <v/>
      </c>
    </row>
    <row r="90" spans="1:74" ht="14.25" customHeight="1" x14ac:dyDescent="0.35">
      <c r="A90" s="293">
        <v>37</v>
      </c>
      <c r="B90" s="295"/>
      <c r="C90" s="297"/>
      <c r="D90" s="299"/>
      <c r="E90" s="301"/>
      <c r="F90" s="303"/>
      <c r="G90" s="288"/>
      <c r="H90" s="289"/>
      <c r="I90" s="290"/>
      <c r="J90" s="290"/>
      <c r="K90" s="291"/>
      <c r="L90" s="18"/>
      <c r="M90" s="285" t="str">
        <f t="shared" ref="M90" si="126">IF(COUNT(L90:L91)&lt;1,"",AVERAGE(L90:L91))</f>
        <v/>
      </c>
      <c r="N90" s="22"/>
      <c r="O90" s="285" t="str">
        <f t="shared" ref="O90" si="127">IF(COUNT(N90:N91)&lt;1,"",AVERAGE(N90:N91))</f>
        <v/>
      </c>
      <c r="P90" s="22"/>
      <c r="Q90" s="285" t="str">
        <f t="shared" ref="Q90" si="128">IF(COUNT(P90:P91)&lt;1,"",AVERAGE(P90:P91))</f>
        <v/>
      </c>
      <c r="R90" s="278" t="str">
        <f>IF($X$13="/28",IF(COUNT(P90:P91)&lt;=1,"",ABS(P90-P91)),IF($X$13="/90",IF(COUNT(#REF!)&lt;=1,"",ABS(#REF!-#REF!))))</f>
        <v/>
      </c>
      <c r="S90" s="278" t="str">
        <f>IF($X$13="/28",IF(Q90="","",IF(AVERAGE(Q86:Q91)&gt;=$W$13,ROUND(AVERAGE(Q86:Q91),1)&amp;" ≥ "&amp;$W$13&amp;" OK",ROUND(AVERAGE(Q86:Q91),1)&amp;" &lt; "&amp;$W$13&amp;" NC")),IF($X$13="/90",IF(#REF!="","",IF(AVERAGE(#REF!)&gt;=$W$13,ROUND(AVERAGE(#REF!),1)&amp;" ≥ "&amp;$W$13&amp;" OK",ROUND(AVERAGE(#REF!),1)&amp;" &lt; "&amp;$W$13&amp;" NC"))))</f>
        <v/>
      </c>
      <c r="T90" s="278" t="str">
        <f>IF($X$13="/28",IF(Q90="","",IF(Q90&gt;=$W$13-$S$12,ROUND((Q90),1)&amp;" ≥ "&amp;$W$13-$S$12&amp;" OK",ROUND((Q90),1)&amp;" &lt; "&amp;$W$13-$S$12&amp;" NC")),IF($X$13="/90",IF(#REF!="","",IF(#REF!&gt;=$W$13-$S$12,ROUND((#REF!),1)&amp;" ≥ "&amp;$W$13-$S$12&amp;" OK",ROUND((#REF!),1)&amp;" &lt; "&amp;$W$13-$S$12&amp;" NC"))))</f>
        <v/>
      </c>
      <c r="U90" s="14"/>
      <c r="V90" s="279"/>
      <c r="W90" s="280"/>
      <c r="X90" s="281"/>
      <c r="Y90" s="246"/>
      <c r="Z90" s="246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BP90" s="390" t="str">
        <f>IF($X$13="/28",IF(Q90="","",Q90),IF($X$13="/90",IF(#REF!="","",#REF!),"Falso"))</f>
        <v/>
      </c>
      <c r="BQ90" s="392" t="str">
        <f t="shared" si="32"/>
        <v/>
      </c>
      <c r="BS90" s="50" t="str">
        <f>Q162</f>
        <v/>
      </c>
      <c r="BT90" s="50" t="e">
        <f>#REF!</f>
        <v>#REF!</v>
      </c>
      <c r="BU90" s="39" t="str">
        <f t="shared" si="125"/>
        <v/>
      </c>
      <c r="BV90" s="39" t="str">
        <f t="shared" si="118"/>
        <v/>
      </c>
    </row>
    <row r="91" spans="1:74" ht="14.25" customHeight="1" x14ac:dyDescent="0.35">
      <c r="A91" s="294"/>
      <c r="B91" s="296"/>
      <c r="C91" s="298"/>
      <c r="D91" s="300"/>
      <c r="E91" s="302"/>
      <c r="F91" s="304"/>
      <c r="G91" s="276"/>
      <c r="H91" s="277"/>
      <c r="I91" s="290"/>
      <c r="J91" s="290"/>
      <c r="K91" s="291"/>
      <c r="L91" s="17"/>
      <c r="M91" s="286"/>
      <c r="N91" s="21"/>
      <c r="O91" s="286"/>
      <c r="P91" s="21"/>
      <c r="Q91" s="286"/>
      <c r="R91" s="248"/>
      <c r="S91" s="287"/>
      <c r="T91" s="248"/>
      <c r="U91" s="13"/>
      <c r="V91" s="282"/>
      <c r="W91" s="283"/>
      <c r="X91" s="284"/>
      <c r="Y91" s="245"/>
      <c r="Z91" s="245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BP91" s="391"/>
      <c r="BQ91" s="393"/>
      <c r="BS91" s="50" t="str">
        <f>Q164</f>
        <v/>
      </c>
      <c r="BT91" s="50" t="e">
        <f>#REF!</f>
        <v>#REF!</v>
      </c>
      <c r="BU91" s="39" t="str">
        <f t="shared" si="125"/>
        <v/>
      </c>
      <c r="BV91" s="39" t="str">
        <f t="shared" si="118"/>
        <v/>
      </c>
    </row>
    <row r="92" spans="1:74" ht="14.25" customHeight="1" x14ac:dyDescent="0.35">
      <c r="A92" s="293">
        <v>38</v>
      </c>
      <c r="B92" s="295"/>
      <c r="C92" s="297"/>
      <c r="D92" s="299"/>
      <c r="E92" s="301"/>
      <c r="F92" s="303"/>
      <c r="G92" s="288"/>
      <c r="H92" s="289"/>
      <c r="I92" s="290"/>
      <c r="J92" s="290"/>
      <c r="K92" s="291"/>
      <c r="L92" s="18"/>
      <c r="M92" s="285" t="str">
        <f t="shared" ref="M92" si="129">IF(COUNT(L92:L93)&lt;1,"",AVERAGE(L92:L93))</f>
        <v/>
      </c>
      <c r="N92" s="22"/>
      <c r="O92" s="285" t="str">
        <f t="shared" ref="O92" si="130">IF(COUNT(N92:N93)&lt;1,"",AVERAGE(N92:N93))</f>
        <v/>
      </c>
      <c r="P92" s="22"/>
      <c r="Q92" s="285" t="str">
        <f t="shared" ref="Q92" si="131">IF(COUNT(P92:P93)&lt;1,"",AVERAGE(P92:P93))</f>
        <v/>
      </c>
      <c r="R92" s="278" t="str">
        <f>IF($X$13="/28",IF(COUNT(P92:P93)&lt;=1,"",ABS(P92-P93)),IF($X$13="/90",IF(COUNT(#REF!)&lt;=1,"",ABS(#REF!-#REF!))))</f>
        <v/>
      </c>
      <c r="S92" s="278" t="str">
        <f>IF($X$13="/28",IF(Q92="","",IF(AVERAGE(Q88:Q93)&gt;=$W$13,ROUND(AVERAGE(Q88:Q93),1)&amp;" ≥ "&amp;$W$13&amp;" OK",ROUND(AVERAGE(Q88:Q93),1)&amp;" &lt; "&amp;$W$13&amp;" NC")),IF($X$13="/90",IF(#REF!="","",IF(AVERAGE(#REF!)&gt;=$W$13,ROUND(AVERAGE(#REF!),1)&amp;" ≥ "&amp;$W$13&amp;" OK",ROUND(AVERAGE(#REF!),1)&amp;" &lt; "&amp;$W$13&amp;" NC"))))</f>
        <v/>
      </c>
      <c r="T92" s="278" t="str">
        <f>IF($X$13="/28",IF(Q92="","",IF(Q92&gt;=$W$13-$S$12,ROUND((Q92),1)&amp;" ≥ "&amp;$W$13-$S$12&amp;" OK",ROUND((Q92),1)&amp;" &lt; "&amp;$W$13-$S$12&amp;" NC")),IF($X$13="/90",IF(#REF!="","",IF(#REF!&gt;=$W$13-$S$12,ROUND((#REF!),1)&amp;" ≥ "&amp;$W$13-$S$12&amp;" OK",ROUND((#REF!),1)&amp;" &lt; "&amp;$W$13-$S$12&amp;" NC"))))</f>
        <v/>
      </c>
      <c r="U92" s="14"/>
      <c r="V92" s="279"/>
      <c r="W92" s="280"/>
      <c r="X92" s="281"/>
      <c r="Y92" s="246"/>
      <c r="Z92" s="246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BP92" s="390" t="str">
        <f>IF($X$13="/28",IF(Q92="","",Q92),IF($X$13="/90",IF(#REF!="","",#REF!),"Falso"))</f>
        <v/>
      </c>
      <c r="BQ92" s="392" t="str">
        <f t="shared" si="36"/>
        <v/>
      </c>
      <c r="BS92" s="50" t="str">
        <f>Q166</f>
        <v/>
      </c>
      <c r="BT92" s="50" t="e">
        <f>#REF!</f>
        <v>#REF!</v>
      </c>
      <c r="BU92" s="39" t="str">
        <f t="shared" si="125"/>
        <v/>
      </c>
      <c r="BV92" s="39" t="str">
        <f t="shared" si="118"/>
        <v/>
      </c>
    </row>
    <row r="93" spans="1:74" ht="14.25" customHeight="1" x14ac:dyDescent="0.35">
      <c r="A93" s="294"/>
      <c r="B93" s="296"/>
      <c r="C93" s="298"/>
      <c r="D93" s="300"/>
      <c r="E93" s="302"/>
      <c r="F93" s="304"/>
      <c r="G93" s="276"/>
      <c r="H93" s="277"/>
      <c r="I93" s="290"/>
      <c r="J93" s="290"/>
      <c r="K93" s="291"/>
      <c r="L93" s="17"/>
      <c r="M93" s="286"/>
      <c r="N93" s="21"/>
      <c r="O93" s="286"/>
      <c r="P93" s="21"/>
      <c r="Q93" s="286"/>
      <c r="R93" s="248"/>
      <c r="S93" s="287"/>
      <c r="T93" s="248"/>
      <c r="U93" s="13"/>
      <c r="V93" s="282"/>
      <c r="W93" s="283"/>
      <c r="X93" s="284"/>
      <c r="Y93" s="245"/>
      <c r="Z93" s="245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BP93" s="391"/>
      <c r="BQ93" s="393"/>
      <c r="BS93" s="50" t="str">
        <f>Q168</f>
        <v/>
      </c>
      <c r="BT93" s="50" t="e">
        <f>#REF!</f>
        <v>#REF!</v>
      </c>
      <c r="BU93" s="39" t="str">
        <f t="shared" si="125"/>
        <v/>
      </c>
      <c r="BV93" s="39" t="str">
        <f t="shared" si="118"/>
        <v/>
      </c>
    </row>
    <row r="94" spans="1:74" ht="14.25" customHeight="1" x14ac:dyDescent="0.35">
      <c r="A94" s="293">
        <v>39</v>
      </c>
      <c r="B94" s="295"/>
      <c r="C94" s="297"/>
      <c r="D94" s="299"/>
      <c r="E94" s="301"/>
      <c r="F94" s="303"/>
      <c r="G94" s="288"/>
      <c r="H94" s="289"/>
      <c r="I94" s="290"/>
      <c r="J94" s="290"/>
      <c r="K94" s="291"/>
      <c r="L94" s="18"/>
      <c r="M94" s="285" t="str">
        <f t="shared" ref="M94" si="132">IF(COUNT(L94:L95)&lt;1,"",AVERAGE(L94:L95))</f>
        <v/>
      </c>
      <c r="N94" s="22"/>
      <c r="O94" s="285" t="str">
        <f t="shared" ref="O94" si="133">IF(COUNT(N94:N95)&lt;1,"",AVERAGE(N94:N95))</f>
        <v/>
      </c>
      <c r="P94" s="22"/>
      <c r="Q94" s="285" t="str">
        <f t="shared" ref="Q94" si="134">IF(COUNT(P94:P95)&lt;1,"",AVERAGE(P94:P95))</f>
        <v/>
      </c>
      <c r="R94" s="278" t="str">
        <f>IF($X$13="/28",IF(COUNT(P94:P95)&lt;=1,"",ABS(P94-P95)),IF($X$13="/90",IF(COUNT(#REF!)&lt;=1,"",ABS(#REF!-#REF!))))</f>
        <v/>
      </c>
      <c r="S94" s="278" t="str">
        <f>IF($X$13="/28",IF(Q94="","",IF(AVERAGE(Q90:Q95)&gt;=$W$13,ROUND(AVERAGE(Q90:Q95),1)&amp;" ≥ "&amp;$W$13&amp;" OK",ROUND(AVERAGE(Q90:Q95),1)&amp;" &lt; "&amp;$W$13&amp;" NC")),IF($X$13="/90",IF(#REF!="","",IF(AVERAGE(#REF!)&gt;=$W$13,ROUND(AVERAGE(#REF!),1)&amp;" ≥ "&amp;$W$13&amp;" OK",ROUND(AVERAGE(#REF!),1)&amp;" &lt; "&amp;$W$13&amp;" NC"))))</f>
        <v/>
      </c>
      <c r="T94" s="278" t="str">
        <f>IF($X$13="/28",IF(Q94="","",IF(Q94&gt;=$W$13-$S$12,ROUND((Q94),1)&amp;" ≥ "&amp;$W$13-$S$12&amp;" OK",ROUND((Q94),1)&amp;" &lt; "&amp;$W$13-$S$12&amp;" NC")),IF($X$13="/90",IF(#REF!="","",IF(#REF!&gt;=$W$13-$S$12,ROUND((#REF!),1)&amp;" ≥ "&amp;$W$13-$S$12&amp;" OK",ROUND((#REF!),1)&amp;" &lt; "&amp;$W$13-$S$12&amp;" NC"))))</f>
        <v/>
      </c>
      <c r="U94" s="14"/>
      <c r="V94" s="279"/>
      <c r="W94" s="280"/>
      <c r="X94" s="281"/>
      <c r="Y94" s="246"/>
      <c r="Z94" s="246"/>
      <c r="AA94" s="1"/>
      <c r="AB94" s="1"/>
      <c r="AC94" s="1"/>
      <c r="AD94" s="1"/>
      <c r="AE94" s="1"/>
      <c r="AF94" s="1"/>
      <c r="AG94" s="1"/>
      <c r="AH94" s="1"/>
      <c r="AI94" s="1"/>
      <c r="AJ94" s="1"/>
      <c r="AU94" s="1"/>
      <c r="AV94" s="1"/>
      <c r="BP94" s="390" t="str">
        <f>IF($X$13="/28",IF(Q94="","",Q94),IF($X$13="/90",IF(#REF!="","",#REF!),"Falso"))</f>
        <v/>
      </c>
      <c r="BQ94" s="392" t="str">
        <f t="shared" si="40"/>
        <v/>
      </c>
      <c r="BS94" s="50" t="str">
        <f>Q170</f>
        <v/>
      </c>
      <c r="BT94" s="50" t="e">
        <f>#REF!</f>
        <v>#REF!</v>
      </c>
      <c r="BU94" s="39" t="str">
        <f t="shared" si="125"/>
        <v/>
      </c>
      <c r="BV94" s="39" t="str">
        <f t="shared" si="118"/>
        <v/>
      </c>
    </row>
    <row r="95" spans="1:74" ht="14.25" customHeight="1" x14ac:dyDescent="0.35">
      <c r="A95" s="294"/>
      <c r="B95" s="296"/>
      <c r="C95" s="298"/>
      <c r="D95" s="300"/>
      <c r="E95" s="302"/>
      <c r="F95" s="304"/>
      <c r="G95" s="276"/>
      <c r="H95" s="277"/>
      <c r="I95" s="290"/>
      <c r="J95" s="290"/>
      <c r="K95" s="291"/>
      <c r="L95" s="17"/>
      <c r="M95" s="286"/>
      <c r="N95" s="21"/>
      <c r="O95" s="286"/>
      <c r="P95" s="21"/>
      <c r="Q95" s="286"/>
      <c r="R95" s="248"/>
      <c r="S95" s="287"/>
      <c r="T95" s="248"/>
      <c r="U95" s="13"/>
      <c r="V95" s="282"/>
      <c r="W95" s="283"/>
      <c r="X95" s="284"/>
      <c r="Y95" s="245"/>
      <c r="Z95" s="245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BP95" s="391"/>
      <c r="BQ95" s="393"/>
      <c r="BS95" s="50" t="str">
        <f>Q172</f>
        <v/>
      </c>
      <c r="BT95" s="50" t="e">
        <f>#REF!</f>
        <v>#REF!</v>
      </c>
      <c r="BU95" s="39" t="str">
        <f t="shared" si="125"/>
        <v/>
      </c>
      <c r="BV95" s="39" t="str">
        <f t="shared" si="118"/>
        <v/>
      </c>
    </row>
    <row r="96" spans="1:74" ht="14.25" customHeight="1" x14ac:dyDescent="0.35">
      <c r="A96" s="293">
        <v>40</v>
      </c>
      <c r="B96" s="295"/>
      <c r="C96" s="297"/>
      <c r="D96" s="299"/>
      <c r="E96" s="301"/>
      <c r="F96" s="303"/>
      <c r="G96" s="288"/>
      <c r="H96" s="289"/>
      <c r="I96" s="290"/>
      <c r="J96" s="290"/>
      <c r="K96" s="291"/>
      <c r="L96" s="18"/>
      <c r="M96" s="285" t="str">
        <f t="shared" ref="M96" si="135">IF(COUNT(L96:L97)&lt;1,"",AVERAGE(L96:L97))</f>
        <v/>
      </c>
      <c r="N96" s="22"/>
      <c r="O96" s="285" t="str">
        <f t="shared" ref="O96" si="136">IF(COUNT(N96:N97)&lt;1,"",AVERAGE(N96:N97))</f>
        <v/>
      </c>
      <c r="P96" s="22"/>
      <c r="Q96" s="285" t="str">
        <f t="shared" ref="Q96" si="137">IF(COUNT(P96:P97)&lt;1,"",AVERAGE(P96:P97))</f>
        <v/>
      </c>
      <c r="R96" s="278" t="str">
        <f>IF($X$13="/28",IF(COUNT(P96:P97)&lt;=1,"",ABS(P96-P97)),IF($X$13="/90",IF(COUNT(#REF!)&lt;=1,"",ABS(#REF!-#REF!))))</f>
        <v/>
      </c>
      <c r="S96" s="278" t="str">
        <f>IF($X$13="/28",IF(Q96="","",IF(AVERAGE(Q92:Q97)&gt;=$W$13,ROUND(AVERAGE(Q92:Q97),1)&amp;" ≥ "&amp;$W$13&amp;" OK",ROUND(AVERAGE(Q92:Q97),1)&amp;" &lt; "&amp;$W$13&amp;" NC")),IF($X$13="/90",IF(#REF!="","",IF(AVERAGE(#REF!)&gt;=$W$13,ROUND(AVERAGE(#REF!),1)&amp;" ≥ "&amp;$W$13&amp;" OK",ROUND(AVERAGE(#REF!),1)&amp;" &lt; "&amp;$W$13&amp;" NC"))))</f>
        <v/>
      </c>
      <c r="T96" s="278" t="str">
        <f>IF($X$13="/28",IF(Q96="","",IF(Q96&gt;=$W$13-$S$12,ROUND((Q96),1)&amp;" ≥ "&amp;$W$13-$S$12&amp;" OK",ROUND((Q96),1)&amp;" &lt; "&amp;$W$13-$S$12&amp;" NC")),IF($X$13="/90",IF(#REF!="","",IF(#REF!&gt;=$W$13-$S$12,ROUND((#REF!),1)&amp;" ≥ "&amp;$W$13-$S$12&amp;" OK",ROUND((#REF!),1)&amp;" &lt; "&amp;$W$13-$S$12&amp;" NC"))))</f>
        <v/>
      </c>
      <c r="U96" s="14"/>
      <c r="V96" s="279"/>
      <c r="W96" s="280"/>
      <c r="X96" s="281"/>
      <c r="Y96" s="246"/>
      <c r="Z96" s="246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BP96" s="390" t="str">
        <f>IF($X$13="/28",IF(Q96="","",Q96),IF($X$13="/90",IF(#REF!="","",#REF!),"Falso"))</f>
        <v/>
      </c>
      <c r="BQ96" s="392" t="str">
        <f t="shared" ref="BQ96:BQ156" si="138">IF(BP96="","",BQ94+1)</f>
        <v/>
      </c>
      <c r="BS96" s="50" t="str">
        <f>Q174</f>
        <v/>
      </c>
      <c r="BT96" s="50" t="e">
        <f>#REF!</f>
        <v>#REF!</v>
      </c>
      <c r="BU96" s="39" t="str">
        <f t="shared" si="125"/>
        <v/>
      </c>
      <c r="BV96" s="39" t="str">
        <f t="shared" si="118"/>
        <v/>
      </c>
    </row>
    <row r="97" spans="1:74" ht="14.25" customHeight="1" x14ac:dyDescent="0.35">
      <c r="A97" s="294"/>
      <c r="B97" s="296"/>
      <c r="C97" s="298"/>
      <c r="D97" s="300"/>
      <c r="E97" s="302"/>
      <c r="F97" s="304"/>
      <c r="G97" s="276"/>
      <c r="H97" s="277"/>
      <c r="I97" s="290"/>
      <c r="J97" s="290"/>
      <c r="K97" s="291"/>
      <c r="L97" s="17"/>
      <c r="M97" s="286"/>
      <c r="N97" s="21"/>
      <c r="O97" s="286"/>
      <c r="P97" s="21"/>
      <c r="Q97" s="286"/>
      <c r="R97" s="248"/>
      <c r="S97" s="287"/>
      <c r="T97" s="248"/>
      <c r="U97" s="13"/>
      <c r="V97" s="282"/>
      <c r="W97" s="283"/>
      <c r="X97" s="284"/>
      <c r="Y97" s="245"/>
      <c r="Z97" s="245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BP97" s="391"/>
      <c r="BQ97" s="393"/>
      <c r="BS97" s="50" t="str">
        <f>Q176</f>
        <v/>
      </c>
      <c r="BT97" s="50" t="e">
        <f>#REF!</f>
        <v>#REF!</v>
      </c>
      <c r="BU97" s="39" t="str">
        <f t="shared" si="125"/>
        <v/>
      </c>
      <c r="BV97" s="39" t="str">
        <f t="shared" si="118"/>
        <v/>
      </c>
    </row>
    <row r="98" spans="1:74" ht="14.25" customHeight="1" x14ac:dyDescent="0.35">
      <c r="A98" s="293">
        <v>41</v>
      </c>
      <c r="B98" s="295"/>
      <c r="C98" s="297"/>
      <c r="D98" s="299"/>
      <c r="E98" s="301"/>
      <c r="F98" s="303"/>
      <c r="G98" s="288"/>
      <c r="H98" s="289"/>
      <c r="I98" s="290"/>
      <c r="J98" s="290"/>
      <c r="K98" s="291"/>
      <c r="L98" s="18"/>
      <c r="M98" s="285" t="str">
        <f t="shared" ref="M98" si="139">IF(COUNT(L98:L99)&lt;1,"",AVERAGE(L98:L99))</f>
        <v/>
      </c>
      <c r="N98" s="22"/>
      <c r="O98" s="285" t="str">
        <f t="shared" ref="O98" si="140">IF(COUNT(N98:N99)&lt;1,"",AVERAGE(N98:N99))</f>
        <v/>
      </c>
      <c r="P98" s="22"/>
      <c r="Q98" s="285" t="str">
        <f t="shared" ref="Q98" si="141">IF(COUNT(P98:P99)&lt;1,"",AVERAGE(P98:P99))</f>
        <v/>
      </c>
      <c r="R98" s="278" t="str">
        <f>IF($X$13="/28",IF(COUNT(P98:P99)&lt;=1,"",ABS(P98-P99)),IF($X$13="/90",IF(COUNT(#REF!)&lt;=1,"",ABS(#REF!-#REF!))))</f>
        <v/>
      </c>
      <c r="S98" s="278" t="str">
        <f>IF($X$13="/28",IF(Q98="","",IF(AVERAGE(Q94:Q99)&gt;=$W$13,ROUND(AVERAGE(Q94:Q99),1)&amp;" ≥ "&amp;$W$13&amp;" OK",ROUND(AVERAGE(Q94:Q99),1)&amp;" &lt; "&amp;$W$13&amp;" NC")),IF($X$13="/90",IF(#REF!="","",IF(AVERAGE(#REF!)&gt;=$W$13,ROUND(AVERAGE(#REF!),1)&amp;" ≥ "&amp;$W$13&amp;" OK",ROUND(AVERAGE(#REF!),1)&amp;" &lt; "&amp;$W$13&amp;" NC"))))</f>
        <v/>
      </c>
      <c r="T98" s="278" t="str">
        <f>IF($X$13="/28",IF(Q98="","",IF(Q98&gt;=$W$13-$S$12,ROUND((Q98),1)&amp;" ≥ "&amp;$W$13-$S$12&amp;" OK",ROUND((Q98),1)&amp;" &lt; "&amp;$W$13-$S$12&amp;" NC")),IF($X$13="/90",IF(#REF!="","",IF(#REF!&gt;=$W$13-$S$12,ROUND((#REF!),1)&amp;" ≥ "&amp;$W$13-$S$12&amp;" OK",ROUND((#REF!),1)&amp;" &lt; "&amp;$W$13-$S$12&amp;" NC"))))</f>
        <v/>
      </c>
      <c r="U98" s="14"/>
      <c r="V98" s="279"/>
      <c r="W98" s="280"/>
      <c r="X98" s="281"/>
      <c r="Y98" s="246"/>
      <c r="Z98" s="246"/>
      <c r="AA98" s="1"/>
      <c r="AB98" s="1"/>
      <c r="AC98" s="1"/>
      <c r="AD98" s="1"/>
      <c r="AE98" s="1"/>
      <c r="AF98" s="1"/>
      <c r="AG98" s="1"/>
      <c r="AH98" s="1"/>
      <c r="AI98" s="1"/>
      <c r="AJ98" s="48" t="s">
        <v>75</v>
      </c>
      <c r="AK98" s="183" t="str">
        <f>IF(L12="","0",L12-$S$11*AK99)</f>
        <v>0</v>
      </c>
      <c r="AL98" s="184"/>
      <c r="AM98" s="183" t="str">
        <f>IF(N12="","0",N12-$S$11*AM99)</f>
        <v>0</v>
      </c>
      <c r="AN98" s="184"/>
      <c r="AO98" s="183" t="str">
        <f>IF(P12="","0",P12-$S$11*AO99)</f>
        <v>0</v>
      </c>
      <c r="AP98" s="184"/>
      <c r="AQ98" s="183" t="e">
        <f>IF(#REF!="","",#REF!-$S$11*AQ99)</f>
        <v>#REF!</v>
      </c>
      <c r="AR98" s="184"/>
      <c r="AS98" s="183" t="e">
        <f>IF(#REF!="","",#REF!-$S$11*AS99)</f>
        <v>#REF!</v>
      </c>
      <c r="AT98" s="184"/>
      <c r="AU98" s="1"/>
      <c r="AV98" s="1"/>
      <c r="AW98" s="1"/>
      <c r="BP98" s="390" t="str">
        <f>IF($X$13="/28",IF(Q98="","",Q98),IF($X$13="/90",IF(#REF!="","",#REF!),"Falso"))</f>
        <v/>
      </c>
      <c r="BQ98" s="392" t="str">
        <f t="shared" ref="BQ98:BQ158" si="142">IF(BP98="","",BQ96+1)</f>
        <v/>
      </c>
      <c r="BS98" s="50" t="str">
        <f>Q178</f>
        <v/>
      </c>
      <c r="BT98" s="50" t="e">
        <f>#REF!</f>
        <v>#REF!</v>
      </c>
      <c r="BU98" s="39" t="str">
        <f t="shared" si="125"/>
        <v/>
      </c>
      <c r="BV98" s="39" t="str">
        <f t="shared" si="118"/>
        <v/>
      </c>
    </row>
    <row r="99" spans="1:74" ht="14.25" customHeight="1" x14ac:dyDescent="0.35">
      <c r="A99" s="294"/>
      <c r="B99" s="296"/>
      <c r="C99" s="298"/>
      <c r="D99" s="300"/>
      <c r="E99" s="302"/>
      <c r="F99" s="304"/>
      <c r="G99" s="276"/>
      <c r="H99" s="277"/>
      <c r="I99" s="290"/>
      <c r="J99" s="290"/>
      <c r="K99" s="291"/>
      <c r="L99" s="17"/>
      <c r="M99" s="286"/>
      <c r="N99" s="21"/>
      <c r="O99" s="286"/>
      <c r="P99" s="21"/>
      <c r="Q99" s="286"/>
      <c r="R99" s="248"/>
      <c r="S99" s="287"/>
      <c r="T99" s="248"/>
      <c r="U99" s="13"/>
      <c r="V99" s="282"/>
      <c r="W99" s="283"/>
      <c r="X99" s="284"/>
      <c r="Y99" s="245"/>
      <c r="Z99" s="245"/>
      <c r="AA99" s="1"/>
      <c r="AB99" s="1"/>
      <c r="AC99" s="1"/>
      <c r="AD99" s="1"/>
      <c r="AE99" s="1"/>
      <c r="AF99" s="1"/>
      <c r="AG99" s="1"/>
      <c r="AH99" s="1"/>
      <c r="AI99" s="1"/>
      <c r="AJ99" s="49" t="s">
        <v>62</v>
      </c>
      <c r="AK99" s="183" t="str">
        <f>IF(L13&lt;2,2,L13)</f>
        <v/>
      </c>
      <c r="AL99" s="184"/>
      <c r="AM99" s="183" t="str">
        <f>IF(N13&lt;2,2,N13)</f>
        <v/>
      </c>
      <c r="AN99" s="184"/>
      <c r="AO99" s="183" t="str">
        <f>IF(P13&lt;2,2,P13)</f>
        <v/>
      </c>
      <c r="AP99" s="184"/>
      <c r="AQ99" s="183" t="e">
        <f>IF(#REF!&lt;2,2,#REF!)</f>
        <v>#REF!</v>
      </c>
      <c r="AR99" s="184"/>
      <c r="AS99" s="183" t="e">
        <f>IF(#REF!&lt;2,2,#REF!)</f>
        <v>#REF!</v>
      </c>
      <c r="AT99" s="184"/>
      <c r="AU99" s="1"/>
      <c r="AV99" s="1"/>
      <c r="AW99" s="1"/>
      <c r="BP99" s="391"/>
      <c r="BQ99" s="393"/>
      <c r="BS99" s="50" t="str">
        <f>Q180</f>
        <v/>
      </c>
      <c r="BT99" s="50" t="e">
        <f>#REF!</f>
        <v>#REF!</v>
      </c>
      <c r="BU99" s="39" t="str">
        <f t="shared" si="125"/>
        <v/>
      </c>
      <c r="BV99" s="39" t="str">
        <f t="shared" si="118"/>
        <v/>
      </c>
    </row>
    <row r="100" spans="1:74" ht="14.25" customHeight="1" thickBot="1" x14ac:dyDescent="0.4">
      <c r="A100" s="293">
        <v>42</v>
      </c>
      <c r="B100" s="295"/>
      <c r="C100" s="297"/>
      <c r="D100" s="299"/>
      <c r="E100" s="301"/>
      <c r="F100" s="303"/>
      <c r="G100" s="288"/>
      <c r="H100" s="289"/>
      <c r="I100" s="290"/>
      <c r="J100" s="290"/>
      <c r="K100" s="291"/>
      <c r="L100" s="18"/>
      <c r="M100" s="285" t="str">
        <f t="shared" ref="M100" si="143">IF(COUNT(L100:L101)&lt;1,"",AVERAGE(L100:L101))</f>
        <v/>
      </c>
      <c r="N100" s="22"/>
      <c r="O100" s="285" t="str">
        <f t="shared" ref="O100" si="144">IF(COUNT(N100:N101)&lt;1,"",AVERAGE(N100:N101))</f>
        <v/>
      </c>
      <c r="P100" s="22"/>
      <c r="Q100" s="285" t="str">
        <f t="shared" ref="Q100" si="145">IF(COUNT(P100:P101)&lt;1,"",AVERAGE(P100:P101))</f>
        <v/>
      </c>
      <c r="R100" s="278" t="str">
        <f>IF($X$13="/28",IF(COUNT(P100:P101)&lt;=1,"",ABS(P100-P101)),IF($X$13="/90",IF(COUNT(#REF!)&lt;=1,"",ABS(#REF!-#REF!))))</f>
        <v/>
      </c>
      <c r="S100" s="278" t="str">
        <f>IF($X$13="/28",IF(Q100="","",IF(AVERAGE(Q96:Q101)&gt;=$W$13,ROUND(AVERAGE(Q96:Q101),1)&amp;" ≥ "&amp;$W$13&amp;" OK",ROUND(AVERAGE(Q96:Q101),1)&amp;" &lt; "&amp;$W$13&amp;" NC")),IF($X$13="/90",IF(#REF!="","",IF(AVERAGE(#REF!)&gt;=$W$13,ROUND(AVERAGE(#REF!),1)&amp;" ≥ "&amp;$W$13&amp;" OK",ROUND(AVERAGE(#REF!),1)&amp;" &lt; "&amp;$W$13&amp;" NC"))))</f>
        <v/>
      </c>
      <c r="T100" s="278" t="str">
        <f>IF($X$13="/28",IF(Q100="","",IF(Q100&gt;=$W$13-$S$12,ROUND((Q100),1)&amp;" ≥ "&amp;$W$13-$S$12&amp;" OK",ROUND((Q100),1)&amp;" &lt; "&amp;$W$13-$S$12&amp;" NC")),IF($X$13="/90",IF(#REF!="","",IF(#REF!&gt;=$W$13-$S$12,ROUND((#REF!),1)&amp;" ≥ "&amp;$W$13-$S$12&amp;" OK",ROUND((#REF!),1)&amp;" &lt; "&amp;$W$13-$S$12&amp;" NC"))))</f>
        <v/>
      </c>
      <c r="U100" s="14"/>
      <c r="V100" s="279"/>
      <c r="W100" s="280"/>
      <c r="X100" s="281"/>
      <c r="Y100" s="246"/>
      <c r="Z100" s="246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85">
        <v>3</v>
      </c>
      <c r="AL100" s="186"/>
      <c r="AM100" s="187">
        <v>7</v>
      </c>
      <c r="AN100" s="186"/>
      <c r="AO100" s="187">
        <v>28</v>
      </c>
      <c r="AP100" s="186"/>
      <c r="AQ100" s="188"/>
      <c r="AR100" s="188"/>
      <c r="AS100" s="188"/>
      <c r="AT100" s="188"/>
      <c r="AU100" s="1"/>
      <c r="AV100" s="1"/>
      <c r="AW100" s="1"/>
      <c r="BP100" s="390" t="str">
        <f>IF($X$13="/28",IF(Q100="","",Q100),IF($X$13="/90",IF(#REF!="","",#REF!),"Falso"))</f>
        <v/>
      </c>
      <c r="BQ100" s="392" t="str">
        <f t="shared" ref="BQ100:BQ160" si="146">IF(BP100="","",BQ98+1)</f>
        <v/>
      </c>
      <c r="BS100" s="50" t="str">
        <f>Q182</f>
        <v/>
      </c>
      <c r="BT100" s="50" t="e">
        <f>#REF!</f>
        <v>#REF!</v>
      </c>
      <c r="BU100" s="39" t="str">
        <f t="shared" si="125"/>
        <v/>
      </c>
      <c r="BV100" s="39" t="str">
        <f t="shared" si="118"/>
        <v/>
      </c>
    </row>
    <row r="101" spans="1:74" ht="14.25" customHeight="1" x14ac:dyDescent="0.35">
      <c r="A101" s="294"/>
      <c r="B101" s="296"/>
      <c r="C101" s="298"/>
      <c r="D101" s="300"/>
      <c r="E101" s="302"/>
      <c r="F101" s="304"/>
      <c r="G101" s="276"/>
      <c r="H101" s="277"/>
      <c r="I101" s="290"/>
      <c r="J101" s="290"/>
      <c r="K101" s="291"/>
      <c r="L101" s="17"/>
      <c r="M101" s="286"/>
      <c r="N101" s="21"/>
      <c r="O101" s="286"/>
      <c r="P101" s="21"/>
      <c r="Q101" s="286"/>
      <c r="R101" s="248"/>
      <c r="S101" s="287"/>
      <c r="T101" s="248"/>
      <c r="U101" s="13"/>
      <c r="V101" s="282"/>
      <c r="W101" s="283"/>
      <c r="X101" s="284"/>
      <c r="Y101" s="245"/>
      <c r="Z101" s="245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394" t="s">
        <v>78</v>
      </c>
      <c r="AR101" s="395"/>
      <c r="AS101" s="395"/>
      <c r="AT101" s="396"/>
      <c r="AU101" s="1"/>
      <c r="AV101" s="1"/>
      <c r="AW101" s="1"/>
      <c r="BP101" s="391"/>
      <c r="BQ101" s="393"/>
      <c r="BS101" s="50" t="str">
        <f>Q184</f>
        <v/>
      </c>
      <c r="BT101" s="50" t="e">
        <f>#REF!</f>
        <v>#REF!</v>
      </c>
      <c r="BU101" s="39" t="str">
        <f t="shared" si="125"/>
        <v/>
      </c>
      <c r="BV101" s="39" t="str">
        <f t="shared" si="118"/>
        <v/>
      </c>
    </row>
    <row r="102" spans="1:74" ht="14.25" customHeight="1" x14ac:dyDescent="0.35">
      <c r="A102" s="293">
        <v>43</v>
      </c>
      <c r="B102" s="295"/>
      <c r="C102" s="297"/>
      <c r="D102" s="299"/>
      <c r="E102" s="301"/>
      <c r="F102" s="303"/>
      <c r="G102" s="288"/>
      <c r="H102" s="289"/>
      <c r="I102" s="290"/>
      <c r="J102" s="290"/>
      <c r="K102" s="291"/>
      <c r="L102" s="18"/>
      <c r="M102" s="285" t="str">
        <f t="shared" ref="M102" si="147">IF(COUNT(L102:L103)&lt;1,"",AVERAGE(L102:L103))</f>
        <v/>
      </c>
      <c r="N102" s="22"/>
      <c r="O102" s="285" t="str">
        <f t="shared" ref="O102" si="148">IF(COUNT(N102:N103)&lt;1,"",AVERAGE(N102:N103))</f>
        <v/>
      </c>
      <c r="P102" s="22"/>
      <c r="Q102" s="285" t="str">
        <f t="shared" ref="Q102" si="149">IF(COUNT(P102:P103)&lt;1,"",AVERAGE(P102:P103))</f>
        <v/>
      </c>
      <c r="R102" s="278" t="str">
        <f>IF($X$13="/28",IF(COUNT(P102:P103)&lt;=1,"",ABS(P102-P103)),IF($X$13="/90",IF(COUNT(#REF!)&lt;=1,"",ABS(#REF!-#REF!))))</f>
        <v/>
      </c>
      <c r="S102" s="278" t="str">
        <f>IF($X$13="/28",IF(Q102="","",IF(AVERAGE(Q98:Q103)&gt;=$W$13,ROUND(AVERAGE(Q98:Q103),1)&amp;" ≥ "&amp;$W$13&amp;" OK",ROUND(AVERAGE(Q98:Q103),1)&amp;" &lt; "&amp;$W$13&amp;" NC")),IF($X$13="/90",IF(#REF!="","",IF(AVERAGE(#REF!)&gt;=$W$13,ROUND(AVERAGE(#REF!),1)&amp;" ≥ "&amp;$W$13&amp;" OK",ROUND(AVERAGE(#REF!),1)&amp;" &lt; "&amp;$W$13&amp;" NC"))))</f>
        <v/>
      </c>
      <c r="T102" s="278" t="str">
        <f>IF($X$13="/28",IF(Q102="","",IF(Q102&gt;=$W$13-$S$12,ROUND((Q102),1)&amp;" ≥ "&amp;$W$13-$S$12&amp;" OK",ROUND((Q102),1)&amp;" &lt; "&amp;$W$13-$S$12&amp;" NC")),IF($X$13="/90",IF(#REF!="","",IF(#REF!&gt;=$W$13-$S$12,ROUND((#REF!),1)&amp;" ≥ "&amp;$W$13-$S$12&amp;" OK",ROUND((#REF!),1)&amp;" &lt; "&amp;$W$13-$S$12&amp;" NC"))))</f>
        <v/>
      </c>
      <c r="U102" s="14"/>
      <c r="V102" s="279"/>
      <c r="W102" s="280"/>
      <c r="X102" s="281"/>
      <c r="Y102" s="246"/>
      <c r="Z102" s="246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397"/>
      <c r="AR102" s="398"/>
      <c r="AS102" s="398"/>
      <c r="AT102" s="399"/>
      <c r="AU102" s="1"/>
      <c r="AV102" s="1"/>
      <c r="AW102" s="1"/>
      <c r="BP102" s="390" t="str">
        <f>IF($X$13="/28",IF(Q102="","",Q102),IF($X$13="/90",IF(#REF!="","",#REF!),"Falso"))</f>
        <v/>
      </c>
      <c r="BQ102" s="392" t="str">
        <f t="shared" si="138"/>
        <v/>
      </c>
      <c r="BS102" s="50" t="str">
        <f>Q186</f>
        <v/>
      </c>
      <c r="BT102" s="50" t="e">
        <f>#REF!</f>
        <v>#REF!</v>
      </c>
      <c r="BU102" s="39" t="str">
        <f t="shared" si="125"/>
        <v/>
      </c>
      <c r="BV102" s="39" t="str">
        <f t="shared" si="118"/>
        <v/>
      </c>
    </row>
    <row r="103" spans="1:74" ht="14.25" customHeight="1" thickBot="1" x14ac:dyDescent="0.4">
      <c r="A103" s="294"/>
      <c r="B103" s="296"/>
      <c r="C103" s="298"/>
      <c r="D103" s="300"/>
      <c r="E103" s="302"/>
      <c r="F103" s="304"/>
      <c r="G103" s="276"/>
      <c r="H103" s="277"/>
      <c r="I103" s="290"/>
      <c r="J103" s="290"/>
      <c r="K103" s="291"/>
      <c r="L103" s="17"/>
      <c r="M103" s="286"/>
      <c r="N103" s="21"/>
      <c r="O103" s="286"/>
      <c r="P103" s="21"/>
      <c r="Q103" s="286"/>
      <c r="R103" s="248"/>
      <c r="S103" s="287"/>
      <c r="T103" s="248"/>
      <c r="U103" s="13"/>
      <c r="V103" s="282"/>
      <c r="W103" s="283"/>
      <c r="X103" s="284"/>
      <c r="Y103" s="245"/>
      <c r="Z103" s="245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400"/>
      <c r="AR103" s="401"/>
      <c r="AS103" s="401"/>
      <c r="AT103" s="402"/>
      <c r="AU103" s="1"/>
      <c r="AV103" s="1"/>
      <c r="AW103" s="1"/>
      <c r="BP103" s="391"/>
      <c r="BQ103" s="393"/>
      <c r="BS103" s="50" t="str">
        <f>Q188</f>
        <v/>
      </c>
      <c r="BT103" s="50" t="e">
        <f>#REF!</f>
        <v>#REF!</v>
      </c>
      <c r="BU103" s="39" t="str">
        <f t="shared" si="125"/>
        <v/>
      </c>
      <c r="BV103" s="39" t="str">
        <f t="shared" si="118"/>
        <v/>
      </c>
    </row>
    <row r="104" spans="1:74" ht="14.25" customHeight="1" x14ac:dyDescent="0.35">
      <c r="A104" s="293">
        <v>44</v>
      </c>
      <c r="B104" s="295"/>
      <c r="C104" s="297"/>
      <c r="D104" s="299"/>
      <c r="E104" s="301"/>
      <c r="F104" s="303"/>
      <c r="G104" s="288"/>
      <c r="H104" s="289"/>
      <c r="I104" s="290"/>
      <c r="J104" s="290"/>
      <c r="K104" s="291"/>
      <c r="L104" s="18"/>
      <c r="M104" s="285" t="str">
        <f t="shared" ref="M104" si="150">IF(COUNT(L104:L105)&lt;1,"",AVERAGE(L104:L105))</f>
        <v/>
      </c>
      <c r="N104" s="22"/>
      <c r="O104" s="285" t="str">
        <f t="shared" ref="O104" si="151">IF(COUNT(N104:N105)&lt;1,"",AVERAGE(N104:N105))</f>
        <v/>
      </c>
      <c r="P104" s="22"/>
      <c r="Q104" s="285" t="str">
        <f t="shared" ref="Q104" si="152">IF(COUNT(P104:P105)&lt;1,"",AVERAGE(P104:P105))</f>
        <v/>
      </c>
      <c r="R104" s="278" t="str">
        <f>IF($X$13="/28",IF(COUNT(P104:P105)&lt;=1,"",ABS(P104-P105)),IF($X$13="/90",IF(COUNT(#REF!)&lt;=1,"",ABS(#REF!-#REF!))))</f>
        <v/>
      </c>
      <c r="S104" s="278" t="str">
        <f>IF($X$13="/28",IF(Q104="","",IF(AVERAGE(Q100:Q105)&gt;=$W$13,ROUND(AVERAGE(Q100:Q105),1)&amp;" ≥ "&amp;$W$13&amp;" OK",ROUND(AVERAGE(Q100:Q105),1)&amp;" &lt; "&amp;$W$13&amp;" NC")),IF($X$13="/90",IF(#REF!="","",IF(AVERAGE(#REF!)&gt;=$W$13,ROUND(AVERAGE(#REF!),1)&amp;" ≥ "&amp;$W$13&amp;" OK",ROUND(AVERAGE(#REF!),1)&amp;" &lt; "&amp;$W$13&amp;" NC"))))</f>
        <v/>
      </c>
      <c r="T104" s="278" t="str">
        <f>IF($X$13="/28",IF(Q104="","",IF(Q104&gt;=$W$13-$S$12,ROUND((Q104),1)&amp;" ≥ "&amp;$W$13-$S$12&amp;" OK",ROUND((Q104),1)&amp;" &lt; "&amp;$W$13-$S$12&amp;" NC")),IF($X$13="/90",IF(#REF!="","",IF(#REF!&gt;=$W$13-$S$12,ROUND((#REF!),1)&amp;" ≥ "&amp;$W$13-$S$12&amp;" OK",ROUND((#REF!),1)&amp;" &lt; "&amp;$W$13-$S$12&amp;" NC"))))</f>
        <v/>
      </c>
      <c r="U104" s="14"/>
      <c r="V104" s="279"/>
      <c r="W104" s="280"/>
      <c r="X104" s="281"/>
      <c r="Y104" s="246"/>
      <c r="Z104" s="246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BP104" s="390" t="str">
        <f>IF($X$13="/28",IF(Q104="","",Q104),IF($X$13="/90",IF(#REF!="","",#REF!),"Falso"))</f>
        <v/>
      </c>
      <c r="BQ104" s="392" t="str">
        <f t="shared" si="142"/>
        <v/>
      </c>
      <c r="BS104" s="50" t="str">
        <f>Q190</f>
        <v/>
      </c>
      <c r="BT104" s="50" t="e">
        <f>#REF!</f>
        <v>#REF!</v>
      </c>
      <c r="BU104" s="39" t="str">
        <f t="shared" si="125"/>
        <v/>
      </c>
      <c r="BV104" s="39" t="str">
        <f t="shared" si="118"/>
        <v/>
      </c>
    </row>
    <row r="105" spans="1:74" ht="14.25" customHeight="1" x14ac:dyDescent="0.35">
      <c r="A105" s="294"/>
      <c r="B105" s="296"/>
      <c r="C105" s="298"/>
      <c r="D105" s="300"/>
      <c r="E105" s="302"/>
      <c r="F105" s="304"/>
      <c r="G105" s="276"/>
      <c r="H105" s="277"/>
      <c r="I105" s="290"/>
      <c r="J105" s="290"/>
      <c r="K105" s="291"/>
      <c r="L105" s="17"/>
      <c r="M105" s="286"/>
      <c r="N105" s="21"/>
      <c r="O105" s="286"/>
      <c r="P105" s="21"/>
      <c r="Q105" s="286"/>
      <c r="R105" s="248"/>
      <c r="S105" s="287"/>
      <c r="T105" s="248"/>
      <c r="U105" s="13"/>
      <c r="V105" s="282"/>
      <c r="W105" s="283"/>
      <c r="X105" s="284"/>
      <c r="Y105" s="245"/>
      <c r="Z105" s="245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BP105" s="391"/>
      <c r="BQ105" s="393"/>
      <c r="BS105" s="50" t="str">
        <f>Q192</f>
        <v/>
      </c>
      <c r="BT105" s="50" t="e">
        <f>#REF!</f>
        <v>#REF!</v>
      </c>
      <c r="BU105" s="39" t="str">
        <f t="shared" si="125"/>
        <v/>
      </c>
      <c r="BV105" s="39" t="str">
        <f t="shared" si="118"/>
        <v/>
      </c>
    </row>
    <row r="106" spans="1:74" ht="14.25" customHeight="1" x14ac:dyDescent="0.35">
      <c r="A106" s="293">
        <v>45</v>
      </c>
      <c r="B106" s="295"/>
      <c r="C106" s="297"/>
      <c r="D106" s="299"/>
      <c r="E106" s="301"/>
      <c r="F106" s="303"/>
      <c r="G106" s="288"/>
      <c r="H106" s="289"/>
      <c r="I106" s="290"/>
      <c r="J106" s="290"/>
      <c r="K106" s="291"/>
      <c r="L106" s="18"/>
      <c r="M106" s="285" t="str">
        <f t="shared" ref="M106" si="153">IF(COUNT(L106:L107)&lt;1,"",AVERAGE(L106:L107))</f>
        <v/>
      </c>
      <c r="N106" s="22"/>
      <c r="O106" s="285" t="str">
        <f t="shared" ref="O106" si="154">IF(COUNT(N106:N107)&lt;1,"",AVERAGE(N106:N107))</f>
        <v/>
      </c>
      <c r="P106" s="22"/>
      <c r="Q106" s="285" t="str">
        <f t="shared" ref="Q106" si="155">IF(COUNT(P106:P107)&lt;1,"",AVERAGE(P106:P107))</f>
        <v/>
      </c>
      <c r="R106" s="278" t="str">
        <f>IF($X$13="/28",IF(COUNT(P106:P107)&lt;=1,"",ABS(P106-P107)),IF($X$13="/90",IF(COUNT(#REF!)&lt;=1,"",ABS(#REF!-#REF!))))</f>
        <v/>
      </c>
      <c r="S106" s="278" t="str">
        <f>IF($X$13="/28",IF(Q106="","",IF(AVERAGE(Q102:Q107)&gt;=$W$13,ROUND(AVERAGE(Q102:Q107),1)&amp;" ≥ "&amp;$W$13&amp;" OK",ROUND(AVERAGE(Q102:Q107),1)&amp;" &lt; "&amp;$W$13&amp;" NC")),IF($X$13="/90",IF(#REF!="","",IF(AVERAGE(#REF!)&gt;=$W$13,ROUND(AVERAGE(#REF!),1)&amp;" ≥ "&amp;$W$13&amp;" OK",ROUND(AVERAGE(#REF!),1)&amp;" &lt; "&amp;$W$13&amp;" NC"))))</f>
        <v/>
      </c>
      <c r="T106" s="278" t="str">
        <f>IF($X$13="/28",IF(Q106="","",IF(Q106&gt;=$W$13-$S$12,ROUND((Q106),1)&amp;" ≥ "&amp;$W$13-$S$12&amp;" OK",ROUND((Q106),1)&amp;" &lt; "&amp;$W$13-$S$12&amp;" NC")),IF($X$13="/90",IF(#REF!="","",IF(#REF!&gt;=$W$13-$S$12,ROUND((#REF!),1)&amp;" ≥ "&amp;$W$13-$S$12&amp;" OK",ROUND((#REF!),1)&amp;" &lt; "&amp;$W$13-$S$12&amp;" NC"))))</f>
        <v/>
      </c>
      <c r="U106" s="14"/>
      <c r="V106" s="279"/>
      <c r="W106" s="280"/>
      <c r="X106" s="281"/>
      <c r="Y106" s="246"/>
      <c r="Z106" s="246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BP106" s="390" t="str">
        <f>IF($X$13="/28",IF(Q106="","",Q106),IF($X$13="/90",IF(#REF!="","",#REF!),"Falso"))</f>
        <v/>
      </c>
      <c r="BQ106" s="392" t="str">
        <f t="shared" si="146"/>
        <v/>
      </c>
      <c r="BS106" s="50" t="str">
        <f>Q194</f>
        <v/>
      </c>
      <c r="BT106" s="50" t="e">
        <f>#REF!</f>
        <v>#REF!</v>
      </c>
      <c r="BU106" s="39" t="str">
        <f t="shared" si="125"/>
        <v/>
      </c>
      <c r="BV106" s="39" t="str">
        <f t="shared" si="118"/>
        <v/>
      </c>
    </row>
    <row r="107" spans="1:74" ht="14.25" customHeight="1" x14ac:dyDescent="0.35">
      <c r="A107" s="294"/>
      <c r="B107" s="296"/>
      <c r="C107" s="298"/>
      <c r="D107" s="300"/>
      <c r="E107" s="302"/>
      <c r="F107" s="304"/>
      <c r="G107" s="276"/>
      <c r="H107" s="277"/>
      <c r="I107" s="290"/>
      <c r="J107" s="290"/>
      <c r="K107" s="291"/>
      <c r="L107" s="17"/>
      <c r="M107" s="286"/>
      <c r="N107" s="21"/>
      <c r="O107" s="286"/>
      <c r="P107" s="21"/>
      <c r="Q107" s="286"/>
      <c r="R107" s="248"/>
      <c r="S107" s="287"/>
      <c r="T107" s="248"/>
      <c r="U107" s="13"/>
      <c r="V107" s="282"/>
      <c r="W107" s="283"/>
      <c r="X107" s="284"/>
      <c r="Y107" s="245"/>
      <c r="Z107" s="245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BP107" s="391"/>
      <c r="BQ107" s="393"/>
      <c r="BS107" s="50" t="str">
        <f>Q196</f>
        <v/>
      </c>
      <c r="BT107" s="50" t="e">
        <f>#REF!</f>
        <v>#REF!</v>
      </c>
      <c r="BU107" s="39" t="str">
        <f t="shared" si="125"/>
        <v/>
      </c>
      <c r="BV107" s="39" t="str">
        <f t="shared" si="118"/>
        <v/>
      </c>
    </row>
    <row r="108" spans="1:74" ht="14.25" customHeight="1" x14ac:dyDescent="0.35">
      <c r="A108" s="293">
        <v>46</v>
      </c>
      <c r="B108" s="295"/>
      <c r="C108" s="297"/>
      <c r="D108" s="299"/>
      <c r="E108" s="301"/>
      <c r="F108" s="303"/>
      <c r="G108" s="288"/>
      <c r="H108" s="289"/>
      <c r="I108" s="290"/>
      <c r="J108" s="290"/>
      <c r="K108" s="291"/>
      <c r="L108" s="18"/>
      <c r="M108" s="285" t="str">
        <f t="shared" ref="M108" si="156">IF(COUNT(L108:L109)&lt;1,"",AVERAGE(L108:L109))</f>
        <v/>
      </c>
      <c r="N108" s="22"/>
      <c r="O108" s="285" t="str">
        <f t="shared" ref="O108" si="157">IF(COUNT(N108:N109)&lt;1,"",AVERAGE(N108:N109))</f>
        <v/>
      </c>
      <c r="P108" s="22"/>
      <c r="Q108" s="285" t="str">
        <f t="shared" ref="Q108" si="158">IF(COUNT(P108:P109)&lt;1,"",AVERAGE(P108:P109))</f>
        <v/>
      </c>
      <c r="R108" s="278" t="str">
        <f>IF($X$13="/28",IF(COUNT(P108:P109)&lt;=1,"",ABS(P108-P109)),IF($X$13="/90",IF(COUNT(#REF!)&lt;=1,"",ABS(#REF!-#REF!))))</f>
        <v/>
      </c>
      <c r="S108" s="278" t="str">
        <f>IF($X$13="/28",IF(Q108="","",IF(AVERAGE(Q104:Q109)&gt;=$W$13,ROUND(AVERAGE(Q104:Q109),1)&amp;" ≥ "&amp;$W$13&amp;" OK",ROUND(AVERAGE(Q104:Q109),1)&amp;" &lt; "&amp;$W$13&amp;" NC")),IF($X$13="/90",IF(#REF!="","",IF(AVERAGE(#REF!)&gt;=$W$13,ROUND(AVERAGE(#REF!),1)&amp;" ≥ "&amp;$W$13&amp;" OK",ROUND(AVERAGE(#REF!),1)&amp;" &lt; "&amp;$W$13&amp;" NC"))))</f>
        <v/>
      </c>
      <c r="T108" s="278" t="str">
        <f>IF($X$13="/28",IF(Q108="","",IF(Q108&gt;=$W$13-$S$12,ROUND((Q108),1)&amp;" ≥ "&amp;$W$13-$S$12&amp;" OK",ROUND((Q108),1)&amp;" &lt; "&amp;$W$13-$S$12&amp;" NC")),IF($X$13="/90",IF(#REF!="","",IF(#REF!&gt;=$W$13-$S$12,ROUND((#REF!),1)&amp;" ≥ "&amp;$W$13-$S$12&amp;" OK",ROUND((#REF!),1)&amp;" &lt; "&amp;$W$13-$S$12&amp;" NC"))))</f>
        <v/>
      </c>
      <c r="U108" s="14"/>
      <c r="V108" s="279"/>
      <c r="W108" s="280"/>
      <c r="X108" s="281"/>
      <c r="Y108" s="246"/>
      <c r="Z108" s="246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BP108" s="390" t="str">
        <f>IF($X$13="/28",IF(Q108="","",Q108),IF($X$13="/90",IF(#REF!="","",#REF!),"Falso"))</f>
        <v/>
      </c>
      <c r="BQ108" s="392" t="str">
        <f t="shared" si="138"/>
        <v/>
      </c>
      <c r="BS108" s="50" t="str">
        <f>Q198</f>
        <v/>
      </c>
      <c r="BT108" s="50" t="e">
        <f>#REF!</f>
        <v>#REF!</v>
      </c>
      <c r="BU108" s="39" t="str">
        <f t="shared" si="125"/>
        <v/>
      </c>
      <c r="BV108" s="39" t="str">
        <f t="shared" si="118"/>
        <v/>
      </c>
    </row>
    <row r="109" spans="1:74" ht="14.25" customHeight="1" x14ac:dyDescent="0.35">
      <c r="A109" s="294"/>
      <c r="B109" s="296"/>
      <c r="C109" s="298"/>
      <c r="D109" s="300"/>
      <c r="E109" s="302"/>
      <c r="F109" s="304"/>
      <c r="G109" s="276"/>
      <c r="H109" s="277"/>
      <c r="I109" s="290"/>
      <c r="J109" s="290"/>
      <c r="K109" s="291"/>
      <c r="L109" s="17"/>
      <c r="M109" s="286"/>
      <c r="N109" s="21"/>
      <c r="O109" s="286"/>
      <c r="P109" s="21"/>
      <c r="Q109" s="286"/>
      <c r="R109" s="248"/>
      <c r="S109" s="287"/>
      <c r="T109" s="248"/>
      <c r="U109" s="13"/>
      <c r="V109" s="282"/>
      <c r="W109" s="283"/>
      <c r="X109" s="284"/>
      <c r="Y109" s="245"/>
      <c r="Z109" s="245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BP109" s="391"/>
      <c r="BQ109" s="393"/>
      <c r="BS109" s="50" t="str">
        <f>Q200</f>
        <v/>
      </c>
      <c r="BT109" s="50" t="e">
        <f>#REF!</f>
        <v>#REF!</v>
      </c>
      <c r="BU109" s="39" t="str">
        <f t="shared" si="125"/>
        <v/>
      </c>
      <c r="BV109" s="39" t="str">
        <f t="shared" si="118"/>
        <v/>
      </c>
    </row>
    <row r="110" spans="1:74" ht="14.25" customHeight="1" x14ac:dyDescent="0.35">
      <c r="A110" s="293">
        <v>47</v>
      </c>
      <c r="B110" s="295"/>
      <c r="C110" s="297"/>
      <c r="D110" s="299"/>
      <c r="E110" s="301"/>
      <c r="F110" s="303"/>
      <c r="G110" s="288"/>
      <c r="H110" s="289"/>
      <c r="I110" s="290"/>
      <c r="J110" s="290"/>
      <c r="K110" s="291"/>
      <c r="L110" s="18"/>
      <c r="M110" s="285" t="str">
        <f t="shared" ref="M110" si="159">IF(COUNT(L110:L111)&lt;1,"",AVERAGE(L110:L111))</f>
        <v/>
      </c>
      <c r="N110" s="22"/>
      <c r="O110" s="285" t="str">
        <f t="shared" ref="O110" si="160">IF(COUNT(N110:N111)&lt;1,"",AVERAGE(N110:N111))</f>
        <v/>
      </c>
      <c r="P110" s="22"/>
      <c r="Q110" s="285" t="str">
        <f t="shared" ref="Q110" si="161">IF(COUNT(P110:P111)&lt;1,"",AVERAGE(P110:P111))</f>
        <v/>
      </c>
      <c r="R110" s="278" t="str">
        <f>IF($X$13="/28",IF(COUNT(P110:P111)&lt;=1,"",ABS(P110-P111)),IF($X$13="/90",IF(COUNT(#REF!)&lt;=1,"",ABS(#REF!-#REF!))))</f>
        <v/>
      </c>
      <c r="S110" s="278" t="str">
        <f>IF($X$13="/28",IF(Q110="","",IF(AVERAGE(Q106:Q111)&gt;=$W$13,ROUND(AVERAGE(Q106:Q111),1)&amp;" ≥ "&amp;$W$13&amp;" OK",ROUND(AVERAGE(Q106:Q111),1)&amp;" &lt; "&amp;$W$13&amp;" NC")),IF($X$13="/90",IF(#REF!="","",IF(AVERAGE(#REF!)&gt;=$W$13,ROUND(AVERAGE(#REF!),1)&amp;" ≥ "&amp;$W$13&amp;" OK",ROUND(AVERAGE(#REF!),1)&amp;" &lt; "&amp;$W$13&amp;" NC"))))</f>
        <v/>
      </c>
      <c r="T110" s="278" t="str">
        <f>IF($X$13="/28",IF(Q110="","",IF(Q110&gt;=$W$13-$S$12,ROUND((Q110),1)&amp;" ≥ "&amp;$W$13-$S$12&amp;" OK",ROUND((Q110),1)&amp;" &lt; "&amp;$W$13-$S$12&amp;" NC")),IF($X$13="/90",IF(#REF!="","",IF(#REF!&gt;=$W$13-$S$12,ROUND((#REF!),1)&amp;" ≥ "&amp;$W$13-$S$12&amp;" OK",ROUND((#REF!),1)&amp;" &lt; "&amp;$W$13-$S$12&amp;" NC"))))</f>
        <v/>
      </c>
      <c r="U110" s="14"/>
      <c r="V110" s="279"/>
      <c r="W110" s="280"/>
      <c r="X110" s="281"/>
      <c r="Y110" s="246"/>
      <c r="Z110" s="246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BP110" s="390" t="str">
        <f>IF($X$13="/28",IF(Q110="","",Q110),IF($X$13="/90",IF(#REF!="","",#REF!),"Falso"))</f>
        <v/>
      </c>
      <c r="BQ110" s="392" t="str">
        <f t="shared" si="142"/>
        <v/>
      </c>
      <c r="BS110" s="50" t="str">
        <f>Q202</f>
        <v/>
      </c>
      <c r="BT110" s="50" t="e">
        <f>#REF!</f>
        <v>#REF!</v>
      </c>
      <c r="BU110" s="39" t="str">
        <f t="shared" si="125"/>
        <v/>
      </c>
      <c r="BV110" s="39" t="str">
        <f t="shared" si="118"/>
        <v/>
      </c>
    </row>
    <row r="111" spans="1:74" ht="14.25" customHeight="1" x14ac:dyDescent="0.35">
      <c r="A111" s="294"/>
      <c r="B111" s="296"/>
      <c r="C111" s="298"/>
      <c r="D111" s="300"/>
      <c r="E111" s="302"/>
      <c r="F111" s="304"/>
      <c r="G111" s="276"/>
      <c r="H111" s="277"/>
      <c r="I111" s="290"/>
      <c r="J111" s="290"/>
      <c r="K111" s="291"/>
      <c r="L111" s="17"/>
      <c r="M111" s="286"/>
      <c r="N111" s="21"/>
      <c r="O111" s="286"/>
      <c r="P111" s="21"/>
      <c r="Q111" s="286"/>
      <c r="R111" s="248"/>
      <c r="S111" s="287"/>
      <c r="T111" s="248"/>
      <c r="U111" s="13"/>
      <c r="V111" s="282"/>
      <c r="W111" s="283"/>
      <c r="X111" s="284"/>
      <c r="Y111" s="245"/>
      <c r="Z111" s="245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BP111" s="391"/>
      <c r="BQ111" s="393"/>
      <c r="BS111" s="50" t="str">
        <f>Q204</f>
        <v/>
      </c>
      <c r="BT111" s="50" t="e">
        <f>#REF!</f>
        <v>#REF!</v>
      </c>
      <c r="BU111" s="39" t="str">
        <f t="shared" si="125"/>
        <v/>
      </c>
      <c r="BV111" s="39" t="str">
        <f t="shared" si="118"/>
        <v/>
      </c>
    </row>
    <row r="112" spans="1:74" ht="14.25" customHeight="1" x14ac:dyDescent="0.35">
      <c r="A112" s="293">
        <v>48</v>
      </c>
      <c r="B112" s="295"/>
      <c r="C112" s="297"/>
      <c r="D112" s="299"/>
      <c r="E112" s="301"/>
      <c r="F112" s="303"/>
      <c r="G112" s="288"/>
      <c r="H112" s="289"/>
      <c r="I112" s="290"/>
      <c r="J112" s="290"/>
      <c r="K112" s="291"/>
      <c r="L112" s="18"/>
      <c r="M112" s="285" t="str">
        <f t="shared" ref="M112" si="162">IF(COUNT(L112:L113)&lt;1,"",AVERAGE(L112:L113))</f>
        <v/>
      </c>
      <c r="N112" s="22"/>
      <c r="O112" s="285" t="str">
        <f t="shared" ref="O112" si="163">IF(COUNT(N112:N113)&lt;1,"",AVERAGE(N112:N113))</f>
        <v/>
      </c>
      <c r="P112" s="22"/>
      <c r="Q112" s="285" t="str">
        <f t="shared" ref="Q112" si="164">IF(COUNT(P112:P113)&lt;1,"",AVERAGE(P112:P113))</f>
        <v/>
      </c>
      <c r="R112" s="278" t="str">
        <f>IF($X$13="/28",IF(COUNT(P112:P113)&lt;=1,"",ABS(P112-P113)),IF($X$13="/90",IF(COUNT(#REF!)&lt;=1,"",ABS(#REF!-#REF!))))</f>
        <v/>
      </c>
      <c r="S112" s="278" t="str">
        <f>IF($X$13="/28",IF(Q112="","",IF(AVERAGE(Q108:Q113)&gt;=$W$13,ROUND(AVERAGE(Q108:Q113),1)&amp;" ≥ "&amp;$W$13&amp;" OK",ROUND(AVERAGE(Q108:Q113),1)&amp;" &lt; "&amp;$W$13&amp;" NC")),IF($X$13="/90",IF(#REF!="","",IF(AVERAGE(#REF!)&gt;=$W$13,ROUND(AVERAGE(#REF!),1)&amp;" ≥ "&amp;$W$13&amp;" OK",ROUND(AVERAGE(#REF!),1)&amp;" &lt; "&amp;$W$13&amp;" NC"))))</f>
        <v/>
      </c>
      <c r="T112" s="278" t="str">
        <f>IF($X$13="/28",IF(Q112="","",IF(Q112&gt;=$W$13-$S$12,ROUND((Q112),1)&amp;" ≥ "&amp;$W$13-$S$12&amp;" OK",ROUND((Q112),1)&amp;" &lt; "&amp;$W$13-$S$12&amp;" NC")),IF($X$13="/90",IF(#REF!="","",IF(#REF!&gt;=$W$13-$S$12,ROUND((#REF!),1)&amp;" ≥ "&amp;$W$13-$S$12&amp;" OK",ROUND((#REF!),1)&amp;" &lt; "&amp;$W$13-$S$12&amp;" NC"))))</f>
        <v/>
      </c>
      <c r="U112" s="14"/>
      <c r="V112" s="279"/>
      <c r="W112" s="280"/>
      <c r="X112" s="281"/>
      <c r="Y112" s="246"/>
      <c r="Z112" s="246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BP112" s="390" t="str">
        <f>IF($X$13="/28",IF(Q112="","",Q112),IF($X$13="/90",IF(#REF!="","",#REF!),"Falso"))</f>
        <v/>
      </c>
      <c r="BQ112" s="392" t="str">
        <f t="shared" si="146"/>
        <v/>
      </c>
      <c r="BS112" s="50" t="str">
        <f>Q206</f>
        <v/>
      </c>
      <c r="BT112" s="50" t="e">
        <f>#REF!</f>
        <v>#REF!</v>
      </c>
      <c r="BU112" s="39" t="str">
        <f t="shared" si="125"/>
        <v/>
      </c>
      <c r="BV112" s="39" t="str">
        <f t="shared" si="118"/>
        <v/>
      </c>
    </row>
    <row r="113" spans="1:74" ht="14.25" customHeight="1" x14ac:dyDescent="0.35">
      <c r="A113" s="294"/>
      <c r="B113" s="296"/>
      <c r="C113" s="298"/>
      <c r="D113" s="300"/>
      <c r="E113" s="302"/>
      <c r="F113" s="304"/>
      <c r="G113" s="276"/>
      <c r="H113" s="277"/>
      <c r="I113" s="290"/>
      <c r="J113" s="290"/>
      <c r="K113" s="291"/>
      <c r="L113" s="17"/>
      <c r="M113" s="286"/>
      <c r="N113" s="21"/>
      <c r="O113" s="286"/>
      <c r="P113" s="21"/>
      <c r="Q113" s="286"/>
      <c r="R113" s="248"/>
      <c r="S113" s="287"/>
      <c r="T113" s="248"/>
      <c r="U113" s="13"/>
      <c r="V113" s="282"/>
      <c r="W113" s="283"/>
      <c r="X113" s="284"/>
      <c r="Y113" s="245"/>
      <c r="Z113" s="245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BP113" s="391"/>
      <c r="BQ113" s="393"/>
      <c r="BS113" s="50" t="str">
        <f>Q208</f>
        <v/>
      </c>
      <c r="BT113" s="50" t="e">
        <f>#REF!</f>
        <v>#REF!</v>
      </c>
      <c r="BU113" s="39" t="str">
        <f t="shared" si="125"/>
        <v/>
      </c>
      <c r="BV113" s="39" t="str">
        <f t="shared" si="118"/>
        <v/>
      </c>
    </row>
    <row r="114" spans="1:74" ht="14.25" customHeight="1" x14ac:dyDescent="0.35">
      <c r="A114" s="293">
        <v>49</v>
      </c>
      <c r="B114" s="295"/>
      <c r="C114" s="297"/>
      <c r="D114" s="299"/>
      <c r="E114" s="301"/>
      <c r="F114" s="303"/>
      <c r="G114" s="288"/>
      <c r="H114" s="289"/>
      <c r="I114" s="290"/>
      <c r="J114" s="290"/>
      <c r="K114" s="291"/>
      <c r="L114" s="18"/>
      <c r="M114" s="285" t="str">
        <f t="shared" ref="M114" si="165">IF(COUNT(L114:L115)&lt;1,"",AVERAGE(L114:L115))</f>
        <v/>
      </c>
      <c r="N114" s="22"/>
      <c r="O114" s="285" t="str">
        <f t="shared" ref="O114" si="166">IF(COUNT(N114:N115)&lt;1,"",AVERAGE(N114:N115))</f>
        <v/>
      </c>
      <c r="P114" s="22"/>
      <c r="Q114" s="285" t="str">
        <f t="shared" ref="Q114" si="167">IF(COUNT(P114:P115)&lt;1,"",AVERAGE(P114:P115))</f>
        <v/>
      </c>
      <c r="R114" s="278" t="str">
        <f>IF($X$13="/28",IF(COUNT(P114:P115)&lt;=1,"",ABS(P114-P115)),IF($X$13="/90",IF(COUNT(#REF!)&lt;=1,"",ABS(#REF!-#REF!))))</f>
        <v/>
      </c>
      <c r="S114" s="278" t="str">
        <f>IF($X$13="/28",IF(Q114="","",IF(AVERAGE(Q110:Q115)&gt;=$W$13,ROUND(AVERAGE(Q110:Q115),1)&amp;" ≥ "&amp;$W$13&amp;" OK",ROUND(AVERAGE(Q110:Q115),1)&amp;" &lt; "&amp;$W$13&amp;" NC")),IF($X$13="/90",IF(#REF!="","",IF(AVERAGE(#REF!)&gt;=$W$13,ROUND(AVERAGE(#REF!),1)&amp;" ≥ "&amp;$W$13&amp;" OK",ROUND(AVERAGE(#REF!),1)&amp;" &lt; "&amp;$W$13&amp;" NC"))))</f>
        <v/>
      </c>
      <c r="T114" s="278" t="str">
        <f>IF($X$13="/28",IF(Q114="","",IF(Q114&gt;=$W$13-$S$12,ROUND((Q114),1)&amp;" ≥ "&amp;$W$13-$S$12&amp;" OK",ROUND((Q114),1)&amp;" &lt; "&amp;$W$13-$S$12&amp;" NC")),IF($X$13="/90",IF(#REF!="","",IF(#REF!&gt;=$W$13-$S$12,ROUND((#REF!),1)&amp;" ≥ "&amp;$W$13-$S$12&amp;" OK",ROUND((#REF!),1)&amp;" &lt; "&amp;$W$13-$S$12&amp;" NC"))))</f>
        <v/>
      </c>
      <c r="U114" s="14"/>
      <c r="V114" s="279"/>
      <c r="W114" s="280"/>
      <c r="X114" s="281"/>
      <c r="Y114" s="246"/>
      <c r="Z114" s="246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BP114" s="390" t="str">
        <f>IF($X$13="/28",IF(Q114="","",Q114),IF($X$13="/90",IF(#REF!="","",#REF!),"Falso"))</f>
        <v/>
      </c>
      <c r="BQ114" s="392" t="str">
        <f t="shared" si="138"/>
        <v/>
      </c>
      <c r="BS114" s="50" t="str">
        <f>Q210</f>
        <v/>
      </c>
      <c r="BT114" s="50" t="e">
        <f>#REF!</f>
        <v>#REF!</v>
      </c>
      <c r="BU114" s="39" t="str">
        <f t="shared" si="125"/>
        <v/>
      </c>
      <c r="BV114" s="39" t="str">
        <f t="shared" si="118"/>
        <v/>
      </c>
    </row>
    <row r="115" spans="1:74" ht="14.25" customHeight="1" x14ac:dyDescent="0.35">
      <c r="A115" s="294"/>
      <c r="B115" s="296"/>
      <c r="C115" s="298"/>
      <c r="D115" s="300"/>
      <c r="E115" s="302"/>
      <c r="F115" s="304"/>
      <c r="G115" s="276"/>
      <c r="H115" s="277"/>
      <c r="I115" s="290"/>
      <c r="J115" s="290"/>
      <c r="K115" s="291"/>
      <c r="L115" s="17"/>
      <c r="M115" s="286"/>
      <c r="N115" s="21"/>
      <c r="O115" s="286"/>
      <c r="P115" s="21"/>
      <c r="Q115" s="286"/>
      <c r="R115" s="248"/>
      <c r="S115" s="287"/>
      <c r="T115" s="248"/>
      <c r="U115" s="13"/>
      <c r="V115" s="282"/>
      <c r="W115" s="283"/>
      <c r="X115" s="284"/>
      <c r="Y115" s="245"/>
      <c r="Z115" s="245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BP115" s="391"/>
      <c r="BQ115" s="393"/>
      <c r="BS115" s="50" t="str">
        <f>Q212</f>
        <v/>
      </c>
      <c r="BT115" s="50" t="e">
        <f>#REF!</f>
        <v>#REF!</v>
      </c>
      <c r="BU115" s="39" t="str">
        <f t="shared" si="125"/>
        <v/>
      </c>
      <c r="BV115" s="39" t="str">
        <f t="shared" si="118"/>
        <v/>
      </c>
    </row>
    <row r="116" spans="1:74" ht="14.25" customHeight="1" x14ac:dyDescent="0.35">
      <c r="A116" s="293">
        <v>50</v>
      </c>
      <c r="B116" s="295"/>
      <c r="C116" s="297"/>
      <c r="D116" s="299"/>
      <c r="E116" s="301"/>
      <c r="F116" s="303"/>
      <c r="G116" s="288"/>
      <c r="H116" s="289"/>
      <c r="I116" s="290"/>
      <c r="J116" s="290"/>
      <c r="K116" s="291"/>
      <c r="L116" s="18"/>
      <c r="M116" s="285" t="str">
        <f t="shared" ref="M116" si="168">IF(COUNT(L116:L117)&lt;1,"",AVERAGE(L116:L117))</f>
        <v/>
      </c>
      <c r="N116" s="22"/>
      <c r="O116" s="285" t="str">
        <f t="shared" ref="O116" si="169">IF(COUNT(N116:N117)&lt;1,"",AVERAGE(N116:N117))</f>
        <v/>
      </c>
      <c r="P116" s="22"/>
      <c r="Q116" s="285" t="str">
        <f t="shared" ref="Q116" si="170">IF(COUNT(P116:P117)&lt;1,"",AVERAGE(P116:P117))</f>
        <v/>
      </c>
      <c r="R116" s="278" t="str">
        <f>IF($X$13="/28",IF(COUNT(P116:P117)&lt;=1,"",ABS(P116-P117)),IF($X$13="/90",IF(COUNT(#REF!)&lt;=1,"",ABS(#REF!-#REF!))))</f>
        <v/>
      </c>
      <c r="S116" s="278" t="str">
        <f>IF($X$13="/28",IF(Q116="","",IF(AVERAGE(Q112:Q117)&gt;=$W$13,ROUND(AVERAGE(Q112:Q117),1)&amp;" ≥ "&amp;$W$13&amp;" OK",ROUND(AVERAGE(Q112:Q117),1)&amp;" &lt; "&amp;$W$13&amp;" NC")),IF($X$13="/90",IF(#REF!="","",IF(AVERAGE(#REF!)&gt;=$W$13,ROUND(AVERAGE(#REF!),1)&amp;" ≥ "&amp;$W$13&amp;" OK",ROUND(AVERAGE(#REF!),1)&amp;" &lt; "&amp;$W$13&amp;" NC"))))</f>
        <v/>
      </c>
      <c r="T116" s="278" t="str">
        <f>IF($X$13="/28",IF(Q116="","",IF(Q116&gt;=$W$13-$S$12,ROUND((Q116),1)&amp;" ≥ "&amp;$W$13-$S$12&amp;" OK",ROUND((Q116),1)&amp;" &lt; "&amp;$W$13-$S$12&amp;" NC")),IF($X$13="/90",IF(#REF!="","",IF(#REF!&gt;=$W$13-$S$12,ROUND((#REF!),1)&amp;" ≥ "&amp;$W$13-$S$12&amp;" OK",ROUND((#REF!),1)&amp;" &lt; "&amp;$W$13-$S$12&amp;" NC"))))</f>
        <v/>
      </c>
      <c r="U116" s="14"/>
      <c r="V116" s="279"/>
      <c r="W116" s="280"/>
      <c r="X116" s="281"/>
      <c r="Y116" s="246"/>
      <c r="Z116" s="246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BP116" s="390" t="str">
        <f>IF($X$13="/28",IF(Q116="","",Q116),IF($X$13="/90",IF(#REF!="","",#REF!),"Falso"))</f>
        <v/>
      </c>
      <c r="BQ116" s="392" t="str">
        <f t="shared" si="142"/>
        <v/>
      </c>
      <c r="BS116" s="50" t="str">
        <f>Q214</f>
        <v/>
      </c>
      <c r="BT116" s="50" t="e">
        <f>#REF!</f>
        <v>#REF!</v>
      </c>
      <c r="BU116" s="39" t="str">
        <f t="shared" si="125"/>
        <v/>
      </c>
      <c r="BV116" s="39" t="str">
        <f t="shared" si="118"/>
        <v/>
      </c>
    </row>
    <row r="117" spans="1:74" ht="14.25" customHeight="1" x14ac:dyDescent="0.35">
      <c r="A117" s="294"/>
      <c r="B117" s="296"/>
      <c r="C117" s="298"/>
      <c r="D117" s="300"/>
      <c r="E117" s="302"/>
      <c r="F117" s="304"/>
      <c r="G117" s="276"/>
      <c r="H117" s="277"/>
      <c r="I117" s="290"/>
      <c r="J117" s="290"/>
      <c r="K117" s="291"/>
      <c r="L117" s="17"/>
      <c r="M117" s="286"/>
      <c r="N117" s="21"/>
      <c r="O117" s="286"/>
      <c r="P117" s="21"/>
      <c r="Q117" s="286"/>
      <c r="R117" s="248"/>
      <c r="S117" s="287"/>
      <c r="T117" s="248"/>
      <c r="U117" s="13"/>
      <c r="V117" s="282"/>
      <c r="W117" s="283"/>
      <c r="X117" s="284"/>
      <c r="Y117" s="245"/>
      <c r="Z117" s="245"/>
      <c r="AA117" s="1"/>
      <c r="AB117" s="1"/>
      <c r="BP117" s="391"/>
      <c r="BQ117" s="393"/>
      <c r="BS117" s="50" t="str">
        <f>Q216</f>
        <v/>
      </c>
      <c r="BT117" s="50" t="e">
        <f>#REF!</f>
        <v>#REF!</v>
      </c>
      <c r="BU117" s="39" t="str">
        <f t="shared" si="125"/>
        <v/>
      </c>
      <c r="BV117" s="39" t="str">
        <f t="shared" si="118"/>
        <v/>
      </c>
    </row>
    <row r="118" spans="1:74" ht="14.25" customHeight="1" x14ac:dyDescent="0.35">
      <c r="A118" s="293">
        <v>51</v>
      </c>
      <c r="B118" s="295"/>
      <c r="C118" s="297"/>
      <c r="D118" s="299"/>
      <c r="E118" s="301"/>
      <c r="F118" s="303"/>
      <c r="G118" s="288"/>
      <c r="H118" s="289"/>
      <c r="I118" s="290"/>
      <c r="J118" s="290"/>
      <c r="K118" s="291"/>
      <c r="L118" s="18"/>
      <c r="M118" s="285" t="str">
        <f t="shared" ref="M118" si="171">IF(COUNT(L118:L119)&lt;1,"",AVERAGE(L118:L119))</f>
        <v/>
      </c>
      <c r="N118" s="22"/>
      <c r="O118" s="285" t="str">
        <f t="shared" ref="O118" si="172">IF(COUNT(N118:N119)&lt;1,"",AVERAGE(N118:N119))</f>
        <v/>
      </c>
      <c r="P118" s="22"/>
      <c r="Q118" s="285" t="str">
        <f t="shared" ref="Q118" si="173">IF(COUNT(P118:P119)&lt;1,"",AVERAGE(P118:P119))</f>
        <v/>
      </c>
      <c r="R118" s="278" t="str">
        <f>IF($X$13="/28",IF(COUNT(P118:P119)&lt;=1,"",ABS(P118-P119)),IF($X$13="/90",IF(COUNT(#REF!)&lt;=1,"",ABS(#REF!-#REF!))))</f>
        <v/>
      </c>
      <c r="S118" s="278" t="str">
        <f>IF($X$13="/28",IF(Q118="","",IF(AVERAGE(Q114:Q119)&gt;=$W$13,ROUND(AVERAGE(Q114:Q119),1)&amp;" ≥ "&amp;$W$13&amp;" OK",ROUND(AVERAGE(Q114:Q119),1)&amp;" &lt; "&amp;$W$13&amp;" NC")),IF($X$13="/90",IF(#REF!="","",IF(AVERAGE(#REF!)&gt;=$W$13,ROUND(AVERAGE(#REF!),1)&amp;" ≥ "&amp;$W$13&amp;" OK",ROUND(AVERAGE(#REF!),1)&amp;" &lt; "&amp;$W$13&amp;" NC"))))</f>
        <v/>
      </c>
      <c r="T118" s="278" t="str">
        <f>IF($X$13="/28",IF(Q118="","",IF(Q118&gt;=$W$13-$S$12,ROUND((Q118),1)&amp;" ≥ "&amp;$W$13-$S$12&amp;" OK",ROUND((Q118),1)&amp;" &lt; "&amp;$W$13-$S$12&amp;" NC")),IF($X$13="/90",IF(#REF!="","",IF(#REF!&gt;=$W$13-$S$12,ROUND((#REF!),1)&amp;" ≥ "&amp;$W$13-$S$12&amp;" OK",ROUND((#REF!),1)&amp;" &lt; "&amp;$W$13-$S$12&amp;" NC"))))</f>
        <v/>
      </c>
      <c r="U118" s="14"/>
      <c r="V118" s="279"/>
      <c r="W118" s="280"/>
      <c r="X118" s="281"/>
      <c r="Y118" s="246"/>
      <c r="Z118" s="246"/>
      <c r="AA118" s="1"/>
      <c r="AB118" s="1"/>
      <c r="BP118" s="390" t="str">
        <f>IF($X$13="/28",IF(Q118="","",Q118),IF($X$13="/90",IF(#REF!="","",#REF!),"Falso"))</f>
        <v/>
      </c>
      <c r="BQ118" s="392" t="str">
        <f t="shared" si="146"/>
        <v/>
      </c>
      <c r="BS118" s="50" t="str">
        <f>Q218</f>
        <v/>
      </c>
      <c r="BT118" s="50" t="e">
        <f>#REF!</f>
        <v>#REF!</v>
      </c>
      <c r="BU118" s="39" t="str">
        <f t="shared" si="125"/>
        <v/>
      </c>
      <c r="BV118" s="39" t="str">
        <f t="shared" si="118"/>
        <v/>
      </c>
    </row>
    <row r="119" spans="1:74" ht="14.25" customHeight="1" x14ac:dyDescent="0.35">
      <c r="A119" s="294"/>
      <c r="B119" s="296"/>
      <c r="C119" s="298"/>
      <c r="D119" s="300"/>
      <c r="E119" s="302"/>
      <c r="F119" s="304"/>
      <c r="G119" s="276"/>
      <c r="H119" s="277"/>
      <c r="I119" s="290"/>
      <c r="J119" s="290"/>
      <c r="K119" s="291"/>
      <c r="L119" s="17"/>
      <c r="M119" s="286"/>
      <c r="N119" s="21"/>
      <c r="O119" s="286"/>
      <c r="P119" s="21"/>
      <c r="Q119" s="286"/>
      <c r="R119" s="248"/>
      <c r="S119" s="287"/>
      <c r="T119" s="248"/>
      <c r="U119" s="13"/>
      <c r="V119" s="282"/>
      <c r="W119" s="283"/>
      <c r="X119" s="284"/>
      <c r="Y119" s="245"/>
      <c r="Z119" s="245"/>
      <c r="AA119" s="1"/>
      <c r="AB119" s="1"/>
      <c r="BP119" s="391"/>
      <c r="BQ119" s="393"/>
      <c r="BS119" s="50" t="str">
        <f>Q220</f>
        <v/>
      </c>
      <c r="BT119" s="50" t="e">
        <f>#REF!</f>
        <v>#REF!</v>
      </c>
      <c r="BU119" s="39" t="str">
        <f t="shared" si="125"/>
        <v/>
      </c>
      <c r="BV119" s="39" t="str">
        <f t="shared" si="118"/>
        <v/>
      </c>
    </row>
    <row r="120" spans="1:74" ht="14.25" customHeight="1" x14ac:dyDescent="0.35">
      <c r="A120" s="293">
        <v>52</v>
      </c>
      <c r="B120" s="295"/>
      <c r="C120" s="297"/>
      <c r="D120" s="299"/>
      <c r="E120" s="301"/>
      <c r="F120" s="303"/>
      <c r="G120" s="288"/>
      <c r="H120" s="289"/>
      <c r="I120" s="290"/>
      <c r="J120" s="290"/>
      <c r="K120" s="291"/>
      <c r="L120" s="18"/>
      <c r="M120" s="285" t="str">
        <f t="shared" ref="M120" si="174">IF(COUNT(L120:L121)&lt;1,"",AVERAGE(L120:L121))</f>
        <v/>
      </c>
      <c r="N120" s="22"/>
      <c r="O120" s="285" t="str">
        <f t="shared" ref="O120" si="175">IF(COUNT(N120:N121)&lt;1,"",AVERAGE(N120:N121))</f>
        <v/>
      </c>
      <c r="P120" s="22"/>
      <c r="Q120" s="285" t="str">
        <f t="shared" ref="Q120" si="176">IF(COUNT(P120:P121)&lt;1,"",AVERAGE(P120:P121))</f>
        <v/>
      </c>
      <c r="R120" s="278" t="str">
        <f>IF($X$13="/28",IF(COUNT(P120:P121)&lt;=1,"",ABS(P120-P121)),IF($X$13="/90",IF(COUNT(#REF!)&lt;=1,"",ABS(#REF!-#REF!))))</f>
        <v/>
      </c>
      <c r="S120" s="278" t="str">
        <f>IF($X$13="/28",IF(Q120="","",IF(AVERAGE(Q116:Q121)&gt;=$W$13,ROUND(AVERAGE(Q116:Q121),1)&amp;" ≥ "&amp;$W$13&amp;" OK",ROUND(AVERAGE(Q116:Q121),1)&amp;" &lt; "&amp;$W$13&amp;" NC")),IF($X$13="/90",IF(#REF!="","",IF(AVERAGE(#REF!)&gt;=$W$13,ROUND(AVERAGE(#REF!),1)&amp;" ≥ "&amp;$W$13&amp;" OK",ROUND(AVERAGE(#REF!),1)&amp;" &lt; "&amp;$W$13&amp;" NC"))))</f>
        <v/>
      </c>
      <c r="T120" s="278" t="str">
        <f>IF($X$13="/28",IF(Q120="","",IF(Q120&gt;=$W$13-$S$12,ROUND((Q120),1)&amp;" ≥ "&amp;$W$13-$S$12&amp;" OK",ROUND((Q120),1)&amp;" &lt; "&amp;$W$13-$S$12&amp;" NC")),IF($X$13="/90",IF(#REF!="","",IF(#REF!&gt;=$W$13-$S$12,ROUND((#REF!),1)&amp;" ≥ "&amp;$W$13-$S$12&amp;" OK",ROUND((#REF!),1)&amp;" &lt; "&amp;$W$13-$S$12&amp;" NC"))))</f>
        <v/>
      </c>
      <c r="U120" s="14"/>
      <c r="V120" s="279"/>
      <c r="W120" s="280"/>
      <c r="X120" s="281"/>
      <c r="Y120" s="246"/>
      <c r="Z120" s="246"/>
      <c r="AA120" s="1"/>
      <c r="AB120" s="1"/>
      <c r="BP120" s="390" t="str">
        <f>IF($X$13="/28",IF(Q120="","",Q120),IF($X$13="/90",IF(#REF!="","",#REF!),"Falso"))</f>
        <v/>
      </c>
      <c r="BQ120" s="392" t="str">
        <f t="shared" si="138"/>
        <v/>
      </c>
      <c r="BS120" s="50" t="str">
        <f>Q222</f>
        <v/>
      </c>
      <c r="BT120" s="50" t="e">
        <f>#REF!</f>
        <v>#REF!</v>
      </c>
      <c r="BU120" s="39" t="str">
        <f t="shared" si="125"/>
        <v/>
      </c>
      <c r="BV120" s="39" t="str">
        <f t="shared" si="118"/>
        <v/>
      </c>
    </row>
    <row r="121" spans="1:74" ht="14.25" customHeight="1" x14ac:dyDescent="0.35">
      <c r="A121" s="294"/>
      <c r="B121" s="296"/>
      <c r="C121" s="298"/>
      <c r="D121" s="300"/>
      <c r="E121" s="302"/>
      <c r="F121" s="304"/>
      <c r="G121" s="276"/>
      <c r="H121" s="277"/>
      <c r="I121" s="290"/>
      <c r="J121" s="290"/>
      <c r="K121" s="291"/>
      <c r="L121" s="17"/>
      <c r="M121" s="286"/>
      <c r="N121" s="21"/>
      <c r="O121" s="286"/>
      <c r="P121" s="21"/>
      <c r="Q121" s="286"/>
      <c r="R121" s="248"/>
      <c r="S121" s="287"/>
      <c r="T121" s="248"/>
      <c r="U121" s="13"/>
      <c r="V121" s="282"/>
      <c r="W121" s="283"/>
      <c r="X121" s="284"/>
      <c r="Y121" s="245"/>
      <c r="Z121" s="245"/>
      <c r="AA121" s="1"/>
      <c r="AB121" s="1"/>
      <c r="BP121" s="391"/>
      <c r="BQ121" s="393"/>
      <c r="BS121" s="50" t="str">
        <f>Q224</f>
        <v/>
      </c>
      <c r="BT121" s="50" t="e">
        <f>#REF!</f>
        <v>#REF!</v>
      </c>
      <c r="BU121" s="39" t="str">
        <f t="shared" si="125"/>
        <v/>
      </c>
      <c r="BV121" s="39" t="str">
        <f t="shared" si="118"/>
        <v/>
      </c>
    </row>
    <row r="122" spans="1:74" ht="14.25" customHeight="1" x14ac:dyDescent="0.35">
      <c r="A122" s="293">
        <v>53</v>
      </c>
      <c r="B122" s="295"/>
      <c r="C122" s="297"/>
      <c r="D122" s="299"/>
      <c r="E122" s="301"/>
      <c r="F122" s="303"/>
      <c r="G122" s="288"/>
      <c r="H122" s="289"/>
      <c r="I122" s="290"/>
      <c r="J122" s="290"/>
      <c r="K122" s="291"/>
      <c r="L122" s="18"/>
      <c r="M122" s="285" t="str">
        <f t="shared" ref="M122" si="177">IF(COUNT(L122:L123)&lt;1,"",AVERAGE(L122:L123))</f>
        <v/>
      </c>
      <c r="N122" s="22"/>
      <c r="O122" s="285" t="str">
        <f t="shared" ref="O122" si="178">IF(COUNT(N122:N123)&lt;1,"",AVERAGE(N122:N123))</f>
        <v/>
      </c>
      <c r="P122" s="22"/>
      <c r="Q122" s="285" t="str">
        <f t="shared" ref="Q122" si="179">IF(COUNT(P122:P123)&lt;1,"",AVERAGE(P122:P123))</f>
        <v/>
      </c>
      <c r="R122" s="278" t="str">
        <f>IF($X$13="/28",IF(COUNT(P122:P123)&lt;=1,"",ABS(P122-P123)),IF($X$13="/90",IF(COUNT(#REF!)&lt;=1,"",ABS(#REF!-#REF!))))</f>
        <v/>
      </c>
      <c r="S122" s="278" t="str">
        <f>IF($X$13="/28",IF(Q122="","",IF(AVERAGE(Q118:Q123)&gt;=$W$13,ROUND(AVERAGE(Q118:Q123),1)&amp;" ≥ "&amp;$W$13&amp;" OK",ROUND(AVERAGE(Q118:Q123),1)&amp;" &lt; "&amp;$W$13&amp;" NC")),IF($X$13="/90",IF(#REF!="","",IF(AVERAGE(#REF!)&gt;=$W$13,ROUND(AVERAGE(#REF!),1)&amp;" ≥ "&amp;$W$13&amp;" OK",ROUND(AVERAGE(#REF!),1)&amp;" &lt; "&amp;$W$13&amp;" NC"))))</f>
        <v/>
      </c>
      <c r="T122" s="278" t="str">
        <f>IF($X$13="/28",IF(Q122="","",IF(Q122&gt;=$W$13-$S$12,ROUND((Q122),1)&amp;" ≥ "&amp;$W$13-$S$12&amp;" OK",ROUND((Q122),1)&amp;" &lt; "&amp;$W$13-$S$12&amp;" NC")),IF($X$13="/90",IF(#REF!="","",IF(#REF!&gt;=$W$13-$S$12,ROUND((#REF!),1)&amp;" ≥ "&amp;$W$13-$S$12&amp;" OK",ROUND((#REF!),1)&amp;" &lt; "&amp;$W$13-$S$12&amp;" NC"))))</f>
        <v/>
      </c>
      <c r="U122" s="14"/>
      <c r="V122" s="279"/>
      <c r="W122" s="280"/>
      <c r="X122" s="281"/>
      <c r="Y122" s="246"/>
      <c r="Z122" s="246"/>
      <c r="AA122" s="1"/>
      <c r="AB122" s="1"/>
      <c r="BP122" s="390" t="str">
        <f>IF($X$13="/28",IF(Q122="","",Q122),IF($X$13="/90",IF(#REF!="","",#REF!),"Falso"))</f>
        <v/>
      </c>
      <c r="BQ122" s="392" t="str">
        <f t="shared" si="142"/>
        <v/>
      </c>
      <c r="BS122" s="50" t="str">
        <f>Q226</f>
        <v/>
      </c>
      <c r="BT122" s="50" t="e">
        <f>#REF!</f>
        <v>#REF!</v>
      </c>
      <c r="BU122" s="39" t="str">
        <f t="shared" si="125"/>
        <v/>
      </c>
      <c r="BV122" s="39" t="str">
        <f t="shared" si="118"/>
        <v/>
      </c>
    </row>
    <row r="123" spans="1:74" ht="14.25" customHeight="1" x14ac:dyDescent="0.35">
      <c r="A123" s="294"/>
      <c r="B123" s="296"/>
      <c r="C123" s="298"/>
      <c r="D123" s="300"/>
      <c r="E123" s="302"/>
      <c r="F123" s="304"/>
      <c r="G123" s="276"/>
      <c r="H123" s="277"/>
      <c r="I123" s="290"/>
      <c r="J123" s="290"/>
      <c r="K123" s="291"/>
      <c r="L123" s="17"/>
      <c r="M123" s="286"/>
      <c r="N123" s="21"/>
      <c r="O123" s="286"/>
      <c r="P123" s="21"/>
      <c r="Q123" s="286"/>
      <c r="R123" s="248"/>
      <c r="S123" s="287"/>
      <c r="T123" s="248"/>
      <c r="U123" s="13"/>
      <c r="V123" s="282"/>
      <c r="W123" s="283"/>
      <c r="X123" s="284"/>
      <c r="Y123" s="245"/>
      <c r="Z123" s="245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BP123" s="391"/>
      <c r="BQ123" s="393"/>
      <c r="BS123" s="50" t="str">
        <f>Q228</f>
        <v/>
      </c>
      <c r="BT123" s="50" t="e">
        <f>#REF!</f>
        <v>#REF!</v>
      </c>
      <c r="BU123" s="39" t="str">
        <f t="shared" si="125"/>
        <v/>
      </c>
      <c r="BV123" s="39" t="str">
        <f t="shared" si="118"/>
        <v/>
      </c>
    </row>
    <row r="124" spans="1:74" ht="14.25" customHeight="1" x14ac:dyDescent="0.35">
      <c r="A124" s="293">
        <v>54</v>
      </c>
      <c r="B124" s="295"/>
      <c r="C124" s="297"/>
      <c r="D124" s="299"/>
      <c r="E124" s="301"/>
      <c r="F124" s="303"/>
      <c r="G124" s="288"/>
      <c r="H124" s="289"/>
      <c r="I124" s="290"/>
      <c r="J124" s="290"/>
      <c r="K124" s="291"/>
      <c r="L124" s="18"/>
      <c r="M124" s="285" t="str">
        <f t="shared" ref="M124" si="180">IF(COUNT(L124:L125)&lt;1,"",AVERAGE(L124:L125))</f>
        <v/>
      </c>
      <c r="N124" s="22"/>
      <c r="O124" s="285" t="str">
        <f t="shared" ref="O124" si="181">IF(COUNT(N124:N125)&lt;1,"",AVERAGE(N124:N125))</f>
        <v/>
      </c>
      <c r="P124" s="22"/>
      <c r="Q124" s="285" t="str">
        <f t="shared" ref="Q124" si="182">IF(COUNT(P124:P125)&lt;1,"",AVERAGE(P124:P125))</f>
        <v/>
      </c>
      <c r="R124" s="278" t="str">
        <f>IF($X$13="/28",IF(COUNT(P124:P125)&lt;=1,"",ABS(P124-P125)),IF($X$13="/90",IF(COUNT(#REF!)&lt;=1,"",ABS(#REF!-#REF!))))</f>
        <v/>
      </c>
      <c r="S124" s="278" t="str">
        <f>IF($X$13="/28",IF(Q124="","",IF(AVERAGE(Q120:Q125)&gt;=$W$13,ROUND(AVERAGE(Q120:Q125),1)&amp;" ≥ "&amp;$W$13&amp;" OK",ROUND(AVERAGE(Q120:Q125),1)&amp;" &lt; "&amp;$W$13&amp;" NC")),IF($X$13="/90",IF(#REF!="","",IF(AVERAGE(#REF!)&gt;=$W$13,ROUND(AVERAGE(#REF!),1)&amp;" ≥ "&amp;$W$13&amp;" OK",ROUND(AVERAGE(#REF!),1)&amp;" &lt; "&amp;$W$13&amp;" NC"))))</f>
        <v/>
      </c>
      <c r="T124" s="278" t="str">
        <f>IF($X$13="/28",IF(Q124="","",IF(Q124&gt;=$W$13-$S$12,ROUND((Q124),1)&amp;" ≥ "&amp;$W$13-$S$12&amp;" OK",ROUND((Q124),1)&amp;" &lt; "&amp;$W$13-$S$12&amp;" NC")),IF($X$13="/90",IF(#REF!="","",IF(#REF!&gt;=$W$13-$S$12,ROUND((#REF!),1)&amp;" ≥ "&amp;$W$13-$S$12&amp;" OK",ROUND((#REF!),1)&amp;" &lt; "&amp;$W$13-$S$12&amp;" NC"))))</f>
        <v/>
      </c>
      <c r="U124" s="14"/>
      <c r="V124" s="279"/>
      <c r="W124" s="280"/>
      <c r="X124" s="281"/>
      <c r="Y124" s="246"/>
      <c r="Z124" s="246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BP124" s="390" t="str">
        <f>IF($X$13="/28",IF(Q124="","",Q124),IF($X$13="/90",IF(#REF!="","",#REF!),"Falso"))</f>
        <v/>
      </c>
      <c r="BQ124" s="392" t="str">
        <f t="shared" si="146"/>
        <v/>
      </c>
      <c r="BS124" s="50" t="str">
        <f>Q230</f>
        <v/>
      </c>
      <c r="BT124" s="50" t="e">
        <f>#REF!</f>
        <v>#REF!</v>
      </c>
      <c r="BU124" s="39" t="str">
        <f t="shared" si="125"/>
        <v/>
      </c>
      <c r="BV124" s="39" t="str">
        <f t="shared" si="118"/>
        <v/>
      </c>
    </row>
    <row r="125" spans="1:74" ht="14.25" customHeight="1" x14ac:dyDescent="0.35">
      <c r="A125" s="294"/>
      <c r="B125" s="296"/>
      <c r="C125" s="298"/>
      <c r="D125" s="300"/>
      <c r="E125" s="302"/>
      <c r="F125" s="304"/>
      <c r="G125" s="276"/>
      <c r="H125" s="277"/>
      <c r="I125" s="290"/>
      <c r="J125" s="290"/>
      <c r="K125" s="291"/>
      <c r="L125" s="17"/>
      <c r="M125" s="286"/>
      <c r="N125" s="21"/>
      <c r="O125" s="286"/>
      <c r="P125" s="21"/>
      <c r="Q125" s="286"/>
      <c r="R125" s="248"/>
      <c r="S125" s="287"/>
      <c r="T125" s="248"/>
      <c r="U125" s="13"/>
      <c r="V125" s="282"/>
      <c r="W125" s="283"/>
      <c r="X125" s="284"/>
      <c r="Y125" s="245"/>
      <c r="Z125" s="245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BP125" s="391"/>
      <c r="BQ125" s="393"/>
      <c r="BS125" s="50" t="str">
        <f>Q232</f>
        <v/>
      </c>
      <c r="BT125" s="50" t="e">
        <f>#REF!</f>
        <v>#REF!</v>
      </c>
      <c r="BU125" s="39" t="str">
        <f t="shared" si="125"/>
        <v/>
      </c>
      <c r="BV125" s="39" t="str">
        <f t="shared" si="118"/>
        <v/>
      </c>
    </row>
    <row r="126" spans="1:74" ht="14.25" customHeight="1" x14ac:dyDescent="0.35">
      <c r="A126" s="293">
        <v>55</v>
      </c>
      <c r="B126" s="295"/>
      <c r="C126" s="297"/>
      <c r="D126" s="299"/>
      <c r="E126" s="301"/>
      <c r="F126" s="303"/>
      <c r="G126" s="288"/>
      <c r="H126" s="289"/>
      <c r="I126" s="290"/>
      <c r="J126" s="290"/>
      <c r="K126" s="291"/>
      <c r="L126" s="18"/>
      <c r="M126" s="285" t="str">
        <f t="shared" ref="M126" si="183">IF(COUNT(L126:L127)&lt;1,"",AVERAGE(L126:L127))</f>
        <v/>
      </c>
      <c r="N126" s="22"/>
      <c r="O126" s="285" t="str">
        <f t="shared" ref="O126" si="184">IF(COUNT(N126:N127)&lt;1,"",AVERAGE(N126:N127))</f>
        <v/>
      </c>
      <c r="P126" s="22"/>
      <c r="Q126" s="285" t="str">
        <f t="shared" ref="Q126" si="185">IF(COUNT(P126:P127)&lt;1,"",AVERAGE(P126:P127))</f>
        <v/>
      </c>
      <c r="R126" s="278" t="str">
        <f>IF($X$13="/28",IF(COUNT(P126:P127)&lt;=1,"",ABS(P126-P127)),IF($X$13="/90",IF(COUNT(#REF!)&lt;=1,"",ABS(#REF!-#REF!))))</f>
        <v/>
      </c>
      <c r="S126" s="278" t="str">
        <f>IF($X$13="/28",IF(Q126="","",IF(AVERAGE(Q122:Q127)&gt;=$W$13,ROUND(AVERAGE(Q122:Q127),1)&amp;" ≥ "&amp;$W$13&amp;" OK",ROUND(AVERAGE(Q122:Q127),1)&amp;" &lt; "&amp;$W$13&amp;" NC")),IF($X$13="/90",IF(#REF!="","",IF(AVERAGE(#REF!)&gt;=$W$13,ROUND(AVERAGE(#REF!),1)&amp;" ≥ "&amp;$W$13&amp;" OK",ROUND(AVERAGE(#REF!),1)&amp;" &lt; "&amp;$W$13&amp;" NC"))))</f>
        <v/>
      </c>
      <c r="T126" s="278" t="str">
        <f>IF($X$13="/28",IF(Q126="","",IF(Q126&gt;=$W$13-$S$12,ROUND((Q126),1)&amp;" ≥ "&amp;$W$13-$S$12&amp;" OK",ROUND((Q126),1)&amp;" &lt; "&amp;$W$13-$S$12&amp;" NC")),IF($X$13="/90",IF(#REF!="","",IF(#REF!&gt;=$W$13-$S$12,ROUND((#REF!),1)&amp;" ≥ "&amp;$W$13-$S$12&amp;" OK",ROUND((#REF!),1)&amp;" &lt; "&amp;$W$13-$S$12&amp;" NC"))))</f>
        <v/>
      </c>
      <c r="U126" s="14"/>
      <c r="V126" s="279"/>
      <c r="W126" s="280"/>
      <c r="X126" s="281"/>
      <c r="Y126" s="246"/>
      <c r="Z126" s="246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BP126" s="390" t="str">
        <f>IF($X$13="/28",IF(Q126="","",Q126),IF($X$13="/90",IF(#REF!="","",#REF!),"Falso"))</f>
        <v/>
      </c>
      <c r="BQ126" s="392" t="str">
        <f t="shared" si="138"/>
        <v/>
      </c>
      <c r="BS126" s="50" t="str">
        <f>Q234</f>
        <v/>
      </c>
      <c r="BT126" s="50" t="e">
        <f>#REF!</f>
        <v>#REF!</v>
      </c>
      <c r="BU126" s="39" t="str">
        <f t="shared" si="125"/>
        <v/>
      </c>
      <c r="BV126" s="39" t="str">
        <f t="shared" si="118"/>
        <v/>
      </c>
    </row>
    <row r="127" spans="1:74" ht="14.25" customHeight="1" x14ac:dyDescent="0.35">
      <c r="A127" s="294"/>
      <c r="B127" s="296"/>
      <c r="C127" s="298"/>
      <c r="D127" s="300"/>
      <c r="E127" s="302"/>
      <c r="F127" s="304"/>
      <c r="G127" s="276"/>
      <c r="H127" s="277"/>
      <c r="I127" s="290"/>
      <c r="J127" s="290"/>
      <c r="K127" s="291"/>
      <c r="L127" s="17"/>
      <c r="M127" s="286"/>
      <c r="N127" s="21"/>
      <c r="O127" s="286"/>
      <c r="P127" s="21"/>
      <c r="Q127" s="286"/>
      <c r="R127" s="248"/>
      <c r="S127" s="287"/>
      <c r="T127" s="248"/>
      <c r="U127" s="13"/>
      <c r="V127" s="282"/>
      <c r="W127" s="283"/>
      <c r="X127" s="284"/>
      <c r="Y127" s="245"/>
      <c r="Z127" s="245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BP127" s="391"/>
      <c r="BQ127" s="393"/>
      <c r="BS127" s="50" t="str">
        <f>Q236</f>
        <v/>
      </c>
      <c r="BT127" s="50" t="e">
        <f>#REF!</f>
        <v>#REF!</v>
      </c>
      <c r="BU127" s="39" t="str">
        <f t="shared" si="125"/>
        <v/>
      </c>
      <c r="BV127" s="39" t="str">
        <f t="shared" si="118"/>
        <v/>
      </c>
    </row>
    <row r="128" spans="1:74" ht="14.25" customHeight="1" x14ac:dyDescent="0.35">
      <c r="A128" s="293">
        <v>56</v>
      </c>
      <c r="B128" s="295"/>
      <c r="C128" s="297"/>
      <c r="D128" s="299"/>
      <c r="E128" s="301"/>
      <c r="F128" s="303"/>
      <c r="G128" s="288"/>
      <c r="H128" s="289"/>
      <c r="I128" s="290"/>
      <c r="J128" s="290"/>
      <c r="K128" s="291"/>
      <c r="L128" s="18"/>
      <c r="M128" s="285" t="str">
        <f t="shared" ref="M128" si="186">IF(COUNT(L128:L129)&lt;1,"",AVERAGE(L128:L129))</f>
        <v/>
      </c>
      <c r="N128" s="22"/>
      <c r="O128" s="285" t="str">
        <f t="shared" ref="O128" si="187">IF(COUNT(N128:N129)&lt;1,"",AVERAGE(N128:N129))</f>
        <v/>
      </c>
      <c r="P128" s="22"/>
      <c r="Q128" s="285" t="str">
        <f t="shared" ref="Q128" si="188">IF(COUNT(P128:P129)&lt;1,"",AVERAGE(P128:P129))</f>
        <v/>
      </c>
      <c r="R128" s="278" t="str">
        <f>IF($X$13="/28",IF(COUNT(P128:P129)&lt;=1,"",ABS(P128-P129)),IF($X$13="/90",IF(COUNT(#REF!)&lt;=1,"",ABS(#REF!-#REF!))))</f>
        <v/>
      </c>
      <c r="S128" s="278" t="str">
        <f>IF($X$13="/28",IF(Q128="","",IF(AVERAGE(Q124:Q129)&gt;=$W$13,ROUND(AVERAGE(Q124:Q129),1)&amp;" ≥ "&amp;$W$13&amp;" OK",ROUND(AVERAGE(Q124:Q129),1)&amp;" &lt; "&amp;$W$13&amp;" NC")),IF($X$13="/90",IF(#REF!="","",IF(AVERAGE(#REF!)&gt;=$W$13,ROUND(AVERAGE(#REF!),1)&amp;" ≥ "&amp;$W$13&amp;" OK",ROUND(AVERAGE(#REF!),1)&amp;" &lt; "&amp;$W$13&amp;" NC"))))</f>
        <v/>
      </c>
      <c r="T128" s="278" t="str">
        <f>IF($X$13="/28",IF(Q128="","",IF(Q128&gt;=$W$13-$S$12,ROUND((Q128),1)&amp;" ≥ "&amp;$W$13-$S$12&amp;" OK",ROUND((Q128),1)&amp;" &lt; "&amp;$W$13-$S$12&amp;" NC")),IF($X$13="/90",IF(#REF!="","",IF(#REF!&gt;=$W$13-$S$12,ROUND((#REF!),1)&amp;" ≥ "&amp;$W$13-$S$12&amp;" OK",ROUND((#REF!),1)&amp;" &lt; "&amp;$W$13-$S$12&amp;" NC"))))</f>
        <v/>
      </c>
      <c r="U128" s="14"/>
      <c r="V128" s="279"/>
      <c r="W128" s="280"/>
      <c r="X128" s="281"/>
      <c r="Y128" s="246"/>
      <c r="Z128" s="246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BP128" s="390" t="str">
        <f>IF($X$13="/28",IF(Q128="","",Q128),IF($X$13="/90",IF(#REF!="","",#REF!),"Falso"))</f>
        <v/>
      </c>
      <c r="BQ128" s="392" t="str">
        <f t="shared" si="142"/>
        <v/>
      </c>
      <c r="BS128" s="50" t="str">
        <f>Q238</f>
        <v/>
      </c>
      <c r="BT128" s="50" t="e">
        <f>#REF!</f>
        <v>#REF!</v>
      </c>
      <c r="BU128" s="39" t="str">
        <f t="shared" si="125"/>
        <v/>
      </c>
      <c r="BV128" s="39" t="str">
        <f t="shared" si="118"/>
        <v/>
      </c>
    </row>
    <row r="129" spans="1:74" ht="14.25" customHeight="1" x14ac:dyDescent="0.35">
      <c r="A129" s="294"/>
      <c r="B129" s="296"/>
      <c r="C129" s="298"/>
      <c r="D129" s="300"/>
      <c r="E129" s="302"/>
      <c r="F129" s="304"/>
      <c r="G129" s="276"/>
      <c r="H129" s="277"/>
      <c r="I129" s="290"/>
      <c r="J129" s="290"/>
      <c r="K129" s="291"/>
      <c r="L129" s="17"/>
      <c r="M129" s="286"/>
      <c r="N129" s="21"/>
      <c r="O129" s="286"/>
      <c r="P129" s="21"/>
      <c r="Q129" s="286"/>
      <c r="R129" s="248"/>
      <c r="S129" s="287"/>
      <c r="T129" s="248"/>
      <c r="U129" s="13"/>
      <c r="V129" s="282"/>
      <c r="W129" s="283"/>
      <c r="X129" s="284"/>
      <c r="Y129" s="245"/>
      <c r="Z129" s="245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BP129" s="391"/>
      <c r="BQ129" s="393"/>
      <c r="BS129" s="50" t="str">
        <f>Q240</f>
        <v/>
      </c>
      <c r="BT129" s="50" t="e">
        <f>#REF!</f>
        <v>#REF!</v>
      </c>
      <c r="BU129" s="39" t="str">
        <f t="shared" si="125"/>
        <v/>
      </c>
      <c r="BV129" s="39" t="str">
        <f t="shared" si="118"/>
        <v/>
      </c>
    </row>
    <row r="130" spans="1:74" ht="14.25" customHeight="1" x14ac:dyDescent="0.35">
      <c r="A130" s="293">
        <v>57</v>
      </c>
      <c r="B130" s="295"/>
      <c r="C130" s="297"/>
      <c r="D130" s="299"/>
      <c r="E130" s="301"/>
      <c r="F130" s="303"/>
      <c r="G130" s="288"/>
      <c r="H130" s="289"/>
      <c r="I130" s="290"/>
      <c r="J130" s="290"/>
      <c r="K130" s="291"/>
      <c r="L130" s="18"/>
      <c r="M130" s="285" t="str">
        <f t="shared" ref="M130" si="189">IF(COUNT(L130:L131)&lt;1,"",AVERAGE(L130:L131))</f>
        <v/>
      </c>
      <c r="N130" s="22"/>
      <c r="O130" s="285" t="str">
        <f t="shared" ref="O130" si="190">IF(COUNT(N130:N131)&lt;1,"",AVERAGE(N130:N131))</f>
        <v/>
      </c>
      <c r="P130" s="22"/>
      <c r="Q130" s="285" t="str">
        <f t="shared" ref="Q130" si="191">IF(COUNT(P130:P131)&lt;1,"",AVERAGE(P130:P131))</f>
        <v/>
      </c>
      <c r="R130" s="278" t="str">
        <f>IF($X$13="/28",IF(COUNT(P130:P131)&lt;=1,"",ABS(P130-P131)),IF($X$13="/90",IF(COUNT(#REF!)&lt;=1,"",ABS(#REF!-#REF!))))</f>
        <v/>
      </c>
      <c r="S130" s="278" t="str">
        <f>IF($X$13="/28",IF(Q130="","",IF(AVERAGE(Q126:Q131)&gt;=$W$13,ROUND(AVERAGE(Q126:Q131),1)&amp;" ≥ "&amp;$W$13&amp;" OK",ROUND(AVERAGE(Q126:Q131),1)&amp;" &lt; "&amp;$W$13&amp;" NC")),IF($X$13="/90",IF(#REF!="","",IF(AVERAGE(#REF!)&gt;=$W$13,ROUND(AVERAGE(#REF!),1)&amp;" ≥ "&amp;$W$13&amp;" OK",ROUND(AVERAGE(#REF!),1)&amp;" &lt; "&amp;$W$13&amp;" NC"))))</f>
        <v/>
      </c>
      <c r="T130" s="278" t="str">
        <f>IF($X$13="/28",IF(Q130="","",IF(Q130&gt;=$W$13-$S$12,ROUND((Q130),1)&amp;" ≥ "&amp;$W$13-$S$12&amp;" OK",ROUND((Q130),1)&amp;" &lt; "&amp;$W$13-$S$12&amp;" NC")),IF($X$13="/90",IF(#REF!="","",IF(#REF!&gt;=$W$13-$S$12,ROUND((#REF!),1)&amp;" ≥ "&amp;$W$13-$S$12&amp;" OK",ROUND((#REF!),1)&amp;" &lt; "&amp;$W$13-$S$12&amp;" NC"))))</f>
        <v/>
      </c>
      <c r="U130" s="14"/>
      <c r="V130" s="279"/>
      <c r="W130" s="280"/>
      <c r="X130" s="281"/>
      <c r="Y130" s="246"/>
      <c r="Z130" s="246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BP130" s="390" t="str">
        <f>IF($X$13="/28",IF(Q130="","",Q130),IF($X$13="/90",IF(#REF!="","",#REF!),"Falso"))</f>
        <v/>
      </c>
      <c r="BQ130" s="392" t="str">
        <f t="shared" si="146"/>
        <v/>
      </c>
      <c r="BS130" s="50" t="str">
        <f>Q242</f>
        <v/>
      </c>
      <c r="BT130" s="50" t="e">
        <f>#REF!</f>
        <v>#REF!</v>
      </c>
      <c r="BU130" s="39" t="str">
        <f t="shared" si="125"/>
        <v/>
      </c>
      <c r="BV130" s="39" t="str">
        <f t="shared" si="118"/>
        <v/>
      </c>
    </row>
    <row r="131" spans="1:74" ht="14.25" customHeight="1" x14ac:dyDescent="0.35">
      <c r="A131" s="294"/>
      <c r="B131" s="296"/>
      <c r="C131" s="298"/>
      <c r="D131" s="300"/>
      <c r="E131" s="302"/>
      <c r="F131" s="304"/>
      <c r="G131" s="276"/>
      <c r="H131" s="277"/>
      <c r="I131" s="290"/>
      <c r="J131" s="290"/>
      <c r="K131" s="291"/>
      <c r="L131" s="17"/>
      <c r="M131" s="286"/>
      <c r="N131" s="21"/>
      <c r="O131" s="286"/>
      <c r="P131" s="21"/>
      <c r="Q131" s="286"/>
      <c r="R131" s="248"/>
      <c r="S131" s="287"/>
      <c r="T131" s="248"/>
      <c r="U131" s="13"/>
      <c r="V131" s="282"/>
      <c r="W131" s="283"/>
      <c r="X131" s="284"/>
      <c r="Y131" s="245"/>
      <c r="Z131" s="245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BP131" s="391"/>
      <c r="BQ131" s="393"/>
      <c r="BS131" s="50" t="str">
        <f>Q244</f>
        <v/>
      </c>
      <c r="BT131" s="50" t="e">
        <f>#REF!</f>
        <v>#REF!</v>
      </c>
      <c r="BU131" s="39" t="str">
        <f t="shared" si="125"/>
        <v/>
      </c>
      <c r="BV131" s="39" t="str">
        <f t="shared" si="118"/>
        <v/>
      </c>
    </row>
    <row r="132" spans="1:74" ht="14.25" customHeight="1" x14ac:dyDescent="0.35">
      <c r="A132" s="293">
        <v>58</v>
      </c>
      <c r="B132" s="295"/>
      <c r="C132" s="297"/>
      <c r="D132" s="299"/>
      <c r="E132" s="301"/>
      <c r="F132" s="303"/>
      <c r="G132" s="288"/>
      <c r="H132" s="289"/>
      <c r="I132" s="290"/>
      <c r="J132" s="290"/>
      <c r="K132" s="291"/>
      <c r="L132" s="18"/>
      <c r="M132" s="285" t="str">
        <f t="shared" ref="M132" si="192">IF(COUNT(L132:L133)&lt;1,"",AVERAGE(L132:L133))</f>
        <v/>
      </c>
      <c r="N132" s="22"/>
      <c r="O132" s="285" t="str">
        <f t="shared" ref="O132" si="193">IF(COUNT(N132:N133)&lt;1,"",AVERAGE(N132:N133))</f>
        <v/>
      </c>
      <c r="P132" s="22"/>
      <c r="Q132" s="285" t="str">
        <f t="shared" ref="Q132" si="194">IF(COUNT(P132:P133)&lt;1,"",AVERAGE(P132:P133))</f>
        <v/>
      </c>
      <c r="R132" s="278" t="str">
        <f>IF($X$13="/28",IF(COUNT(P132:P133)&lt;=1,"",ABS(P132-P133)),IF($X$13="/90",IF(COUNT(#REF!)&lt;=1,"",ABS(#REF!-#REF!))))</f>
        <v/>
      </c>
      <c r="S132" s="278" t="str">
        <f>IF($X$13="/28",IF(Q132="","",IF(AVERAGE(Q128:Q133)&gt;=$W$13,ROUND(AVERAGE(Q128:Q133),1)&amp;" ≥ "&amp;$W$13&amp;" OK",ROUND(AVERAGE(Q128:Q133),1)&amp;" &lt; "&amp;$W$13&amp;" NC")),IF($X$13="/90",IF(#REF!="","",IF(AVERAGE(#REF!)&gt;=$W$13,ROUND(AVERAGE(#REF!),1)&amp;" ≥ "&amp;$W$13&amp;" OK",ROUND(AVERAGE(#REF!),1)&amp;" &lt; "&amp;$W$13&amp;" NC"))))</f>
        <v/>
      </c>
      <c r="T132" s="278" t="str">
        <f>IF($X$13="/28",IF(Q132="","",IF(Q132&gt;=$W$13-$S$12,ROUND((Q132),1)&amp;" ≥ "&amp;$W$13-$S$12&amp;" OK",ROUND((Q132),1)&amp;" &lt; "&amp;$W$13-$S$12&amp;" NC")),IF($X$13="/90",IF(#REF!="","",IF(#REF!&gt;=$W$13-$S$12,ROUND((#REF!),1)&amp;" ≥ "&amp;$W$13-$S$12&amp;" OK",ROUND((#REF!),1)&amp;" &lt; "&amp;$W$13-$S$12&amp;" NC"))))</f>
        <v/>
      </c>
      <c r="U132" s="14"/>
      <c r="V132" s="279"/>
      <c r="W132" s="280"/>
      <c r="X132" s="281"/>
      <c r="Y132" s="246"/>
      <c r="Z132" s="246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BP132" s="390" t="str">
        <f>IF($X$13="/28",IF(Q132="","",Q132),IF($X$13="/90",IF(#REF!="","",#REF!),"Falso"))</f>
        <v/>
      </c>
      <c r="BQ132" s="392" t="str">
        <f t="shared" si="138"/>
        <v/>
      </c>
      <c r="BS132" s="50" t="str">
        <f>Q246</f>
        <v/>
      </c>
      <c r="BT132" s="50" t="e">
        <f>#REF!</f>
        <v>#REF!</v>
      </c>
      <c r="BU132" s="39" t="str">
        <f t="shared" si="125"/>
        <v/>
      </c>
      <c r="BV132" s="39" t="str">
        <f t="shared" si="118"/>
        <v/>
      </c>
    </row>
    <row r="133" spans="1:74" ht="14.25" customHeight="1" x14ac:dyDescent="0.35">
      <c r="A133" s="294"/>
      <c r="B133" s="296"/>
      <c r="C133" s="298"/>
      <c r="D133" s="300"/>
      <c r="E133" s="302"/>
      <c r="F133" s="304"/>
      <c r="G133" s="276"/>
      <c r="H133" s="277"/>
      <c r="I133" s="290"/>
      <c r="J133" s="290"/>
      <c r="K133" s="291"/>
      <c r="L133" s="17"/>
      <c r="M133" s="286"/>
      <c r="N133" s="21"/>
      <c r="O133" s="286"/>
      <c r="P133" s="21"/>
      <c r="Q133" s="286"/>
      <c r="R133" s="248"/>
      <c r="S133" s="287"/>
      <c r="T133" s="248"/>
      <c r="U133" s="13"/>
      <c r="V133" s="282"/>
      <c r="W133" s="283"/>
      <c r="X133" s="284"/>
      <c r="Y133" s="245"/>
      <c r="Z133" s="245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BP133" s="391"/>
      <c r="BQ133" s="393"/>
      <c r="BS133" s="50" t="str">
        <f>Q248</f>
        <v/>
      </c>
      <c r="BT133" s="50" t="e">
        <f>#REF!</f>
        <v>#REF!</v>
      </c>
      <c r="BU133" s="39" t="str">
        <f t="shared" si="125"/>
        <v/>
      </c>
      <c r="BV133" s="39" t="str">
        <f t="shared" si="118"/>
        <v/>
      </c>
    </row>
    <row r="134" spans="1:74" ht="14.25" customHeight="1" x14ac:dyDescent="0.35">
      <c r="A134" s="293">
        <v>59</v>
      </c>
      <c r="B134" s="295"/>
      <c r="C134" s="297"/>
      <c r="D134" s="299"/>
      <c r="E134" s="301"/>
      <c r="F134" s="303"/>
      <c r="G134" s="288"/>
      <c r="H134" s="289"/>
      <c r="I134" s="290"/>
      <c r="J134" s="290"/>
      <c r="K134" s="291"/>
      <c r="L134" s="18"/>
      <c r="M134" s="285" t="str">
        <f t="shared" ref="M134" si="195">IF(COUNT(L134:L135)&lt;1,"",AVERAGE(L134:L135))</f>
        <v/>
      </c>
      <c r="N134" s="22"/>
      <c r="O134" s="285" t="str">
        <f t="shared" ref="O134" si="196">IF(COUNT(N134:N135)&lt;1,"",AVERAGE(N134:N135))</f>
        <v/>
      </c>
      <c r="P134" s="22"/>
      <c r="Q134" s="285" t="str">
        <f t="shared" ref="Q134" si="197">IF(COUNT(P134:P135)&lt;1,"",AVERAGE(P134:P135))</f>
        <v/>
      </c>
      <c r="R134" s="278" t="str">
        <f>IF($X$13="/28",IF(COUNT(P134:P135)&lt;=1,"",ABS(P134-P135)),IF($X$13="/90",IF(COUNT(#REF!)&lt;=1,"",ABS(#REF!-#REF!))))</f>
        <v/>
      </c>
      <c r="S134" s="278" t="str">
        <f>IF($X$13="/28",IF(Q134="","",IF(AVERAGE(Q130:Q135)&gt;=$W$13,ROUND(AVERAGE(Q130:Q135),1)&amp;" ≥ "&amp;$W$13&amp;" OK",ROUND(AVERAGE(Q130:Q135),1)&amp;" &lt; "&amp;$W$13&amp;" NC")),IF($X$13="/90",IF(#REF!="","",IF(AVERAGE(#REF!)&gt;=$W$13,ROUND(AVERAGE(#REF!),1)&amp;" ≥ "&amp;$W$13&amp;" OK",ROUND(AVERAGE(#REF!),1)&amp;" &lt; "&amp;$W$13&amp;" NC"))))</f>
        <v/>
      </c>
      <c r="T134" s="278" t="str">
        <f>IF($X$13="/28",IF(Q134="","",IF(Q134&gt;=$W$13-$S$12,ROUND((Q134),1)&amp;" ≥ "&amp;$W$13-$S$12&amp;" OK",ROUND((Q134),1)&amp;" &lt; "&amp;$W$13-$S$12&amp;" NC")),IF($X$13="/90",IF(#REF!="","",IF(#REF!&gt;=$W$13-$S$12,ROUND((#REF!),1)&amp;" ≥ "&amp;$W$13-$S$12&amp;" OK",ROUND((#REF!),1)&amp;" &lt; "&amp;$W$13-$S$12&amp;" NC"))))</f>
        <v/>
      </c>
      <c r="U134" s="14"/>
      <c r="V134" s="279"/>
      <c r="W134" s="280"/>
      <c r="X134" s="281"/>
      <c r="Y134" s="246"/>
      <c r="Z134" s="246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BP134" s="390" t="str">
        <f>IF($X$13="/28",IF(Q134="","",Q134),IF($X$13="/90",IF(#REF!="","",#REF!),"Falso"))</f>
        <v/>
      </c>
      <c r="BQ134" s="392" t="str">
        <f t="shared" si="142"/>
        <v/>
      </c>
      <c r="BS134" s="50" t="str">
        <f>Q250</f>
        <v/>
      </c>
      <c r="BT134" s="50" t="e">
        <f>#REF!</f>
        <v>#REF!</v>
      </c>
      <c r="BU134" s="39" t="str">
        <f t="shared" si="125"/>
        <v/>
      </c>
      <c r="BV134" s="39" t="str">
        <f t="shared" si="118"/>
        <v/>
      </c>
    </row>
    <row r="135" spans="1:74" ht="14.25" customHeight="1" x14ac:dyDescent="0.35">
      <c r="A135" s="294"/>
      <c r="B135" s="296"/>
      <c r="C135" s="298"/>
      <c r="D135" s="300"/>
      <c r="E135" s="302"/>
      <c r="F135" s="304"/>
      <c r="G135" s="276"/>
      <c r="H135" s="277"/>
      <c r="I135" s="290"/>
      <c r="J135" s="290"/>
      <c r="K135" s="291"/>
      <c r="L135" s="17"/>
      <c r="M135" s="286"/>
      <c r="N135" s="21"/>
      <c r="O135" s="286"/>
      <c r="P135" s="21"/>
      <c r="Q135" s="286"/>
      <c r="R135" s="248"/>
      <c r="S135" s="287"/>
      <c r="T135" s="248"/>
      <c r="U135" s="13"/>
      <c r="V135" s="282"/>
      <c r="W135" s="283"/>
      <c r="X135" s="284"/>
      <c r="Y135" s="245"/>
      <c r="Z135" s="245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BP135" s="391"/>
      <c r="BQ135" s="393"/>
      <c r="BS135" s="50" t="str">
        <f>Q252</f>
        <v/>
      </c>
      <c r="BT135" s="50" t="e">
        <f>#REF!</f>
        <v>#REF!</v>
      </c>
      <c r="BU135" s="39" t="str">
        <f t="shared" si="125"/>
        <v/>
      </c>
      <c r="BV135" s="39" t="str">
        <f t="shared" si="118"/>
        <v/>
      </c>
    </row>
    <row r="136" spans="1:74" ht="14.25" customHeight="1" x14ac:dyDescent="0.35">
      <c r="A136" s="293">
        <v>60</v>
      </c>
      <c r="B136" s="295"/>
      <c r="C136" s="297"/>
      <c r="D136" s="299"/>
      <c r="E136" s="301"/>
      <c r="F136" s="303"/>
      <c r="G136" s="288"/>
      <c r="H136" s="289"/>
      <c r="I136" s="290"/>
      <c r="J136" s="290"/>
      <c r="K136" s="291"/>
      <c r="L136" s="18"/>
      <c r="M136" s="285" t="str">
        <f t="shared" ref="M136" si="198">IF(COUNT(L136:L137)&lt;1,"",AVERAGE(L136:L137))</f>
        <v/>
      </c>
      <c r="N136" s="22"/>
      <c r="O136" s="285" t="str">
        <f t="shared" ref="O136" si="199">IF(COUNT(N136:N137)&lt;1,"",AVERAGE(N136:N137))</f>
        <v/>
      </c>
      <c r="P136" s="22"/>
      <c r="Q136" s="285" t="str">
        <f t="shared" ref="Q136" si="200">IF(COUNT(P136:P137)&lt;1,"",AVERAGE(P136:P137))</f>
        <v/>
      </c>
      <c r="R136" s="278" t="str">
        <f>IF($X$13="/28",IF(COUNT(P136:P137)&lt;=1,"",ABS(P136-P137)),IF($X$13="/90",IF(COUNT(#REF!)&lt;=1,"",ABS(#REF!-#REF!))))</f>
        <v/>
      </c>
      <c r="S136" s="278" t="str">
        <f>IF($X$13="/28",IF(Q136="","",IF(AVERAGE(Q132:Q137)&gt;=$W$13,ROUND(AVERAGE(Q132:Q137),1)&amp;" ≥ "&amp;$W$13&amp;" OK",ROUND(AVERAGE(Q132:Q137),1)&amp;" &lt; "&amp;$W$13&amp;" NC")),IF($X$13="/90",IF(#REF!="","",IF(AVERAGE(#REF!)&gt;=$W$13,ROUND(AVERAGE(#REF!),1)&amp;" ≥ "&amp;$W$13&amp;" OK",ROUND(AVERAGE(#REF!),1)&amp;" &lt; "&amp;$W$13&amp;" NC"))))</f>
        <v/>
      </c>
      <c r="T136" s="278" t="str">
        <f>IF($X$13="/28",IF(Q136="","",IF(Q136&gt;=$W$13-$S$12,ROUND((Q136),1)&amp;" ≥ "&amp;$W$13-$S$12&amp;" OK",ROUND((Q136),1)&amp;" &lt; "&amp;$W$13-$S$12&amp;" NC")),IF($X$13="/90",IF(#REF!="","",IF(#REF!&gt;=$W$13-$S$12,ROUND((#REF!),1)&amp;" ≥ "&amp;$W$13-$S$12&amp;" OK",ROUND((#REF!),1)&amp;" &lt; "&amp;$W$13-$S$12&amp;" NC"))))</f>
        <v/>
      </c>
      <c r="U136" s="14"/>
      <c r="V136" s="279"/>
      <c r="W136" s="280"/>
      <c r="X136" s="281"/>
      <c r="Y136" s="246"/>
      <c r="Z136" s="246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BP136" s="390" t="str">
        <f>IF($X$13="/28",IF(Q136="","",Q136),IF($X$13="/90",IF(#REF!="","",#REF!),"Falso"))</f>
        <v/>
      </c>
      <c r="BQ136" s="392" t="str">
        <f t="shared" si="146"/>
        <v/>
      </c>
      <c r="BS136" s="50" t="str">
        <f>Q254</f>
        <v/>
      </c>
      <c r="BT136" s="50" t="e">
        <f>#REF!</f>
        <v>#REF!</v>
      </c>
      <c r="BU136" s="39" t="str">
        <f t="shared" si="125"/>
        <v/>
      </c>
      <c r="BV136" s="39" t="str">
        <f t="shared" si="118"/>
        <v/>
      </c>
    </row>
    <row r="137" spans="1:74" ht="14.25" customHeight="1" thickBot="1" x14ac:dyDescent="0.4">
      <c r="A137" s="384"/>
      <c r="B137" s="385"/>
      <c r="C137" s="386"/>
      <c r="D137" s="387"/>
      <c r="E137" s="388"/>
      <c r="F137" s="389"/>
      <c r="G137" s="377"/>
      <c r="H137" s="378"/>
      <c r="I137" s="382"/>
      <c r="J137" s="382"/>
      <c r="K137" s="383"/>
      <c r="L137" s="19"/>
      <c r="M137" s="379"/>
      <c r="N137" s="23"/>
      <c r="O137" s="379"/>
      <c r="P137" s="23"/>
      <c r="Q137" s="379"/>
      <c r="R137" s="380"/>
      <c r="S137" s="381"/>
      <c r="T137" s="380"/>
      <c r="U137" s="15"/>
      <c r="V137" s="373"/>
      <c r="W137" s="374"/>
      <c r="X137" s="375"/>
      <c r="Y137" s="376"/>
      <c r="Z137" s="376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BP137" s="391"/>
      <c r="BQ137" s="393"/>
      <c r="BS137" s="50" t="str">
        <f>Q256</f>
        <v/>
      </c>
      <c r="BT137" s="50" t="e">
        <f>#REF!</f>
        <v>#REF!</v>
      </c>
      <c r="BU137" s="39" t="str">
        <f t="shared" si="125"/>
        <v/>
      </c>
      <c r="BV137" s="39" t="str">
        <f t="shared" si="118"/>
        <v/>
      </c>
    </row>
    <row r="138" spans="1:74" ht="14.25" customHeight="1" x14ac:dyDescent="0.35">
      <c r="A138" s="311">
        <v>61</v>
      </c>
      <c r="B138" s="312"/>
      <c r="C138" s="313"/>
      <c r="D138" s="314"/>
      <c r="E138" s="315"/>
      <c r="F138" s="353"/>
      <c r="G138" s="354"/>
      <c r="H138" s="355"/>
      <c r="I138" s="356"/>
      <c r="J138" s="356"/>
      <c r="K138" s="357"/>
      <c r="L138" s="16"/>
      <c r="M138" s="352" t="str">
        <f t="shared" ref="M138" si="201">IF(COUNT(L138:L139)&lt;1,"",AVERAGE(L138:L139))</f>
        <v/>
      </c>
      <c r="N138" s="20"/>
      <c r="O138" s="352" t="str">
        <f t="shared" ref="O138" si="202">IF(COUNT(N138:N139)&lt;1,"",AVERAGE(N138:N139))</f>
        <v/>
      </c>
      <c r="P138" s="20"/>
      <c r="Q138" s="352" t="str">
        <f t="shared" ref="Q138" si="203">IF(COUNT(P138:P139)&lt;1,"",AVERAGE(P138:P139))</f>
        <v/>
      </c>
      <c r="R138" s="247" t="str">
        <f>IF($X$13="/28",IF(COUNT(P138:P139)&lt;=1,"",ABS(P138-P139)),IF($X$13="/90",IF(COUNT(#REF!)&lt;=1,"",ABS(#REF!-#REF!))))</f>
        <v/>
      </c>
      <c r="S138" s="247" t="str">
        <f>IF($X$13="/28",IF(Q138="","",IF(AVERAGE(Q134:Q139)&gt;=$W$13,ROUND(AVERAGE(Q134:Q139),1)&amp;" ≥ "&amp;$W$13&amp;" OK",ROUND(AVERAGE(Q134:Q139),1)&amp;" &lt; "&amp;$W$13&amp;" NC")),IF($X$13="/90",IF(#REF!="","",IF(AVERAGE(#REF!)&gt;=$W$13,ROUND(AVERAGE(#REF!),1)&amp;" ≥ "&amp;$W$13&amp;" OK",ROUND(AVERAGE(#REF!),1)&amp;" &lt; "&amp;$W$13&amp;" NC"))))</f>
        <v/>
      </c>
      <c r="T138" s="247" t="str">
        <f>IF($X$13="/28",IF(Q138="","",IF(Q138&gt;=$W$13-$S$12,ROUND((Q138),1)&amp;" ≥ "&amp;$W$13-$S$12&amp;" OK",ROUND((Q138),1)&amp;" &lt; "&amp;$W$13-$S$12&amp;" NC")),IF($X$13="/90",IF(#REF!="","",IF(#REF!&gt;=$W$13-$S$12,ROUND((#REF!),1)&amp;" ≥ "&amp;$W$13-$S$12&amp;" OK",ROUND((#REF!),1)&amp;" &lt; "&amp;$W$13-$S$12&amp;" NC"))))</f>
        <v/>
      </c>
      <c r="U138" s="12"/>
      <c r="V138" s="349"/>
      <c r="W138" s="350"/>
      <c r="X138" s="351"/>
      <c r="Y138" s="244"/>
      <c r="Z138" s="244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BP138" s="390" t="str">
        <f>IF($X$13="/28",IF(Q138="","",Q138),IF($X$13="/90",IF(#REF!="","",#REF!),"Falso"))</f>
        <v/>
      </c>
      <c r="BQ138" s="392" t="str">
        <f t="shared" si="138"/>
        <v/>
      </c>
      <c r="BS138" s="50" t="str">
        <f>Q258</f>
        <v/>
      </c>
      <c r="BT138" s="50" t="e">
        <f>#REF!</f>
        <v>#REF!</v>
      </c>
      <c r="BU138" s="39" t="str">
        <f t="shared" si="125"/>
        <v/>
      </c>
      <c r="BV138" s="39" t="str">
        <f t="shared" si="118"/>
        <v/>
      </c>
    </row>
    <row r="139" spans="1:74" ht="14.25" customHeight="1" x14ac:dyDescent="0.35">
      <c r="A139" s="294"/>
      <c r="B139" s="296"/>
      <c r="C139" s="298"/>
      <c r="D139" s="300"/>
      <c r="E139" s="302"/>
      <c r="F139" s="304"/>
      <c r="G139" s="276"/>
      <c r="H139" s="277"/>
      <c r="I139" s="290"/>
      <c r="J139" s="290"/>
      <c r="K139" s="291"/>
      <c r="L139" s="17"/>
      <c r="M139" s="286"/>
      <c r="N139" s="21"/>
      <c r="O139" s="286"/>
      <c r="P139" s="21"/>
      <c r="Q139" s="286"/>
      <c r="R139" s="248"/>
      <c r="S139" s="248"/>
      <c r="T139" s="248"/>
      <c r="U139" s="13"/>
      <c r="V139" s="282"/>
      <c r="W139" s="283"/>
      <c r="X139" s="284"/>
      <c r="Y139" s="245"/>
      <c r="Z139" s="245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BP139" s="391"/>
      <c r="BQ139" s="393"/>
      <c r="BS139" s="50" t="str">
        <f>Q260</f>
        <v/>
      </c>
      <c r="BT139" s="50" t="e">
        <f>#REF!</f>
        <v>#REF!</v>
      </c>
      <c r="BU139" s="39" t="str">
        <f t="shared" si="125"/>
        <v/>
      </c>
      <c r="BV139" s="39" t="str">
        <f t="shared" si="118"/>
        <v/>
      </c>
    </row>
    <row r="140" spans="1:74" ht="14.25" customHeight="1" x14ac:dyDescent="0.35">
      <c r="A140" s="293">
        <v>62</v>
      </c>
      <c r="B140" s="295"/>
      <c r="C140" s="297"/>
      <c r="D140" s="299"/>
      <c r="E140" s="301"/>
      <c r="F140" s="303"/>
      <c r="G140" s="288"/>
      <c r="H140" s="289"/>
      <c r="I140" s="290"/>
      <c r="J140" s="290"/>
      <c r="K140" s="291"/>
      <c r="L140" s="18"/>
      <c r="M140" s="285" t="str">
        <f t="shared" ref="M140" si="204">IF(COUNT(L140:L141)&lt;1,"",AVERAGE(L140:L141))</f>
        <v/>
      </c>
      <c r="N140" s="22"/>
      <c r="O140" s="285" t="str">
        <f t="shared" ref="O140" si="205">IF(COUNT(N140:N141)&lt;1,"",AVERAGE(N140:N141))</f>
        <v/>
      </c>
      <c r="P140" s="22"/>
      <c r="Q140" s="285" t="str">
        <f t="shared" ref="Q140" si="206">IF(COUNT(P140:P141)&lt;1,"",AVERAGE(P140:P141))</f>
        <v/>
      </c>
      <c r="R140" s="278" t="str">
        <f>IF($X$13="/28",IF(COUNT(P140:P141)&lt;=1,"",ABS(P140-P141)),IF($X$13="/90",IF(COUNT(#REF!)&lt;=1,"",ABS(#REF!-#REF!))))</f>
        <v/>
      </c>
      <c r="S140" s="278" t="str">
        <f>IF($X$13="/28",IF(Q140="","",IF(AVERAGE(Q136:Q141)&gt;=$W$13,ROUND(AVERAGE(Q136:Q141),1)&amp;" ≥ "&amp;$W$13&amp;" OK",ROUND(AVERAGE(Q136:Q141),1)&amp;" &lt; "&amp;$W$13&amp;" NC")),IF($X$13="/90",IF(#REF!="","",IF(AVERAGE(#REF!)&gt;=$W$13,ROUND(AVERAGE(#REF!),1)&amp;" ≥ "&amp;$W$13&amp;" OK",ROUND(AVERAGE(#REF!),1)&amp;" &lt; "&amp;$W$13&amp;" NC"))))</f>
        <v/>
      </c>
      <c r="T140" s="278" t="str">
        <f>IF($X$13="/28",IF(Q140="","",IF(Q140&gt;=$W$13-$S$12,ROUND((Q140),1)&amp;" ≥ "&amp;$W$13-$S$12&amp;" OK",ROUND((Q140),1)&amp;" &lt; "&amp;$W$13-$S$12&amp;" NC")),IF($X$13="/90",IF(#REF!="","",IF(#REF!&gt;=$W$13-$S$12,ROUND((#REF!),1)&amp;" ≥ "&amp;$W$13-$S$12&amp;" OK",ROUND((#REF!),1)&amp;" &lt; "&amp;$W$13-$S$12&amp;" NC"))))</f>
        <v/>
      </c>
      <c r="U140" s="14"/>
      <c r="V140" s="279"/>
      <c r="W140" s="280"/>
      <c r="X140" s="281"/>
      <c r="Y140" s="246"/>
      <c r="Z140" s="246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BP140" s="390" t="str">
        <f>IF($X$13="/28",IF(Q140="","",Q140),IF($X$13="/90",IF(#REF!="","",#REF!),"Falso"))</f>
        <v/>
      </c>
      <c r="BQ140" s="392" t="str">
        <f t="shared" si="142"/>
        <v/>
      </c>
      <c r="BS140" s="50" t="str">
        <f>Q262</f>
        <v/>
      </c>
      <c r="BT140" s="50" t="e">
        <f>#REF!</f>
        <v>#REF!</v>
      </c>
      <c r="BU140" s="39" t="str">
        <f t="shared" si="125"/>
        <v/>
      </c>
      <c r="BV140" s="39" t="str">
        <f t="shared" si="118"/>
        <v/>
      </c>
    </row>
    <row r="141" spans="1:74" ht="14.25" customHeight="1" x14ac:dyDescent="0.35">
      <c r="A141" s="294"/>
      <c r="B141" s="296"/>
      <c r="C141" s="298"/>
      <c r="D141" s="300"/>
      <c r="E141" s="302"/>
      <c r="F141" s="304"/>
      <c r="G141" s="276"/>
      <c r="H141" s="277"/>
      <c r="I141" s="290"/>
      <c r="J141" s="290"/>
      <c r="K141" s="291"/>
      <c r="L141" s="17"/>
      <c r="M141" s="286"/>
      <c r="N141" s="21"/>
      <c r="O141" s="286"/>
      <c r="P141" s="21"/>
      <c r="Q141" s="286"/>
      <c r="R141" s="248"/>
      <c r="S141" s="248"/>
      <c r="T141" s="248"/>
      <c r="U141" s="13"/>
      <c r="V141" s="282"/>
      <c r="W141" s="283"/>
      <c r="X141" s="284"/>
      <c r="Y141" s="245"/>
      <c r="Z141" s="245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BP141" s="391"/>
      <c r="BQ141" s="393"/>
      <c r="BS141" s="50" t="str">
        <f>Q264</f>
        <v/>
      </c>
      <c r="BT141" s="50" t="e">
        <f>#REF!</f>
        <v>#REF!</v>
      </c>
      <c r="BU141" s="39" t="str">
        <f t="shared" si="125"/>
        <v/>
      </c>
      <c r="BV141" s="39" t="str">
        <f t="shared" si="118"/>
        <v/>
      </c>
    </row>
    <row r="142" spans="1:74" ht="14.25" customHeight="1" x14ac:dyDescent="0.35">
      <c r="A142" s="293">
        <v>63</v>
      </c>
      <c r="B142" s="295"/>
      <c r="C142" s="297"/>
      <c r="D142" s="299"/>
      <c r="E142" s="301"/>
      <c r="F142" s="303"/>
      <c r="G142" s="288"/>
      <c r="H142" s="289"/>
      <c r="I142" s="290"/>
      <c r="J142" s="290"/>
      <c r="K142" s="291"/>
      <c r="L142" s="18"/>
      <c r="M142" s="285" t="str">
        <f t="shared" ref="M142" si="207">IF(COUNT(L142:L143)&lt;1,"",AVERAGE(L142:L143))</f>
        <v/>
      </c>
      <c r="N142" s="22"/>
      <c r="O142" s="285" t="str">
        <f t="shared" ref="O142" si="208">IF(COUNT(N142:N143)&lt;1,"",AVERAGE(N142:N143))</f>
        <v/>
      </c>
      <c r="P142" s="22"/>
      <c r="Q142" s="285" t="str">
        <f t="shared" ref="Q142" si="209">IF(COUNT(P142:P143)&lt;1,"",AVERAGE(P142:P143))</f>
        <v/>
      </c>
      <c r="R142" s="278" t="str">
        <f>IF($X$13="/28",IF(COUNT(P142:P143)&lt;=1,"",ABS(P142-P143)),IF($X$13="/90",IF(COUNT(#REF!)&lt;=1,"",ABS(#REF!-#REF!))))</f>
        <v/>
      </c>
      <c r="S142" s="278" t="str">
        <f>IF($X$13="/28",IF(Q142="","",IF(AVERAGE(Q138:Q143)&gt;=$W$13,ROUND(AVERAGE(Q138:Q143),1)&amp;" ≥ "&amp;$W$13&amp;" OK",ROUND(AVERAGE(Q138:Q143),1)&amp;" &lt; "&amp;$W$13&amp;" NC")),IF($X$13="/90",IF(#REF!="","",IF(AVERAGE(#REF!)&gt;=$W$13,ROUND(AVERAGE(#REF!),1)&amp;" ≥ "&amp;$W$13&amp;" OK",ROUND(AVERAGE(#REF!),1)&amp;" &lt; "&amp;$W$13&amp;" NC"))))</f>
        <v/>
      </c>
      <c r="T142" s="278" t="str">
        <f>IF($X$13="/28",IF(Q142="","",IF(Q142&gt;=$W$13-$S$12,ROUND((Q142),1)&amp;" ≥ "&amp;$W$13-$S$12&amp;" OK",ROUND((Q142),1)&amp;" &lt; "&amp;$W$13-$S$12&amp;" NC")),IF($X$13="/90",IF(#REF!="","",IF(#REF!&gt;=$W$13-$S$12,ROUND((#REF!),1)&amp;" ≥ "&amp;$W$13-$S$12&amp;" OK",ROUND((#REF!),1)&amp;" &lt; "&amp;$W$13-$S$12&amp;" NC"))))</f>
        <v/>
      </c>
      <c r="U142" s="14"/>
      <c r="V142" s="279"/>
      <c r="W142" s="280"/>
      <c r="X142" s="281"/>
      <c r="Y142" s="246"/>
      <c r="Z142" s="246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BP142" s="390" t="str">
        <f>IF($X$13="/28",IF(Q142="","",Q142),IF($X$13="/90",IF(#REF!="","",#REF!),"Falso"))</f>
        <v/>
      </c>
      <c r="BQ142" s="392" t="str">
        <f t="shared" si="146"/>
        <v/>
      </c>
      <c r="BS142" s="50" t="str">
        <f>Q266</f>
        <v/>
      </c>
      <c r="BT142" s="50" t="e">
        <f>#REF!</f>
        <v>#REF!</v>
      </c>
      <c r="BU142" s="39" t="str">
        <f t="shared" si="125"/>
        <v/>
      </c>
      <c r="BV142" s="39" t="str">
        <f t="shared" si="118"/>
        <v/>
      </c>
    </row>
    <row r="143" spans="1:74" ht="14.25" customHeight="1" x14ac:dyDescent="0.35">
      <c r="A143" s="294"/>
      <c r="B143" s="296"/>
      <c r="C143" s="298"/>
      <c r="D143" s="300"/>
      <c r="E143" s="302"/>
      <c r="F143" s="304"/>
      <c r="G143" s="276"/>
      <c r="H143" s="277"/>
      <c r="I143" s="290"/>
      <c r="J143" s="290"/>
      <c r="K143" s="291"/>
      <c r="L143" s="17"/>
      <c r="M143" s="286"/>
      <c r="N143" s="21"/>
      <c r="O143" s="286"/>
      <c r="P143" s="21"/>
      <c r="Q143" s="286"/>
      <c r="R143" s="248"/>
      <c r="S143" s="287"/>
      <c r="T143" s="248"/>
      <c r="U143" s="13"/>
      <c r="V143" s="282"/>
      <c r="W143" s="283"/>
      <c r="X143" s="284"/>
      <c r="Y143" s="245"/>
      <c r="Z143" s="245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BP143" s="391"/>
      <c r="BQ143" s="393"/>
      <c r="BS143" s="50" t="str">
        <f>Q268</f>
        <v/>
      </c>
      <c r="BT143" s="50" t="e">
        <f>#REF!</f>
        <v>#REF!</v>
      </c>
      <c r="BU143" s="39" t="str">
        <f t="shared" si="125"/>
        <v/>
      </c>
      <c r="BV143" s="39" t="str">
        <f t="shared" si="118"/>
        <v/>
      </c>
    </row>
    <row r="144" spans="1:74" ht="14.25" customHeight="1" x14ac:dyDescent="0.35">
      <c r="A144" s="293">
        <v>64</v>
      </c>
      <c r="B144" s="295"/>
      <c r="C144" s="297"/>
      <c r="D144" s="299"/>
      <c r="E144" s="301"/>
      <c r="F144" s="303"/>
      <c r="G144" s="288"/>
      <c r="H144" s="289"/>
      <c r="I144" s="290"/>
      <c r="J144" s="290"/>
      <c r="K144" s="291"/>
      <c r="L144" s="18"/>
      <c r="M144" s="285" t="str">
        <f t="shared" ref="M144" si="210">IF(COUNT(L144:L145)&lt;1,"",AVERAGE(L144:L145))</f>
        <v/>
      </c>
      <c r="N144" s="22"/>
      <c r="O144" s="285" t="str">
        <f t="shared" ref="O144" si="211">IF(COUNT(N144:N145)&lt;1,"",AVERAGE(N144:N145))</f>
        <v/>
      </c>
      <c r="P144" s="22"/>
      <c r="Q144" s="285" t="str">
        <f t="shared" ref="Q144" si="212">IF(COUNT(P144:P145)&lt;1,"",AVERAGE(P144:P145))</f>
        <v/>
      </c>
      <c r="R144" s="278" t="str">
        <f>IF($X$13="/28",IF(COUNT(P144:P145)&lt;=1,"",ABS(P144-P145)),IF($X$13="/90",IF(COUNT(#REF!)&lt;=1,"",ABS(#REF!-#REF!))))</f>
        <v/>
      </c>
      <c r="S144" s="278" t="str">
        <f>IF($X$13="/28",IF(Q144="","",IF(AVERAGE(Q140:Q145)&gt;=$W$13,ROUND(AVERAGE(Q140:Q145),1)&amp;" ≥ "&amp;$W$13&amp;" OK",ROUND(AVERAGE(Q140:Q145),1)&amp;" &lt; "&amp;$W$13&amp;" NC")),IF($X$13="/90",IF(#REF!="","",IF(AVERAGE(#REF!)&gt;=$W$13,ROUND(AVERAGE(#REF!),1)&amp;" ≥ "&amp;$W$13&amp;" OK",ROUND(AVERAGE(#REF!),1)&amp;" &lt; "&amp;$W$13&amp;" NC"))))</f>
        <v/>
      </c>
      <c r="T144" s="278" t="str">
        <f>IF($X$13="/28",IF(Q144="","",IF(Q144&gt;=$W$13-$S$12,ROUND((Q144),1)&amp;" ≥ "&amp;$W$13-$S$12&amp;" OK",ROUND((Q144),1)&amp;" &lt; "&amp;$W$13-$S$12&amp;" NC")),IF($X$13="/90",IF(#REF!="","",IF(#REF!&gt;=$W$13-$S$12,ROUND((#REF!),1)&amp;" ≥ "&amp;$W$13-$S$12&amp;" OK",ROUND((#REF!),1)&amp;" &lt; "&amp;$W$13-$S$12&amp;" NC"))))</f>
        <v/>
      </c>
      <c r="U144" s="14"/>
      <c r="V144" s="279"/>
      <c r="W144" s="280"/>
      <c r="X144" s="281"/>
      <c r="Y144" s="246"/>
      <c r="Z144" s="246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BP144" s="390" t="str">
        <f>IF($X$13="/28",IF(Q144="","",Q144),IF($X$13="/90",IF(#REF!="","",#REF!),"Falso"))</f>
        <v/>
      </c>
      <c r="BQ144" s="392" t="str">
        <f t="shared" si="138"/>
        <v/>
      </c>
      <c r="BS144" s="50" t="str">
        <f>Q270</f>
        <v/>
      </c>
      <c r="BT144" s="50" t="e">
        <f>#REF!</f>
        <v>#REF!</v>
      </c>
      <c r="BU144" s="39" t="str">
        <f t="shared" si="125"/>
        <v/>
      </c>
      <c r="BV144" s="39" t="str">
        <f t="shared" si="118"/>
        <v/>
      </c>
    </row>
    <row r="145" spans="1:74" ht="14.25" customHeight="1" x14ac:dyDescent="0.35">
      <c r="A145" s="294"/>
      <c r="B145" s="296"/>
      <c r="C145" s="298"/>
      <c r="D145" s="300"/>
      <c r="E145" s="302"/>
      <c r="F145" s="304"/>
      <c r="G145" s="276"/>
      <c r="H145" s="277"/>
      <c r="I145" s="290"/>
      <c r="J145" s="290"/>
      <c r="K145" s="291"/>
      <c r="L145" s="17"/>
      <c r="M145" s="286"/>
      <c r="N145" s="21"/>
      <c r="O145" s="286"/>
      <c r="P145" s="21"/>
      <c r="Q145" s="286"/>
      <c r="R145" s="248"/>
      <c r="S145" s="287"/>
      <c r="T145" s="248"/>
      <c r="U145" s="13"/>
      <c r="V145" s="282"/>
      <c r="W145" s="283"/>
      <c r="X145" s="284"/>
      <c r="Y145" s="245"/>
      <c r="Z145" s="245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BP145" s="391"/>
      <c r="BQ145" s="393"/>
      <c r="BS145" s="50" t="str">
        <f>Q272</f>
        <v/>
      </c>
      <c r="BT145" s="50" t="e">
        <f>#REF!</f>
        <v>#REF!</v>
      </c>
      <c r="BU145" s="39" t="str">
        <f t="shared" si="125"/>
        <v/>
      </c>
      <c r="BV145" s="39" t="str">
        <f t="shared" si="118"/>
        <v/>
      </c>
    </row>
    <row r="146" spans="1:74" ht="14.25" customHeight="1" x14ac:dyDescent="0.35">
      <c r="A146" s="293">
        <v>65</v>
      </c>
      <c r="B146" s="295"/>
      <c r="C146" s="297"/>
      <c r="D146" s="299"/>
      <c r="E146" s="301"/>
      <c r="F146" s="303"/>
      <c r="G146" s="288"/>
      <c r="H146" s="289"/>
      <c r="I146" s="290"/>
      <c r="J146" s="290"/>
      <c r="K146" s="291"/>
      <c r="L146" s="18"/>
      <c r="M146" s="285" t="str">
        <f t="shared" ref="M146" si="213">IF(COUNT(L146:L147)&lt;1,"",AVERAGE(L146:L147))</f>
        <v/>
      </c>
      <c r="N146" s="22"/>
      <c r="O146" s="285" t="str">
        <f t="shared" ref="O146" si="214">IF(COUNT(N146:N147)&lt;1,"",AVERAGE(N146:N147))</f>
        <v/>
      </c>
      <c r="P146" s="22"/>
      <c r="Q146" s="285" t="str">
        <f t="shared" ref="Q146" si="215">IF(COUNT(P146:P147)&lt;1,"",AVERAGE(P146:P147))</f>
        <v/>
      </c>
      <c r="R146" s="278" t="str">
        <f>IF($X$13="/28",IF(COUNT(P146:P147)&lt;=1,"",ABS(P146-P147)),IF($X$13="/90",IF(COUNT(#REF!)&lt;=1,"",ABS(#REF!-#REF!))))</f>
        <v/>
      </c>
      <c r="S146" s="278" t="str">
        <f>IF($X$13="/28",IF(Q146="","",IF(AVERAGE(Q142:Q147)&gt;=$W$13,ROUND(AVERAGE(Q142:Q147),1)&amp;" ≥ "&amp;$W$13&amp;" OK",ROUND(AVERAGE(Q142:Q147),1)&amp;" &lt; "&amp;$W$13&amp;" NC")),IF($X$13="/90",IF(#REF!="","",IF(AVERAGE(#REF!)&gt;=$W$13,ROUND(AVERAGE(#REF!),1)&amp;" ≥ "&amp;$W$13&amp;" OK",ROUND(AVERAGE(#REF!),1)&amp;" &lt; "&amp;$W$13&amp;" NC"))))</f>
        <v/>
      </c>
      <c r="T146" s="278" t="str">
        <f>IF($X$13="/28",IF(Q146="","",IF(Q146&gt;=$W$13-$S$12,ROUND((Q146),1)&amp;" ≥ "&amp;$W$13-$S$12&amp;" OK",ROUND((Q146),1)&amp;" &lt; "&amp;$W$13-$S$12&amp;" NC")),IF($X$13="/90",IF(#REF!="","",IF(#REF!&gt;=$W$13-$S$12,ROUND((#REF!),1)&amp;" ≥ "&amp;$W$13-$S$12&amp;" OK",ROUND((#REF!),1)&amp;" &lt; "&amp;$W$13-$S$12&amp;" NC"))))</f>
        <v/>
      </c>
      <c r="U146" s="14"/>
      <c r="V146" s="279"/>
      <c r="W146" s="280"/>
      <c r="X146" s="281"/>
      <c r="Y146" s="246"/>
      <c r="Z146" s="246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BP146" s="390" t="str">
        <f>IF($X$13="/28",IF(Q146="","",Q146),IF($X$13="/90",IF(#REF!="","",#REF!),"Falso"))</f>
        <v/>
      </c>
      <c r="BQ146" s="392" t="str">
        <f t="shared" si="142"/>
        <v/>
      </c>
      <c r="BS146" s="50" t="str">
        <f>Q274</f>
        <v/>
      </c>
      <c r="BT146" s="50" t="e">
        <f>#REF!</f>
        <v>#REF!</v>
      </c>
      <c r="BU146" s="39" t="str">
        <f t="shared" si="125"/>
        <v/>
      </c>
      <c r="BV146" s="39" t="str">
        <f t="shared" si="118"/>
        <v/>
      </c>
    </row>
    <row r="147" spans="1:74" ht="14.25" customHeight="1" x14ac:dyDescent="0.35">
      <c r="A147" s="294"/>
      <c r="B147" s="296"/>
      <c r="C147" s="298"/>
      <c r="D147" s="300"/>
      <c r="E147" s="302"/>
      <c r="F147" s="304"/>
      <c r="G147" s="276"/>
      <c r="H147" s="277"/>
      <c r="I147" s="290"/>
      <c r="J147" s="290"/>
      <c r="K147" s="291"/>
      <c r="L147" s="17"/>
      <c r="M147" s="286"/>
      <c r="N147" s="21"/>
      <c r="O147" s="286"/>
      <c r="P147" s="21"/>
      <c r="Q147" s="286"/>
      <c r="R147" s="248"/>
      <c r="S147" s="287"/>
      <c r="T147" s="248"/>
      <c r="U147" s="13"/>
      <c r="V147" s="282"/>
      <c r="W147" s="283"/>
      <c r="X147" s="284"/>
      <c r="Y147" s="245"/>
      <c r="Z147" s="245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BP147" s="391"/>
      <c r="BQ147" s="393"/>
      <c r="BS147" s="50" t="str">
        <f>Q276</f>
        <v/>
      </c>
      <c r="BT147" s="50" t="e">
        <f>#REF!</f>
        <v>#REF!</v>
      </c>
      <c r="BU147" s="39" t="str">
        <f t="shared" si="125"/>
        <v/>
      </c>
      <c r="BV147" s="39" t="str">
        <f t="shared" si="118"/>
        <v/>
      </c>
    </row>
    <row r="148" spans="1:74" ht="14.25" customHeight="1" x14ac:dyDescent="0.35">
      <c r="A148" s="293">
        <v>66</v>
      </c>
      <c r="B148" s="295"/>
      <c r="C148" s="297"/>
      <c r="D148" s="299"/>
      <c r="E148" s="301"/>
      <c r="F148" s="303"/>
      <c r="G148" s="288"/>
      <c r="H148" s="289"/>
      <c r="I148" s="290"/>
      <c r="J148" s="290"/>
      <c r="K148" s="291"/>
      <c r="L148" s="18"/>
      <c r="M148" s="285" t="str">
        <f t="shared" ref="M148" si="216">IF(COUNT(L148:L149)&lt;1,"",AVERAGE(L148:L149))</f>
        <v/>
      </c>
      <c r="N148" s="22"/>
      <c r="O148" s="285" t="str">
        <f t="shared" ref="O148" si="217">IF(COUNT(N148:N149)&lt;1,"",AVERAGE(N148:N149))</f>
        <v/>
      </c>
      <c r="P148" s="22"/>
      <c r="Q148" s="285" t="str">
        <f t="shared" ref="Q148" si="218">IF(COUNT(P148:P149)&lt;1,"",AVERAGE(P148:P149))</f>
        <v/>
      </c>
      <c r="R148" s="278" t="str">
        <f>IF($X$13="/28",IF(COUNT(P148:P149)&lt;=1,"",ABS(P148-P149)),IF($X$13="/90",IF(COUNT(#REF!)&lt;=1,"",ABS(#REF!-#REF!))))</f>
        <v/>
      </c>
      <c r="S148" s="278" t="str">
        <f>IF($X$13="/28",IF(Q148="","",IF(AVERAGE(Q144:Q149)&gt;=$W$13,ROUND(AVERAGE(Q144:Q149),1)&amp;" ≥ "&amp;$W$13&amp;" OK",ROUND(AVERAGE(Q144:Q149),1)&amp;" &lt; "&amp;$W$13&amp;" NC")),IF($X$13="/90",IF(#REF!="","",IF(AVERAGE(#REF!)&gt;=$W$13,ROUND(AVERAGE(#REF!),1)&amp;" ≥ "&amp;$W$13&amp;" OK",ROUND(AVERAGE(#REF!),1)&amp;" &lt; "&amp;$W$13&amp;" NC"))))</f>
        <v/>
      </c>
      <c r="T148" s="278" t="str">
        <f>IF($X$13="/28",IF(Q148="","",IF(Q148&gt;=$W$13-$S$12,ROUND((Q148),1)&amp;" ≥ "&amp;$W$13-$S$12&amp;" OK",ROUND((Q148),1)&amp;" &lt; "&amp;$W$13-$S$12&amp;" NC")),IF($X$13="/90",IF(#REF!="","",IF(#REF!&gt;=$W$13-$S$12,ROUND((#REF!),1)&amp;" ≥ "&amp;$W$13-$S$12&amp;" OK",ROUND((#REF!),1)&amp;" &lt; "&amp;$W$13-$S$12&amp;" NC"))))</f>
        <v/>
      </c>
      <c r="U148" s="14"/>
      <c r="V148" s="279"/>
      <c r="W148" s="280"/>
      <c r="X148" s="281"/>
      <c r="Y148" s="246"/>
      <c r="Z148" s="246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BP148" s="390" t="str">
        <f>IF($X$13="/28",IF(Q148="","",Q148),IF($X$13="/90",IF(#REF!="","",#REF!),"Falso"))</f>
        <v/>
      </c>
      <c r="BQ148" s="392" t="str">
        <f t="shared" si="146"/>
        <v/>
      </c>
      <c r="BS148" s="50" t="str">
        <f>Q278</f>
        <v/>
      </c>
      <c r="BT148" s="50" t="e">
        <f>#REF!</f>
        <v>#REF!</v>
      </c>
      <c r="BU148" s="39" t="str">
        <f t="shared" si="125"/>
        <v/>
      </c>
      <c r="BV148" s="39" t="str">
        <f t="shared" ref="BV148:BV211" si="219">IF(BU148="","",BV147+1)</f>
        <v/>
      </c>
    </row>
    <row r="149" spans="1:74" ht="14.25" customHeight="1" x14ac:dyDescent="0.35">
      <c r="A149" s="294"/>
      <c r="B149" s="296"/>
      <c r="C149" s="298"/>
      <c r="D149" s="300"/>
      <c r="E149" s="302"/>
      <c r="F149" s="304"/>
      <c r="G149" s="276"/>
      <c r="H149" s="277"/>
      <c r="I149" s="290"/>
      <c r="J149" s="290"/>
      <c r="K149" s="291"/>
      <c r="L149" s="17"/>
      <c r="M149" s="286"/>
      <c r="N149" s="21"/>
      <c r="O149" s="286"/>
      <c r="P149" s="21"/>
      <c r="Q149" s="286"/>
      <c r="R149" s="248"/>
      <c r="S149" s="287"/>
      <c r="T149" s="248"/>
      <c r="U149" s="13"/>
      <c r="V149" s="282"/>
      <c r="W149" s="283"/>
      <c r="X149" s="284"/>
      <c r="Y149" s="245"/>
      <c r="Z149" s="245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BP149" s="391"/>
      <c r="BQ149" s="393"/>
      <c r="BS149" s="50" t="str">
        <f>Q280</f>
        <v/>
      </c>
      <c r="BT149" s="50" t="e">
        <f>#REF!</f>
        <v>#REF!</v>
      </c>
      <c r="BU149" s="39" t="str">
        <f t="shared" si="125"/>
        <v/>
      </c>
      <c r="BV149" s="39" t="str">
        <f t="shared" si="219"/>
        <v/>
      </c>
    </row>
    <row r="150" spans="1:74" ht="14.25" customHeight="1" x14ac:dyDescent="0.35">
      <c r="A150" s="293">
        <v>67</v>
      </c>
      <c r="B150" s="295"/>
      <c r="C150" s="297"/>
      <c r="D150" s="299"/>
      <c r="E150" s="301"/>
      <c r="F150" s="303"/>
      <c r="G150" s="288"/>
      <c r="H150" s="289"/>
      <c r="I150" s="290"/>
      <c r="J150" s="290"/>
      <c r="K150" s="291"/>
      <c r="L150" s="18"/>
      <c r="M150" s="285" t="str">
        <f t="shared" ref="M150" si="220">IF(COUNT(L150:L151)&lt;1,"",AVERAGE(L150:L151))</f>
        <v/>
      </c>
      <c r="N150" s="22"/>
      <c r="O150" s="285" t="str">
        <f t="shared" ref="O150" si="221">IF(COUNT(N150:N151)&lt;1,"",AVERAGE(N150:N151))</f>
        <v/>
      </c>
      <c r="P150" s="22"/>
      <c r="Q150" s="285" t="str">
        <f t="shared" ref="Q150" si="222">IF(COUNT(P150:P151)&lt;1,"",AVERAGE(P150:P151))</f>
        <v/>
      </c>
      <c r="R150" s="278" t="str">
        <f>IF($X$13="/28",IF(COUNT(P150:P151)&lt;=1,"",ABS(P150-P151)),IF($X$13="/90",IF(COUNT(#REF!)&lt;=1,"",ABS(#REF!-#REF!))))</f>
        <v/>
      </c>
      <c r="S150" s="278" t="str">
        <f>IF($X$13="/28",IF(Q150="","",IF(AVERAGE(Q146:Q151)&gt;=$W$13,ROUND(AVERAGE(Q146:Q151),1)&amp;" ≥ "&amp;$W$13&amp;" OK",ROUND(AVERAGE(Q146:Q151),1)&amp;" &lt; "&amp;$W$13&amp;" NC")),IF($X$13="/90",IF(#REF!="","",IF(AVERAGE(#REF!)&gt;=$W$13,ROUND(AVERAGE(#REF!),1)&amp;" ≥ "&amp;$W$13&amp;" OK",ROUND(AVERAGE(#REF!),1)&amp;" &lt; "&amp;$W$13&amp;" NC"))))</f>
        <v/>
      </c>
      <c r="T150" s="278" t="str">
        <f>IF($X$13="/28",IF(Q150="","",IF(Q150&gt;=$W$13-$S$12,ROUND((Q150),1)&amp;" ≥ "&amp;$W$13-$S$12&amp;" OK",ROUND((Q150),1)&amp;" &lt; "&amp;$W$13-$S$12&amp;" NC")),IF($X$13="/90",IF(#REF!="","",IF(#REF!&gt;=$W$13-$S$12,ROUND((#REF!),1)&amp;" ≥ "&amp;$W$13-$S$12&amp;" OK",ROUND((#REF!),1)&amp;" &lt; "&amp;$W$13-$S$12&amp;" NC"))))</f>
        <v/>
      </c>
      <c r="U150" s="14"/>
      <c r="V150" s="279"/>
      <c r="W150" s="280"/>
      <c r="X150" s="281"/>
      <c r="Y150" s="246"/>
      <c r="Z150" s="246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BP150" s="390" t="str">
        <f>IF($X$13="/28",IF(Q150="","",Q150),IF($X$13="/90",IF(#REF!="","",#REF!),"Falso"))</f>
        <v/>
      </c>
      <c r="BQ150" s="392" t="str">
        <f t="shared" si="138"/>
        <v/>
      </c>
      <c r="BS150" s="50" t="str">
        <f>Q282</f>
        <v/>
      </c>
      <c r="BT150" s="50" t="e">
        <f>#REF!</f>
        <v>#REF!</v>
      </c>
      <c r="BU150" s="39" t="str">
        <f t="shared" si="125"/>
        <v/>
      </c>
      <c r="BV150" s="39" t="str">
        <f t="shared" si="219"/>
        <v/>
      </c>
    </row>
    <row r="151" spans="1:74" ht="14.25" customHeight="1" x14ac:dyDescent="0.35">
      <c r="A151" s="294"/>
      <c r="B151" s="296"/>
      <c r="C151" s="298"/>
      <c r="D151" s="300"/>
      <c r="E151" s="302"/>
      <c r="F151" s="304"/>
      <c r="G151" s="276"/>
      <c r="H151" s="277"/>
      <c r="I151" s="290"/>
      <c r="J151" s="290"/>
      <c r="K151" s="291"/>
      <c r="L151" s="17"/>
      <c r="M151" s="286"/>
      <c r="N151" s="21"/>
      <c r="O151" s="286"/>
      <c r="P151" s="21"/>
      <c r="Q151" s="286"/>
      <c r="R151" s="248"/>
      <c r="S151" s="287"/>
      <c r="T151" s="248"/>
      <c r="U151" s="13"/>
      <c r="V151" s="282"/>
      <c r="W151" s="283"/>
      <c r="X151" s="284"/>
      <c r="Y151" s="245"/>
      <c r="Z151" s="245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BP151" s="391"/>
      <c r="BQ151" s="393"/>
      <c r="BS151" s="50" t="str">
        <f>Q284</f>
        <v/>
      </c>
      <c r="BT151" s="50" t="e">
        <f>#REF!</f>
        <v>#REF!</v>
      </c>
      <c r="BU151" s="39" t="str">
        <f t="shared" si="125"/>
        <v/>
      </c>
      <c r="BV151" s="39" t="str">
        <f t="shared" si="219"/>
        <v/>
      </c>
    </row>
    <row r="152" spans="1:74" ht="14.25" customHeight="1" x14ac:dyDescent="0.35">
      <c r="A152" s="293">
        <v>68</v>
      </c>
      <c r="B152" s="295"/>
      <c r="C152" s="297"/>
      <c r="D152" s="299"/>
      <c r="E152" s="301"/>
      <c r="F152" s="303"/>
      <c r="G152" s="288"/>
      <c r="H152" s="289"/>
      <c r="I152" s="290"/>
      <c r="J152" s="290"/>
      <c r="K152" s="291"/>
      <c r="L152" s="18"/>
      <c r="M152" s="285" t="str">
        <f t="shared" ref="M152" si="223">IF(COUNT(L152:L153)&lt;1,"",AVERAGE(L152:L153))</f>
        <v/>
      </c>
      <c r="N152" s="22"/>
      <c r="O152" s="285" t="str">
        <f t="shared" ref="O152" si="224">IF(COUNT(N152:N153)&lt;1,"",AVERAGE(N152:N153))</f>
        <v/>
      </c>
      <c r="P152" s="22"/>
      <c r="Q152" s="285" t="str">
        <f t="shared" ref="Q152" si="225">IF(COUNT(P152:P153)&lt;1,"",AVERAGE(P152:P153))</f>
        <v/>
      </c>
      <c r="R152" s="278" t="str">
        <f>IF($X$13="/28",IF(COUNT(P152:P153)&lt;=1,"",ABS(P152-P153)),IF($X$13="/90",IF(COUNT(#REF!)&lt;=1,"",ABS(#REF!-#REF!))))</f>
        <v/>
      </c>
      <c r="S152" s="278" t="str">
        <f>IF($X$13="/28",IF(Q152="","",IF(AVERAGE(Q148:Q153)&gt;=$W$13,ROUND(AVERAGE(Q148:Q153),1)&amp;" ≥ "&amp;$W$13&amp;" OK",ROUND(AVERAGE(Q148:Q153),1)&amp;" &lt; "&amp;$W$13&amp;" NC")),IF($X$13="/90",IF(#REF!="","",IF(AVERAGE(#REF!)&gt;=$W$13,ROUND(AVERAGE(#REF!),1)&amp;" ≥ "&amp;$W$13&amp;" OK",ROUND(AVERAGE(#REF!),1)&amp;" &lt; "&amp;$W$13&amp;" NC"))))</f>
        <v/>
      </c>
      <c r="T152" s="278" t="str">
        <f>IF($X$13="/28",IF(Q152="","",IF(Q152&gt;=$W$13-$S$12,ROUND((Q152),1)&amp;" ≥ "&amp;$W$13-$S$12&amp;" OK",ROUND((Q152),1)&amp;" &lt; "&amp;$W$13-$S$12&amp;" NC")),IF($X$13="/90",IF(#REF!="","",IF(#REF!&gt;=$W$13-$S$12,ROUND((#REF!),1)&amp;" ≥ "&amp;$W$13-$S$12&amp;" OK",ROUND((#REF!),1)&amp;" &lt; "&amp;$W$13-$S$12&amp;" NC"))))</f>
        <v/>
      </c>
      <c r="U152" s="14"/>
      <c r="V152" s="279"/>
      <c r="W152" s="280"/>
      <c r="X152" s="281"/>
      <c r="Y152" s="246"/>
      <c r="Z152" s="246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BP152" s="390" t="str">
        <f>IF($X$13="/28",IF(Q152="","",Q152),IF($X$13="/90",IF(#REF!="","",#REF!),"Falso"))</f>
        <v/>
      </c>
      <c r="BQ152" s="392" t="str">
        <f t="shared" si="142"/>
        <v/>
      </c>
      <c r="BS152" s="50" t="str">
        <f>Q286</f>
        <v/>
      </c>
      <c r="BT152" s="50" t="e">
        <f>#REF!</f>
        <v>#REF!</v>
      </c>
      <c r="BU152" s="39" t="str">
        <f t="shared" ref="BU152:BU215" si="226">IF($X$13="/28",IF(BS152="","",BS152),IF($X$13="/90",IF(BT152="","",BT152),"Falso"))</f>
        <v/>
      </c>
      <c r="BV152" s="39" t="str">
        <f t="shared" si="219"/>
        <v/>
      </c>
    </row>
    <row r="153" spans="1:74" ht="14.25" customHeight="1" x14ac:dyDescent="0.35">
      <c r="A153" s="294"/>
      <c r="B153" s="296"/>
      <c r="C153" s="298"/>
      <c r="D153" s="300"/>
      <c r="E153" s="302"/>
      <c r="F153" s="304"/>
      <c r="G153" s="276"/>
      <c r="H153" s="277"/>
      <c r="I153" s="290"/>
      <c r="J153" s="290"/>
      <c r="K153" s="291"/>
      <c r="L153" s="17"/>
      <c r="M153" s="286"/>
      <c r="N153" s="21"/>
      <c r="O153" s="286"/>
      <c r="P153" s="21"/>
      <c r="Q153" s="286"/>
      <c r="R153" s="248"/>
      <c r="S153" s="287"/>
      <c r="T153" s="248"/>
      <c r="U153" s="13"/>
      <c r="V153" s="282"/>
      <c r="W153" s="283"/>
      <c r="X153" s="284"/>
      <c r="Y153" s="245"/>
      <c r="Z153" s="245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BP153" s="391"/>
      <c r="BQ153" s="393"/>
      <c r="BS153" s="50" t="str">
        <f>Q288</f>
        <v/>
      </c>
      <c r="BT153" s="50" t="e">
        <f>#REF!</f>
        <v>#REF!</v>
      </c>
      <c r="BU153" s="39" t="str">
        <f t="shared" si="226"/>
        <v/>
      </c>
      <c r="BV153" s="39" t="str">
        <f t="shared" si="219"/>
        <v/>
      </c>
    </row>
    <row r="154" spans="1:74" ht="14.25" customHeight="1" x14ac:dyDescent="0.35">
      <c r="A154" s="293">
        <v>69</v>
      </c>
      <c r="B154" s="295"/>
      <c r="C154" s="297"/>
      <c r="D154" s="299"/>
      <c r="E154" s="301"/>
      <c r="F154" s="303"/>
      <c r="G154" s="288"/>
      <c r="H154" s="289"/>
      <c r="I154" s="290"/>
      <c r="J154" s="290"/>
      <c r="K154" s="291"/>
      <c r="L154" s="18"/>
      <c r="M154" s="285" t="str">
        <f t="shared" ref="M154" si="227">IF(COUNT(L154:L155)&lt;1,"",AVERAGE(L154:L155))</f>
        <v/>
      </c>
      <c r="N154" s="22"/>
      <c r="O154" s="285" t="str">
        <f t="shared" ref="O154" si="228">IF(COUNT(N154:N155)&lt;1,"",AVERAGE(N154:N155))</f>
        <v/>
      </c>
      <c r="P154" s="22"/>
      <c r="Q154" s="285" t="str">
        <f t="shared" ref="Q154" si="229">IF(COUNT(P154:P155)&lt;1,"",AVERAGE(P154:P155))</f>
        <v/>
      </c>
      <c r="R154" s="278" t="str">
        <f>IF($X$13="/28",IF(COUNT(P154:P155)&lt;=1,"",ABS(P154-P155)),IF($X$13="/90",IF(COUNT(#REF!)&lt;=1,"",ABS(#REF!-#REF!))))</f>
        <v/>
      </c>
      <c r="S154" s="278" t="str">
        <f>IF($X$13="/28",IF(Q154="","",IF(AVERAGE(Q150:Q155)&gt;=$W$13,ROUND(AVERAGE(Q150:Q155),1)&amp;" ≥ "&amp;$W$13&amp;" OK",ROUND(AVERAGE(Q150:Q155),1)&amp;" &lt; "&amp;$W$13&amp;" NC")),IF($X$13="/90",IF(#REF!="","",IF(AVERAGE(#REF!)&gt;=$W$13,ROUND(AVERAGE(#REF!),1)&amp;" ≥ "&amp;$W$13&amp;" OK",ROUND(AVERAGE(#REF!),1)&amp;" &lt; "&amp;$W$13&amp;" NC"))))</f>
        <v/>
      </c>
      <c r="T154" s="278" t="str">
        <f>IF($X$13="/28",IF(Q154="","",IF(Q154&gt;=$W$13-$S$12,ROUND((Q154),1)&amp;" ≥ "&amp;$W$13-$S$12&amp;" OK",ROUND((Q154),1)&amp;" &lt; "&amp;$W$13-$S$12&amp;" NC")),IF($X$13="/90",IF(#REF!="","",IF(#REF!&gt;=$W$13-$S$12,ROUND((#REF!),1)&amp;" ≥ "&amp;$W$13-$S$12&amp;" OK",ROUND((#REF!),1)&amp;" &lt; "&amp;$W$13-$S$12&amp;" NC"))))</f>
        <v/>
      </c>
      <c r="U154" s="14"/>
      <c r="V154" s="279"/>
      <c r="W154" s="280"/>
      <c r="X154" s="281"/>
      <c r="Y154" s="246"/>
      <c r="Z154" s="246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BP154" s="390" t="str">
        <f>IF($X$13="/28",IF(Q154="","",Q154),IF($X$13="/90",IF(#REF!="","",#REF!),"Falso"))</f>
        <v/>
      </c>
      <c r="BQ154" s="392" t="str">
        <f t="shared" si="146"/>
        <v/>
      </c>
      <c r="BS154" s="50" t="str">
        <f>Q290</f>
        <v/>
      </c>
      <c r="BT154" s="50" t="e">
        <f>#REF!</f>
        <v>#REF!</v>
      </c>
      <c r="BU154" s="39" t="str">
        <f t="shared" si="226"/>
        <v/>
      </c>
      <c r="BV154" s="39" t="str">
        <f t="shared" si="219"/>
        <v/>
      </c>
    </row>
    <row r="155" spans="1:74" ht="14.25" customHeight="1" x14ac:dyDescent="0.35">
      <c r="A155" s="294"/>
      <c r="B155" s="296"/>
      <c r="C155" s="298"/>
      <c r="D155" s="300"/>
      <c r="E155" s="302"/>
      <c r="F155" s="304"/>
      <c r="G155" s="276"/>
      <c r="H155" s="277"/>
      <c r="I155" s="290"/>
      <c r="J155" s="290"/>
      <c r="K155" s="291"/>
      <c r="L155" s="17"/>
      <c r="M155" s="286"/>
      <c r="N155" s="21"/>
      <c r="O155" s="286"/>
      <c r="P155" s="21"/>
      <c r="Q155" s="286"/>
      <c r="R155" s="248"/>
      <c r="S155" s="287"/>
      <c r="T155" s="248"/>
      <c r="U155" s="13"/>
      <c r="V155" s="282"/>
      <c r="W155" s="283"/>
      <c r="X155" s="284"/>
      <c r="Y155" s="245"/>
      <c r="Z155" s="245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BP155" s="391"/>
      <c r="BQ155" s="393"/>
      <c r="BS155" s="50" t="str">
        <f>Q292</f>
        <v/>
      </c>
      <c r="BT155" s="50" t="e">
        <f>#REF!</f>
        <v>#REF!</v>
      </c>
      <c r="BU155" s="39" t="str">
        <f t="shared" si="226"/>
        <v/>
      </c>
      <c r="BV155" s="39" t="str">
        <f t="shared" si="219"/>
        <v/>
      </c>
    </row>
    <row r="156" spans="1:74" ht="14.25" customHeight="1" x14ac:dyDescent="0.35">
      <c r="A156" s="293">
        <v>70</v>
      </c>
      <c r="B156" s="295"/>
      <c r="C156" s="297"/>
      <c r="D156" s="299"/>
      <c r="E156" s="301"/>
      <c r="F156" s="303"/>
      <c r="G156" s="288"/>
      <c r="H156" s="289"/>
      <c r="I156" s="290"/>
      <c r="J156" s="290"/>
      <c r="K156" s="291"/>
      <c r="L156" s="18"/>
      <c r="M156" s="285" t="str">
        <f t="shared" ref="M156" si="230">IF(COUNT(L156:L157)&lt;1,"",AVERAGE(L156:L157))</f>
        <v/>
      </c>
      <c r="N156" s="22"/>
      <c r="O156" s="285" t="str">
        <f t="shared" ref="O156" si="231">IF(COUNT(N156:N157)&lt;1,"",AVERAGE(N156:N157))</f>
        <v/>
      </c>
      <c r="P156" s="22"/>
      <c r="Q156" s="285" t="str">
        <f t="shared" ref="Q156" si="232">IF(COUNT(P156:P157)&lt;1,"",AVERAGE(P156:P157))</f>
        <v/>
      </c>
      <c r="R156" s="278" t="str">
        <f>IF($X$13="/28",IF(COUNT(P156:P157)&lt;=1,"",ABS(P156-P157)),IF($X$13="/90",IF(COUNT(#REF!)&lt;=1,"",ABS(#REF!-#REF!))))</f>
        <v/>
      </c>
      <c r="S156" s="278" t="str">
        <f>IF($X$13="/28",IF(Q156="","",IF(AVERAGE(Q152:Q157)&gt;=$W$13,ROUND(AVERAGE(Q152:Q157),1)&amp;" ≥ "&amp;$W$13&amp;" OK",ROUND(AVERAGE(Q152:Q157),1)&amp;" &lt; "&amp;$W$13&amp;" NC")),IF($X$13="/90",IF(#REF!="","",IF(AVERAGE(#REF!)&gt;=$W$13,ROUND(AVERAGE(#REF!),1)&amp;" ≥ "&amp;$W$13&amp;" OK",ROUND(AVERAGE(#REF!),1)&amp;" &lt; "&amp;$W$13&amp;" NC"))))</f>
        <v/>
      </c>
      <c r="T156" s="278" t="str">
        <f>IF($X$13="/28",IF(Q156="","",IF(Q156&gt;=$W$13-$S$12,ROUND((Q156),1)&amp;" ≥ "&amp;$W$13-$S$12&amp;" OK",ROUND((Q156),1)&amp;" &lt; "&amp;$W$13-$S$12&amp;" NC")),IF($X$13="/90",IF(#REF!="","",IF(#REF!&gt;=$W$13-$S$12,ROUND((#REF!),1)&amp;" ≥ "&amp;$W$13-$S$12&amp;" OK",ROUND((#REF!),1)&amp;" &lt; "&amp;$W$13-$S$12&amp;" NC"))))</f>
        <v/>
      </c>
      <c r="U156" s="14"/>
      <c r="V156" s="279"/>
      <c r="W156" s="280"/>
      <c r="X156" s="281"/>
      <c r="Y156" s="246"/>
      <c r="Z156" s="246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BP156" s="390" t="str">
        <f>IF($X$13="/28",IF(Q156="","",Q156),IF($X$13="/90",IF(#REF!="","",#REF!),"Falso"))</f>
        <v/>
      </c>
      <c r="BQ156" s="392" t="str">
        <f t="shared" si="138"/>
        <v/>
      </c>
      <c r="BS156" s="50" t="str">
        <f>Q294</f>
        <v/>
      </c>
      <c r="BT156" s="50" t="e">
        <f>#REF!</f>
        <v>#REF!</v>
      </c>
      <c r="BU156" s="39" t="str">
        <f t="shared" si="226"/>
        <v/>
      </c>
      <c r="BV156" s="39" t="str">
        <f t="shared" si="219"/>
        <v/>
      </c>
    </row>
    <row r="157" spans="1:74" ht="14.25" customHeight="1" x14ac:dyDescent="0.35">
      <c r="A157" s="294"/>
      <c r="B157" s="296"/>
      <c r="C157" s="298"/>
      <c r="D157" s="300"/>
      <c r="E157" s="302"/>
      <c r="F157" s="304"/>
      <c r="G157" s="276"/>
      <c r="H157" s="277"/>
      <c r="I157" s="290"/>
      <c r="J157" s="290"/>
      <c r="K157" s="291"/>
      <c r="L157" s="17"/>
      <c r="M157" s="286"/>
      <c r="N157" s="21"/>
      <c r="O157" s="286"/>
      <c r="P157" s="21"/>
      <c r="Q157" s="286"/>
      <c r="R157" s="248"/>
      <c r="S157" s="287"/>
      <c r="T157" s="248"/>
      <c r="U157" s="13"/>
      <c r="V157" s="282"/>
      <c r="W157" s="283"/>
      <c r="X157" s="284"/>
      <c r="Y157" s="245"/>
      <c r="Z157" s="245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BP157" s="391"/>
      <c r="BQ157" s="393"/>
      <c r="BS157" s="50" t="str">
        <f>Q296</f>
        <v/>
      </c>
      <c r="BT157" s="50" t="e">
        <f>#REF!</f>
        <v>#REF!</v>
      </c>
      <c r="BU157" s="39" t="str">
        <f t="shared" si="226"/>
        <v/>
      </c>
      <c r="BV157" s="39" t="str">
        <f t="shared" si="219"/>
        <v/>
      </c>
    </row>
    <row r="158" spans="1:74" ht="14.25" customHeight="1" x14ac:dyDescent="0.35">
      <c r="A158" s="293">
        <v>71</v>
      </c>
      <c r="B158" s="295"/>
      <c r="C158" s="297"/>
      <c r="D158" s="299"/>
      <c r="E158" s="301"/>
      <c r="F158" s="303"/>
      <c r="G158" s="288"/>
      <c r="H158" s="289"/>
      <c r="I158" s="290"/>
      <c r="J158" s="290"/>
      <c r="K158" s="291"/>
      <c r="L158" s="18"/>
      <c r="M158" s="285" t="str">
        <f t="shared" ref="M158" si="233">IF(COUNT(L158:L159)&lt;1,"",AVERAGE(L158:L159))</f>
        <v/>
      </c>
      <c r="N158" s="22"/>
      <c r="O158" s="285" t="str">
        <f t="shared" ref="O158" si="234">IF(COUNT(N158:N159)&lt;1,"",AVERAGE(N158:N159))</f>
        <v/>
      </c>
      <c r="P158" s="22"/>
      <c r="Q158" s="285" t="str">
        <f t="shared" ref="Q158" si="235">IF(COUNT(P158:P159)&lt;1,"",AVERAGE(P158:P159))</f>
        <v/>
      </c>
      <c r="R158" s="278" t="str">
        <f>IF($X$13="/28",IF(COUNT(P158:P159)&lt;=1,"",ABS(P158-P159)),IF($X$13="/90",IF(COUNT(#REF!)&lt;=1,"",ABS(#REF!-#REF!))))</f>
        <v/>
      </c>
      <c r="S158" s="278" t="str">
        <f>IF($X$13="/28",IF(Q158="","",IF(AVERAGE(Q154:Q159)&gt;=$W$13,ROUND(AVERAGE(Q154:Q159),1)&amp;" ≥ "&amp;$W$13&amp;" OK",ROUND(AVERAGE(Q154:Q159),1)&amp;" &lt; "&amp;$W$13&amp;" NC")),IF($X$13="/90",IF(#REF!="","",IF(AVERAGE(#REF!)&gt;=$W$13,ROUND(AVERAGE(#REF!),1)&amp;" ≥ "&amp;$W$13&amp;" OK",ROUND(AVERAGE(#REF!),1)&amp;" &lt; "&amp;$W$13&amp;" NC"))))</f>
        <v/>
      </c>
      <c r="T158" s="278" t="str">
        <f>IF($X$13="/28",IF(Q158="","",IF(Q158&gt;=$W$13-$S$12,ROUND((Q158),1)&amp;" ≥ "&amp;$W$13-$S$12&amp;" OK",ROUND((Q158),1)&amp;" &lt; "&amp;$W$13-$S$12&amp;" NC")),IF($X$13="/90",IF(#REF!="","",IF(#REF!&gt;=$W$13-$S$12,ROUND((#REF!),1)&amp;" ≥ "&amp;$W$13-$S$12&amp;" OK",ROUND((#REF!),1)&amp;" &lt; "&amp;$W$13-$S$12&amp;" NC"))))</f>
        <v/>
      </c>
      <c r="U158" s="14"/>
      <c r="V158" s="279"/>
      <c r="W158" s="280"/>
      <c r="X158" s="281"/>
      <c r="Y158" s="246"/>
      <c r="Z158" s="246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BP158" s="390" t="str">
        <f>IF($X$13="/28",IF(Q158="","",Q158),IF($X$13="/90",IF(#REF!="","",#REF!),"Falso"))</f>
        <v/>
      </c>
      <c r="BQ158" s="392" t="str">
        <f t="shared" si="142"/>
        <v/>
      </c>
      <c r="BS158" s="50" t="str">
        <f>Q298</f>
        <v/>
      </c>
      <c r="BT158" s="50" t="e">
        <f>#REF!</f>
        <v>#REF!</v>
      </c>
      <c r="BU158" s="39" t="str">
        <f t="shared" si="226"/>
        <v/>
      </c>
      <c r="BV158" s="39" t="str">
        <f t="shared" si="219"/>
        <v/>
      </c>
    </row>
    <row r="159" spans="1:74" ht="14.25" customHeight="1" x14ac:dyDescent="0.35">
      <c r="A159" s="294"/>
      <c r="B159" s="296"/>
      <c r="C159" s="298"/>
      <c r="D159" s="300"/>
      <c r="E159" s="302"/>
      <c r="F159" s="304"/>
      <c r="G159" s="276"/>
      <c r="H159" s="277"/>
      <c r="I159" s="290"/>
      <c r="J159" s="290"/>
      <c r="K159" s="291"/>
      <c r="L159" s="17"/>
      <c r="M159" s="286"/>
      <c r="N159" s="21"/>
      <c r="O159" s="286"/>
      <c r="P159" s="21"/>
      <c r="Q159" s="286"/>
      <c r="R159" s="248"/>
      <c r="S159" s="287"/>
      <c r="T159" s="248"/>
      <c r="U159" s="13"/>
      <c r="V159" s="282"/>
      <c r="W159" s="283"/>
      <c r="X159" s="284"/>
      <c r="Y159" s="245"/>
      <c r="Z159" s="245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BP159" s="391"/>
      <c r="BQ159" s="393"/>
      <c r="BS159" s="50" t="str">
        <f>Q300</f>
        <v/>
      </c>
      <c r="BT159" s="50" t="e">
        <f>#REF!</f>
        <v>#REF!</v>
      </c>
      <c r="BU159" s="39" t="str">
        <f t="shared" si="226"/>
        <v/>
      </c>
      <c r="BV159" s="39" t="str">
        <f t="shared" si="219"/>
        <v/>
      </c>
    </row>
    <row r="160" spans="1:74" ht="14.25" customHeight="1" x14ac:dyDescent="0.35">
      <c r="A160" s="293">
        <v>72</v>
      </c>
      <c r="B160" s="295"/>
      <c r="C160" s="297"/>
      <c r="D160" s="299"/>
      <c r="E160" s="301"/>
      <c r="F160" s="303"/>
      <c r="G160" s="288"/>
      <c r="H160" s="289"/>
      <c r="I160" s="290"/>
      <c r="J160" s="290"/>
      <c r="K160" s="291"/>
      <c r="L160" s="18"/>
      <c r="M160" s="285" t="str">
        <f t="shared" ref="M160" si="236">IF(COUNT(L160:L161)&lt;1,"",AVERAGE(L160:L161))</f>
        <v/>
      </c>
      <c r="N160" s="22"/>
      <c r="O160" s="285" t="str">
        <f t="shared" ref="O160" si="237">IF(COUNT(N160:N161)&lt;1,"",AVERAGE(N160:N161))</f>
        <v/>
      </c>
      <c r="P160" s="22"/>
      <c r="Q160" s="285" t="str">
        <f t="shared" ref="Q160" si="238">IF(COUNT(P160:P161)&lt;1,"",AVERAGE(P160:P161))</f>
        <v/>
      </c>
      <c r="R160" s="278" t="str">
        <f>IF($X$13="/28",IF(COUNT(P160:P161)&lt;=1,"",ABS(P160-P161)),IF($X$13="/90",IF(COUNT(#REF!)&lt;=1,"",ABS(#REF!-#REF!))))</f>
        <v/>
      </c>
      <c r="S160" s="278" t="str">
        <f>IF($X$13="/28",IF(Q160="","",IF(AVERAGE(Q156:Q161)&gt;=$W$13,ROUND(AVERAGE(Q156:Q161),1)&amp;" ≥ "&amp;$W$13&amp;" OK",ROUND(AVERAGE(Q156:Q161),1)&amp;" &lt; "&amp;$W$13&amp;" NC")),IF($X$13="/90",IF(#REF!="","",IF(AVERAGE(#REF!)&gt;=$W$13,ROUND(AVERAGE(#REF!),1)&amp;" ≥ "&amp;$W$13&amp;" OK",ROUND(AVERAGE(#REF!),1)&amp;" &lt; "&amp;$W$13&amp;" NC"))))</f>
        <v/>
      </c>
      <c r="T160" s="278" t="str">
        <f>IF($X$13="/28",IF(Q160="","",IF(Q160&gt;=$W$13-$S$12,ROUND((Q160),1)&amp;" ≥ "&amp;$W$13-$S$12&amp;" OK",ROUND((Q160),1)&amp;" &lt; "&amp;$W$13-$S$12&amp;" NC")),IF($X$13="/90",IF(#REF!="","",IF(#REF!&gt;=$W$13-$S$12,ROUND((#REF!),1)&amp;" ≥ "&amp;$W$13-$S$12&amp;" OK",ROUND((#REF!),1)&amp;" &lt; "&amp;$W$13-$S$12&amp;" NC"))))</f>
        <v/>
      </c>
      <c r="U160" s="14"/>
      <c r="V160" s="279"/>
      <c r="W160" s="280"/>
      <c r="X160" s="281"/>
      <c r="Y160" s="246"/>
      <c r="Z160" s="246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BP160" s="390" t="str">
        <f>IF($X$13="/28",IF(Q160="","",Q160),IF($X$13="/90",IF(#REF!="","",#REF!),"Falso"))</f>
        <v/>
      </c>
      <c r="BQ160" s="392" t="str">
        <f t="shared" si="146"/>
        <v/>
      </c>
      <c r="BS160" s="50" t="str">
        <f>Q302</f>
        <v/>
      </c>
      <c r="BT160" s="50" t="e">
        <f>#REF!</f>
        <v>#REF!</v>
      </c>
      <c r="BU160" s="39" t="str">
        <f t="shared" si="226"/>
        <v/>
      </c>
      <c r="BV160" s="39" t="str">
        <f t="shared" si="219"/>
        <v/>
      </c>
    </row>
    <row r="161" spans="1:74" ht="14.25" customHeight="1" x14ac:dyDescent="0.35">
      <c r="A161" s="294"/>
      <c r="B161" s="296"/>
      <c r="C161" s="298"/>
      <c r="D161" s="300"/>
      <c r="E161" s="302"/>
      <c r="F161" s="304"/>
      <c r="G161" s="276"/>
      <c r="H161" s="277"/>
      <c r="I161" s="290"/>
      <c r="J161" s="290"/>
      <c r="K161" s="291"/>
      <c r="L161" s="17"/>
      <c r="M161" s="286"/>
      <c r="N161" s="21"/>
      <c r="O161" s="286"/>
      <c r="P161" s="21"/>
      <c r="Q161" s="286"/>
      <c r="R161" s="248"/>
      <c r="S161" s="287"/>
      <c r="T161" s="248"/>
      <c r="U161" s="13"/>
      <c r="V161" s="282"/>
      <c r="W161" s="283"/>
      <c r="X161" s="284"/>
      <c r="Y161" s="245"/>
      <c r="Z161" s="245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BP161" s="391"/>
      <c r="BQ161" s="393"/>
      <c r="BS161" s="50" t="str">
        <f>Q304</f>
        <v/>
      </c>
      <c r="BT161" s="50" t="e">
        <f>#REF!</f>
        <v>#REF!</v>
      </c>
      <c r="BU161" s="39" t="str">
        <f t="shared" si="226"/>
        <v/>
      </c>
      <c r="BV161" s="39" t="str">
        <f t="shared" si="219"/>
        <v/>
      </c>
    </row>
    <row r="162" spans="1:74" ht="14.25" customHeight="1" x14ac:dyDescent="0.35">
      <c r="A162" s="293">
        <v>73</v>
      </c>
      <c r="B162" s="295"/>
      <c r="C162" s="297"/>
      <c r="D162" s="299"/>
      <c r="E162" s="301"/>
      <c r="F162" s="303"/>
      <c r="G162" s="288"/>
      <c r="H162" s="289"/>
      <c r="I162" s="290"/>
      <c r="J162" s="290"/>
      <c r="K162" s="291"/>
      <c r="L162" s="18"/>
      <c r="M162" s="285" t="str">
        <f t="shared" ref="M162" si="239">IF(COUNT(L162:L163)&lt;1,"",AVERAGE(L162:L163))</f>
        <v/>
      </c>
      <c r="N162" s="22"/>
      <c r="O162" s="285" t="str">
        <f t="shared" ref="O162" si="240">IF(COUNT(N162:N163)&lt;1,"",AVERAGE(N162:N163))</f>
        <v/>
      </c>
      <c r="P162" s="22"/>
      <c r="Q162" s="285" t="str">
        <f t="shared" ref="Q162" si="241">IF(COUNT(P162:P163)&lt;1,"",AVERAGE(P162:P163))</f>
        <v/>
      </c>
      <c r="R162" s="278" t="str">
        <f>IF($X$13="/28",IF(COUNT(P162:P163)&lt;=1,"",ABS(P162-P163)),IF($X$13="/90",IF(COUNT(#REF!)&lt;=1,"",ABS(#REF!-#REF!))))</f>
        <v/>
      </c>
      <c r="S162" s="278" t="str">
        <f>IF($X$13="/28",IF(Q162="","",IF(AVERAGE(Q158:Q163)&gt;=$W$13,ROUND(AVERAGE(Q158:Q163),1)&amp;" ≥ "&amp;$W$13&amp;" OK",ROUND(AVERAGE(Q158:Q163),1)&amp;" &lt; "&amp;$W$13&amp;" NC")),IF($X$13="/90",IF(#REF!="","",IF(AVERAGE(#REF!)&gt;=$W$13,ROUND(AVERAGE(#REF!),1)&amp;" ≥ "&amp;$W$13&amp;" OK",ROUND(AVERAGE(#REF!),1)&amp;" &lt; "&amp;$W$13&amp;" NC"))))</f>
        <v/>
      </c>
      <c r="T162" s="278" t="str">
        <f>IF($X$13="/28",IF(Q162="","",IF(Q162&gt;=$W$13-$S$12,ROUND((Q162),1)&amp;" ≥ "&amp;$W$13-$S$12&amp;" OK",ROUND((Q162),1)&amp;" &lt; "&amp;$W$13-$S$12&amp;" NC")),IF($X$13="/90",IF(#REF!="","",IF(#REF!&gt;=$W$13-$S$12,ROUND((#REF!),1)&amp;" ≥ "&amp;$W$13-$S$12&amp;" OK",ROUND((#REF!),1)&amp;" &lt; "&amp;$W$13-$S$12&amp;" NC"))))</f>
        <v/>
      </c>
      <c r="U162" s="14"/>
      <c r="V162" s="279"/>
      <c r="W162" s="280"/>
      <c r="X162" s="281"/>
      <c r="Y162" s="246"/>
      <c r="Z162" s="246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BP162" s="390" t="str">
        <f>IF($X$13="/28",IF(Q162="","",Q162),IF($X$13="/90",IF(#REF!="","",#REF!),"Falso"))</f>
        <v/>
      </c>
      <c r="BQ162" s="392" t="str">
        <f t="shared" ref="BQ162:BQ222" si="242">IF(BP162="","",BQ160+1)</f>
        <v/>
      </c>
      <c r="BS162" s="50" t="str">
        <f>Q306</f>
        <v/>
      </c>
      <c r="BT162" s="50" t="e">
        <f>#REF!</f>
        <v>#REF!</v>
      </c>
      <c r="BU162" s="39" t="str">
        <f t="shared" si="226"/>
        <v/>
      </c>
      <c r="BV162" s="39" t="str">
        <f t="shared" si="219"/>
        <v/>
      </c>
    </row>
    <row r="163" spans="1:74" ht="14.25" customHeight="1" x14ac:dyDescent="0.35">
      <c r="A163" s="294"/>
      <c r="B163" s="296"/>
      <c r="C163" s="298"/>
      <c r="D163" s="300"/>
      <c r="E163" s="302"/>
      <c r="F163" s="304"/>
      <c r="G163" s="276"/>
      <c r="H163" s="277"/>
      <c r="I163" s="290"/>
      <c r="J163" s="290"/>
      <c r="K163" s="291"/>
      <c r="L163" s="17"/>
      <c r="M163" s="286"/>
      <c r="N163" s="21"/>
      <c r="O163" s="286"/>
      <c r="P163" s="21"/>
      <c r="Q163" s="286"/>
      <c r="R163" s="248"/>
      <c r="S163" s="287"/>
      <c r="T163" s="248"/>
      <c r="U163" s="13"/>
      <c r="V163" s="282"/>
      <c r="W163" s="283"/>
      <c r="X163" s="284"/>
      <c r="Y163" s="245"/>
      <c r="Z163" s="245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BP163" s="391"/>
      <c r="BQ163" s="393"/>
      <c r="BS163" s="50" t="str">
        <f>Q308</f>
        <v/>
      </c>
      <c r="BT163" s="50" t="e">
        <f>#REF!</f>
        <v>#REF!</v>
      </c>
      <c r="BU163" s="39" t="str">
        <f t="shared" si="226"/>
        <v/>
      </c>
      <c r="BV163" s="39" t="str">
        <f t="shared" si="219"/>
        <v/>
      </c>
    </row>
    <row r="164" spans="1:74" ht="14.25" customHeight="1" x14ac:dyDescent="0.35">
      <c r="A164" s="293">
        <v>74</v>
      </c>
      <c r="B164" s="295"/>
      <c r="C164" s="297"/>
      <c r="D164" s="299"/>
      <c r="E164" s="301"/>
      <c r="F164" s="303"/>
      <c r="G164" s="288"/>
      <c r="H164" s="289"/>
      <c r="I164" s="290"/>
      <c r="J164" s="290"/>
      <c r="K164" s="291"/>
      <c r="L164" s="18"/>
      <c r="M164" s="285" t="str">
        <f t="shared" ref="M164" si="243">IF(COUNT(L164:L165)&lt;1,"",AVERAGE(L164:L165))</f>
        <v/>
      </c>
      <c r="N164" s="22"/>
      <c r="O164" s="285" t="str">
        <f t="shared" ref="O164" si="244">IF(COUNT(N164:N165)&lt;1,"",AVERAGE(N164:N165))</f>
        <v/>
      </c>
      <c r="P164" s="22"/>
      <c r="Q164" s="285" t="str">
        <f t="shared" ref="Q164" si="245">IF(COUNT(P164:P165)&lt;1,"",AVERAGE(P164:P165))</f>
        <v/>
      </c>
      <c r="R164" s="278" t="str">
        <f>IF($X$13="/28",IF(COUNT(P164:P165)&lt;=1,"",ABS(P164-P165)),IF($X$13="/90",IF(COUNT(#REF!)&lt;=1,"",ABS(#REF!-#REF!))))</f>
        <v/>
      </c>
      <c r="S164" s="278" t="str">
        <f>IF($X$13="/28",IF(Q164="","",IF(AVERAGE(Q160:Q165)&gt;=$W$13,ROUND(AVERAGE(Q160:Q165),1)&amp;" ≥ "&amp;$W$13&amp;" OK",ROUND(AVERAGE(Q160:Q165),1)&amp;" &lt; "&amp;$W$13&amp;" NC")),IF($X$13="/90",IF(#REF!="","",IF(AVERAGE(#REF!)&gt;=$W$13,ROUND(AVERAGE(#REF!),1)&amp;" ≥ "&amp;$W$13&amp;" OK",ROUND(AVERAGE(#REF!),1)&amp;" &lt; "&amp;$W$13&amp;" NC"))))</f>
        <v/>
      </c>
      <c r="T164" s="278" t="str">
        <f>IF($X$13="/28",IF(Q164="","",IF(Q164&gt;=$W$13-$S$12,ROUND((Q164),1)&amp;" ≥ "&amp;$W$13-$S$12&amp;" OK",ROUND((Q164),1)&amp;" &lt; "&amp;$W$13-$S$12&amp;" NC")),IF($X$13="/90",IF(#REF!="","",IF(#REF!&gt;=$W$13-$S$12,ROUND((#REF!),1)&amp;" ≥ "&amp;$W$13-$S$12&amp;" OK",ROUND((#REF!),1)&amp;" &lt; "&amp;$W$13-$S$12&amp;" NC"))))</f>
        <v/>
      </c>
      <c r="U164" s="14"/>
      <c r="V164" s="279"/>
      <c r="W164" s="280"/>
      <c r="X164" s="281"/>
      <c r="Y164" s="246"/>
      <c r="Z164" s="246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BP164" s="390" t="str">
        <f>IF($X$13="/28",IF(Q164="","",Q164),IF($X$13="/90",IF(#REF!="","",#REF!),"Falso"))</f>
        <v/>
      </c>
      <c r="BQ164" s="392" t="str">
        <f t="shared" ref="BQ164:BQ224" si="246">IF(BP164="","",BQ162+1)</f>
        <v/>
      </c>
      <c r="BS164" s="50" t="str">
        <f>Q310</f>
        <v/>
      </c>
      <c r="BT164" s="50" t="e">
        <f>#REF!</f>
        <v>#REF!</v>
      </c>
      <c r="BU164" s="39" t="str">
        <f t="shared" si="226"/>
        <v/>
      </c>
      <c r="BV164" s="39" t="str">
        <f t="shared" si="219"/>
        <v/>
      </c>
    </row>
    <row r="165" spans="1:74" ht="14.25" customHeight="1" x14ac:dyDescent="0.35">
      <c r="A165" s="294"/>
      <c r="B165" s="296"/>
      <c r="C165" s="298"/>
      <c r="D165" s="300"/>
      <c r="E165" s="302"/>
      <c r="F165" s="304"/>
      <c r="G165" s="276"/>
      <c r="H165" s="277"/>
      <c r="I165" s="290"/>
      <c r="J165" s="290"/>
      <c r="K165" s="291"/>
      <c r="L165" s="17"/>
      <c r="M165" s="286"/>
      <c r="N165" s="21"/>
      <c r="O165" s="286"/>
      <c r="P165" s="21"/>
      <c r="Q165" s="286"/>
      <c r="R165" s="248"/>
      <c r="S165" s="287"/>
      <c r="T165" s="248"/>
      <c r="U165" s="13"/>
      <c r="V165" s="282"/>
      <c r="W165" s="283"/>
      <c r="X165" s="284"/>
      <c r="Y165" s="245"/>
      <c r="Z165" s="245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BP165" s="391"/>
      <c r="BQ165" s="393"/>
      <c r="BS165" s="50" t="str">
        <f>Q312</f>
        <v/>
      </c>
      <c r="BT165" s="50" t="e">
        <f>#REF!</f>
        <v>#REF!</v>
      </c>
      <c r="BU165" s="39" t="str">
        <f t="shared" si="226"/>
        <v/>
      </c>
      <c r="BV165" s="39" t="str">
        <f t="shared" si="219"/>
        <v/>
      </c>
    </row>
    <row r="166" spans="1:74" ht="14.25" customHeight="1" x14ac:dyDescent="0.35">
      <c r="A166" s="293">
        <v>75</v>
      </c>
      <c r="B166" s="295"/>
      <c r="C166" s="297"/>
      <c r="D166" s="299"/>
      <c r="E166" s="301"/>
      <c r="F166" s="303"/>
      <c r="G166" s="288"/>
      <c r="H166" s="289"/>
      <c r="I166" s="290"/>
      <c r="J166" s="290"/>
      <c r="K166" s="291"/>
      <c r="L166" s="18"/>
      <c r="M166" s="285" t="str">
        <f t="shared" ref="M166" si="247">IF(COUNT(L166:L167)&lt;1,"",AVERAGE(L166:L167))</f>
        <v/>
      </c>
      <c r="N166" s="22"/>
      <c r="O166" s="285" t="str">
        <f t="shared" ref="O166" si="248">IF(COUNT(N166:N167)&lt;1,"",AVERAGE(N166:N167))</f>
        <v/>
      </c>
      <c r="P166" s="22"/>
      <c r="Q166" s="285" t="str">
        <f t="shared" ref="Q166" si="249">IF(COUNT(P166:P167)&lt;1,"",AVERAGE(P166:P167))</f>
        <v/>
      </c>
      <c r="R166" s="278" t="str">
        <f>IF($X$13="/28",IF(COUNT(P166:P167)&lt;=1,"",ABS(P166-P167)),IF($X$13="/90",IF(COUNT(#REF!)&lt;=1,"",ABS(#REF!-#REF!))))</f>
        <v/>
      </c>
      <c r="S166" s="278" t="str">
        <f>IF($X$13="/28",IF(Q166="","",IF(AVERAGE(Q162:Q167)&gt;=$W$13,ROUND(AVERAGE(Q162:Q167),1)&amp;" ≥ "&amp;$W$13&amp;" OK",ROUND(AVERAGE(Q162:Q167),1)&amp;" &lt; "&amp;$W$13&amp;" NC")),IF($X$13="/90",IF(#REF!="","",IF(AVERAGE(#REF!)&gt;=$W$13,ROUND(AVERAGE(#REF!),1)&amp;" ≥ "&amp;$W$13&amp;" OK",ROUND(AVERAGE(#REF!),1)&amp;" &lt; "&amp;$W$13&amp;" NC"))))</f>
        <v/>
      </c>
      <c r="T166" s="278" t="str">
        <f>IF($X$13="/28",IF(Q166="","",IF(Q166&gt;=$W$13-$S$12,ROUND((Q166),1)&amp;" ≥ "&amp;$W$13-$S$12&amp;" OK",ROUND((Q166),1)&amp;" &lt; "&amp;$W$13-$S$12&amp;" NC")),IF($X$13="/90",IF(#REF!="","",IF(#REF!&gt;=$W$13-$S$12,ROUND((#REF!),1)&amp;" ≥ "&amp;$W$13-$S$12&amp;" OK",ROUND((#REF!),1)&amp;" &lt; "&amp;$W$13-$S$12&amp;" NC"))))</f>
        <v/>
      </c>
      <c r="U166" s="14"/>
      <c r="V166" s="279"/>
      <c r="W166" s="280"/>
      <c r="X166" s="281"/>
      <c r="Y166" s="246"/>
      <c r="Z166" s="246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BP166" s="390" t="str">
        <f>IF($X$13="/28",IF(Q166="","",Q166),IF($X$13="/90",IF(#REF!="","",#REF!),"Falso"))</f>
        <v/>
      </c>
      <c r="BQ166" s="392" t="str">
        <f t="shared" ref="BQ166:BQ226" si="250">IF(BP166="","",BQ164+1)</f>
        <v/>
      </c>
      <c r="BS166" s="50" t="str">
        <f>Q314</f>
        <v/>
      </c>
      <c r="BT166" s="50" t="e">
        <f>#REF!</f>
        <v>#REF!</v>
      </c>
      <c r="BU166" s="39" t="str">
        <f t="shared" si="226"/>
        <v/>
      </c>
      <c r="BV166" s="39" t="str">
        <f t="shared" si="219"/>
        <v/>
      </c>
    </row>
    <row r="167" spans="1:74" ht="14.25" customHeight="1" x14ac:dyDescent="0.35">
      <c r="A167" s="294"/>
      <c r="B167" s="296"/>
      <c r="C167" s="298"/>
      <c r="D167" s="300"/>
      <c r="E167" s="302"/>
      <c r="F167" s="304"/>
      <c r="G167" s="276"/>
      <c r="H167" s="277"/>
      <c r="I167" s="290"/>
      <c r="J167" s="290"/>
      <c r="K167" s="291"/>
      <c r="L167" s="17"/>
      <c r="M167" s="286"/>
      <c r="N167" s="21"/>
      <c r="O167" s="286"/>
      <c r="P167" s="21"/>
      <c r="Q167" s="286"/>
      <c r="R167" s="248"/>
      <c r="S167" s="287"/>
      <c r="T167" s="248"/>
      <c r="U167" s="13"/>
      <c r="V167" s="282"/>
      <c r="W167" s="283"/>
      <c r="X167" s="284"/>
      <c r="Y167" s="245"/>
      <c r="Z167" s="245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BP167" s="391"/>
      <c r="BQ167" s="393"/>
      <c r="BS167" s="50" t="str">
        <f>Q316</f>
        <v/>
      </c>
      <c r="BT167" s="50" t="e">
        <f>#REF!</f>
        <v>#REF!</v>
      </c>
      <c r="BU167" s="39" t="str">
        <f t="shared" si="226"/>
        <v/>
      </c>
      <c r="BV167" s="39" t="str">
        <f t="shared" si="219"/>
        <v/>
      </c>
    </row>
    <row r="168" spans="1:74" ht="14.25" customHeight="1" x14ac:dyDescent="0.35">
      <c r="A168" s="293">
        <v>76</v>
      </c>
      <c r="B168" s="295"/>
      <c r="C168" s="297"/>
      <c r="D168" s="299"/>
      <c r="E168" s="301"/>
      <c r="F168" s="303"/>
      <c r="G168" s="288"/>
      <c r="H168" s="289"/>
      <c r="I168" s="290"/>
      <c r="J168" s="290"/>
      <c r="K168" s="291"/>
      <c r="L168" s="18"/>
      <c r="M168" s="285" t="str">
        <f t="shared" ref="M168" si="251">IF(COUNT(L168:L169)&lt;1,"",AVERAGE(L168:L169))</f>
        <v/>
      </c>
      <c r="N168" s="22"/>
      <c r="O168" s="285" t="str">
        <f t="shared" ref="O168" si="252">IF(COUNT(N168:N169)&lt;1,"",AVERAGE(N168:N169))</f>
        <v/>
      </c>
      <c r="P168" s="22"/>
      <c r="Q168" s="285" t="str">
        <f t="shared" ref="Q168" si="253">IF(COUNT(P168:P169)&lt;1,"",AVERAGE(P168:P169))</f>
        <v/>
      </c>
      <c r="R168" s="278" t="str">
        <f>IF($X$13="/28",IF(COUNT(P168:P169)&lt;=1,"",ABS(P168-P169)),IF($X$13="/90",IF(COUNT(#REF!)&lt;=1,"",ABS(#REF!-#REF!))))</f>
        <v/>
      </c>
      <c r="S168" s="278" t="str">
        <f>IF($X$13="/28",IF(Q168="","",IF(AVERAGE(Q164:Q169)&gt;=$W$13,ROUND(AVERAGE(Q164:Q169),1)&amp;" ≥ "&amp;$W$13&amp;" OK",ROUND(AVERAGE(Q164:Q169),1)&amp;" &lt; "&amp;$W$13&amp;" NC")),IF($X$13="/90",IF(#REF!="","",IF(AVERAGE(#REF!)&gt;=$W$13,ROUND(AVERAGE(#REF!),1)&amp;" ≥ "&amp;$W$13&amp;" OK",ROUND(AVERAGE(#REF!),1)&amp;" &lt; "&amp;$W$13&amp;" NC"))))</f>
        <v/>
      </c>
      <c r="T168" s="278" t="str">
        <f>IF($X$13="/28",IF(Q168="","",IF(Q168&gt;=$W$13-$S$12,ROUND((Q168),1)&amp;" ≥ "&amp;$W$13-$S$12&amp;" OK",ROUND((Q168),1)&amp;" &lt; "&amp;$W$13-$S$12&amp;" NC")),IF($X$13="/90",IF(#REF!="","",IF(#REF!&gt;=$W$13-$S$12,ROUND((#REF!),1)&amp;" ≥ "&amp;$W$13-$S$12&amp;" OK",ROUND((#REF!),1)&amp;" &lt; "&amp;$W$13-$S$12&amp;" NC"))))</f>
        <v/>
      </c>
      <c r="U168" s="14"/>
      <c r="V168" s="279"/>
      <c r="W168" s="280"/>
      <c r="X168" s="281"/>
      <c r="Y168" s="246"/>
      <c r="Z168" s="246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BP168" s="390" t="str">
        <f>IF($X$13="/28",IF(Q168="","",Q168),IF($X$13="/90",IF(#REF!="","",#REF!),"Falso"))</f>
        <v/>
      </c>
      <c r="BQ168" s="392" t="str">
        <f t="shared" si="242"/>
        <v/>
      </c>
      <c r="BS168" s="50" t="str">
        <f>Q318</f>
        <v/>
      </c>
      <c r="BT168" s="50" t="e">
        <f>#REF!</f>
        <v>#REF!</v>
      </c>
      <c r="BU168" s="39" t="str">
        <f t="shared" si="226"/>
        <v/>
      </c>
      <c r="BV168" s="39" t="str">
        <f t="shared" si="219"/>
        <v/>
      </c>
    </row>
    <row r="169" spans="1:74" ht="14.25" customHeight="1" x14ac:dyDescent="0.35">
      <c r="A169" s="294"/>
      <c r="B169" s="296"/>
      <c r="C169" s="298"/>
      <c r="D169" s="300"/>
      <c r="E169" s="302"/>
      <c r="F169" s="304"/>
      <c r="G169" s="276"/>
      <c r="H169" s="277"/>
      <c r="I169" s="290"/>
      <c r="J169" s="290"/>
      <c r="K169" s="291"/>
      <c r="L169" s="17"/>
      <c r="M169" s="286"/>
      <c r="N169" s="21"/>
      <c r="O169" s="286"/>
      <c r="P169" s="21"/>
      <c r="Q169" s="286"/>
      <c r="R169" s="248"/>
      <c r="S169" s="287"/>
      <c r="T169" s="248"/>
      <c r="U169" s="13"/>
      <c r="V169" s="282"/>
      <c r="W169" s="283"/>
      <c r="X169" s="284"/>
      <c r="Y169" s="245"/>
      <c r="Z169" s="245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BP169" s="391"/>
      <c r="BQ169" s="393"/>
      <c r="BS169" s="50" t="str">
        <f>Q320</f>
        <v/>
      </c>
      <c r="BT169" s="50" t="e">
        <f>#REF!</f>
        <v>#REF!</v>
      </c>
      <c r="BU169" s="39" t="str">
        <f t="shared" si="226"/>
        <v/>
      </c>
      <c r="BV169" s="39" t="str">
        <f t="shared" si="219"/>
        <v/>
      </c>
    </row>
    <row r="170" spans="1:74" ht="14.25" customHeight="1" x14ac:dyDescent="0.35">
      <c r="A170" s="293">
        <v>77</v>
      </c>
      <c r="B170" s="295"/>
      <c r="C170" s="297"/>
      <c r="D170" s="299"/>
      <c r="E170" s="301"/>
      <c r="F170" s="303"/>
      <c r="G170" s="288"/>
      <c r="H170" s="289"/>
      <c r="I170" s="290"/>
      <c r="J170" s="290"/>
      <c r="K170" s="291"/>
      <c r="L170" s="18"/>
      <c r="M170" s="285" t="str">
        <f t="shared" ref="M170" si="254">IF(COUNT(L170:L171)&lt;1,"",AVERAGE(L170:L171))</f>
        <v/>
      </c>
      <c r="N170" s="22"/>
      <c r="O170" s="285" t="str">
        <f t="shared" ref="O170" si="255">IF(COUNT(N170:N171)&lt;1,"",AVERAGE(N170:N171))</f>
        <v/>
      </c>
      <c r="P170" s="22"/>
      <c r="Q170" s="285" t="str">
        <f t="shared" ref="Q170" si="256">IF(COUNT(P170:P171)&lt;1,"",AVERAGE(P170:P171))</f>
        <v/>
      </c>
      <c r="R170" s="278" t="str">
        <f>IF($X$13="/28",IF(COUNT(P170:P171)&lt;=1,"",ABS(P170-P171)),IF($X$13="/90",IF(COUNT(#REF!)&lt;=1,"",ABS(#REF!-#REF!))))</f>
        <v/>
      </c>
      <c r="S170" s="278" t="str">
        <f>IF($X$13="/28",IF(Q170="","",IF(AVERAGE(Q166:Q171)&gt;=$W$13,ROUND(AVERAGE(Q166:Q171),1)&amp;" ≥ "&amp;$W$13&amp;" OK",ROUND(AVERAGE(Q166:Q171),1)&amp;" &lt; "&amp;$W$13&amp;" NC")),IF($X$13="/90",IF(#REF!="","",IF(AVERAGE(#REF!)&gt;=$W$13,ROUND(AVERAGE(#REF!),1)&amp;" ≥ "&amp;$W$13&amp;" OK",ROUND(AVERAGE(#REF!),1)&amp;" &lt; "&amp;$W$13&amp;" NC"))))</f>
        <v/>
      </c>
      <c r="T170" s="278" t="str">
        <f>IF($X$13="/28",IF(Q170="","",IF(Q170&gt;=$W$13-$S$12,ROUND((Q170),1)&amp;" ≥ "&amp;$W$13-$S$12&amp;" OK",ROUND((Q170),1)&amp;" &lt; "&amp;$W$13-$S$12&amp;" NC")),IF($X$13="/90",IF(#REF!="","",IF(#REF!&gt;=$W$13-$S$12,ROUND((#REF!),1)&amp;" ≥ "&amp;$W$13-$S$12&amp;" OK",ROUND((#REF!),1)&amp;" &lt; "&amp;$W$13-$S$12&amp;" NC"))))</f>
        <v/>
      </c>
      <c r="U170" s="14"/>
      <c r="V170" s="279"/>
      <c r="W170" s="280"/>
      <c r="X170" s="281"/>
      <c r="Y170" s="246"/>
      <c r="Z170" s="246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BP170" s="390" t="str">
        <f>IF($X$13="/28",IF(Q170="","",Q170),IF($X$13="/90",IF(#REF!="","",#REF!),"Falso"))</f>
        <v/>
      </c>
      <c r="BQ170" s="392" t="str">
        <f t="shared" si="246"/>
        <v/>
      </c>
      <c r="BS170" s="50" t="str">
        <f>Q322</f>
        <v/>
      </c>
      <c r="BT170" s="50" t="e">
        <f>#REF!</f>
        <v>#REF!</v>
      </c>
      <c r="BU170" s="39" t="str">
        <f t="shared" si="226"/>
        <v/>
      </c>
      <c r="BV170" s="39" t="str">
        <f t="shared" si="219"/>
        <v/>
      </c>
    </row>
    <row r="171" spans="1:74" ht="14.25" customHeight="1" x14ac:dyDescent="0.35">
      <c r="A171" s="294"/>
      <c r="B171" s="296"/>
      <c r="C171" s="298"/>
      <c r="D171" s="300"/>
      <c r="E171" s="302"/>
      <c r="F171" s="304"/>
      <c r="G171" s="276"/>
      <c r="H171" s="277"/>
      <c r="I171" s="290"/>
      <c r="J171" s="290"/>
      <c r="K171" s="291"/>
      <c r="L171" s="17"/>
      <c r="M171" s="286"/>
      <c r="N171" s="21"/>
      <c r="O171" s="286"/>
      <c r="P171" s="21"/>
      <c r="Q171" s="286"/>
      <c r="R171" s="248"/>
      <c r="S171" s="287"/>
      <c r="T171" s="248"/>
      <c r="U171" s="13"/>
      <c r="V171" s="282"/>
      <c r="W171" s="283"/>
      <c r="X171" s="284"/>
      <c r="Y171" s="245"/>
      <c r="Z171" s="245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BP171" s="391"/>
      <c r="BQ171" s="393"/>
      <c r="BS171" s="50" t="str">
        <f>Q324</f>
        <v/>
      </c>
      <c r="BT171" s="50" t="e">
        <f>#REF!</f>
        <v>#REF!</v>
      </c>
      <c r="BU171" s="39" t="str">
        <f t="shared" si="226"/>
        <v/>
      </c>
      <c r="BV171" s="39" t="str">
        <f t="shared" si="219"/>
        <v/>
      </c>
    </row>
    <row r="172" spans="1:74" ht="14.25" customHeight="1" x14ac:dyDescent="0.35">
      <c r="A172" s="293">
        <v>78</v>
      </c>
      <c r="B172" s="295"/>
      <c r="C172" s="297"/>
      <c r="D172" s="299"/>
      <c r="E172" s="301"/>
      <c r="F172" s="303"/>
      <c r="G172" s="288"/>
      <c r="H172" s="289"/>
      <c r="I172" s="290"/>
      <c r="J172" s="290"/>
      <c r="K172" s="291"/>
      <c r="L172" s="18"/>
      <c r="M172" s="285" t="str">
        <f t="shared" ref="M172" si="257">IF(COUNT(L172:L173)&lt;1,"",AVERAGE(L172:L173))</f>
        <v/>
      </c>
      <c r="N172" s="22"/>
      <c r="O172" s="285" t="str">
        <f t="shared" ref="O172" si="258">IF(COUNT(N172:N173)&lt;1,"",AVERAGE(N172:N173))</f>
        <v/>
      </c>
      <c r="P172" s="22"/>
      <c r="Q172" s="285" t="str">
        <f t="shared" ref="Q172" si="259">IF(COUNT(P172:P173)&lt;1,"",AVERAGE(P172:P173))</f>
        <v/>
      </c>
      <c r="R172" s="278" t="str">
        <f>IF($X$13="/28",IF(COUNT(P172:P173)&lt;=1,"",ABS(P172-P173)),IF($X$13="/90",IF(COUNT(#REF!)&lt;=1,"",ABS(#REF!-#REF!))))</f>
        <v/>
      </c>
      <c r="S172" s="278" t="str">
        <f>IF($X$13="/28",IF(Q172="","",IF(AVERAGE(Q168:Q173)&gt;=$W$13,ROUND(AVERAGE(Q168:Q173),1)&amp;" ≥ "&amp;$W$13&amp;" OK",ROUND(AVERAGE(Q168:Q173),1)&amp;" &lt; "&amp;$W$13&amp;" NC")),IF($X$13="/90",IF(#REF!="","",IF(AVERAGE(#REF!)&gt;=$W$13,ROUND(AVERAGE(#REF!),1)&amp;" ≥ "&amp;$W$13&amp;" OK",ROUND(AVERAGE(#REF!),1)&amp;" &lt; "&amp;$W$13&amp;" NC"))))</f>
        <v/>
      </c>
      <c r="T172" s="278" t="str">
        <f>IF($X$13="/28",IF(Q172="","",IF(Q172&gt;=$W$13-$S$12,ROUND((Q172),1)&amp;" ≥ "&amp;$W$13-$S$12&amp;" OK",ROUND((Q172),1)&amp;" &lt; "&amp;$W$13-$S$12&amp;" NC")),IF($X$13="/90",IF(#REF!="","",IF(#REF!&gt;=$W$13-$S$12,ROUND((#REF!),1)&amp;" ≥ "&amp;$W$13-$S$12&amp;" OK",ROUND((#REF!),1)&amp;" &lt; "&amp;$W$13-$S$12&amp;" NC"))))</f>
        <v/>
      </c>
      <c r="U172" s="14"/>
      <c r="V172" s="279"/>
      <c r="W172" s="280"/>
      <c r="X172" s="281"/>
      <c r="Y172" s="246"/>
      <c r="Z172" s="246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BP172" s="390" t="str">
        <f>IF($X$13="/28",IF(Q172="","",Q172),IF($X$13="/90",IF(#REF!="","",#REF!),"Falso"))</f>
        <v/>
      </c>
      <c r="BQ172" s="392" t="str">
        <f t="shared" si="250"/>
        <v/>
      </c>
      <c r="BS172" s="50" t="str">
        <f>Q326</f>
        <v/>
      </c>
      <c r="BT172" s="50" t="e">
        <f>#REF!</f>
        <v>#REF!</v>
      </c>
      <c r="BU172" s="39" t="str">
        <f t="shared" si="226"/>
        <v/>
      </c>
      <c r="BV172" s="39" t="str">
        <f t="shared" si="219"/>
        <v/>
      </c>
    </row>
    <row r="173" spans="1:74" ht="14.25" customHeight="1" x14ac:dyDescent="0.35">
      <c r="A173" s="294"/>
      <c r="B173" s="296"/>
      <c r="C173" s="298"/>
      <c r="D173" s="300"/>
      <c r="E173" s="302"/>
      <c r="F173" s="304"/>
      <c r="G173" s="276"/>
      <c r="H173" s="277"/>
      <c r="I173" s="290"/>
      <c r="J173" s="290"/>
      <c r="K173" s="291"/>
      <c r="L173" s="17"/>
      <c r="M173" s="286"/>
      <c r="N173" s="21"/>
      <c r="O173" s="286"/>
      <c r="P173" s="21"/>
      <c r="Q173" s="286"/>
      <c r="R173" s="248"/>
      <c r="S173" s="287"/>
      <c r="T173" s="248"/>
      <c r="U173" s="13"/>
      <c r="V173" s="282"/>
      <c r="W173" s="283"/>
      <c r="X173" s="284"/>
      <c r="Y173" s="245"/>
      <c r="Z173" s="245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BP173" s="391"/>
      <c r="BQ173" s="393"/>
      <c r="BS173" s="50" t="str">
        <f>Q328</f>
        <v/>
      </c>
      <c r="BT173" s="50" t="e">
        <f>#REF!</f>
        <v>#REF!</v>
      </c>
      <c r="BU173" s="39" t="str">
        <f t="shared" si="226"/>
        <v/>
      </c>
      <c r="BV173" s="39" t="str">
        <f t="shared" si="219"/>
        <v/>
      </c>
    </row>
    <row r="174" spans="1:74" ht="14.25" customHeight="1" x14ac:dyDescent="0.35">
      <c r="A174" s="293">
        <v>79</v>
      </c>
      <c r="B174" s="295"/>
      <c r="C174" s="297"/>
      <c r="D174" s="299"/>
      <c r="E174" s="301"/>
      <c r="F174" s="303"/>
      <c r="G174" s="288"/>
      <c r="H174" s="289"/>
      <c r="I174" s="290"/>
      <c r="J174" s="290"/>
      <c r="K174" s="291"/>
      <c r="L174" s="18"/>
      <c r="M174" s="285" t="str">
        <f t="shared" ref="M174" si="260">IF(COUNT(L174:L175)&lt;1,"",AVERAGE(L174:L175))</f>
        <v/>
      </c>
      <c r="N174" s="22"/>
      <c r="O174" s="285" t="str">
        <f t="shared" ref="O174" si="261">IF(COUNT(N174:N175)&lt;1,"",AVERAGE(N174:N175))</f>
        <v/>
      </c>
      <c r="P174" s="22"/>
      <c r="Q174" s="285" t="str">
        <f t="shared" ref="Q174" si="262">IF(COUNT(P174:P175)&lt;1,"",AVERAGE(P174:P175))</f>
        <v/>
      </c>
      <c r="R174" s="278" t="str">
        <f>IF($X$13="/28",IF(COUNT(P174:P175)&lt;=1,"",ABS(P174-P175)),IF($X$13="/90",IF(COUNT(#REF!)&lt;=1,"",ABS(#REF!-#REF!))))</f>
        <v/>
      </c>
      <c r="S174" s="278" t="str">
        <f>IF($X$13="/28",IF(Q174="","",IF(AVERAGE(Q170:Q175)&gt;=$W$13,ROUND(AVERAGE(Q170:Q175),1)&amp;" ≥ "&amp;$W$13&amp;" OK",ROUND(AVERAGE(Q170:Q175),1)&amp;" &lt; "&amp;$W$13&amp;" NC")),IF($X$13="/90",IF(#REF!="","",IF(AVERAGE(#REF!)&gt;=$W$13,ROUND(AVERAGE(#REF!),1)&amp;" ≥ "&amp;$W$13&amp;" OK",ROUND(AVERAGE(#REF!),1)&amp;" &lt; "&amp;$W$13&amp;" NC"))))</f>
        <v/>
      </c>
      <c r="T174" s="278" t="str">
        <f>IF($X$13="/28",IF(Q174="","",IF(Q174&gt;=$W$13-$S$12,ROUND((Q174),1)&amp;" ≥ "&amp;$W$13-$S$12&amp;" OK",ROUND((Q174),1)&amp;" &lt; "&amp;$W$13-$S$12&amp;" NC")),IF($X$13="/90",IF(#REF!="","",IF(#REF!&gt;=$W$13-$S$12,ROUND((#REF!),1)&amp;" ≥ "&amp;$W$13-$S$12&amp;" OK",ROUND((#REF!),1)&amp;" &lt; "&amp;$W$13-$S$12&amp;" NC"))))</f>
        <v/>
      </c>
      <c r="U174" s="14"/>
      <c r="V174" s="279"/>
      <c r="W174" s="280"/>
      <c r="X174" s="281"/>
      <c r="Y174" s="246"/>
      <c r="Z174" s="246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BP174" s="390" t="str">
        <f>IF($X$13="/28",IF(Q174="","",Q174),IF($X$13="/90",IF(#REF!="","",#REF!),"Falso"))</f>
        <v/>
      </c>
      <c r="BQ174" s="392" t="str">
        <f t="shared" si="242"/>
        <v/>
      </c>
      <c r="BS174" s="50" t="str">
        <f>Q330</f>
        <v/>
      </c>
      <c r="BT174" s="50" t="e">
        <f>#REF!</f>
        <v>#REF!</v>
      </c>
      <c r="BU174" s="39" t="str">
        <f t="shared" si="226"/>
        <v/>
      </c>
      <c r="BV174" s="39" t="str">
        <f t="shared" si="219"/>
        <v/>
      </c>
    </row>
    <row r="175" spans="1:74" ht="14.25" customHeight="1" x14ac:dyDescent="0.35">
      <c r="A175" s="294"/>
      <c r="B175" s="296"/>
      <c r="C175" s="298"/>
      <c r="D175" s="300"/>
      <c r="E175" s="302"/>
      <c r="F175" s="304"/>
      <c r="G175" s="276"/>
      <c r="H175" s="277"/>
      <c r="I175" s="290"/>
      <c r="J175" s="290"/>
      <c r="K175" s="291"/>
      <c r="L175" s="17"/>
      <c r="M175" s="286"/>
      <c r="N175" s="21"/>
      <c r="O175" s="286"/>
      <c r="P175" s="21"/>
      <c r="Q175" s="286"/>
      <c r="R175" s="248"/>
      <c r="S175" s="287"/>
      <c r="T175" s="248"/>
      <c r="U175" s="13"/>
      <c r="V175" s="282"/>
      <c r="W175" s="283"/>
      <c r="X175" s="284"/>
      <c r="Y175" s="245"/>
      <c r="Z175" s="245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BP175" s="391"/>
      <c r="BQ175" s="393"/>
      <c r="BS175" s="50" t="str">
        <f>Q332</f>
        <v/>
      </c>
      <c r="BT175" s="50" t="e">
        <f>#REF!</f>
        <v>#REF!</v>
      </c>
      <c r="BU175" s="39" t="str">
        <f t="shared" si="226"/>
        <v/>
      </c>
      <c r="BV175" s="39" t="str">
        <f t="shared" si="219"/>
        <v/>
      </c>
    </row>
    <row r="176" spans="1:74" ht="14.25" customHeight="1" x14ac:dyDescent="0.35">
      <c r="A176" s="293">
        <v>80</v>
      </c>
      <c r="B176" s="295"/>
      <c r="C176" s="297"/>
      <c r="D176" s="299"/>
      <c r="E176" s="301"/>
      <c r="F176" s="303"/>
      <c r="G176" s="288"/>
      <c r="H176" s="289"/>
      <c r="I176" s="290"/>
      <c r="J176" s="290"/>
      <c r="K176" s="291"/>
      <c r="L176" s="18"/>
      <c r="M176" s="285" t="str">
        <f t="shared" ref="M176" si="263">IF(COUNT(L176:L177)&lt;1,"",AVERAGE(L176:L177))</f>
        <v/>
      </c>
      <c r="N176" s="22"/>
      <c r="O176" s="285" t="str">
        <f t="shared" ref="O176" si="264">IF(COUNT(N176:N177)&lt;1,"",AVERAGE(N176:N177))</f>
        <v/>
      </c>
      <c r="P176" s="22"/>
      <c r="Q176" s="285" t="str">
        <f t="shared" ref="Q176" si="265">IF(COUNT(P176:P177)&lt;1,"",AVERAGE(P176:P177))</f>
        <v/>
      </c>
      <c r="R176" s="278" t="str">
        <f>IF($X$13="/28",IF(COUNT(P176:P177)&lt;=1,"",ABS(P176-P177)),IF($X$13="/90",IF(COUNT(#REF!)&lt;=1,"",ABS(#REF!-#REF!))))</f>
        <v/>
      </c>
      <c r="S176" s="278" t="str">
        <f>IF($X$13="/28",IF(Q176="","",IF(AVERAGE(Q172:Q177)&gt;=$W$13,ROUND(AVERAGE(Q172:Q177),1)&amp;" ≥ "&amp;$W$13&amp;" OK",ROUND(AVERAGE(Q172:Q177),1)&amp;" &lt; "&amp;$W$13&amp;" NC")),IF($X$13="/90",IF(#REF!="","",IF(AVERAGE(#REF!)&gt;=$W$13,ROUND(AVERAGE(#REF!),1)&amp;" ≥ "&amp;$W$13&amp;" OK",ROUND(AVERAGE(#REF!),1)&amp;" &lt; "&amp;$W$13&amp;" NC"))))</f>
        <v/>
      </c>
      <c r="T176" s="278" t="str">
        <f>IF($X$13="/28",IF(Q176="","",IF(Q176&gt;=$W$13-$S$12,ROUND((Q176),1)&amp;" ≥ "&amp;$W$13-$S$12&amp;" OK",ROUND((Q176),1)&amp;" &lt; "&amp;$W$13-$S$12&amp;" NC")),IF($X$13="/90",IF(#REF!="","",IF(#REF!&gt;=$W$13-$S$12,ROUND((#REF!),1)&amp;" ≥ "&amp;$W$13-$S$12&amp;" OK",ROUND((#REF!),1)&amp;" &lt; "&amp;$W$13-$S$12&amp;" NC"))))</f>
        <v/>
      </c>
      <c r="U176" s="14"/>
      <c r="V176" s="279"/>
      <c r="W176" s="280"/>
      <c r="X176" s="281"/>
      <c r="Y176" s="246"/>
      <c r="Z176" s="246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BP176" s="390" t="str">
        <f>IF($X$13="/28",IF(Q176="","",Q176),IF($X$13="/90",IF(#REF!="","",#REF!),"Falso"))</f>
        <v/>
      </c>
      <c r="BQ176" s="392" t="str">
        <f t="shared" si="246"/>
        <v/>
      </c>
      <c r="BS176" s="50" t="str">
        <f>Q334</f>
        <v/>
      </c>
      <c r="BT176" s="50" t="e">
        <f>#REF!</f>
        <v>#REF!</v>
      </c>
      <c r="BU176" s="39" t="str">
        <f t="shared" si="226"/>
        <v/>
      </c>
      <c r="BV176" s="39" t="str">
        <f t="shared" si="219"/>
        <v/>
      </c>
    </row>
    <row r="177" spans="1:74" ht="14.25" customHeight="1" x14ac:dyDescent="0.35">
      <c r="A177" s="294"/>
      <c r="B177" s="296"/>
      <c r="C177" s="298"/>
      <c r="D177" s="300"/>
      <c r="E177" s="302"/>
      <c r="F177" s="304"/>
      <c r="G177" s="276"/>
      <c r="H177" s="277"/>
      <c r="I177" s="290"/>
      <c r="J177" s="290"/>
      <c r="K177" s="291"/>
      <c r="L177" s="17"/>
      <c r="M177" s="286"/>
      <c r="N177" s="21"/>
      <c r="O177" s="286"/>
      <c r="P177" s="21"/>
      <c r="Q177" s="286"/>
      <c r="R177" s="248"/>
      <c r="S177" s="287"/>
      <c r="T177" s="248"/>
      <c r="U177" s="13"/>
      <c r="V177" s="282"/>
      <c r="W177" s="283"/>
      <c r="X177" s="284"/>
      <c r="Y177" s="245"/>
      <c r="Z177" s="245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BP177" s="391"/>
      <c r="BQ177" s="393"/>
      <c r="BS177" s="50" t="str">
        <f>Q336</f>
        <v/>
      </c>
      <c r="BT177" s="50" t="e">
        <f>#REF!</f>
        <v>#REF!</v>
      </c>
      <c r="BU177" s="39" t="str">
        <f t="shared" si="226"/>
        <v/>
      </c>
      <c r="BV177" s="39" t="str">
        <f t="shared" si="219"/>
        <v/>
      </c>
    </row>
    <row r="178" spans="1:74" ht="14.25" customHeight="1" x14ac:dyDescent="0.35">
      <c r="A178" s="293">
        <v>81</v>
      </c>
      <c r="B178" s="295"/>
      <c r="C178" s="297"/>
      <c r="D178" s="299"/>
      <c r="E178" s="301"/>
      <c r="F178" s="303"/>
      <c r="G178" s="288"/>
      <c r="H178" s="289"/>
      <c r="I178" s="290"/>
      <c r="J178" s="290"/>
      <c r="K178" s="291"/>
      <c r="L178" s="18"/>
      <c r="M178" s="285" t="str">
        <f t="shared" ref="M178" si="266">IF(COUNT(L178:L179)&lt;1,"",AVERAGE(L178:L179))</f>
        <v/>
      </c>
      <c r="N178" s="22"/>
      <c r="O178" s="285" t="str">
        <f t="shared" ref="O178" si="267">IF(COUNT(N178:N179)&lt;1,"",AVERAGE(N178:N179))</f>
        <v/>
      </c>
      <c r="P178" s="22"/>
      <c r="Q178" s="285" t="str">
        <f t="shared" ref="Q178" si="268">IF(COUNT(P178:P179)&lt;1,"",AVERAGE(P178:P179))</f>
        <v/>
      </c>
      <c r="R178" s="278" t="str">
        <f>IF($X$13="/28",IF(COUNT(P178:P179)&lt;=1,"",ABS(P178-P179)),IF($X$13="/90",IF(COUNT(#REF!)&lt;=1,"",ABS(#REF!-#REF!))))</f>
        <v/>
      </c>
      <c r="S178" s="278" t="str">
        <f>IF($X$13="/28",IF(Q178="","",IF(AVERAGE(Q174:Q179)&gt;=$W$13,ROUND(AVERAGE(Q174:Q179),1)&amp;" ≥ "&amp;$W$13&amp;" OK",ROUND(AVERAGE(Q174:Q179),1)&amp;" &lt; "&amp;$W$13&amp;" NC")),IF($X$13="/90",IF(#REF!="","",IF(AVERAGE(#REF!)&gt;=$W$13,ROUND(AVERAGE(#REF!),1)&amp;" ≥ "&amp;$W$13&amp;" OK",ROUND(AVERAGE(#REF!),1)&amp;" &lt; "&amp;$W$13&amp;" NC"))))</f>
        <v/>
      </c>
      <c r="T178" s="278" t="str">
        <f>IF($X$13="/28",IF(Q178="","",IF(Q178&gt;=$W$13-$S$12,ROUND((Q178),1)&amp;" ≥ "&amp;$W$13-$S$12&amp;" OK",ROUND((Q178),1)&amp;" &lt; "&amp;$W$13-$S$12&amp;" NC")),IF($X$13="/90",IF(#REF!="","",IF(#REF!&gt;=$W$13-$S$12,ROUND((#REF!),1)&amp;" ≥ "&amp;$W$13-$S$12&amp;" OK",ROUND((#REF!),1)&amp;" &lt; "&amp;$W$13-$S$12&amp;" NC"))))</f>
        <v/>
      </c>
      <c r="U178" s="14"/>
      <c r="V178" s="279"/>
      <c r="W178" s="280"/>
      <c r="X178" s="281"/>
      <c r="Y178" s="246"/>
      <c r="Z178" s="246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BP178" s="390" t="str">
        <f>IF($X$13="/28",IF(Q178="","",Q178),IF($X$13="/90",IF(#REF!="","",#REF!),"Falso"))</f>
        <v/>
      </c>
      <c r="BQ178" s="392" t="str">
        <f t="shared" si="250"/>
        <v/>
      </c>
      <c r="BS178" s="50" t="str">
        <f>Q338</f>
        <v/>
      </c>
      <c r="BT178" s="50" t="e">
        <f>#REF!</f>
        <v>#REF!</v>
      </c>
      <c r="BU178" s="39" t="str">
        <f t="shared" si="226"/>
        <v/>
      </c>
      <c r="BV178" s="39" t="str">
        <f t="shared" si="219"/>
        <v/>
      </c>
    </row>
    <row r="179" spans="1:74" ht="14.25" customHeight="1" x14ac:dyDescent="0.35">
      <c r="A179" s="294"/>
      <c r="B179" s="296"/>
      <c r="C179" s="298"/>
      <c r="D179" s="300"/>
      <c r="E179" s="302"/>
      <c r="F179" s="304"/>
      <c r="G179" s="276"/>
      <c r="H179" s="277"/>
      <c r="I179" s="290"/>
      <c r="J179" s="290"/>
      <c r="K179" s="291"/>
      <c r="L179" s="17"/>
      <c r="M179" s="286"/>
      <c r="N179" s="21"/>
      <c r="O179" s="286"/>
      <c r="P179" s="21"/>
      <c r="Q179" s="286"/>
      <c r="R179" s="248"/>
      <c r="S179" s="287"/>
      <c r="T179" s="248"/>
      <c r="U179" s="13"/>
      <c r="V179" s="282"/>
      <c r="W179" s="283"/>
      <c r="X179" s="284"/>
      <c r="Y179" s="245"/>
      <c r="Z179" s="245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BP179" s="391"/>
      <c r="BQ179" s="393"/>
      <c r="BS179" s="50" t="str">
        <f>Q340</f>
        <v/>
      </c>
      <c r="BT179" s="50" t="e">
        <f>#REF!</f>
        <v>#REF!</v>
      </c>
      <c r="BU179" s="39" t="str">
        <f t="shared" si="226"/>
        <v/>
      </c>
      <c r="BV179" s="39" t="str">
        <f t="shared" si="219"/>
        <v/>
      </c>
    </row>
    <row r="180" spans="1:74" ht="14.25" customHeight="1" x14ac:dyDescent="0.35">
      <c r="A180" s="293">
        <v>82</v>
      </c>
      <c r="B180" s="295"/>
      <c r="C180" s="297"/>
      <c r="D180" s="299"/>
      <c r="E180" s="301"/>
      <c r="F180" s="303"/>
      <c r="G180" s="288"/>
      <c r="H180" s="289"/>
      <c r="I180" s="290"/>
      <c r="J180" s="290"/>
      <c r="K180" s="291"/>
      <c r="L180" s="18"/>
      <c r="M180" s="285" t="str">
        <f t="shared" ref="M180" si="269">IF(COUNT(L180:L181)&lt;1,"",AVERAGE(L180:L181))</f>
        <v/>
      </c>
      <c r="N180" s="22"/>
      <c r="O180" s="285" t="str">
        <f t="shared" ref="O180" si="270">IF(COUNT(N180:N181)&lt;1,"",AVERAGE(N180:N181))</f>
        <v/>
      </c>
      <c r="P180" s="22"/>
      <c r="Q180" s="285" t="str">
        <f t="shared" ref="Q180" si="271">IF(COUNT(P180:P181)&lt;1,"",AVERAGE(P180:P181))</f>
        <v/>
      </c>
      <c r="R180" s="278" t="str">
        <f>IF($X$13="/28",IF(COUNT(P180:P181)&lt;=1,"",ABS(P180-P181)),IF($X$13="/90",IF(COUNT(#REF!)&lt;=1,"",ABS(#REF!-#REF!))))</f>
        <v/>
      </c>
      <c r="S180" s="278" t="str">
        <f>IF($X$13="/28",IF(Q180="","",IF(AVERAGE(Q176:Q181)&gt;=$W$13,ROUND(AVERAGE(Q176:Q181),1)&amp;" ≥ "&amp;$W$13&amp;" OK",ROUND(AVERAGE(Q176:Q181),1)&amp;" &lt; "&amp;$W$13&amp;" NC")),IF($X$13="/90",IF(#REF!="","",IF(AVERAGE(#REF!)&gt;=$W$13,ROUND(AVERAGE(#REF!),1)&amp;" ≥ "&amp;$W$13&amp;" OK",ROUND(AVERAGE(#REF!),1)&amp;" &lt; "&amp;$W$13&amp;" NC"))))</f>
        <v/>
      </c>
      <c r="T180" s="278" t="str">
        <f>IF($X$13="/28",IF(Q180="","",IF(Q180&gt;=$W$13-$S$12,ROUND((Q180),1)&amp;" ≥ "&amp;$W$13-$S$12&amp;" OK",ROUND((Q180),1)&amp;" &lt; "&amp;$W$13-$S$12&amp;" NC")),IF($X$13="/90",IF(#REF!="","",IF(#REF!&gt;=$W$13-$S$12,ROUND((#REF!),1)&amp;" ≥ "&amp;$W$13-$S$12&amp;" OK",ROUND((#REF!),1)&amp;" &lt; "&amp;$W$13-$S$12&amp;" NC"))))</f>
        <v/>
      </c>
      <c r="U180" s="14"/>
      <c r="V180" s="279"/>
      <c r="W180" s="280"/>
      <c r="X180" s="281"/>
      <c r="Y180" s="246"/>
      <c r="Z180" s="246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BP180" s="390" t="str">
        <f>IF($X$13="/28",IF(Q180="","",Q180),IF($X$13="/90",IF(#REF!="","",#REF!),"Falso"))</f>
        <v/>
      </c>
      <c r="BQ180" s="392" t="str">
        <f t="shared" si="242"/>
        <v/>
      </c>
      <c r="BS180" s="50" t="str">
        <f>Q342</f>
        <v/>
      </c>
      <c r="BT180" s="50" t="e">
        <f>#REF!</f>
        <v>#REF!</v>
      </c>
      <c r="BU180" s="39" t="str">
        <f t="shared" si="226"/>
        <v/>
      </c>
      <c r="BV180" s="39" t="str">
        <f t="shared" si="219"/>
        <v/>
      </c>
    </row>
    <row r="181" spans="1:74" ht="14.25" customHeight="1" x14ac:dyDescent="0.35">
      <c r="A181" s="294"/>
      <c r="B181" s="296"/>
      <c r="C181" s="298"/>
      <c r="D181" s="300"/>
      <c r="E181" s="302"/>
      <c r="F181" s="304"/>
      <c r="G181" s="276"/>
      <c r="H181" s="277"/>
      <c r="I181" s="290"/>
      <c r="J181" s="290"/>
      <c r="K181" s="291"/>
      <c r="L181" s="17"/>
      <c r="M181" s="286"/>
      <c r="N181" s="21"/>
      <c r="O181" s="286"/>
      <c r="P181" s="21"/>
      <c r="Q181" s="286"/>
      <c r="R181" s="248"/>
      <c r="S181" s="287"/>
      <c r="T181" s="248"/>
      <c r="U181" s="13"/>
      <c r="V181" s="282"/>
      <c r="W181" s="283"/>
      <c r="X181" s="284"/>
      <c r="Y181" s="245"/>
      <c r="Z181" s="245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BP181" s="391"/>
      <c r="BQ181" s="393"/>
      <c r="BS181" s="50" t="str">
        <f>Q344</f>
        <v/>
      </c>
      <c r="BT181" s="50" t="e">
        <f>#REF!</f>
        <v>#REF!</v>
      </c>
      <c r="BU181" s="39" t="str">
        <f t="shared" si="226"/>
        <v/>
      </c>
      <c r="BV181" s="39" t="str">
        <f t="shared" si="219"/>
        <v/>
      </c>
    </row>
    <row r="182" spans="1:74" ht="14.25" customHeight="1" x14ac:dyDescent="0.35">
      <c r="A182" s="293">
        <v>83</v>
      </c>
      <c r="B182" s="295"/>
      <c r="C182" s="297"/>
      <c r="D182" s="299"/>
      <c r="E182" s="301"/>
      <c r="F182" s="303"/>
      <c r="G182" s="288"/>
      <c r="H182" s="289"/>
      <c r="I182" s="290"/>
      <c r="J182" s="290"/>
      <c r="K182" s="291"/>
      <c r="L182" s="18"/>
      <c r="M182" s="285" t="str">
        <f t="shared" ref="M182" si="272">IF(COUNT(L182:L183)&lt;1,"",AVERAGE(L182:L183))</f>
        <v/>
      </c>
      <c r="N182" s="22"/>
      <c r="O182" s="285" t="str">
        <f t="shared" ref="O182" si="273">IF(COUNT(N182:N183)&lt;1,"",AVERAGE(N182:N183))</f>
        <v/>
      </c>
      <c r="P182" s="22"/>
      <c r="Q182" s="285" t="str">
        <f t="shared" ref="Q182" si="274">IF(COUNT(P182:P183)&lt;1,"",AVERAGE(P182:P183))</f>
        <v/>
      </c>
      <c r="R182" s="278" t="str">
        <f>IF($X$13="/28",IF(COUNT(P182:P183)&lt;=1,"",ABS(P182-P183)),IF($X$13="/90",IF(COUNT(#REF!)&lt;=1,"",ABS(#REF!-#REF!))))</f>
        <v/>
      </c>
      <c r="S182" s="278" t="str">
        <f>IF($X$13="/28",IF(Q182="","",IF(AVERAGE(Q178:Q183)&gt;=$W$13,ROUND(AVERAGE(Q178:Q183),1)&amp;" ≥ "&amp;$W$13&amp;" OK",ROUND(AVERAGE(Q178:Q183),1)&amp;" &lt; "&amp;$W$13&amp;" NC")),IF($X$13="/90",IF(#REF!="","",IF(AVERAGE(#REF!)&gt;=$W$13,ROUND(AVERAGE(#REF!),1)&amp;" ≥ "&amp;$W$13&amp;" OK",ROUND(AVERAGE(#REF!),1)&amp;" &lt; "&amp;$W$13&amp;" NC"))))</f>
        <v/>
      </c>
      <c r="T182" s="278" t="str">
        <f>IF($X$13="/28",IF(Q182="","",IF(Q182&gt;=$W$13-$S$12,ROUND((Q182),1)&amp;" ≥ "&amp;$W$13-$S$12&amp;" OK",ROUND((Q182),1)&amp;" &lt; "&amp;$W$13-$S$12&amp;" NC")),IF($X$13="/90",IF(#REF!="","",IF(#REF!&gt;=$W$13-$S$12,ROUND((#REF!),1)&amp;" ≥ "&amp;$W$13-$S$12&amp;" OK",ROUND((#REF!),1)&amp;" &lt; "&amp;$W$13-$S$12&amp;" NC"))))</f>
        <v/>
      </c>
      <c r="U182" s="14"/>
      <c r="V182" s="279"/>
      <c r="W182" s="280"/>
      <c r="X182" s="281"/>
      <c r="Y182" s="246"/>
      <c r="Z182" s="246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BP182" s="390" t="str">
        <f>IF($X$13="/28",IF(Q182="","",Q182),IF($X$13="/90",IF(#REF!="","",#REF!),"Falso"))</f>
        <v/>
      </c>
      <c r="BQ182" s="392" t="str">
        <f t="shared" si="246"/>
        <v/>
      </c>
      <c r="BS182" s="50" t="str">
        <f>Q346</f>
        <v/>
      </c>
      <c r="BT182" s="50" t="e">
        <f>#REF!</f>
        <v>#REF!</v>
      </c>
      <c r="BU182" s="39" t="str">
        <f t="shared" si="226"/>
        <v/>
      </c>
      <c r="BV182" s="39" t="str">
        <f t="shared" si="219"/>
        <v/>
      </c>
    </row>
    <row r="183" spans="1:74" ht="14.25" customHeight="1" x14ac:dyDescent="0.35">
      <c r="A183" s="294"/>
      <c r="B183" s="296"/>
      <c r="C183" s="298"/>
      <c r="D183" s="300"/>
      <c r="E183" s="302"/>
      <c r="F183" s="304"/>
      <c r="G183" s="276"/>
      <c r="H183" s="277"/>
      <c r="I183" s="290"/>
      <c r="J183" s="290"/>
      <c r="K183" s="291"/>
      <c r="L183" s="17"/>
      <c r="M183" s="286"/>
      <c r="N183" s="21"/>
      <c r="O183" s="286"/>
      <c r="P183" s="21"/>
      <c r="Q183" s="286"/>
      <c r="R183" s="248"/>
      <c r="S183" s="287"/>
      <c r="T183" s="248"/>
      <c r="U183" s="13"/>
      <c r="V183" s="282"/>
      <c r="W183" s="283"/>
      <c r="X183" s="284"/>
      <c r="Y183" s="245"/>
      <c r="Z183" s="245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BP183" s="391"/>
      <c r="BQ183" s="393"/>
      <c r="BS183" s="50" t="str">
        <f>Q348</f>
        <v/>
      </c>
      <c r="BT183" s="50" t="e">
        <f>#REF!</f>
        <v>#REF!</v>
      </c>
      <c r="BU183" s="39" t="str">
        <f t="shared" si="226"/>
        <v/>
      </c>
      <c r="BV183" s="39" t="str">
        <f t="shared" si="219"/>
        <v/>
      </c>
    </row>
    <row r="184" spans="1:74" ht="14.25" customHeight="1" x14ac:dyDescent="0.35">
      <c r="A184" s="293">
        <v>84</v>
      </c>
      <c r="B184" s="295"/>
      <c r="C184" s="297"/>
      <c r="D184" s="299"/>
      <c r="E184" s="301"/>
      <c r="F184" s="303"/>
      <c r="G184" s="288"/>
      <c r="H184" s="289"/>
      <c r="I184" s="290"/>
      <c r="J184" s="290"/>
      <c r="K184" s="291"/>
      <c r="L184" s="18"/>
      <c r="M184" s="285" t="str">
        <f t="shared" ref="M184" si="275">IF(COUNT(L184:L185)&lt;1,"",AVERAGE(L184:L185))</f>
        <v/>
      </c>
      <c r="N184" s="22"/>
      <c r="O184" s="285" t="str">
        <f t="shared" ref="O184" si="276">IF(COUNT(N184:N185)&lt;1,"",AVERAGE(N184:N185))</f>
        <v/>
      </c>
      <c r="P184" s="22"/>
      <c r="Q184" s="285" t="str">
        <f t="shared" ref="Q184" si="277">IF(COUNT(P184:P185)&lt;1,"",AVERAGE(P184:P185))</f>
        <v/>
      </c>
      <c r="R184" s="278" t="str">
        <f>IF($X$13="/28",IF(COUNT(P184:P185)&lt;=1,"",ABS(P184-P185)),IF($X$13="/90",IF(COUNT(#REF!)&lt;=1,"",ABS(#REF!-#REF!))))</f>
        <v/>
      </c>
      <c r="S184" s="278" t="str">
        <f>IF($X$13="/28",IF(Q184="","",IF(AVERAGE(Q180:Q185)&gt;=$W$13,ROUND(AVERAGE(Q180:Q185),1)&amp;" ≥ "&amp;$W$13&amp;" OK",ROUND(AVERAGE(Q180:Q185),1)&amp;" &lt; "&amp;$W$13&amp;" NC")),IF($X$13="/90",IF(#REF!="","",IF(AVERAGE(#REF!)&gt;=$W$13,ROUND(AVERAGE(#REF!),1)&amp;" ≥ "&amp;$W$13&amp;" OK",ROUND(AVERAGE(#REF!),1)&amp;" &lt; "&amp;$W$13&amp;" NC"))))</f>
        <v/>
      </c>
      <c r="T184" s="278" t="str">
        <f>IF($X$13="/28",IF(Q184="","",IF(Q184&gt;=$W$13-$S$12,ROUND((Q184),1)&amp;" ≥ "&amp;$W$13-$S$12&amp;" OK",ROUND((Q184),1)&amp;" &lt; "&amp;$W$13-$S$12&amp;" NC")),IF($X$13="/90",IF(#REF!="","",IF(#REF!&gt;=$W$13-$S$12,ROUND((#REF!),1)&amp;" ≥ "&amp;$W$13-$S$12&amp;" OK",ROUND((#REF!),1)&amp;" &lt; "&amp;$W$13-$S$12&amp;" NC"))))</f>
        <v/>
      </c>
      <c r="U184" s="14"/>
      <c r="V184" s="279"/>
      <c r="W184" s="280"/>
      <c r="X184" s="281"/>
      <c r="Y184" s="246"/>
      <c r="Z184" s="246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BP184" s="390" t="str">
        <f>IF($X$13="/28",IF(Q184="","",Q184),IF($X$13="/90",IF(#REF!="","",#REF!),"Falso"))</f>
        <v/>
      </c>
      <c r="BQ184" s="392" t="str">
        <f t="shared" si="250"/>
        <v/>
      </c>
      <c r="BS184" s="50" t="str">
        <f>Q350</f>
        <v/>
      </c>
      <c r="BT184" s="50" t="e">
        <f>#REF!</f>
        <v>#REF!</v>
      </c>
      <c r="BU184" s="39" t="str">
        <f t="shared" si="226"/>
        <v/>
      </c>
      <c r="BV184" s="39" t="str">
        <f t="shared" si="219"/>
        <v/>
      </c>
    </row>
    <row r="185" spans="1:74" ht="14.25" customHeight="1" x14ac:dyDescent="0.35">
      <c r="A185" s="294"/>
      <c r="B185" s="296"/>
      <c r="C185" s="298"/>
      <c r="D185" s="300"/>
      <c r="E185" s="302"/>
      <c r="F185" s="304"/>
      <c r="G185" s="276"/>
      <c r="H185" s="277"/>
      <c r="I185" s="290"/>
      <c r="J185" s="290"/>
      <c r="K185" s="291"/>
      <c r="L185" s="17"/>
      <c r="M185" s="286"/>
      <c r="N185" s="21"/>
      <c r="O185" s="286"/>
      <c r="P185" s="21"/>
      <c r="Q185" s="286"/>
      <c r="R185" s="248"/>
      <c r="S185" s="287"/>
      <c r="T185" s="248"/>
      <c r="U185" s="13"/>
      <c r="V185" s="282"/>
      <c r="W185" s="283"/>
      <c r="X185" s="284"/>
      <c r="Y185" s="245"/>
      <c r="Z185" s="245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BP185" s="391"/>
      <c r="BQ185" s="393"/>
      <c r="BS185" s="50" t="str">
        <f>Q352</f>
        <v/>
      </c>
      <c r="BT185" s="50" t="e">
        <f>#REF!</f>
        <v>#REF!</v>
      </c>
      <c r="BU185" s="39" t="str">
        <f t="shared" si="226"/>
        <v/>
      </c>
      <c r="BV185" s="39" t="str">
        <f t="shared" si="219"/>
        <v/>
      </c>
    </row>
    <row r="186" spans="1:74" ht="14.25" customHeight="1" x14ac:dyDescent="0.35">
      <c r="A186" s="293">
        <v>85</v>
      </c>
      <c r="B186" s="295"/>
      <c r="C186" s="297"/>
      <c r="D186" s="299"/>
      <c r="E186" s="301"/>
      <c r="F186" s="303"/>
      <c r="G186" s="288"/>
      <c r="H186" s="289"/>
      <c r="I186" s="290"/>
      <c r="J186" s="290"/>
      <c r="K186" s="291"/>
      <c r="L186" s="18"/>
      <c r="M186" s="285" t="str">
        <f t="shared" ref="M186" si="278">IF(COUNT(L186:L187)&lt;1,"",AVERAGE(L186:L187))</f>
        <v/>
      </c>
      <c r="N186" s="22"/>
      <c r="O186" s="285" t="str">
        <f t="shared" ref="O186" si="279">IF(COUNT(N186:N187)&lt;1,"",AVERAGE(N186:N187))</f>
        <v/>
      </c>
      <c r="P186" s="22"/>
      <c r="Q186" s="285" t="str">
        <f t="shared" ref="Q186" si="280">IF(COUNT(P186:P187)&lt;1,"",AVERAGE(P186:P187))</f>
        <v/>
      </c>
      <c r="R186" s="278" t="str">
        <f>IF($X$13="/28",IF(COUNT(P186:P187)&lt;=1,"",ABS(P186-P187)),IF($X$13="/90",IF(COUNT(#REF!)&lt;=1,"",ABS(#REF!-#REF!))))</f>
        <v/>
      </c>
      <c r="S186" s="278" t="str">
        <f>IF($X$13="/28",IF(Q186="","",IF(AVERAGE(Q182:Q187)&gt;=$W$13,ROUND(AVERAGE(Q182:Q187),1)&amp;" ≥ "&amp;$W$13&amp;" OK",ROUND(AVERAGE(Q182:Q187),1)&amp;" &lt; "&amp;$W$13&amp;" NC")),IF($X$13="/90",IF(#REF!="","",IF(AVERAGE(#REF!)&gt;=$W$13,ROUND(AVERAGE(#REF!),1)&amp;" ≥ "&amp;$W$13&amp;" OK",ROUND(AVERAGE(#REF!),1)&amp;" &lt; "&amp;$W$13&amp;" NC"))))</f>
        <v/>
      </c>
      <c r="T186" s="278" t="str">
        <f>IF($X$13="/28",IF(Q186="","",IF(Q186&gt;=$W$13-$S$12,ROUND((Q186),1)&amp;" ≥ "&amp;$W$13-$S$12&amp;" OK",ROUND((Q186),1)&amp;" &lt; "&amp;$W$13-$S$12&amp;" NC")),IF($X$13="/90",IF(#REF!="","",IF(#REF!&gt;=$W$13-$S$12,ROUND((#REF!),1)&amp;" ≥ "&amp;$W$13-$S$12&amp;" OK",ROUND((#REF!),1)&amp;" &lt; "&amp;$W$13-$S$12&amp;" NC"))))</f>
        <v/>
      </c>
      <c r="U186" s="14"/>
      <c r="V186" s="279"/>
      <c r="W186" s="280"/>
      <c r="X186" s="281"/>
      <c r="Y186" s="246"/>
      <c r="Z186" s="246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BP186" s="390" t="str">
        <f>IF($X$13="/28",IF(Q186="","",Q186),IF($X$13="/90",IF(#REF!="","",#REF!),"Falso"))</f>
        <v/>
      </c>
      <c r="BQ186" s="392" t="str">
        <f t="shared" si="242"/>
        <v/>
      </c>
      <c r="BS186" s="50" t="str">
        <f>Q354</f>
        <v/>
      </c>
      <c r="BT186" s="50" t="e">
        <f>#REF!</f>
        <v>#REF!</v>
      </c>
      <c r="BU186" s="39" t="str">
        <f t="shared" si="226"/>
        <v/>
      </c>
      <c r="BV186" s="39" t="str">
        <f t="shared" si="219"/>
        <v/>
      </c>
    </row>
    <row r="187" spans="1:74" ht="14.25" customHeight="1" x14ac:dyDescent="0.35">
      <c r="A187" s="294"/>
      <c r="B187" s="296"/>
      <c r="C187" s="298"/>
      <c r="D187" s="300"/>
      <c r="E187" s="302"/>
      <c r="F187" s="304"/>
      <c r="G187" s="276"/>
      <c r="H187" s="277"/>
      <c r="I187" s="290"/>
      <c r="J187" s="290"/>
      <c r="K187" s="291"/>
      <c r="L187" s="17"/>
      <c r="M187" s="286"/>
      <c r="N187" s="21"/>
      <c r="O187" s="286"/>
      <c r="P187" s="21"/>
      <c r="Q187" s="286"/>
      <c r="R187" s="248"/>
      <c r="S187" s="287"/>
      <c r="T187" s="248"/>
      <c r="U187" s="13"/>
      <c r="V187" s="282"/>
      <c r="W187" s="283"/>
      <c r="X187" s="284"/>
      <c r="Y187" s="245"/>
      <c r="Z187" s="245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BP187" s="391"/>
      <c r="BQ187" s="393"/>
      <c r="BS187" s="50" t="str">
        <f>Q356</f>
        <v/>
      </c>
      <c r="BT187" s="50" t="e">
        <f>#REF!</f>
        <v>#REF!</v>
      </c>
      <c r="BU187" s="39" t="str">
        <f t="shared" si="226"/>
        <v/>
      </c>
      <c r="BV187" s="39" t="str">
        <f t="shared" si="219"/>
        <v/>
      </c>
    </row>
    <row r="188" spans="1:74" ht="14.25" customHeight="1" x14ac:dyDescent="0.35">
      <c r="A188" s="293">
        <v>86</v>
      </c>
      <c r="B188" s="295"/>
      <c r="C188" s="297"/>
      <c r="D188" s="299"/>
      <c r="E188" s="301"/>
      <c r="F188" s="303"/>
      <c r="G188" s="288"/>
      <c r="H188" s="289"/>
      <c r="I188" s="290"/>
      <c r="J188" s="290"/>
      <c r="K188" s="291"/>
      <c r="L188" s="18"/>
      <c r="M188" s="285" t="str">
        <f t="shared" ref="M188" si="281">IF(COUNT(L188:L189)&lt;1,"",AVERAGE(L188:L189))</f>
        <v/>
      </c>
      <c r="N188" s="22"/>
      <c r="O188" s="285" t="str">
        <f t="shared" ref="O188" si="282">IF(COUNT(N188:N189)&lt;1,"",AVERAGE(N188:N189))</f>
        <v/>
      </c>
      <c r="P188" s="22"/>
      <c r="Q188" s="285" t="str">
        <f t="shared" ref="Q188" si="283">IF(COUNT(P188:P189)&lt;1,"",AVERAGE(P188:P189))</f>
        <v/>
      </c>
      <c r="R188" s="278" t="str">
        <f>IF($X$13="/28",IF(COUNT(P188:P189)&lt;=1,"",ABS(P188-P189)),IF($X$13="/90",IF(COUNT(#REF!)&lt;=1,"",ABS(#REF!-#REF!))))</f>
        <v/>
      </c>
      <c r="S188" s="278" t="str">
        <f>IF($X$13="/28",IF(Q188="","",IF(AVERAGE(Q184:Q189)&gt;=$W$13,ROUND(AVERAGE(Q184:Q189),1)&amp;" ≥ "&amp;$W$13&amp;" OK",ROUND(AVERAGE(Q184:Q189),1)&amp;" &lt; "&amp;$W$13&amp;" NC")),IF($X$13="/90",IF(#REF!="","",IF(AVERAGE(#REF!)&gt;=$W$13,ROUND(AVERAGE(#REF!),1)&amp;" ≥ "&amp;$W$13&amp;" OK",ROUND(AVERAGE(#REF!),1)&amp;" &lt; "&amp;$W$13&amp;" NC"))))</f>
        <v/>
      </c>
      <c r="T188" s="278" t="str">
        <f>IF($X$13="/28",IF(Q188="","",IF(Q188&gt;=$W$13-$S$12,ROUND((Q188),1)&amp;" ≥ "&amp;$W$13-$S$12&amp;" OK",ROUND((Q188),1)&amp;" &lt; "&amp;$W$13-$S$12&amp;" NC")),IF($X$13="/90",IF(#REF!="","",IF(#REF!&gt;=$W$13-$S$12,ROUND((#REF!),1)&amp;" ≥ "&amp;$W$13-$S$12&amp;" OK",ROUND((#REF!),1)&amp;" &lt; "&amp;$W$13-$S$12&amp;" NC"))))</f>
        <v/>
      </c>
      <c r="U188" s="14"/>
      <c r="V188" s="279"/>
      <c r="W188" s="280"/>
      <c r="X188" s="281"/>
      <c r="Y188" s="246"/>
      <c r="Z188" s="246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BP188" s="390" t="str">
        <f>IF($X$13="/28",IF(Q188="","",Q188),IF($X$13="/90",IF(#REF!="","",#REF!),"Falso"))</f>
        <v/>
      </c>
      <c r="BQ188" s="392" t="str">
        <f t="shared" si="246"/>
        <v/>
      </c>
      <c r="BS188" s="50" t="str">
        <f>Q358</f>
        <v/>
      </c>
      <c r="BT188" s="50" t="e">
        <f>#REF!</f>
        <v>#REF!</v>
      </c>
      <c r="BU188" s="39" t="str">
        <f t="shared" si="226"/>
        <v/>
      </c>
      <c r="BV188" s="39" t="str">
        <f t="shared" si="219"/>
        <v/>
      </c>
    </row>
    <row r="189" spans="1:74" ht="14.25" customHeight="1" x14ac:dyDescent="0.35">
      <c r="A189" s="294"/>
      <c r="B189" s="296"/>
      <c r="C189" s="298"/>
      <c r="D189" s="300"/>
      <c r="E189" s="302"/>
      <c r="F189" s="304"/>
      <c r="G189" s="276"/>
      <c r="H189" s="277"/>
      <c r="I189" s="290"/>
      <c r="J189" s="290"/>
      <c r="K189" s="291"/>
      <c r="L189" s="17"/>
      <c r="M189" s="286"/>
      <c r="N189" s="21"/>
      <c r="O189" s="286"/>
      <c r="P189" s="21"/>
      <c r="Q189" s="286"/>
      <c r="R189" s="248"/>
      <c r="S189" s="287"/>
      <c r="T189" s="248"/>
      <c r="U189" s="13"/>
      <c r="V189" s="282"/>
      <c r="W189" s="283"/>
      <c r="X189" s="284"/>
      <c r="Y189" s="245"/>
      <c r="Z189" s="245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BP189" s="391"/>
      <c r="BQ189" s="393"/>
      <c r="BS189" s="50" t="str">
        <f>Q360</f>
        <v/>
      </c>
      <c r="BT189" s="50" t="e">
        <f>#REF!</f>
        <v>#REF!</v>
      </c>
      <c r="BU189" s="39" t="str">
        <f t="shared" si="226"/>
        <v/>
      </c>
      <c r="BV189" s="39" t="str">
        <f t="shared" si="219"/>
        <v/>
      </c>
    </row>
    <row r="190" spans="1:74" ht="14.25" customHeight="1" x14ac:dyDescent="0.35">
      <c r="A190" s="293">
        <v>87</v>
      </c>
      <c r="B190" s="295"/>
      <c r="C190" s="297"/>
      <c r="D190" s="299"/>
      <c r="E190" s="301"/>
      <c r="F190" s="303"/>
      <c r="G190" s="288"/>
      <c r="H190" s="289"/>
      <c r="I190" s="290"/>
      <c r="J190" s="290"/>
      <c r="K190" s="291"/>
      <c r="L190" s="18"/>
      <c r="M190" s="285" t="str">
        <f t="shared" ref="M190" si="284">IF(COUNT(L190:L191)&lt;1,"",AVERAGE(L190:L191))</f>
        <v/>
      </c>
      <c r="N190" s="22"/>
      <c r="O190" s="285" t="str">
        <f t="shared" ref="O190" si="285">IF(COUNT(N190:N191)&lt;1,"",AVERAGE(N190:N191))</f>
        <v/>
      </c>
      <c r="P190" s="22"/>
      <c r="Q190" s="285" t="str">
        <f t="shared" ref="Q190" si="286">IF(COUNT(P190:P191)&lt;1,"",AVERAGE(P190:P191))</f>
        <v/>
      </c>
      <c r="R190" s="278" t="str">
        <f>IF($X$13="/28",IF(COUNT(P190:P191)&lt;=1,"",ABS(P190-P191)),IF($X$13="/90",IF(COUNT(#REF!)&lt;=1,"",ABS(#REF!-#REF!))))</f>
        <v/>
      </c>
      <c r="S190" s="278" t="str">
        <f>IF($X$13="/28",IF(Q190="","",IF(AVERAGE(Q186:Q191)&gt;=$W$13,ROUND(AVERAGE(Q186:Q191),1)&amp;" ≥ "&amp;$W$13&amp;" OK",ROUND(AVERAGE(Q186:Q191),1)&amp;" &lt; "&amp;$W$13&amp;" NC")),IF($X$13="/90",IF(#REF!="","",IF(AVERAGE(#REF!)&gt;=$W$13,ROUND(AVERAGE(#REF!),1)&amp;" ≥ "&amp;$W$13&amp;" OK",ROUND(AVERAGE(#REF!),1)&amp;" &lt; "&amp;$W$13&amp;" NC"))))</f>
        <v/>
      </c>
      <c r="T190" s="278" t="str">
        <f>IF($X$13="/28",IF(Q190="","",IF(Q190&gt;=$W$13-$S$12,ROUND((Q190),1)&amp;" ≥ "&amp;$W$13-$S$12&amp;" OK",ROUND((Q190),1)&amp;" &lt; "&amp;$W$13-$S$12&amp;" NC")),IF($X$13="/90",IF(#REF!="","",IF(#REF!&gt;=$W$13-$S$12,ROUND((#REF!),1)&amp;" ≥ "&amp;$W$13-$S$12&amp;" OK",ROUND((#REF!),1)&amp;" &lt; "&amp;$W$13-$S$12&amp;" NC"))))</f>
        <v/>
      </c>
      <c r="U190" s="14"/>
      <c r="V190" s="279"/>
      <c r="W190" s="280"/>
      <c r="X190" s="281"/>
      <c r="Y190" s="246"/>
      <c r="Z190" s="246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BP190" s="390" t="str">
        <f>IF($X$13="/28",IF(Q190="","",Q190),IF($X$13="/90",IF(#REF!="","",#REF!),"Falso"))</f>
        <v/>
      </c>
      <c r="BQ190" s="392" t="str">
        <f t="shared" si="250"/>
        <v/>
      </c>
      <c r="BS190" s="50" t="str">
        <f>Q362</f>
        <v/>
      </c>
      <c r="BT190" s="50" t="e">
        <f>#REF!</f>
        <v>#REF!</v>
      </c>
      <c r="BU190" s="39" t="str">
        <f t="shared" si="226"/>
        <v/>
      </c>
      <c r="BV190" s="39" t="str">
        <f t="shared" si="219"/>
        <v/>
      </c>
    </row>
    <row r="191" spans="1:74" ht="14.25" customHeight="1" x14ac:dyDescent="0.35">
      <c r="A191" s="294"/>
      <c r="B191" s="296"/>
      <c r="C191" s="298"/>
      <c r="D191" s="300"/>
      <c r="E191" s="302"/>
      <c r="F191" s="304"/>
      <c r="G191" s="276"/>
      <c r="H191" s="277"/>
      <c r="I191" s="290"/>
      <c r="J191" s="290"/>
      <c r="K191" s="291"/>
      <c r="L191" s="17"/>
      <c r="M191" s="286"/>
      <c r="N191" s="21"/>
      <c r="O191" s="286"/>
      <c r="P191" s="21"/>
      <c r="Q191" s="286"/>
      <c r="R191" s="248"/>
      <c r="S191" s="287"/>
      <c r="T191" s="248"/>
      <c r="U191" s="13"/>
      <c r="V191" s="282"/>
      <c r="W191" s="283"/>
      <c r="X191" s="284"/>
      <c r="Y191" s="245"/>
      <c r="Z191" s="245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BP191" s="391"/>
      <c r="BQ191" s="393"/>
      <c r="BS191" s="50" t="str">
        <f>Q364</f>
        <v/>
      </c>
      <c r="BT191" s="50" t="e">
        <f>#REF!</f>
        <v>#REF!</v>
      </c>
      <c r="BU191" s="39" t="str">
        <f t="shared" si="226"/>
        <v/>
      </c>
      <c r="BV191" s="39" t="str">
        <f t="shared" si="219"/>
        <v/>
      </c>
    </row>
    <row r="192" spans="1:74" ht="14.25" customHeight="1" x14ac:dyDescent="0.35">
      <c r="A192" s="293">
        <v>88</v>
      </c>
      <c r="B192" s="295"/>
      <c r="C192" s="297"/>
      <c r="D192" s="299"/>
      <c r="E192" s="301"/>
      <c r="F192" s="303"/>
      <c r="G192" s="288"/>
      <c r="H192" s="289"/>
      <c r="I192" s="290"/>
      <c r="J192" s="290"/>
      <c r="K192" s="291"/>
      <c r="L192" s="18"/>
      <c r="M192" s="285" t="str">
        <f t="shared" ref="M192" si="287">IF(COUNT(L192:L193)&lt;1,"",AVERAGE(L192:L193))</f>
        <v/>
      </c>
      <c r="N192" s="22"/>
      <c r="O192" s="285" t="str">
        <f t="shared" ref="O192" si="288">IF(COUNT(N192:N193)&lt;1,"",AVERAGE(N192:N193))</f>
        <v/>
      </c>
      <c r="P192" s="22"/>
      <c r="Q192" s="285" t="str">
        <f t="shared" ref="Q192" si="289">IF(COUNT(P192:P193)&lt;1,"",AVERAGE(P192:P193))</f>
        <v/>
      </c>
      <c r="R192" s="278" t="str">
        <f>IF($X$13="/28",IF(COUNT(P192:P193)&lt;=1,"",ABS(P192-P193)),IF($X$13="/90",IF(COUNT(#REF!)&lt;=1,"",ABS(#REF!-#REF!))))</f>
        <v/>
      </c>
      <c r="S192" s="278" t="str">
        <f>IF($X$13="/28",IF(Q192="","",IF(AVERAGE(Q188:Q193)&gt;=$W$13,ROUND(AVERAGE(Q188:Q193),1)&amp;" ≥ "&amp;$W$13&amp;" OK",ROUND(AVERAGE(Q188:Q193),1)&amp;" &lt; "&amp;$W$13&amp;" NC")),IF($X$13="/90",IF(#REF!="","",IF(AVERAGE(#REF!)&gt;=$W$13,ROUND(AVERAGE(#REF!),1)&amp;" ≥ "&amp;$W$13&amp;" OK",ROUND(AVERAGE(#REF!),1)&amp;" &lt; "&amp;$W$13&amp;" NC"))))</f>
        <v/>
      </c>
      <c r="T192" s="278" t="str">
        <f>IF($X$13="/28",IF(Q192="","",IF(Q192&gt;=$W$13-$S$12,ROUND((Q192),1)&amp;" ≥ "&amp;$W$13-$S$12&amp;" OK",ROUND((Q192),1)&amp;" &lt; "&amp;$W$13-$S$12&amp;" NC")),IF($X$13="/90",IF(#REF!="","",IF(#REF!&gt;=$W$13-$S$12,ROUND((#REF!),1)&amp;" ≥ "&amp;$W$13-$S$12&amp;" OK",ROUND((#REF!),1)&amp;" &lt; "&amp;$W$13-$S$12&amp;" NC"))))</f>
        <v/>
      </c>
      <c r="U192" s="14"/>
      <c r="V192" s="279"/>
      <c r="W192" s="280"/>
      <c r="X192" s="281"/>
      <c r="Y192" s="246"/>
      <c r="Z192" s="246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BP192" s="390" t="str">
        <f>IF($X$13="/28",IF(Q192="","",Q192),IF($X$13="/90",IF(#REF!="","",#REF!),"Falso"))</f>
        <v/>
      </c>
      <c r="BQ192" s="392" t="str">
        <f t="shared" si="242"/>
        <v/>
      </c>
      <c r="BS192" s="50" t="str">
        <f>Q366</f>
        <v/>
      </c>
      <c r="BT192" s="50" t="e">
        <f>#REF!</f>
        <v>#REF!</v>
      </c>
      <c r="BU192" s="39" t="str">
        <f t="shared" si="226"/>
        <v/>
      </c>
      <c r="BV192" s="39" t="str">
        <f t="shared" si="219"/>
        <v/>
      </c>
    </row>
    <row r="193" spans="1:74" ht="14.25" customHeight="1" x14ac:dyDescent="0.35">
      <c r="A193" s="294"/>
      <c r="B193" s="296"/>
      <c r="C193" s="298"/>
      <c r="D193" s="300"/>
      <c r="E193" s="302"/>
      <c r="F193" s="304"/>
      <c r="G193" s="276"/>
      <c r="H193" s="277"/>
      <c r="I193" s="290"/>
      <c r="J193" s="290"/>
      <c r="K193" s="291"/>
      <c r="L193" s="17"/>
      <c r="M193" s="286"/>
      <c r="N193" s="21"/>
      <c r="O193" s="286"/>
      <c r="P193" s="21"/>
      <c r="Q193" s="286"/>
      <c r="R193" s="248"/>
      <c r="S193" s="287"/>
      <c r="T193" s="248"/>
      <c r="U193" s="13"/>
      <c r="V193" s="282"/>
      <c r="W193" s="283"/>
      <c r="X193" s="284"/>
      <c r="Y193" s="245"/>
      <c r="Z193" s="245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BP193" s="391"/>
      <c r="BQ193" s="393"/>
      <c r="BS193" s="50" t="str">
        <f>Q368</f>
        <v/>
      </c>
      <c r="BT193" s="50" t="e">
        <f>#REF!</f>
        <v>#REF!</v>
      </c>
      <c r="BU193" s="39" t="str">
        <f t="shared" si="226"/>
        <v/>
      </c>
      <c r="BV193" s="39" t="str">
        <f t="shared" si="219"/>
        <v/>
      </c>
    </row>
    <row r="194" spans="1:74" ht="14.25" customHeight="1" x14ac:dyDescent="0.35">
      <c r="A194" s="293">
        <v>89</v>
      </c>
      <c r="B194" s="295"/>
      <c r="C194" s="297"/>
      <c r="D194" s="299"/>
      <c r="E194" s="301"/>
      <c r="F194" s="303"/>
      <c r="G194" s="288"/>
      <c r="H194" s="289"/>
      <c r="I194" s="290"/>
      <c r="J194" s="290"/>
      <c r="K194" s="291"/>
      <c r="L194" s="18"/>
      <c r="M194" s="285" t="str">
        <f t="shared" ref="M194" si="290">IF(COUNT(L194:L195)&lt;1,"",AVERAGE(L194:L195))</f>
        <v/>
      </c>
      <c r="N194" s="22"/>
      <c r="O194" s="285" t="str">
        <f t="shared" ref="O194" si="291">IF(COUNT(N194:N195)&lt;1,"",AVERAGE(N194:N195))</f>
        <v/>
      </c>
      <c r="P194" s="22"/>
      <c r="Q194" s="285" t="str">
        <f t="shared" ref="Q194" si="292">IF(COUNT(P194:P195)&lt;1,"",AVERAGE(P194:P195))</f>
        <v/>
      </c>
      <c r="R194" s="278" t="str">
        <f>IF($X$13="/28",IF(COUNT(P194:P195)&lt;=1,"",ABS(P194-P195)),IF($X$13="/90",IF(COUNT(#REF!)&lt;=1,"",ABS(#REF!-#REF!))))</f>
        <v/>
      </c>
      <c r="S194" s="278" t="str">
        <f>IF($X$13="/28",IF(Q194="","",IF(AVERAGE(Q190:Q195)&gt;=$W$13,ROUND(AVERAGE(Q190:Q195),1)&amp;" ≥ "&amp;$W$13&amp;" OK",ROUND(AVERAGE(Q190:Q195),1)&amp;" &lt; "&amp;$W$13&amp;" NC")),IF($X$13="/90",IF(#REF!="","",IF(AVERAGE(#REF!)&gt;=$W$13,ROUND(AVERAGE(#REF!),1)&amp;" ≥ "&amp;$W$13&amp;" OK",ROUND(AVERAGE(#REF!),1)&amp;" &lt; "&amp;$W$13&amp;" NC"))))</f>
        <v/>
      </c>
      <c r="T194" s="278" t="str">
        <f>IF($X$13="/28",IF(Q194="","",IF(Q194&gt;=$W$13-$S$12,ROUND((Q194),1)&amp;" ≥ "&amp;$W$13-$S$12&amp;" OK",ROUND((Q194),1)&amp;" &lt; "&amp;$W$13-$S$12&amp;" NC")),IF($X$13="/90",IF(#REF!="","",IF(#REF!&gt;=$W$13-$S$12,ROUND((#REF!),1)&amp;" ≥ "&amp;$W$13-$S$12&amp;" OK",ROUND((#REF!),1)&amp;" &lt; "&amp;$W$13-$S$12&amp;" NC"))))</f>
        <v/>
      </c>
      <c r="U194" s="14"/>
      <c r="V194" s="279"/>
      <c r="W194" s="280"/>
      <c r="X194" s="281"/>
      <c r="Y194" s="246"/>
      <c r="Z194" s="246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BP194" s="390" t="str">
        <f>IF($X$13="/28",IF(Q194="","",Q194),IF($X$13="/90",IF(#REF!="","",#REF!),"Falso"))</f>
        <v/>
      </c>
      <c r="BQ194" s="392" t="str">
        <f t="shared" si="246"/>
        <v/>
      </c>
      <c r="BS194" s="50" t="str">
        <f>Q370</f>
        <v/>
      </c>
      <c r="BT194" s="50" t="e">
        <f>#REF!</f>
        <v>#REF!</v>
      </c>
      <c r="BU194" s="39" t="str">
        <f t="shared" si="226"/>
        <v/>
      </c>
      <c r="BV194" s="39" t="str">
        <f t="shared" si="219"/>
        <v/>
      </c>
    </row>
    <row r="195" spans="1:74" ht="14.25" customHeight="1" x14ac:dyDescent="0.35">
      <c r="A195" s="294"/>
      <c r="B195" s="296"/>
      <c r="C195" s="298"/>
      <c r="D195" s="300"/>
      <c r="E195" s="302"/>
      <c r="F195" s="304"/>
      <c r="G195" s="276"/>
      <c r="H195" s="277"/>
      <c r="I195" s="290"/>
      <c r="J195" s="290"/>
      <c r="K195" s="291"/>
      <c r="L195" s="17"/>
      <c r="M195" s="286"/>
      <c r="N195" s="21"/>
      <c r="O195" s="286"/>
      <c r="P195" s="21"/>
      <c r="Q195" s="286"/>
      <c r="R195" s="248"/>
      <c r="S195" s="287"/>
      <c r="T195" s="248"/>
      <c r="U195" s="13"/>
      <c r="V195" s="282"/>
      <c r="W195" s="283"/>
      <c r="X195" s="284"/>
      <c r="Y195" s="245"/>
      <c r="Z195" s="245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BP195" s="391"/>
      <c r="BQ195" s="393"/>
      <c r="BS195" s="50" t="str">
        <f>Q372</f>
        <v/>
      </c>
      <c r="BT195" s="50" t="e">
        <f>#REF!</f>
        <v>#REF!</v>
      </c>
      <c r="BU195" s="39" t="str">
        <f t="shared" si="226"/>
        <v/>
      </c>
      <c r="BV195" s="39" t="str">
        <f t="shared" si="219"/>
        <v/>
      </c>
    </row>
    <row r="196" spans="1:74" ht="14.25" customHeight="1" x14ac:dyDescent="0.35">
      <c r="A196" s="293">
        <v>90</v>
      </c>
      <c r="B196" s="295"/>
      <c r="C196" s="297"/>
      <c r="D196" s="299"/>
      <c r="E196" s="301"/>
      <c r="F196" s="303"/>
      <c r="G196" s="288"/>
      <c r="H196" s="289"/>
      <c r="I196" s="290"/>
      <c r="J196" s="290"/>
      <c r="K196" s="291"/>
      <c r="L196" s="18"/>
      <c r="M196" s="285" t="str">
        <f t="shared" ref="M196" si="293">IF(COUNT(L196:L197)&lt;1,"",AVERAGE(L196:L197))</f>
        <v/>
      </c>
      <c r="N196" s="22"/>
      <c r="O196" s="285" t="str">
        <f t="shared" ref="O196" si="294">IF(COUNT(N196:N197)&lt;1,"",AVERAGE(N196:N197))</f>
        <v/>
      </c>
      <c r="P196" s="22"/>
      <c r="Q196" s="285" t="str">
        <f t="shared" ref="Q196" si="295">IF(COUNT(P196:P197)&lt;1,"",AVERAGE(P196:P197))</f>
        <v/>
      </c>
      <c r="R196" s="278" t="str">
        <f>IF($X$13="/28",IF(COUNT(P196:P197)&lt;=1,"",ABS(P196-P197)),IF($X$13="/90",IF(COUNT(#REF!)&lt;=1,"",ABS(#REF!-#REF!))))</f>
        <v/>
      </c>
      <c r="S196" s="278" t="str">
        <f>IF($X$13="/28",IF(Q196="","",IF(AVERAGE(Q192:Q197)&gt;=$W$13,ROUND(AVERAGE(Q192:Q197),1)&amp;" ≥ "&amp;$W$13&amp;" OK",ROUND(AVERAGE(Q192:Q197),1)&amp;" &lt; "&amp;$W$13&amp;" NC")),IF($X$13="/90",IF(#REF!="","",IF(AVERAGE(#REF!)&gt;=$W$13,ROUND(AVERAGE(#REF!),1)&amp;" ≥ "&amp;$W$13&amp;" OK",ROUND(AVERAGE(#REF!),1)&amp;" &lt; "&amp;$W$13&amp;" NC"))))</f>
        <v/>
      </c>
      <c r="T196" s="278" t="str">
        <f>IF($X$13="/28",IF(Q196="","",IF(Q196&gt;=$W$13-$S$12,ROUND((Q196),1)&amp;" ≥ "&amp;$W$13-$S$12&amp;" OK",ROUND((Q196),1)&amp;" &lt; "&amp;$W$13-$S$12&amp;" NC")),IF($X$13="/90",IF(#REF!="","",IF(#REF!&gt;=$W$13-$S$12,ROUND((#REF!),1)&amp;" ≥ "&amp;$W$13-$S$12&amp;" OK",ROUND((#REF!),1)&amp;" &lt; "&amp;$W$13-$S$12&amp;" NC"))))</f>
        <v/>
      </c>
      <c r="U196" s="14"/>
      <c r="V196" s="279"/>
      <c r="W196" s="280"/>
      <c r="X196" s="281"/>
      <c r="Y196" s="246"/>
      <c r="Z196" s="246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BP196" s="390" t="str">
        <f>IF($X$13="/28",IF(Q196="","",Q196),IF($X$13="/90",IF(#REF!="","",#REF!),"Falso"))</f>
        <v/>
      </c>
      <c r="BQ196" s="392" t="str">
        <f t="shared" si="250"/>
        <v/>
      </c>
      <c r="BS196" s="50" t="str">
        <f>Q374</f>
        <v/>
      </c>
      <c r="BT196" s="50" t="e">
        <f>#REF!</f>
        <v>#REF!</v>
      </c>
      <c r="BU196" s="39" t="str">
        <f t="shared" si="226"/>
        <v/>
      </c>
      <c r="BV196" s="39" t="str">
        <f t="shared" si="219"/>
        <v/>
      </c>
    </row>
    <row r="197" spans="1:74" ht="14.25" customHeight="1" thickBot="1" x14ac:dyDescent="0.4">
      <c r="A197" s="384"/>
      <c r="B197" s="385"/>
      <c r="C197" s="386"/>
      <c r="D197" s="387"/>
      <c r="E197" s="388"/>
      <c r="F197" s="389"/>
      <c r="G197" s="377"/>
      <c r="H197" s="378"/>
      <c r="I197" s="382"/>
      <c r="J197" s="382"/>
      <c r="K197" s="383"/>
      <c r="L197" s="19"/>
      <c r="M197" s="379"/>
      <c r="N197" s="23"/>
      <c r="O197" s="379"/>
      <c r="P197" s="23"/>
      <c r="Q197" s="379"/>
      <c r="R197" s="380"/>
      <c r="S197" s="381"/>
      <c r="T197" s="380"/>
      <c r="U197" s="15"/>
      <c r="V197" s="373"/>
      <c r="W197" s="374"/>
      <c r="X197" s="375"/>
      <c r="Y197" s="376"/>
      <c r="Z197" s="376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BP197" s="391"/>
      <c r="BQ197" s="393"/>
      <c r="BS197" s="50" t="str">
        <f>Q376</f>
        <v/>
      </c>
      <c r="BT197" s="50" t="e">
        <f>#REF!</f>
        <v>#REF!</v>
      </c>
      <c r="BU197" s="39" t="str">
        <f t="shared" si="226"/>
        <v/>
      </c>
      <c r="BV197" s="39" t="str">
        <f t="shared" si="219"/>
        <v/>
      </c>
    </row>
    <row r="198" spans="1:74" ht="14.25" customHeight="1" x14ac:dyDescent="0.35">
      <c r="A198" s="311">
        <v>91</v>
      </c>
      <c r="B198" s="312"/>
      <c r="C198" s="313"/>
      <c r="D198" s="314"/>
      <c r="E198" s="315"/>
      <c r="F198" s="353"/>
      <c r="G198" s="354"/>
      <c r="H198" s="355"/>
      <c r="I198" s="356"/>
      <c r="J198" s="356"/>
      <c r="K198" s="357"/>
      <c r="L198" s="16"/>
      <c r="M198" s="352" t="str">
        <f t="shared" ref="M198" si="296">IF(COUNT(L198:L199)&lt;1,"",AVERAGE(L198:L199))</f>
        <v/>
      </c>
      <c r="N198" s="20"/>
      <c r="O198" s="352" t="str">
        <f t="shared" ref="O198" si="297">IF(COUNT(N198:N199)&lt;1,"",AVERAGE(N198:N199))</f>
        <v/>
      </c>
      <c r="P198" s="20"/>
      <c r="Q198" s="352" t="str">
        <f t="shared" ref="Q198" si="298">IF(COUNT(P198:P199)&lt;1,"",AVERAGE(P198:P199))</f>
        <v/>
      </c>
      <c r="R198" s="247" t="str">
        <f>IF($X$13="/28",IF(COUNT(P198:P199)&lt;=1,"",ABS(P198-P199)),IF($X$13="/90",IF(COUNT(#REF!)&lt;=1,"",ABS(#REF!-#REF!))))</f>
        <v/>
      </c>
      <c r="S198" s="247" t="str">
        <f>IF($X$13="/28",IF(Q198="","",IF(AVERAGE(Q194:Q199)&gt;=$W$13,ROUND(AVERAGE(Q194:Q199),1)&amp;" ≥ "&amp;$W$13&amp;" OK",ROUND(AVERAGE(Q194:Q199),1)&amp;" &lt; "&amp;$W$13&amp;" NC")),IF($X$13="/90",IF(#REF!="","",IF(AVERAGE(#REF!)&gt;=$W$13,ROUND(AVERAGE(#REF!),1)&amp;" ≥ "&amp;$W$13&amp;" OK",ROUND(AVERAGE(#REF!),1)&amp;" &lt; "&amp;$W$13&amp;" NC"))))</f>
        <v/>
      </c>
      <c r="T198" s="247" t="str">
        <f>IF($X$13="/28",IF(Q198="","",IF(Q198&gt;=$W$13-$S$12,ROUND((Q198),1)&amp;" ≥ "&amp;$W$13-$S$12&amp;" OK",ROUND((Q198),1)&amp;" &lt; "&amp;$W$13-$S$12&amp;" NC")),IF($X$13="/90",IF(#REF!="","",IF(#REF!&gt;=$W$13-$S$12,ROUND((#REF!),1)&amp;" ≥ "&amp;$W$13-$S$12&amp;" OK",ROUND((#REF!),1)&amp;" &lt; "&amp;$W$13-$S$12&amp;" NC"))))</f>
        <v/>
      </c>
      <c r="U198" s="12"/>
      <c r="V198" s="349"/>
      <c r="W198" s="350"/>
      <c r="X198" s="351"/>
      <c r="Y198" s="244"/>
      <c r="Z198" s="24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BP198" s="390" t="str">
        <f>IF($X$13="/28",IF(Q198="","",Q198),IF($X$13="/90",IF(#REF!="","",#REF!),"Falso"))</f>
        <v/>
      </c>
      <c r="BQ198" s="392" t="str">
        <f t="shared" si="242"/>
        <v/>
      </c>
      <c r="BS198" s="50" t="str">
        <f>Q378</f>
        <v/>
      </c>
      <c r="BT198" s="50" t="e">
        <f>#REF!</f>
        <v>#REF!</v>
      </c>
      <c r="BU198" s="39" t="str">
        <f t="shared" si="226"/>
        <v/>
      </c>
      <c r="BV198" s="39" t="str">
        <f t="shared" si="219"/>
        <v/>
      </c>
    </row>
    <row r="199" spans="1:74" ht="14.25" customHeight="1" x14ac:dyDescent="0.35">
      <c r="A199" s="294"/>
      <c r="B199" s="296"/>
      <c r="C199" s="298"/>
      <c r="D199" s="300"/>
      <c r="E199" s="302"/>
      <c r="F199" s="304"/>
      <c r="G199" s="276"/>
      <c r="H199" s="277"/>
      <c r="I199" s="290"/>
      <c r="J199" s="290"/>
      <c r="K199" s="291"/>
      <c r="L199" s="17"/>
      <c r="M199" s="286"/>
      <c r="N199" s="21"/>
      <c r="O199" s="286"/>
      <c r="P199" s="21"/>
      <c r="Q199" s="286"/>
      <c r="R199" s="248"/>
      <c r="S199" s="248"/>
      <c r="T199" s="248"/>
      <c r="U199" s="13"/>
      <c r="V199" s="282"/>
      <c r="W199" s="283"/>
      <c r="X199" s="284"/>
      <c r="Y199" s="245"/>
      <c r="Z199" s="245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BP199" s="391"/>
      <c r="BQ199" s="393"/>
      <c r="BS199" s="50" t="str">
        <f>Q380</f>
        <v/>
      </c>
      <c r="BT199" s="50" t="e">
        <f>#REF!</f>
        <v>#REF!</v>
      </c>
      <c r="BU199" s="39" t="str">
        <f t="shared" si="226"/>
        <v/>
      </c>
      <c r="BV199" s="39" t="str">
        <f t="shared" si="219"/>
        <v/>
      </c>
    </row>
    <row r="200" spans="1:74" ht="14.25" customHeight="1" x14ac:dyDescent="0.35">
      <c r="A200" s="293">
        <v>92</v>
      </c>
      <c r="B200" s="295"/>
      <c r="C200" s="297"/>
      <c r="D200" s="299"/>
      <c r="E200" s="301"/>
      <c r="F200" s="303"/>
      <c r="G200" s="288"/>
      <c r="H200" s="289"/>
      <c r="I200" s="290"/>
      <c r="J200" s="290"/>
      <c r="K200" s="291"/>
      <c r="L200" s="18"/>
      <c r="M200" s="285" t="str">
        <f t="shared" ref="M200" si="299">IF(COUNT(L200:L201)&lt;1,"",AVERAGE(L200:L201))</f>
        <v/>
      </c>
      <c r="N200" s="22"/>
      <c r="O200" s="285" t="str">
        <f t="shared" ref="O200" si="300">IF(COUNT(N200:N201)&lt;1,"",AVERAGE(N200:N201))</f>
        <v/>
      </c>
      <c r="P200" s="22"/>
      <c r="Q200" s="285" t="str">
        <f t="shared" ref="Q200" si="301">IF(COUNT(P200:P201)&lt;1,"",AVERAGE(P200:P201))</f>
        <v/>
      </c>
      <c r="R200" s="278" t="str">
        <f>IF($X$13="/28",IF(COUNT(P200:P201)&lt;=1,"",ABS(P200-P201)),IF($X$13="/90",IF(COUNT(#REF!)&lt;=1,"",ABS(#REF!-#REF!))))</f>
        <v/>
      </c>
      <c r="S200" s="278" t="str">
        <f>IF($X$13="/28",IF(Q200="","",IF(AVERAGE(Q196:Q201)&gt;=$W$13,ROUND(AVERAGE(Q196:Q201),1)&amp;" ≥ "&amp;$W$13&amp;" OK",ROUND(AVERAGE(Q196:Q201),1)&amp;" &lt; "&amp;$W$13&amp;" NC")),IF($X$13="/90",IF(#REF!="","",IF(AVERAGE(#REF!)&gt;=$W$13,ROUND(AVERAGE(#REF!),1)&amp;" ≥ "&amp;$W$13&amp;" OK",ROUND(AVERAGE(#REF!),1)&amp;" &lt; "&amp;$W$13&amp;" NC"))))</f>
        <v/>
      </c>
      <c r="T200" s="278" t="str">
        <f>IF($X$13="/28",IF(Q200="","",IF(Q200&gt;=$W$13-$S$12,ROUND((Q200),1)&amp;" ≥ "&amp;$W$13-$S$12&amp;" OK",ROUND((Q200),1)&amp;" &lt; "&amp;$W$13-$S$12&amp;" NC")),IF($X$13="/90",IF(#REF!="","",IF(#REF!&gt;=$W$13-$S$12,ROUND((#REF!),1)&amp;" ≥ "&amp;$W$13-$S$12&amp;" OK",ROUND((#REF!),1)&amp;" &lt; "&amp;$W$13-$S$12&amp;" NC"))))</f>
        <v/>
      </c>
      <c r="U200" s="14"/>
      <c r="V200" s="279"/>
      <c r="W200" s="280"/>
      <c r="X200" s="281"/>
      <c r="Y200" s="246"/>
      <c r="Z200" s="246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BP200" s="390" t="str">
        <f>IF($X$13="/28",IF(Q200="","",Q200),IF($X$13="/90",IF(#REF!="","",#REF!),"Falso"))</f>
        <v/>
      </c>
      <c r="BQ200" s="392" t="str">
        <f t="shared" si="246"/>
        <v/>
      </c>
      <c r="BS200" s="50" t="str">
        <f>Q382</f>
        <v/>
      </c>
      <c r="BT200" s="50" t="e">
        <f>#REF!</f>
        <v>#REF!</v>
      </c>
      <c r="BU200" s="39" t="str">
        <f t="shared" si="226"/>
        <v/>
      </c>
      <c r="BV200" s="39" t="str">
        <f t="shared" si="219"/>
        <v/>
      </c>
    </row>
    <row r="201" spans="1:74" ht="14.25" customHeight="1" x14ac:dyDescent="0.35">
      <c r="A201" s="294"/>
      <c r="B201" s="296"/>
      <c r="C201" s="298"/>
      <c r="D201" s="300"/>
      <c r="E201" s="302"/>
      <c r="F201" s="304"/>
      <c r="G201" s="276"/>
      <c r="H201" s="277"/>
      <c r="I201" s="290"/>
      <c r="J201" s="290"/>
      <c r="K201" s="291"/>
      <c r="L201" s="17"/>
      <c r="M201" s="286"/>
      <c r="N201" s="21"/>
      <c r="O201" s="286"/>
      <c r="P201" s="21"/>
      <c r="Q201" s="286"/>
      <c r="R201" s="248"/>
      <c r="S201" s="248"/>
      <c r="T201" s="248"/>
      <c r="U201" s="13"/>
      <c r="V201" s="282"/>
      <c r="W201" s="283"/>
      <c r="X201" s="284"/>
      <c r="Y201" s="245"/>
      <c r="Z201" s="245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BP201" s="391"/>
      <c r="BQ201" s="393"/>
      <c r="BS201" s="50" t="str">
        <f>Q384</f>
        <v/>
      </c>
      <c r="BT201" s="50" t="e">
        <f>#REF!</f>
        <v>#REF!</v>
      </c>
      <c r="BU201" s="39" t="str">
        <f t="shared" si="226"/>
        <v/>
      </c>
      <c r="BV201" s="39" t="str">
        <f t="shared" si="219"/>
        <v/>
      </c>
    </row>
    <row r="202" spans="1:74" ht="14.25" customHeight="1" x14ac:dyDescent="0.35">
      <c r="A202" s="293">
        <v>93</v>
      </c>
      <c r="B202" s="295"/>
      <c r="C202" s="297"/>
      <c r="D202" s="299"/>
      <c r="E202" s="301"/>
      <c r="F202" s="303"/>
      <c r="G202" s="288"/>
      <c r="H202" s="289"/>
      <c r="I202" s="290"/>
      <c r="J202" s="290"/>
      <c r="K202" s="291"/>
      <c r="L202" s="18"/>
      <c r="M202" s="285" t="str">
        <f t="shared" ref="M202" si="302">IF(COUNT(L202:L203)&lt;1,"",AVERAGE(L202:L203))</f>
        <v/>
      </c>
      <c r="N202" s="22"/>
      <c r="O202" s="285" t="str">
        <f t="shared" ref="O202" si="303">IF(COUNT(N202:N203)&lt;1,"",AVERAGE(N202:N203))</f>
        <v/>
      </c>
      <c r="P202" s="22"/>
      <c r="Q202" s="285" t="str">
        <f t="shared" ref="Q202" si="304">IF(COUNT(P202:P203)&lt;1,"",AVERAGE(P202:P203))</f>
        <v/>
      </c>
      <c r="R202" s="278" t="str">
        <f>IF($X$13="/28",IF(COUNT(P202:P203)&lt;=1,"",ABS(P202-P203)),IF($X$13="/90",IF(COUNT(#REF!)&lt;=1,"",ABS(#REF!-#REF!))))</f>
        <v/>
      </c>
      <c r="S202" s="278" t="str">
        <f>IF($X$13="/28",IF(Q202="","",IF(AVERAGE(Q198:Q203)&gt;=$W$13,ROUND(AVERAGE(Q198:Q203),1)&amp;" ≥ "&amp;$W$13&amp;" OK",ROUND(AVERAGE(Q198:Q203),1)&amp;" &lt; "&amp;$W$13&amp;" NC")),IF($X$13="/90",IF(#REF!="","",IF(AVERAGE(#REF!)&gt;=$W$13,ROUND(AVERAGE(#REF!),1)&amp;" ≥ "&amp;$W$13&amp;" OK",ROUND(AVERAGE(#REF!),1)&amp;" &lt; "&amp;$W$13&amp;" NC"))))</f>
        <v/>
      </c>
      <c r="T202" s="278" t="str">
        <f>IF($X$13="/28",IF(Q202="","",IF(Q202&gt;=$W$13-$S$12,ROUND((Q202),1)&amp;" ≥ "&amp;$W$13-$S$12&amp;" OK",ROUND((Q202),1)&amp;" &lt; "&amp;$W$13-$S$12&amp;" NC")),IF($X$13="/90",IF(#REF!="","",IF(#REF!&gt;=$W$13-$S$12,ROUND((#REF!),1)&amp;" ≥ "&amp;$W$13-$S$12&amp;" OK",ROUND((#REF!),1)&amp;" &lt; "&amp;$W$13-$S$12&amp;" NC"))))</f>
        <v/>
      </c>
      <c r="U202" s="14"/>
      <c r="V202" s="279"/>
      <c r="W202" s="280"/>
      <c r="X202" s="281"/>
      <c r="Y202" s="246"/>
      <c r="Z202" s="246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BP202" s="390" t="str">
        <f>IF($X$13="/28",IF(Q202="","",Q202),IF($X$13="/90",IF(#REF!="","",#REF!),"Falso"))</f>
        <v/>
      </c>
      <c r="BQ202" s="392" t="str">
        <f t="shared" si="250"/>
        <v/>
      </c>
      <c r="BS202" s="50" t="str">
        <f>Q386</f>
        <v/>
      </c>
      <c r="BT202" s="50" t="e">
        <f>#REF!</f>
        <v>#REF!</v>
      </c>
      <c r="BU202" s="39" t="str">
        <f t="shared" si="226"/>
        <v/>
      </c>
      <c r="BV202" s="39" t="str">
        <f t="shared" si="219"/>
        <v/>
      </c>
    </row>
    <row r="203" spans="1:74" ht="14.25" customHeight="1" x14ac:dyDescent="0.35">
      <c r="A203" s="294"/>
      <c r="B203" s="296"/>
      <c r="C203" s="298"/>
      <c r="D203" s="300"/>
      <c r="E203" s="302"/>
      <c r="F203" s="304"/>
      <c r="G203" s="276"/>
      <c r="H203" s="277"/>
      <c r="I203" s="290"/>
      <c r="J203" s="290"/>
      <c r="K203" s="291"/>
      <c r="L203" s="17"/>
      <c r="M203" s="286"/>
      <c r="N203" s="21"/>
      <c r="O203" s="286"/>
      <c r="P203" s="21"/>
      <c r="Q203" s="286"/>
      <c r="R203" s="248"/>
      <c r="S203" s="287"/>
      <c r="T203" s="248"/>
      <c r="U203" s="13"/>
      <c r="V203" s="282"/>
      <c r="W203" s="283"/>
      <c r="X203" s="284"/>
      <c r="Y203" s="245"/>
      <c r="Z203" s="245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BP203" s="391"/>
      <c r="BQ203" s="393"/>
      <c r="BS203" s="50" t="str">
        <f>Q388</f>
        <v/>
      </c>
      <c r="BT203" s="50" t="e">
        <f>#REF!</f>
        <v>#REF!</v>
      </c>
      <c r="BU203" s="39" t="str">
        <f t="shared" si="226"/>
        <v/>
      </c>
      <c r="BV203" s="39" t="str">
        <f t="shared" si="219"/>
        <v/>
      </c>
    </row>
    <row r="204" spans="1:74" ht="14.25" customHeight="1" x14ac:dyDescent="0.35">
      <c r="A204" s="293">
        <v>94</v>
      </c>
      <c r="B204" s="295"/>
      <c r="C204" s="297"/>
      <c r="D204" s="299"/>
      <c r="E204" s="301"/>
      <c r="F204" s="303"/>
      <c r="G204" s="288"/>
      <c r="H204" s="289"/>
      <c r="I204" s="290"/>
      <c r="J204" s="290"/>
      <c r="K204" s="291"/>
      <c r="L204" s="18"/>
      <c r="M204" s="285" t="str">
        <f t="shared" ref="M204" si="305">IF(COUNT(L204:L205)&lt;1,"",AVERAGE(L204:L205))</f>
        <v/>
      </c>
      <c r="N204" s="22"/>
      <c r="O204" s="285" t="str">
        <f t="shared" ref="O204" si="306">IF(COUNT(N204:N205)&lt;1,"",AVERAGE(N204:N205))</f>
        <v/>
      </c>
      <c r="P204" s="22"/>
      <c r="Q204" s="285" t="str">
        <f t="shared" ref="Q204" si="307">IF(COUNT(P204:P205)&lt;1,"",AVERAGE(P204:P205))</f>
        <v/>
      </c>
      <c r="R204" s="278" t="str">
        <f>IF($X$13="/28",IF(COUNT(P204:P205)&lt;=1,"",ABS(P204-P205)),IF($X$13="/90",IF(COUNT(#REF!)&lt;=1,"",ABS(#REF!-#REF!))))</f>
        <v/>
      </c>
      <c r="S204" s="278" t="str">
        <f>IF($X$13="/28",IF(Q204="","",IF(AVERAGE(Q200:Q205)&gt;=$W$13,ROUND(AVERAGE(Q200:Q205),1)&amp;" ≥ "&amp;$W$13&amp;" OK",ROUND(AVERAGE(Q200:Q205),1)&amp;" &lt; "&amp;$W$13&amp;" NC")),IF($X$13="/90",IF(#REF!="","",IF(AVERAGE(#REF!)&gt;=$W$13,ROUND(AVERAGE(#REF!),1)&amp;" ≥ "&amp;$W$13&amp;" OK",ROUND(AVERAGE(#REF!),1)&amp;" &lt; "&amp;$W$13&amp;" NC"))))</f>
        <v/>
      </c>
      <c r="T204" s="278" t="str">
        <f>IF($X$13="/28",IF(Q204="","",IF(Q204&gt;=$W$13-$S$12,ROUND((Q204),1)&amp;" ≥ "&amp;$W$13-$S$12&amp;" OK",ROUND((Q204),1)&amp;" &lt; "&amp;$W$13-$S$12&amp;" NC")),IF($X$13="/90",IF(#REF!="","",IF(#REF!&gt;=$W$13-$S$12,ROUND((#REF!),1)&amp;" ≥ "&amp;$W$13-$S$12&amp;" OK",ROUND((#REF!),1)&amp;" &lt; "&amp;$W$13-$S$12&amp;" NC"))))</f>
        <v/>
      </c>
      <c r="U204" s="14"/>
      <c r="V204" s="279"/>
      <c r="W204" s="280"/>
      <c r="X204" s="281"/>
      <c r="Y204" s="246"/>
      <c r="Z204" s="246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BP204" s="390" t="str">
        <f>IF($X$13="/28",IF(Q204="","",Q204),IF($X$13="/90",IF(#REF!="","",#REF!),"Falso"))</f>
        <v/>
      </c>
      <c r="BQ204" s="392" t="str">
        <f t="shared" si="242"/>
        <v/>
      </c>
      <c r="BS204" s="50" t="str">
        <f>Q390</f>
        <v/>
      </c>
      <c r="BT204" s="50" t="e">
        <f>#REF!</f>
        <v>#REF!</v>
      </c>
      <c r="BU204" s="39" t="str">
        <f t="shared" si="226"/>
        <v/>
      </c>
      <c r="BV204" s="39" t="str">
        <f t="shared" si="219"/>
        <v/>
      </c>
    </row>
    <row r="205" spans="1:74" ht="14.25" customHeight="1" x14ac:dyDescent="0.35">
      <c r="A205" s="294"/>
      <c r="B205" s="296"/>
      <c r="C205" s="298"/>
      <c r="D205" s="300"/>
      <c r="E205" s="302"/>
      <c r="F205" s="304"/>
      <c r="G205" s="276"/>
      <c r="H205" s="277"/>
      <c r="I205" s="290"/>
      <c r="J205" s="290"/>
      <c r="K205" s="291"/>
      <c r="L205" s="17"/>
      <c r="M205" s="286"/>
      <c r="N205" s="21"/>
      <c r="O205" s="286"/>
      <c r="P205" s="21"/>
      <c r="Q205" s="286"/>
      <c r="R205" s="248"/>
      <c r="S205" s="287"/>
      <c r="T205" s="248"/>
      <c r="U205" s="13"/>
      <c r="V205" s="282"/>
      <c r="W205" s="283"/>
      <c r="X205" s="284"/>
      <c r="Y205" s="245"/>
      <c r="Z205" s="245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BP205" s="391"/>
      <c r="BQ205" s="393"/>
      <c r="BS205" s="50" t="str">
        <f>Q392</f>
        <v/>
      </c>
      <c r="BT205" s="50" t="e">
        <f>#REF!</f>
        <v>#REF!</v>
      </c>
      <c r="BU205" s="39" t="str">
        <f t="shared" si="226"/>
        <v/>
      </c>
      <c r="BV205" s="39" t="str">
        <f t="shared" si="219"/>
        <v/>
      </c>
    </row>
    <row r="206" spans="1:74" ht="14.25" customHeight="1" x14ac:dyDescent="0.35">
      <c r="A206" s="293">
        <v>95</v>
      </c>
      <c r="B206" s="295"/>
      <c r="C206" s="297"/>
      <c r="D206" s="299"/>
      <c r="E206" s="301"/>
      <c r="F206" s="303"/>
      <c r="G206" s="288"/>
      <c r="H206" s="289"/>
      <c r="I206" s="290"/>
      <c r="J206" s="290"/>
      <c r="K206" s="291"/>
      <c r="L206" s="18"/>
      <c r="M206" s="285" t="str">
        <f t="shared" ref="M206" si="308">IF(COUNT(L206:L207)&lt;1,"",AVERAGE(L206:L207))</f>
        <v/>
      </c>
      <c r="N206" s="22"/>
      <c r="O206" s="285" t="str">
        <f t="shared" ref="O206" si="309">IF(COUNT(N206:N207)&lt;1,"",AVERAGE(N206:N207))</f>
        <v/>
      </c>
      <c r="P206" s="22"/>
      <c r="Q206" s="285" t="str">
        <f t="shared" ref="Q206" si="310">IF(COUNT(P206:P207)&lt;1,"",AVERAGE(P206:P207))</f>
        <v/>
      </c>
      <c r="R206" s="278" t="str">
        <f>IF($X$13="/28",IF(COUNT(P206:P207)&lt;=1,"",ABS(P206-P207)),IF($X$13="/90",IF(COUNT(#REF!)&lt;=1,"",ABS(#REF!-#REF!))))</f>
        <v/>
      </c>
      <c r="S206" s="278" t="str">
        <f>IF($X$13="/28",IF(Q206="","",IF(AVERAGE(Q202:Q207)&gt;=$W$13,ROUND(AVERAGE(Q202:Q207),1)&amp;" ≥ "&amp;$W$13&amp;" OK",ROUND(AVERAGE(Q202:Q207),1)&amp;" &lt; "&amp;$W$13&amp;" NC")),IF($X$13="/90",IF(#REF!="","",IF(AVERAGE(#REF!)&gt;=$W$13,ROUND(AVERAGE(#REF!),1)&amp;" ≥ "&amp;$W$13&amp;" OK",ROUND(AVERAGE(#REF!),1)&amp;" &lt; "&amp;$W$13&amp;" NC"))))</f>
        <v/>
      </c>
      <c r="T206" s="278" t="str">
        <f>IF($X$13="/28",IF(Q206="","",IF(Q206&gt;=$W$13-$S$12,ROUND((Q206),1)&amp;" ≥ "&amp;$W$13-$S$12&amp;" OK",ROUND((Q206),1)&amp;" &lt; "&amp;$W$13-$S$12&amp;" NC")),IF($X$13="/90",IF(#REF!="","",IF(#REF!&gt;=$W$13-$S$12,ROUND((#REF!),1)&amp;" ≥ "&amp;$W$13-$S$12&amp;" OK",ROUND((#REF!),1)&amp;" &lt; "&amp;$W$13-$S$12&amp;" NC"))))</f>
        <v/>
      </c>
      <c r="U206" s="14"/>
      <c r="V206" s="279"/>
      <c r="W206" s="280"/>
      <c r="X206" s="281"/>
      <c r="Y206" s="246"/>
      <c r="Z206" s="246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BP206" s="390" t="str">
        <f>IF($X$13="/28",IF(Q206="","",Q206),IF($X$13="/90",IF(#REF!="","",#REF!),"Falso"))</f>
        <v/>
      </c>
      <c r="BQ206" s="392" t="str">
        <f t="shared" si="246"/>
        <v/>
      </c>
      <c r="BS206" s="50" t="str">
        <f>Q394</f>
        <v/>
      </c>
      <c r="BT206" s="50" t="e">
        <f>#REF!</f>
        <v>#REF!</v>
      </c>
      <c r="BU206" s="39" t="str">
        <f t="shared" si="226"/>
        <v/>
      </c>
      <c r="BV206" s="39" t="str">
        <f t="shared" si="219"/>
        <v/>
      </c>
    </row>
    <row r="207" spans="1:74" ht="14.25" customHeight="1" x14ac:dyDescent="0.35">
      <c r="A207" s="294"/>
      <c r="B207" s="296"/>
      <c r="C207" s="298"/>
      <c r="D207" s="300"/>
      <c r="E207" s="302"/>
      <c r="F207" s="304"/>
      <c r="G207" s="276"/>
      <c r="H207" s="277"/>
      <c r="I207" s="290"/>
      <c r="J207" s="290"/>
      <c r="K207" s="291"/>
      <c r="L207" s="17"/>
      <c r="M207" s="286"/>
      <c r="N207" s="21"/>
      <c r="O207" s="286"/>
      <c r="P207" s="21"/>
      <c r="Q207" s="286"/>
      <c r="R207" s="248"/>
      <c r="S207" s="287"/>
      <c r="T207" s="248"/>
      <c r="U207" s="13"/>
      <c r="V207" s="282"/>
      <c r="W207" s="283"/>
      <c r="X207" s="284"/>
      <c r="Y207" s="245"/>
      <c r="Z207" s="245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BP207" s="391"/>
      <c r="BQ207" s="393"/>
      <c r="BS207" s="50" t="str">
        <f>Q396</f>
        <v/>
      </c>
      <c r="BT207" s="50" t="e">
        <f>#REF!</f>
        <v>#REF!</v>
      </c>
      <c r="BU207" s="39" t="str">
        <f t="shared" si="226"/>
        <v/>
      </c>
      <c r="BV207" s="39" t="str">
        <f t="shared" si="219"/>
        <v/>
      </c>
    </row>
    <row r="208" spans="1:74" ht="14.25" customHeight="1" x14ac:dyDescent="0.35">
      <c r="A208" s="293">
        <v>96</v>
      </c>
      <c r="B208" s="295"/>
      <c r="C208" s="297"/>
      <c r="D208" s="299"/>
      <c r="E208" s="301"/>
      <c r="F208" s="303"/>
      <c r="G208" s="288"/>
      <c r="H208" s="289"/>
      <c r="I208" s="290"/>
      <c r="J208" s="290"/>
      <c r="K208" s="291"/>
      <c r="L208" s="18"/>
      <c r="M208" s="285" t="str">
        <f t="shared" ref="M208" si="311">IF(COUNT(L208:L209)&lt;1,"",AVERAGE(L208:L209))</f>
        <v/>
      </c>
      <c r="N208" s="22"/>
      <c r="O208" s="285" t="str">
        <f t="shared" ref="O208" si="312">IF(COUNT(N208:N209)&lt;1,"",AVERAGE(N208:N209))</f>
        <v/>
      </c>
      <c r="P208" s="22"/>
      <c r="Q208" s="285" t="str">
        <f t="shared" ref="Q208" si="313">IF(COUNT(P208:P209)&lt;1,"",AVERAGE(P208:P209))</f>
        <v/>
      </c>
      <c r="R208" s="278" t="str">
        <f>IF($X$13="/28",IF(COUNT(P208:P209)&lt;=1,"",ABS(P208-P209)),IF($X$13="/90",IF(COUNT(#REF!)&lt;=1,"",ABS(#REF!-#REF!))))</f>
        <v/>
      </c>
      <c r="S208" s="278" t="str">
        <f>IF($X$13="/28",IF(Q208="","",IF(AVERAGE(Q204:Q209)&gt;=$W$13,ROUND(AVERAGE(Q204:Q209),1)&amp;" ≥ "&amp;$W$13&amp;" OK",ROUND(AVERAGE(Q204:Q209),1)&amp;" &lt; "&amp;$W$13&amp;" NC")),IF($X$13="/90",IF(#REF!="","",IF(AVERAGE(#REF!)&gt;=$W$13,ROUND(AVERAGE(#REF!),1)&amp;" ≥ "&amp;$W$13&amp;" OK",ROUND(AVERAGE(#REF!),1)&amp;" &lt; "&amp;$W$13&amp;" NC"))))</f>
        <v/>
      </c>
      <c r="T208" s="278" t="str">
        <f>IF($X$13="/28",IF(Q208="","",IF(Q208&gt;=$W$13-$S$12,ROUND((Q208),1)&amp;" ≥ "&amp;$W$13-$S$12&amp;" OK",ROUND((Q208),1)&amp;" &lt; "&amp;$W$13-$S$12&amp;" NC")),IF($X$13="/90",IF(#REF!="","",IF(#REF!&gt;=$W$13-$S$12,ROUND((#REF!),1)&amp;" ≥ "&amp;$W$13-$S$12&amp;" OK",ROUND((#REF!),1)&amp;" &lt; "&amp;$W$13-$S$12&amp;" NC"))))</f>
        <v/>
      </c>
      <c r="U208" s="14"/>
      <c r="V208" s="279"/>
      <c r="W208" s="280"/>
      <c r="X208" s="281"/>
      <c r="Y208" s="246"/>
      <c r="Z208" s="246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BP208" s="390" t="str">
        <f>IF($X$13="/28",IF(Q208="","",Q208),IF($X$13="/90",IF(#REF!="","",#REF!),"Falso"))</f>
        <v/>
      </c>
      <c r="BQ208" s="392" t="str">
        <f t="shared" si="250"/>
        <v/>
      </c>
      <c r="BS208" s="50" t="str">
        <f>Q398</f>
        <v/>
      </c>
      <c r="BT208" s="50" t="e">
        <f>#REF!</f>
        <v>#REF!</v>
      </c>
      <c r="BU208" s="39" t="str">
        <f t="shared" si="226"/>
        <v/>
      </c>
      <c r="BV208" s="39" t="str">
        <f t="shared" si="219"/>
        <v/>
      </c>
    </row>
    <row r="209" spans="1:74" ht="14.25" customHeight="1" x14ac:dyDescent="0.35">
      <c r="A209" s="294"/>
      <c r="B209" s="296"/>
      <c r="C209" s="298"/>
      <c r="D209" s="300"/>
      <c r="E209" s="302"/>
      <c r="F209" s="304"/>
      <c r="G209" s="276"/>
      <c r="H209" s="277"/>
      <c r="I209" s="290"/>
      <c r="J209" s="290"/>
      <c r="K209" s="291"/>
      <c r="L209" s="17"/>
      <c r="M209" s="286"/>
      <c r="N209" s="21"/>
      <c r="O209" s="286"/>
      <c r="P209" s="21"/>
      <c r="Q209" s="286"/>
      <c r="R209" s="248"/>
      <c r="S209" s="287"/>
      <c r="T209" s="248"/>
      <c r="U209" s="13"/>
      <c r="V209" s="282"/>
      <c r="W209" s="283"/>
      <c r="X209" s="284"/>
      <c r="Y209" s="245"/>
      <c r="Z209" s="245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BP209" s="391"/>
      <c r="BQ209" s="393"/>
      <c r="BS209" s="50" t="str">
        <f>Q400</f>
        <v/>
      </c>
      <c r="BT209" s="50" t="e">
        <f>#REF!</f>
        <v>#REF!</v>
      </c>
      <c r="BU209" s="39" t="str">
        <f t="shared" si="226"/>
        <v/>
      </c>
      <c r="BV209" s="39" t="str">
        <f t="shared" si="219"/>
        <v/>
      </c>
    </row>
    <row r="210" spans="1:74" ht="14.25" customHeight="1" x14ac:dyDescent="0.35">
      <c r="A210" s="293">
        <v>97</v>
      </c>
      <c r="B210" s="295"/>
      <c r="C210" s="297"/>
      <c r="D210" s="299"/>
      <c r="E210" s="301"/>
      <c r="F210" s="303"/>
      <c r="G210" s="288"/>
      <c r="H210" s="289"/>
      <c r="I210" s="290"/>
      <c r="J210" s="290"/>
      <c r="K210" s="291"/>
      <c r="L210" s="18"/>
      <c r="M210" s="285" t="str">
        <f t="shared" ref="M210" si="314">IF(COUNT(L210:L211)&lt;1,"",AVERAGE(L210:L211))</f>
        <v/>
      </c>
      <c r="N210" s="22"/>
      <c r="O210" s="285" t="str">
        <f t="shared" ref="O210" si="315">IF(COUNT(N210:N211)&lt;1,"",AVERAGE(N210:N211))</f>
        <v/>
      </c>
      <c r="P210" s="22"/>
      <c r="Q210" s="285" t="str">
        <f t="shared" ref="Q210" si="316">IF(COUNT(P210:P211)&lt;1,"",AVERAGE(P210:P211))</f>
        <v/>
      </c>
      <c r="R210" s="278" t="str">
        <f>IF($X$13="/28",IF(COUNT(P210:P211)&lt;=1,"",ABS(P210-P211)),IF($X$13="/90",IF(COUNT(#REF!)&lt;=1,"",ABS(#REF!-#REF!))))</f>
        <v/>
      </c>
      <c r="S210" s="278" t="str">
        <f>IF($X$13="/28",IF(Q210="","",IF(AVERAGE(Q206:Q211)&gt;=$W$13,ROUND(AVERAGE(Q206:Q211),1)&amp;" ≥ "&amp;$W$13&amp;" OK",ROUND(AVERAGE(Q206:Q211),1)&amp;" &lt; "&amp;$W$13&amp;" NC")),IF($X$13="/90",IF(#REF!="","",IF(AVERAGE(#REF!)&gt;=$W$13,ROUND(AVERAGE(#REF!),1)&amp;" ≥ "&amp;$W$13&amp;" OK",ROUND(AVERAGE(#REF!),1)&amp;" &lt; "&amp;$W$13&amp;" NC"))))</f>
        <v/>
      </c>
      <c r="T210" s="278" t="str">
        <f>IF($X$13="/28",IF(Q210="","",IF(Q210&gt;=$W$13-$S$12,ROUND((Q210),1)&amp;" ≥ "&amp;$W$13-$S$12&amp;" OK",ROUND((Q210),1)&amp;" &lt; "&amp;$W$13-$S$12&amp;" NC")),IF($X$13="/90",IF(#REF!="","",IF(#REF!&gt;=$W$13-$S$12,ROUND((#REF!),1)&amp;" ≥ "&amp;$W$13-$S$12&amp;" OK",ROUND((#REF!),1)&amp;" &lt; "&amp;$W$13-$S$12&amp;" NC"))))</f>
        <v/>
      </c>
      <c r="U210" s="14"/>
      <c r="V210" s="279"/>
      <c r="W210" s="280"/>
      <c r="X210" s="281"/>
      <c r="Y210" s="246"/>
      <c r="Z210" s="246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BP210" s="390" t="str">
        <f>IF($X$13="/28",IF(Q210="","",Q210),IF($X$13="/90",IF(#REF!="","",#REF!),"Falso"))</f>
        <v/>
      </c>
      <c r="BQ210" s="392" t="str">
        <f t="shared" si="242"/>
        <v/>
      </c>
      <c r="BS210" s="50" t="str">
        <f>Q402</f>
        <v/>
      </c>
      <c r="BT210" s="50" t="e">
        <f>#REF!</f>
        <v>#REF!</v>
      </c>
      <c r="BU210" s="39" t="str">
        <f t="shared" si="226"/>
        <v/>
      </c>
      <c r="BV210" s="39" t="str">
        <f t="shared" si="219"/>
        <v/>
      </c>
    </row>
    <row r="211" spans="1:74" ht="14.25" customHeight="1" x14ac:dyDescent="0.35">
      <c r="A211" s="294"/>
      <c r="B211" s="296"/>
      <c r="C211" s="298"/>
      <c r="D211" s="300"/>
      <c r="E211" s="302"/>
      <c r="F211" s="304"/>
      <c r="G211" s="276"/>
      <c r="H211" s="277"/>
      <c r="I211" s="290"/>
      <c r="J211" s="290"/>
      <c r="K211" s="291"/>
      <c r="L211" s="17"/>
      <c r="M211" s="286"/>
      <c r="N211" s="21"/>
      <c r="O211" s="286"/>
      <c r="P211" s="21"/>
      <c r="Q211" s="286"/>
      <c r="R211" s="248"/>
      <c r="S211" s="287"/>
      <c r="T211" s="248"/>
      <c r="U211" s="13"/>
      <c r="V211" s="282"/>
      <c r="W211" s="283"/>
      <c r="X211" s="284"/>
      <c r="Y211" s="245"/>
      <c r="Z211" s="245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BP211" s="391"/>
      <c r="BQ211" s="393"/>
      <c r="BS211" s="50" t="str">
        <f>Q404</f>
        <v/>
      </c>
      <c r="BT211" s="50" t="e">
        <f>#REF!</f>
        <v>#REF!</v>
      </c>
      <c r="BU211" s="39" t="str">
        <f t="shared" si="226"/>
        <v/>
      </c>
      <c r="BV211" s="39" t="str">
        <f t="shared" si="219"/>
        <v/>
      </c>
    </row>
    <row r="212" spans="1:74" ht="14.25" customHeight="1" x14ac:dyDescent="0.35">
      <c r="A212" s="293">
        <v>98</v>
      </c>
      <c r="B212" s="295"/>
      <c r="C212" s="297"/>
      <c r="D212" s="299"/>
      <c r="E212" s="301"/>
      <c r="F212" s="303"/>
      <c r="G212" s="288"/>
      <c r="H212" s="289"/>
      <c r="I212" s="290"/>
      <c r="J212" s="290"/>
      <c r="K212" s="291"/>
      <c r="L212" s="18"/>
      <c r="M212" s="285" t="str">
        <f t="shared" ref="M212" si="317">IF(COUNT(L212:L213)&lt;1,"",AVERAGE(L212:L213))</f>
        <v/>
      </c>
      <c r="N212" s="22"/>
      <c r="O212" s="285" t="str">
        <f t="shared" ref="O212" si="318">IF(COUNT(N212:N213)&lt;1,"",AVERAGE(N212:N213))</f>
        <v/>
      </c>
      <c r="P212" s="22"/>
      <c r="Q212" s="285" t="str">
        <f t="shared" ref="Q212" si="319">IF(COUNT(P212:P213)&lt;1,"",AVERAGE(P212:P213))</f>
        <v/>
      </c>
      <c r="R212" s="278" t="str">
        <f>IF($X$13="/28",IF(COUNT(P212:P213)&lt;=1,"",ABS(P212-P213)),IF($X$13="/90",IF(COUNT(#REF!)&lt;=1,"",ABS(#REF!-#REF!))))</f>
        <v/>
      </c>
      <c r="S212" s="278" t="str">
        <f>IF($X$13="/28",IF(Q212="","",IF(AVERAGE(Q208:Q213)&gt;=$W$13,ROUND(AVERAGE(Q208:Q213),1)&amp;" ≥ "&amp;$W$13&amp;" OK",ROUND(AVERAGE(Q208:Q213),1)&amp;" &lt; "&amp;$W$13&amp;" NC")),IF($X$13="/90",IF(#REF!="","",IF(AVERAGE(#REF!)&gt;=$W$13,ROUND(AVERAGE(#REF!),1)&amp;" ≥ "&amp;$W$13&amp;" OK",ROUND(AVERAGE(#REF!),1)&amp;" &lt; "&amp;$W$13&amp;" NC"))))</f>
        <v/>
      </c>
      <c r="T212" s="278" t="str">
        <f>IF($X$13="/28",IF(Q212="","",IF(Q212&gt;=$W$13-$S$12,ROUND((Q212),1)&amp;" ≥ "&amp;$W$13-$S$12&amp;" OK",ROUND((Q212),1)&amp;" &lt; "&amp;$W$13-$S$12&amp;" NC")),IF($X$13="/90",IF(#REF!="","",IF(#REF!&gt;=$W$13-$S$12,ROUND((#REF!),1)&amp;" ≥ "&amp;$W$13-$S$12&amp;" OK",ROUND((#REF!),1)&amp;" &lt; "&amp;$W$13-$S$12&amp;" NC"))))</f>
        <v/>
      </c>
      <c r="U212" s="14"/>
      <c r="V212" s="279"/>
      <c r="W212" s="280"/>
      <c r="X212" s="281"/>
      <c r="Y212" s="246"/>
      <c r="Z212" s="246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BP212" s="390" t="str">
        <f>IF($X$13="/28",IF(Q212="","",Q212),IF($X$13="/90",IF(#REF!="","",#REF!),"Falso"))</f>
        <v/>
      </c>
      <c r="BQ212" s="392" t="str">
        <f t="shared" si="246"/>
        <v/>
      </c>
      <c r="BS212" s="50" t="str">
        <f>Q406</f>
        <v/>
      </c>
      <c r="BT212" s="50" t="e">
        <f>#REF!</f>
        <v>#REF!</v>
      </c>
      <c r="BU212" s="39" t="str">
        <f t="shared" si="226"/>
        <v/>
      </c>
      <c r="BV212" s="39" t="str">
        <f t="shared" ref="BV212:BV275" si="320">IF(BU212="","",BV211+1)</f>
        <v/>
      </c>
    </row>
    <row r="213" spans="1:74" ht="14.25" customHeight="1" x14ac:dyDescent="0.35">
      <c r="A213" s="294"/>
      <c r="B213" s="296"/>
      <c r="C213" s="298"/>
      <c r="D213" s="300"/>
      <c r="E213" s="302"/>
      <c r="F213" s="304"/>
      <c r="G213" s="276"/>
      <c r="H213" s="277"/>
      <c r="I213" s="290"/>
      <c r="J213" s="290"/>
      <c r="K213" s="291"/>
      <c r="L213" s="17"/>
      <c r="M213" s="286"/>
      <c r="N213" s="21"/>
      <c r="O213" s="286"/>
      <c r="P213" s="21"/>
      <c r="Q213" s="286"/>
      <c r="R213" s="248"/>
      <c r="S213" s="287"/>
      <c r="T213" s="248"/>
      <c r="U213" s="13"/>
      <c r="V213" s="282"/>
      <c r="W213" s="283"/>
      <c r="X213" s="284"/>
      <c r="Y213" s="245"/>
      <c r="Z213" s="245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BP213" s="391"/>
      <c r="BQ213" s="393"/>
      <c r="BS213" s="50" t="str">
        <f>Q408</f>
        <v/>
      </c>
      <c r="BT213" s="50" t="e">
        <f>#REF!</f>
        <v>#REF!</v>
      </c>
      <c r="BU213" s="39" t="str">
        <f t="shared" si="226"/>
        <v/>
      </c>
      <c r="BV213" s="39" t="str">
        <f t="shared" si="320"/>
        <v/>
      </c>
    </row>
    <row r="214" spans="1:74" ht="14.25" customHeight="1" x14ac:dyDescent="0.35">
      <c r="A214" s="293">
        <v>99</v>
      </c>
      <c r="B214" s="295"/>
      <c r="C214" s="297"/>
      <c r="D214" s="299"/>
      <c r="E214" s="301"/>
      <c r="F214" s="303"/>
      <c r="G214" s="288"/>
      <c r="H214" s="289"/>
      <c r="I214" s="290"/>
      <c r="J214" s="290"/>
      <c r="K214" s="291"/>
      <c r="L214" s="18"/>
      <c r="M214" s="285" t="str">
        <f t="shared" ref="M214" si="321">IF(COUNT(L214:L215)&lt;1,"",AVERAGE(L214:L215))</f>
        <v/>
      </c>
      <c r="N214" s="22"/>
      <c r="O214" s="285" t="str">
        <f t="shared" ref="O214" si="322">IF(COUNT(N214:N215)&lt;1,"",AVERAGE(N214:N215))</f>
        <v/>
      </c>
      <c r="P214" s="22"/>
      <c r="Q214" s="285" t="str">
        <f t="shared" ref="Q214" si="323">IF(COUNT(P214:P215)&lt;1,"",AVERAGE(P214:P215))</f>
        <v/>
      </c>
      <c r="R214" s="278" t="str">
        <f>IF($X$13="/28",IF(COUNT(P214:P215)&lt;=1,"",ABS(P214-P215)),IF($X$13="/90",IF(COUNT(#REF!)&lt;=1,"",ABS(#REF!-#REF!))))</f>
        <v/>
      </c>
      <c r="S214" s="278" t="str">
        <f>IF($X$13="/28",IF(Q214="","",IF(AVERAGE(Q210:Q215)&gt;=$W$13,ROUND(AVERAGE(Q210:Q215),1)&amp;" ≥ "&amp;$W$13&amp;" OK",ROUND(AVERAGE(Q210:Q215),1)&amp;" &lt; "&amp;$W$13&amp;" NC")),IF($X$13="/90",IF(#REF!="","",IF(AVERAGE(#REF!)&gt;=$W$13,ROUND(AVERAGE(#REF!),1)&amp;" ≥ "&amp;$W$13&amp;" OK",ROUND(AVERAGE(#REF!),1)&amp;" &lt; "&amp;$W$13&amp;" NC"))))</f>
        <v/>
      </c>
      <c r="T214" s="278" t="str">
        <f>IF($X$13="/28",IF(Q214="","",IF(Q214&gt;=$W$13-$S$12,ROUND((Q214),1)&amp;" ≥ "&amp;$W$13-$S$12&amp;" OK",ROUND((Q214),1)&amp;" &lt; "&amp;$W$13-$S$12&amp;" NC")),IF($X$13="/90",IF(#REF!="","",IF(#REF!&gt;=$W$13-$S$12,ROUND((#REF!),1)&amp;" ≥ "&amp;$W$13-$S$12&amp;" OK",ROUND((#REF!),1)&amp;" &lt; "&amp;$W$13-$S$12&amp;" NC"))))</f>
        <v/>
      </c>
      <c r="U214" s="14"/>
      <c r="V214" s="279"/>
      <c r="W214" s="280"/>
      <c r="X214" s="281"/>
      <c r="Y214" s="246"/>
      <c r="Z214" s="246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BP214" s="390" t="str">
        <f>IF($X$13="/28",IF(Q214="","",Q214),IF($X$13="/90",IF(#REF!="","",#REF!),"Falso"))</f>
        <v/>
      </c>
      <c r="BQ214" s="392" t="str">
        <f t="shared" si="250"/>
        <v/>
      </c>
      <c r="BS214" s="50" t="str">
        <f>Q410</f>
        <v/>
      </c>
      <c r="BT214" s="50" t="e">
        <f>#REF!</f>
        <v>#REF!</v>
      </c>
      <c r="BU214" s="39" t="str">
        <f t="shared" si="226"/>
        <v/>
      </c>
      <c r="BV214" s="39" t="str">
        <f t="shared" si="320"/>
        <v/>
      </c>
    </row>
    <row r="215" spans="1:74" ht="14.25" customHeight="1" x14ac:dyDescent="0.35">
      <c r="A215" s="294"/>
      <c r="B215" s="296"/>
      <c r="C215" s="298"/>
      <c r="D215" s="300"/>
      <c r="E215" s="302"/>
      <c r="F215" s="304"/>
      <c r="G215" s="276"/>
      <c r="H215" s="277"/>
      <c r="I215" s="290"/>
      <c r="J215" s="290"/>
      <c r="K215" s="291"/>
      <c r="L215" s="17"/>
      <c r="M215" s="286"/>
      <c r="N215" s="21"/>
      <c r="O215" s="286"/>
      <c r="P215" s="21"/>
      <c r="Q215" s="286"/>
      <c r="R215" s="248"/>
      <c r="S215" s="287"/>
      <c r="T215" s="248"/>
      <c r="U215" s="13"/>
      <c r="V215" s="282"/>
      <c r="W215" s="283"/>
      <c r="X215" s="284"/>
      <c r="Y215" s="245"/>
      <c r="Z215" s="245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BP215" s="391"/>
      <c r="BQ215" s="393"/>
      <c r="BS215" s="50" t="str">
        <f>Q412</f>
        <v/>
      </c>
      <c r="BT215" s="50" t="e">
        <f>#REF!</f>
        <v>#REF!</v>
      </c>
      <c r="BU215" s="39" t="str">
        <f t="shared" si="226"/>
        <v/>
      </c>
      <c r="BV215" s="39" t="str">
        <f t="shared" si="320"/>
        <v/>
      </c>
    </row>
    <row r="216" spans="1:74" ht="14.25" customHeight="1" x14ac:dyDescent="0.35">
      <c r="A216" s="293">
        <v>100</v>
      </c>
      <c r="B216" s="295"/>
      <c r="C216" s="297"/>
      <c r="D216" s="299"/>
      <c r="E216" s="301"/>
      <c r="F216" s="303"/>
      <c r="G216" s="288"/>
      <c r="H216" s="289"/>
      <c r="I216" s="290"/>
      <c r="J216" s="290"/>
      <c r="K216" s="291"/>
      <c r="L216" s="18"/>
      <c r="M216" s="285" t="str">
        <f t="shared" ref="M216" si="324">IF(COUNT(L216:L217)&lt;1,"",AVERAGE(L216:L217))</f>
        <v/>
      </c>
      <c r="N216" s="22"/>
      <c r="O216" s="285" t="str">
        <f t="shared" ref="O216" si="325">IF(COUNT(N216:N217)&lt;1,"",AVERAGE(N216:N217))</f>
        <v/>
      </c>
      <c r="P216" s="22"/>
      <c r="Q216" s="285" t="str">
        <f t="shared" ref="Q216" si="326">IF(COUNT(P216:P217)&lt;1,"",AVERAGE(P216:P217))</f>
        <v/>
      </c>
      <c r="R216" s="278" t="str">
        <f>IF($X$13="/28",IF(COUNT(P216:P217)&lt;=1,"",ABS(P216-P217)),IF($X$13="/90",IF(COUNT(#REF!)&lt;=1,"",ABS(#REF!-#REF!))))</f>
        <v/>
      </c>
      <c r="S216" s="278" t="str">
        <f>IF($X$13="/28",IF(Q216="","",IF(AVERAGE(Q212:Q217)&gt;=$W$13,ROUND(AVERAGE(Q212:Q217),1)&amp;" ≥ "&amp;$W$13&amp;" OK",ROUND(AVERAGE(Q212:Q217),1)&amp;" &lt; "&amp;$W$13&amp;" NC")),IF($X$13="/90",IF(#REF!="","",IF(AVERAGE(#REF!)&gt;=$W$13,ROUND(AVERAGE(#REF!),1)&amp;" ≥ "&amp;$W$13&amp;" OK",ROUND(AVERAGE(#REF!),1)&amp;" &lt; "&amp;$W$13&amp;" NC"))))</f>
        <v/>
      </c>
      <c r="T216" s="278" t="str">
        <f>IF($X$13="/28",IF(Q216="","",IF(Q216&gt;=$W$13-$S$12,ROUND((Q216),1)&amp;" ≥ "&amp;$W$13-$S$12&amp;" OK",ROUND((Q216),1)&amp;" &lt; "&amp;$W$13-$S$12&amp;" NC")),IF($X$13="/90",IF(#REF!="","",IF(#REF!&gt;=$W$13-$S$12,ROUND((#REF!),1)&amp;" ≥ "&amp;$W$13-$S$12&amp;" OK",ROUND((#REF!),1)&amp;" &lt; "&amp;$W$13-$S$12&amp;" NC"))))</f>
        <v/>
      </c>
      <c r="U216" s="14"/>
      <c r="V216" s="279"/>
      <c r="W216" s="280"/>
      <c r="X216" s="281"/>
      <c r="Y216" s="246"/>
      <c r="Z216" s="246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BP216" s="390" t="str">
        <f>IF($X$13="/28",IF(Q216="","",Q216),IF($X$13="/90",IF(#REF!="","",#REF!),"Falso"))</f>
        <v/>
      </c>
      <c r="BQ216" s="392" t="str">
        <f t="shared" si="242"/>
        <v/>
      </c>
      <c r="BS216" s="50" t="str">
        <f>Q414</f>
        <v/>
      </c>
      <c r="BT216" s="50" t="e">
        <f>#REF!</f>
        <v>#REF!</v>
      </c>
      <c r="BU216" s="39" t="str">
        <f t="shared" ref="BU216:BU279" si="327">IF($X$13="/28",IF(BS216="","",BS216),IF($X$13="/90",IF(BT216="","",BT216),"Falso"))</f>
        <v/>
      </c>
      <c r="BV216" s="39" t="str">
        <f t="shared" si="320"/>
        <v/>
      </c>
    </row>
    <row r="217" spans="1:74" ht="14.25" customHeight="1" x14ac:dyDescent="0.35">
      <c r="A217" s="294"/>
      <c r="B217" s="296"/>
      <c r="C217" s="298"/>
      <c r="D217" s="300"/>
      <c r="E217" s="302"/>
      <c r="F217" s="304"/>
      <c r="G217" s="276"/>
      <c r="H217" s="277"/>
      <c r="I217" s="290"/>
      <c r="J217" s="290"/>
      <c r="K217" s="291"/>
      <c r="L217" s="17"/>
      <c r="M217" s="286"/>
      <c r="N217" s="21"/>
      <c r="O217" s="286"/>
      <c r="P217" s="21"/>
      <c r="Q217" s="286"/>
      <c r="R217" s="248"/>
      <c r="S217" s="287"/>
      <c r="T217" s="248"/>
      <c r="U217" s="13"/>
      <c r="V217" s="282"/>
      <c r="W217" s="283"/>
      <c r="X217" s="284"/>
      <c r="Y217" s="245"/>
      <c r="Z217" s="245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BP217" s="391"/>
      <c r="BQ217" s="393"/>
      <c r="BS217" s="50" t="str">
        <f>Q416</f>
        <v/>
      </c>
      <c r="BT217" s="50" t="e">
        <f>#REF!</f>
        <v>#REF!</v>
      </c>
      <c r="BU217" s="39" t="str">
        <f t="shared" si="327"/>
        <v/>
      </c>
      <c r="BV217" s="39" t="str">
        <f t="shared" si="320"/>
        <v/>
      </c>
    </row>
    <row r="218" spans="1:74" ht="14.25" customHeight="1" x14ac:dyDescent="0.35">
      <c r="A218" s="293">
        <v>101</v>
      </c>
      <c r="B218" s="295"/>
      <c r="C218" s="297"/>
      <c r="D218" s="299"/>
      <c r="E218" s="301"/>
      <c r="F218" s="303"/>
      <c r="G218" s="288"/>
      <c r="H218" s="289"/>
      <c r="I218" s="290"/>
      <c r="J218" s="290"/>
      <c r="K218" s="291"/>
      <c r="L218" s="18"/>
      <c r="M218" s="285" t="str">
        <f t="shared" ref="M218" si="328">IF(COUNT(L218:L219)&lt;1,"",AVERAGE(L218:L219))</f>
        <v/>
      </c>
      <c r="N218" s="22"/>
      <c r="O218" s="285" t="str">
        <f t="shared" ref="O218" si="329">IF(COUNT(N218:N219)&lt;1,"",AVERAGE(N218:N219))</f>
        <v/>
      </c>
      <c r="P218" s="22"/>
      <c r="Q218" s="285" t="str">
        <f t="shared" ref="Q218" si="330">IF(COUNT(P218:P219)&lt;1,"",AVERAGE(P218:P219))</f>
        <v/>
      </c>
      <c r="R218" s="278" t="str">
        <f>IF($X$13="/28",IF(COUNT(P218:P219)&lt;=1,"",ABS(P218-P219)),IF($X$13="/90",IF(COUNT(#REF!)&lt;=1,"",ABS(#REF!-#REF!))))</f>
        <v/>
      </c>
      <c r="S218" s="278" t="str">
        <f>IF($X$13="/28",IF(Q218="","",IF(AVERAGE(Q214:Q219)&gt;=$W$13,ROUND(AVERAGE(Q214:Q219),1)&amp;" ≥ "&amp;$W$13&amp;" OK",ROUND(AVERAGE(Q214:Q219),1)&amp;" &lt; "&amp;$W$13&amp;" NC")),IF($X$13="/90",IF(#REF!="","",IF(AVERAGE(#REF!)&gt;=$W$13,ROUND(AVERAGE(#REF!),1)&amp;" ≥ "&amp;$W$13&amp;" OK",ROUND(AVERAGE(#REF!),1)&amp;" &lt; "&amp;$W$13&amp;" NC"))))</f>
        <v/>
      </c>
      <c r="T218" s="278" t="str">
        <f>IF($X$13="/28",IF(Q218="","",IF(Q218&gt;=$W$13-$S$12,ROUND((Q218),1)&amp;" ≥ "&amp;$W$13-$S$12&amp;" OK",ROUND((Q218),1)&amp;" &lt; "&amp;$W$13-$S$12&amp;" NC")),IF($X$13="/90",IF(#REF!="","",IF(#REF!&gt;=$W$13-$S$12,ROUND((#REF!),1)&amp;" ≥ "&amp;$W$13-$S$12&amp;" OK",ROUND((#REF!),1)&amp;" &lt; "&amp;$W$13-$S$12&amp;" NC"))))</f>
        <v/>
      </c>
      <c r="U218" s="14"/>
      <c r="V218" s="279"/>
      <c r="W218" s="280"/>
      <c r="X218" s="281"/>
      <c r="Y218" s="246"/>
      <c r="Z218" s="246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BP218" s="390" t="str">
        <f>IF($X$13="/28",IF(Q218="","",Q218),IF($X$13="/90",IF(#REF!="","",#REF!),"Falso"))</f>
        <v/>
      </c>
      <c r="BQ218" s="392" t="str">
        <f t="shared" si="246"/>
        <v/>
      </c>
      <c r="BS218" s="50" t="str">
        <f>Q418</f>
        <v/>
      </c>
      <c r="BT218" s="50" t="e">
        <f>#REF!</f>
        <v>#REF!</v>
      </c>
      <c r="BU218" s="39" t="str">
        <f t="shared" si="327"/>
        <v/>
      </c>
      <c r="BV218" s="39" t="str">
        <f t="shared" si="320"/>
        <v/>
      </c>
    </row>
    <row r="219" spans="1:74" ht="14.25" customHeight="1" x14ac:dyDescent="0.35">
      <c r="A219" s="294"/>
      <c r="B219" s="296"/>
      <c r="C219" s="298"/>
      <c r="D219" s="300"/>
      <c r="E219" s="302"/>
      <c r="F219" s="304"/>
      <c r="G219" s="276"/>
      <c r="H219" s="277"/>
      <c r="I219" s="290"/>
      <c r="J219" s="290"/>
      <c r="K219" s="291"/>
      <c r="L219" s="17"/>
      <c r="M219" s="286"/>
      <c r="N219" s="21"/>
      <c r="O219" s="286"/>
      <c r="P219" s="21"/>
      <c r="Q219" s="286"/>
      <c r="R219" s="248"/>
      <c r="S219" s="287"/>
      <c r="T219" s="248"/>
      <c r="U219" s="13"/>
      <c r="V219" s="282"/>
      <c r="W219" s="283"/>
      <c r="X219" s="284"/>
      <c r="Y219" s="245"/>
      <c r="Z219" s="245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BP219" s="391"/>
      <c r="BQ219" s="393"/>
      <c r="BS219" s="50" t="str">
        <f>Q420</f>
        <v/>
      </c>
      <c r="BT219" s="50" t="e">
        <f>#REF!</f>
        <v>#REF!</v>
      </c>
      <c r="BU219" s="39" t="str">
        <f t="shared" si="327"/>
        <v/>
      </c>
      <c r="BV219" s="39" t="str">
        <f t="shared" si="320"/>
        <v/>
      </c>
    </row>
    <row r="220" spans="1:74" ht="14.25" customHeight="1" x14ac:dyDescent="0.35">
      <c r="A220" s="293">
        <v>102</v>
      </c>
      <c r="B220" s="295"/>
      <c r="C220" s="297"/>
      <c r="D220" s="299"/>
      <c r="E220" s="301"/>
      <c r="F220" s="303"/>
      <c r="G220" s="288"/>
      <c r="H220" s="289"/>
      <c r="I220" s="290"/>
      <c r="J220" s="290"/>
      <c r="K220" s="291"/>
      <c r="L220" s="18"/>
      <c r="M220" s="285" t="str">
        <f t="shared" ref="M220" si="331">IF(COUNT(L220:L221)&lt;1,"",AVERAGE(L220:L221))</f>
        <v/>
      </c>
      <c r="N220" s="22"/>
      <c r="O220" s="285" t="str">
        <f t="shared" ref="O220" si="332">IF(COUNT(N220:N221)&lt;1,"",AVERAGE(N220:N221))</f>
        <v/>
      </c>
      <c r="P220" s="22"/>
      <c r="Q220" s="285" t="str">
        <f t="shared" ref="Q220" si="333">IF(COUNT(P220:P221)&lt;1,"",AVERAGE(P220:P221))</f>
        <v/>
      </c>
      <c r="R220" s="278" t="str">
        <f>IF($X$13="/28",IF(COUNT(P220:P221)&lt;=1,"",ABS(P220-P221)),IF($X$13="/90",IF(COUNT(#REF!)&lt;=1,"",ABS(#REF!-#REF!))))</f>
        <v/>
      </c>
      <c r="S220" s="278" t="str">
        <f>IF($X$13="/28",IF(Q220="","",IF(AVERAGE(Q216:Q221)&gt;=$W$13,ROUND(AVERAGE(Q216:Q221),1)&amp;" ≥ "&amp;$W$13&amp;" OK",ROUND(AVERAGE(Q216:Q221),1)&amp;" &lt; "&amp;$W$13&amp;" NC")),IF($X$13="/90",IF(#REF!="","",IF(AVERAGE(#REF!)&gt;=$W$13,ROUND(AVERAGE(#REF!),1)&amp;" ≥ "&amp;$W$13&amp;" OK",ROUND(AVERAGE(#REF!),1)&amp;" &lt; "&amp;$W$13&amp;" NC"))))</f>
        <v/>
      </c>
      <c r="T220" s="278" t="str">
        <f>IF($X$13="/28",IF(Q220="","",IF(Q220&gt;=$W$13-$S$12,ROUND((Q220),1)&amp;" ≥ "&amp;$W$13-$S$12&amp;" OK",ROUND((Q220),1)&amp;" &lt; "&amp;$W$13-$S$12&amp;" NC")),IF($X$13="/90",IF(#REF!="","",IF(#REF!&gt;=$W$13-$S$12,ROUND((#REF!),1)&amp;" ≥ "&amp;$W$13-$S$12&amp;" OK",ROUND((#REF!),1)&amp;" &lt; "&amp;$W$13-$S$12&amp;" NC"))))</f>
        <v/>
      </c>
      <c r="U220" s="14"/>
      <c r="V220" s="279"/>
      <c r="W220" s="280"/>
      <c r="X220" s="281"/>
      <c r="Y220" s="246"/>
      <c r="Z220" s="246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BP220" s="390" t="str">
        <f>IF($X$13="/28",IF(Q220="","",Q220),IF($X$13="/90",IF(#REF!="","",#REF!),"Falso"))</f>
        <v/>
      </c>
      <c r="BQ220" s="392" t="str">
        <f t="shared" si="250"/>
        <v/>
      </c>
      <c r="BS220" s="50" t="str">
        <f>Q422</f>
        <v/>
      </c>
      <c r="BT220" s="50" t="e">
        <f>#REF!</f>
        <v>#REF!</v>
      </c>
      <c r="BU220" s="39" t="str">
        <f t="shared" si="327"/>
        <v/>
      </c>
      <c r="BV220" s="39" t="str">
        <f t="shared" si="320"/>
        <v/>
      </c>
    </row>
    <row r="221" spans="1:74" ht="14.25" customHeight="1" x14ac:dyDescent="0.35">
      <c r="A221" s="294"/>
      <c r="B221" s="296"/>
      <c r="C221" s="298"/>
      <c r="D221" s="300"/>
      <c r="E221" s="302"/>
      <c r="F221" s="304"/>
      <c r="G221" s="276"/>
      <c r="H221" s="277"/>
      <c r="I221" s="290"/>
      <c r="J221" s="290"/>
      <c r="K221" s="291"/>
      <c r="L221" s="17"/>
      <c r="M221" s="286"/>
      <c r="N221" s="21"/>
      <c r="O221" s="286"/>
      <c r="P221" s="21"/>
      <c r="Q221" s="286"/>
      <c r="R221" s="248"/>
      <c r="S221" s="287"/>
      <c r="T221" s="248"/>
      <c r="U221" s="13"/>
      <c r="V221" s="282"/>
      <c r="W221" s="283"/>
      <c r="X221" s="284"/>
      <c r="Y221" s="245"/>
      <c r="Z221" s="245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BP221" s="391"/>
      <c r="BQ221" s="393"/>
      <c r="BS221" s="50" t="str">
        <f>Q424</f>
        <v/>
      </c>
      <c r="BT221" s="50" t="e">
        <f>#REF!</f>
        <v>#REF!</v>
      </c>
      <c r="BU221" s="39" t="str">
        <f t="shared" si="327"/>
        <v/>
      </c>
      <c r="BV221" s="39" t="str">
        <f t="shared" si="320"/>
        <v/>
      </c>
    </row>
    <row r="222" spans="1:74" ht="14.25" customHeight="1" x14ac:dyDescent="0.35">
      <c r="A222" s="293">
        <v>103</v>
      </c>
      <c r="B222" s="295"/>
      <c r="C222" s="297"/>
      <c r="D222" s="299"/>
      <c r="E222" s="301"/>
      <c r="F222" s="303"/>
      <c r="G222" s="288"/>
      <c r="H222" s="289"/>
      <c r="I222" s="290"/>
      <c r="J222" s="290"/>
      <c r="K222" s="291"/>
      <c r="L222" s="18"/>
      <c r="M222" s="285" t="str">
        <f t="shared" ref="M222" si="334">IF(COUNT(L222:L223)&lt;1,"",AVERAGE(L222:L223))</f>
        <v/>
      </c>
      <c r="N222" s="22"/>
      <c r="O222" s="285" t="str">
        <f t="shared" ref="O222" si="335">IF(COUNT(N222:N223)&lt;1,"",AVERAGE(N222:N223))</f>
        <v/>
      </c>
      <c r="P222" s="22"/>
      <c r="Q222" s="285" t="str">
        <f t="shared" ref="Q222" si="336">IF(COUNT(P222:P223)&lt;1,"",AVERAGE(P222:P223))</f>
        <v/>
      </c>
      <c r="R222" s="278" t="str">
        <f>IF($X$13="/28",IF(COUNT(P222:P223)&lt;=1,"",ABS(P222-P223)),IF($X$13="/90",IF(COUNT(#REF!)&lt;=1,"",ABS(#REF!-#REF!))))</f>
        <v/>
      </c>
      <c r="S222" s="278" t="str">
        <f>IF($X$13="/28",IF(Q222="","",IF(AVERAGE(Q218:Q223)&gt;=$W$13,ROUND(AVERAGE(Q218:Q223),1)&amp;" ≥ "&amp;$W$13&amp;" OK",ROUND(AVERAGE(Q218:Q223),1)&amp;" &lt; "&amp;$W$13&amp;" NC")),IF($X$13="/90",IF(#REF!="","",IF(AVERAGE(#REF!)&gt;=$W$13,ROUND(AVERAGE(#REF!),1)&amp;" ≥ "&amp;$W$13&amp;" OK",ROUND(AVERAGE(#REF!),1)&amp;" &lt; "&amp;$W$13&amp;" NC"))))</f>
        <v/>
      </c>
      <c r="T222" s="278" t="str">
        <f>IF($X$13="/28",IF(Q222="","",IF(Q222&gt;=$W$13-$S$12,ROUND((Q222),1)&amp;" ≥ "&amp;$W$13-$S$12&amp;" OK",ROUND((Q222),1)&amp;" &lt; "&amp;$W$13-$S$12&amp;" NC")),IF($X$13="/90",IF(#REF!="","",IF(#REF!&gt;=$W$13-$S$12,ROUND((#REF!),1)&amp;" ≥ "&amp;$W$13-$S$12&amp;" OK",ROUND((#REF!),1)&amp;" &lt; "&amp;$W$13-$S$12&amp;" NC"))))</f>
        <v/>
      </c>
      <c r="U222" s="14"/>
      <c r="V222" s="279"/>
      <c r="W222" s="280"/>
      <c r="X222" s="281"/>
      <c r="Y222" s="246"/>
      <c r="Z222" s="246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BP222" s="390" t="str">
        <f>IF($X$13="/28",IF(Q222="","",Q222),IF($X$13="/90",IF(#REF!="","",#REF!),"Falso"))</f>
        <v/>
      </c>
      <c r="BQ222" s="392" t="str">
        <f t="shared" si="242"/>
        <v/>
      </c>
      <c r="BS222" s="50" t="str">
        <f>Q426</f>
        <v/>
      </c>
      <c r="BT222" s="50" t="e">
        <f>#REF!</f>
        <v>#REF!</v>
      </c>
      <c r="BU222" s="39" t="str">
        <f t="shared" si="327"/>
        <v/>
      </c>
      <c r="BV222" s="39" t="str">
        <f t="shared" si="320"/>
        <v/>
      </c>
    </row>
    <row r="223" spans="1:74" ht="14.25" customHeight="1" x14ac:dyDescent="0.35">
      <c r="A223" s="294"/>
      <c r="B223" s="296"/>
      <c r="C223" s="298"/>
      <c r="D223" s="300"/>
      <c r="E223" s="302"/>
      <c r="F223" s="304"/>
      <c r="G223" s="276"/>
      <c r="H223" s="277"/>
      <c r="I223" s="290"/>
      <c r="J223" s="290"/>
      <c r="K223" s="291"/>
      <c r="L223" s="17"/>
      <c r="M223" s="286"/>
      <c r="N223" s="21"/>
      <c r="O223" s="286"/>
      <c r="P223" s="21"/>
      <c r="Q223" s="286"/>
      <c r="R223" s="248"/>
      <c r="S223" s="287"/>
      <c r="T223" s="248"/>
      <c r="U223" s="13"/>
      <c r="V223" s="282"/>
      <c r="W223" s="283"/>
      <c r="X223" s="284"/>
      <c r="Y223" s="245"/>
      <c r="Z223" s="245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BP223" s="391"/>
      <c r="BQ223" s="393"/>
      <c r="BS223" s="50" t="str">
        <f>Q428</f>
        <v/>
      </c>
      <c r="BT223" s="50" t="e">
        <f>#REF!</f>
        <v>#REF!</v>
      </c>
      <c r="BU223" s="39" t="str">
        <f t="shared" si="327"/>
        <v/>
      </c>
      <c r="BV223" s="39" t="str">
        <f t="shared" si="320"/>
        <v/>
      </c>
    </row>
    <row r="224" spans="1:74" ht="14.25" customHeight="1" x14ac:dyDescent="0.35">
      <c r="A224" s="293">
        <v>104</v>
      </c>
      <c r="B224" s="295"/>
      <c r="C224" s="297"/>
      <c r="D224" s="299"/>
      <c r="E224" s="301"/>
      <c r="F224" s="303"/>
      <c r="G224" s="288"/>
      <c r="H224" s="289"/>
      <c r="I224" s="290"/>
      <c r="J224" s="290"/>
      <c r="K224" s="291"/>
      <c r="L224" s="18"/>
      <c r="M224" s="285" t="str">
        <f t="shared" ref="M224" si="337">IF(COUNT(L224:L225)&lt;1,"",AVERAGE(L224:L225))</f>
        <v/>
      </c>
      <c r="N224" s="22"/>
      <c r="O224" s="285" t="str">
        <f t="shared" ref="O224" si="338">IF(COUNT(N224:N225)&lt;1,"",AVERAGE(N224:N225))</f>
        <v/>
      </c>
      <c r="P224" s="22"/>
      <c r="Q224" s="285" t="str">
        <f t="shared" ref="Q224" si="339">IF(COUNT(P224:P225)&lt;1,"",AVERAGE(P224:P225))</f>
        <v/>
      </c>
      <c r="R224" s="278" t="str">
        <f>IF($X$13="/28",IF(COUNT(P224:P225)&lt;=1,"",ABS(P224-P225)),IF($X$13="/90",IF(COUNT(#REF!)&lt;=1,"",ABS(#REF!-#REF!))))</f>
        <v/>
      </c>
      <c r="S224" s="278" t="str">
        <f>IF($X$13="/28",IF(Q224="","",IF(AVERAGE(Q220:Q225)&gt;=$W$13,ROUND(AVERAGE(Q220:Q225),1)&amp;" ≥ "&amp;$W$13&amp;" OK",ROUND(AVERAGE(Q220:Q225),1)&amp;" &lt; "&amp;$W$13&amp;" NC")),IF($X$13="/90",IF(#REF!="","",IF(AVERAGE(#REF!)&gt;=$W$13,ROUND(AVERAGE(#REF!),1)&amp;" ≥ "&amp;$W$13&amp;" OK",ROUND(AVERAGE(#REF!),1)&amp;" &lt; "&amp;$W$13&amp;" NC"))))</f>
        <v/>
      </c>
      <c r="T224" s="278" t="str">
        <f>IF($X$13="/28",IF(Q224="","",IF(Q224&gt;=$W$13-$S$12,ROUND((Q224),1)&amp;" ≥ "&amp;$W$13-$S$12&amp;" OK",ROUND((Q224),1)&amp;" &lt; "&amp;$W$13-$S$12&amp;" NC")),IF($X$13="/90",IF(#REF!="","",IF(#REF!&gt;=$W$13-$S$12,ROUND((#REF!),1)&amp;" ≥ "&amp;$W$13-$S$12&amp;" OK",ROUND((#REF!),1)&amp;" &lt; "&amp;$W$13-$S$12&amp;" NC"))))</f>
        <v/>
      </c>
      <c r="U224" s="14"/>
      <c r="V224" s="279"/>
      <c r="W224" s="280"/>
      <c r="X224" s="281"/>
      <c r="Y224" s="246"/>
      <c r="Z224" s="246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BP224" s="390" t="str">
        <f>IF($X$13="/28",IF(Q224="","",Q224),IF($X$13="/90",IF(#REF!="","",#REF!),"Falso"))</f>
        <v/>
      </c>
      <c r="BQ224" s="392" t="str">
        <f t="shared" si="246"/>
        <v/>
      </c>
      <c r="BS224" s="50" t="str">
        <f>Q430</f>
        <v/>
      </c>
      <c r="BT224" s="50" t="e">
        <f>#REF!</f>
        <v>#REF!</v>
      </c>
      <c r="BU224" s="39" t="str">
        <f t="shared" si="327"/>
        <v/>
      </c>
      <c r="BV224" s="39" t="str">
        <f t="shared" si="320"/>
        <v/>
      </c>
    </row>
    <row r="225" spans="1:74" ht="14.25" customHeight="1" x14ac:dyDescent="0.35">
      <c r="A225" s="294"/>
      <c r="B225" s="296"/>
      <c r="C225" s="298"/>
      <c r="D225" s="300"/>
      <c r="E225" s="302"/>
      <c r="F225" s="304"/>
      <c r="G225" s="276"/>
      <c r="H225" s="277"/>
      <c r="I225" s="290"/>
      <c r="J225" s="290"/>
      <c r="K225" s="291"/>
      <c r="L225" s="17"/>
      <c r="M225" s="286"/>
      <c r="N225" s="21"/>
      <c r="O225" s="286"/>
      <c r="P225" s="21"/>
      <c r="Q225" s="286"/>
      <c r="R225" s="248"/>
      <c r="S225" s="287"/>
      <c r="T225" s="248"/>
      <c r="U225" s="13"/>
      <c r="V225" s="282"/>
      <c r="W225" s="283"/>
      <c r="X225" s="284"/>
      <c r="Y225" s="245"/>
      <c r="Z225" s="245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BP225" s="391"/>
      <c r="BQ225" s="393"/>
      <c r="BS225" s="50" t="str">
        <f>Q432</f>
        <v/>
      </c>
      <c r="BT225" s="50" t="e">
        <f>#REF!</f>
        <v>#REF!</v>
      </c>
      <c r="BU225" s="39" t="str">
        <f t="shared" si="327"/>
        <v/>
      </c>
      <c r="BV225" s="39" t="str">
        <f t="shared" si="320"/>
        <v/>
      </c>
    </row>
    <row r="226" spans="1:74" ht="14.25" customHeight="1" x14ac:dyDescent="0.35">
      <c r="A226" s="293">
        <v>105</v>
      </c>
      <c r="B226" s="295"/>
      <c r="C226" s="297"/>
      <c r="D226" s="299"/>
      <c r="E226" s="301"/>
      <c r="F226" s="303"/>
      <c r="G226" s="288"/>
      <c r="H226" s="289"/>
      <c r="I226" s="290"/>
      <c r="J226" s="290"/>
      <c r="K226" s="291"/>
      <c r="L226" s="18"/>
      <c r="M226" s="285" t="str">
        <f t="shared" ref="M226" si="340">IF(COUNT(L226:L227)&lt;1,"",AVERAGE(L226:L227))</f>
        <v/>
      </c>
      <c r="N226" s="22"/>
      <c r="O226" s="285" t="str">
        <f t="shared" ref="O226" si="341">IF(COUNT(N226:N227)&lt;1,"",AVERAGE(N226:N227))</f>
        <v/>
      </c>
      <c r="P226" s="22"/>
      <c r="Q226" s="285" t="str">
        <f t="shared" ref="Q226" si="342">IF(COUNT(P226:P227)&lt;1,"",AVERAGE(P226:P227))</f>
        <v/>
      </c>
      <c r="R226" s="278" t="str">
        <f>IF($X$13="/28",IF(COUNT(P226:P227)&lt;=1,"",ABS(P226-P227)),IF($X$13="/90",IF(COUNT(#REF!)&lt;=1,"",ABS(#REF!-#REF!))))</f>
        <v/>
      </c>
      <c r="S226" s="278" t="str">
        <f>IF($X$13="/28",IF(Q226="","",IF(AVERAGE(Q222:Q227)&gt;=$W$13,ROUND(AVERAGE(Q222:Q227),1)&amp;" ≥ "&amp;$W$13&amp;" OK",ROUND(AVERAGE(Q222:Q227),1)&amp;" &lt; "&amp;$W$13&amp;" NC")),IF($X$13="/90",IF(#REF!="","",IF(AVERAGE(#REF!)&gt;=$W$13,ROUND(AVERAGE(#REF!),1)&amp;" ≥ "&amp;$W$13&amp;" OK",ROUND(AVERAGE(#REF!),1)&amp;" &lt; "&amp;$W$13&amp;" NC"))))</f>
        <v/>
      </c>
      <c r="T226" s="278" t="str">
        <f>IF($X$13="/28",IF(Q226="","",IF(Q226&gt;=$W$13-$S$12,ROUND((Q226),1)&amp;" ≥ "&amp;$W$13-$S$12&amp;" OK",ROUND((Q226),1)&amp;" &lt; "&amp;$W$13-$S$12&amp;" NC")),IF($X$13="/90",IF(#REF!="","",IF(#REF!&gt;=$W$13-$S$12,ROUND((#REF!),1)&amp;" ≥ "&amp;$W$13-$S$12&amp;" OK",ROUND((#REF!),1)&amp;" &lt; "&amp;$W$13-$S$12&amp;" NC"))))</f>
        <v/>
      </c>
      <c r="U226" s="14"/>
      <c r="V226" s="279"/>
      <c r="W226" s="280"/>
      <c r="X226" s="281"/>
      <c r="Y226" s="246"/>
      <c r="Z226" s="246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BP226" s="390" t="str">
        <f>IF($X$13="/28",IF(Q226="","",Q226),IF($X$13="/90",IF(#REF!="","",#REF!),"Falso"))</f>
        <v/>
      </c>
      <c r="BQ226" s="392" t="str">
        <f t="shared" si="250"/>
        <v/>
      </c>
      <c r="BS226" s="50" t="str">
        <f>Q434</f>
        <v/>
      </c>
      <c r="BT226" s="50" t="e">
        <f>#REF!</f>
        <v>#REF!</v>
      </c>
      <c r="BU226" s="39" t="str">
        <f t="shared" si="327"/>
        <v/>
      </c>
      <c r="BV226" s="39" t="str">
        <f t="shared" si="320"/>
        <v/>
      </c>
    </row>
    <row r="227" spans="1:74" ht="14.25" customHeight="1" x14ac:dyDescent="0.35">
      <c r="A227" s="294"/>
      <c r="B227" s="296"/>
      <c r="C227" s="298"/>
      <c r="D227" s="300"/>
      <c r="E227" s="302"/>
      <c r="F227" s="304"/>
      <c r="G227" s="276"/>
      <c r="H227" s="277"/>
      <c r="I227" s="290"/>
      <c r="J227" s="290"/>
      <c r="K227" s="291"/>
      <c r="L227" s="17"/>
      <c r="M227" s="286"/>
      <c r="N227" s="21"/>
      <c r="O227" s="286"/>
      <c r="P227" s="21"/>
      <c r="Q227" s="286"/>
      <c r="R227" s="248"/>
      <c r="S227" s="287"/>
      <c r="T227" s="248"/>
      <c r="U227" s="13"/>
      <c r="V227" s="282"/>
      <c r="W227" s="283"/>
      <c r="X227" s="284"/>
      <c r="Y227" s="245"/>
      <c r="Z227" s="245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BP227" s="391"/>
      <c r="BQ227" s="393"/>
      <c r="BS227" s="50" t="str">
        <f>Q436</f>
        <v/>
      </c>
      <c r="BT227" s="50" t="e">
        <f>#REF!</f>
        <v>#REF!</v>
      </c>
      <c r="BU227" s="39" t="str">
        <f t="shared" si="327"/>
        <v/>
      </c>
      <c r="BV227" s="39" t="str">
        <f t="shared" si="320"/>
        <v/>
      </c>
    </row>
    <row r="228" spans="1:74" ht="14.25" customHeight="1" x14ac:dyDescent="0.35">
      <c r="A228" s="293">
        <v>106</v>
      </c>
      <c r="B228" s="295"/>
      <c r="C228" s="297"/>
      <c r="D228" s="299"/>
      <c r="E228" s="301"/>
      <c r="F228" s="303"/>
      <c r="G228" s="288"/>
      <c r="H228" s="289"/>
      <c r="I228" s="290"/>
      <c r="J228" s="290"/>
      <c r="K228" s="291"/>
      <c r="L228" s="18"/>
      <c r="M228" s="285" t="str">
        <f t="shared" ref="M228" si="343">IF(COUNT(L228:L229)&lt;1,"",AVERAGE(L228:L229))</f>
        <v/>
      </c>
      <c r="N228" s="22"/>
      <c r="O228" s="285" t="str">
        <f t="shared" ref="O228" si="344">IF(COUNT(N228:N229)&lt;1,"",AVERAGE(N228:N229))</f>
        <v/>
      </c>
      <c r="P228" s="22"/>
      <c r="Q228" s="285" t="str">
        <f t="shared" ref="Q228" si="345">IF(COUNT(P228:P229)&lt;1,"",AVERAGE(P228:P229))</f>
        <v/>
      </c>
      <c r="R228" s="278" t="str">
        <f>IF($X$13="/28",IF(COUNT(P228:P229)&lt;=1,"",ABS(P228-P229)),IF($X$13="/90",IF(COUNT(#REF!)&lt;=1,"",ABS(#REF!-#REF!))))</f>
        <v/>
      </c>
      <c r="S228" s="278" t="str">
        <f>IF($X$13="/28",IF(Q228="","",IF(AVERAGE(Q224:Q229)&gt;=$W$13,ROUND(AVERAGE(Q224:Q229),1)&amp;" ≥ "&amp;$W$13&amp;" OK",ROUND(AVERAGE(Q224:Q229),1)&amp;" &lt; "&amp;$W$13&amp;" NC")),IF($X$13="/90",IF(#REF!="","",IF(AVERAGE(#REF!)&gt;=$W$13,ROUND(AVERAGE(#REF!),1)&amp;" ≥ "&amp;$W$13&amp;" OK",ROUND(AVERAGE(#REF!),1)&amp;" &lt; "&amp;$W$13&amp;" NC"))))</f>
        <v/>
      </c>
      <c r="T228" s="278" t="str">
        <f>IF($X$13="/28",IF(Q228="","",IF(Q228&gt;=$W$13-$S$12,ROUND((Q228),1)&amp;" ≥ "&amp;$W$13-$S$12&amp;" OK",ROUND((Q228),1)&amp;" &lt; "&amp;$W$13-$S$12&amp;" NC")),IF($X$13="/90",IF(#REF!="","",IF(#REF!&gt;=$W$13-$S$12,ROUND((#REF!),1)&amp;" ≥ "&amp;$W$13-$S$12&amp;" OK",ROUND((#REF!),1)&amp;" &lt; "&amp;$W$13-$S$12&amp;" NC"))))</f>
        <v/>
      </c>
      <c r="U228" s="14"/>
      <c r="V228" s="279"/>
      <c r="W228" s="280"/>
      <c r="X228" s="281"/>
      <c r="Y228" s="246"/>
      <c r="Z228" s="246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BP228" s="390" t="str">
        <f>IF($X$13="/28",IF(Q228="","",Q228),IF($X$13="/90",IF(#REF!="","",#REF!),"Falso"))</f>
        <v/>
      </c>
      <c r="BQ228" s="392" t="str">
        <f t="shared" ref="BQ228:BQ288" si="346">IF(BP228="","",BQ226+1)</f>
        <v/>
      </c>
      <c r="BS228" s="50" t="str">
        <f>Q438</f>
        <v/>
      </c>
      <c r="BT228" s="50" t="e">
        <f>#REF!</f>
        <v>#REF!</v>
      </c>
      <c r="BU228" s="39" t="str">
        <f t="shared" si="327"/>
        <v/>
      </c>
      <c r="BV228" s="39" t="str">
        <f t="shared" si="320"/>
        <v/>
      </c>
    </row>
    <row r="229" spans="1:74" ht="14.25" customHeight="1" x14ac:dyDescent="0.35">
      <c r="A229" s="294"/>
      <c r="B229" s="296"/>
      <c r="C229" s="298"/>
      <c r="D229" s="300"/>
      <c r="E229" s="302"/>
      <c r="F229" s="304"/>
      <c r="G229" s="276"/>
      <c r="H229" s="277"/>
      <c r="I229" s="290"/>
      <c r="J229" s="290"/>
      <c r="K229" s="291"/>
      <c r="L229" s="17"/>
      <c r="M229" s="286"/>
      <c r="N229" s="21"/>
      <c r="O229" s="286"/>
      <c r="P229" s="21"/>
      <c r="Q229" s="286"/>
      <c r="R229" s="248"/>
      <c r="S229" s="287"/>
      <c r="T229" s="248"/>
      <c r="U229" s="13"/>
      <c r="V229" s="282"/>
      <c r="W229" s="283"/>
      <c r="X229" s="284"/>
      <c r="Y229" s="245"/>
      <c r="Z229" s="245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BP229" s="391"/>
      <c r="BQ229" s="393"/>
      <c r="BS229" s="50" t="str">
        <f>Q440</f>
        <v/>
      </c>
      <c r="BT229" s="50" t="e">
        <f>#REF!</f>
        <v>#REF!</v>
      </c>
      <c r="BU229" s="39" t="str">
        <f t="shared" si="327"/>
        <v/>
      </c>
      <c r="BV229" s="39" t="str">
        <f t="shared" si="320"/>
        <v/>
      </c>
    </row>
    <row r="230" spans="1:74" ht="14.25" customHeight="1" x14ac:dyDescent="0.35">
      <c r="A230" s="293">
        <v>107</v>
      </c>
      <c r="B230" s="295"/>
      <c r="C230" s="297"/>
      <c r="D230" s="299"/>
      <c r="E230" s="301"/>
      <c r="F230" s="303"/>
      <c r="G230" s="288"/>
      <c r="H230" s="289"/>
      <c r="I230" s="290"/>
      <c r="J230" s="290"/>
      <c r="K230" s="291"/>
      <c r="L230" s="18"/>
      <c r="M230" s="285" t="str">
        <f t="shared" ref="M230" si="347">IF(COUNT(L230:L231)&lt;1,"",AVERAGE(L230:L231))</f>
        <v/>
      </c>
      <c r="N230" s="22"/>
      <c r="O230" s="285" t="str">
        <f t="shared" ref="O230" si="348">IF(COUNT(N230:N231)&lt;1,"",AVERAGE(N230:N231))</f>
        <v/>
      </c>
      <c r="P230" s="22"/>
      <c r="Q230" s="285" t="str">
        <f t="shared" ref="Q230" si="349">IF(COUNT(P230:P231)&lt;1,"",AVERAGE(P230:P231))</f>
        <v/>
      </c>
      <c r="R230" s="278" t="str">
        <f>IF($X$13="/28",IF(COUNT(P230:P231)&lt;=1,"",ABS(P230-P231)),IF($X$13="/90",IF(COUNT(#REF!)&lt;=1,"",ABS(#REF!-#REF!))))</f>
        <v/>
      </c>
      <c r="S230" s="278" t="str">
        <f>IF($X$13="/28",IF(Q230="","",IF(AVERAGE(Q226:Q231)&gt;=$W$13,ROUND(AVERAGE(Q226:Q231),1)&amp;" ≥ "&amp;$W$13&amp;" OK",ROUND(AVERAGE(Q226:Q231),1)&amp;" &lt; "&amp;$W$13&amp;" NC")),IF($X$13="/90",IF(#REF!="","",IF(AVERAGE(#REF!)&gt;=$W$13,ROUND(AVERAGE(#REF!),1)&amp;" ≥ "&amp;$W$13&amp;" OK",ROUND(AVERAGE(#REF!),1)&amp;" &lt; "&amp;$W$13&amp;" NC"))))</f>
        <v/>
      </c>
      <c r="T230" s="278" t="str">
        <f>IF($X$13="/28",IF(Q230="","",IF(Q230&gt;=$W$13-$S$12,ROUND((Q230),1)&amp;" ≥ "&amp;$W$13-$S$12&amp;" OK",ROUND((Q230),1)&amp;" &lt; "&amp;$W$13-$S$12&amp;" NC")),IF($X$13="/90",IF(#REF!="","",IF(#REF!&gt;=$W$13-$S$12,ROUND((#REF!),1)&amp;" ≥ "&amp;$W$13-$S$12&amp;" OK",ROUND((#REF!),1)&amp;" &lt; "&amp;$W$13-$S$12&amp;" NC"))))</f>
        <v/>
      </c>
      <c r="U230" s="14"/>
      <c r="V230" s="279"/>
      <c r="W230" s="280"/>
      <c r="X230" s="281"/>
      <c r="Y230" s="246"/>
      <c r="Z230" s="246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BP230" s="390" t="str">
        <f>IF($X$13="/28",IF(Q230="","",Q230),IF($X$13="/90",IF(#REF!="","",#REF!),"Falso"))</f>
        <v/>
      </c>
      <c r="BQ230" s="392" t="str">
        <f t="shared" ref="BQ230:BQ290" si="350">IF(BP230="","",BQ228+1)</f>
        <v/>
      </c>
      <c r="BS230" s="50" t="str">
        <f>Q442</f>
        <v/>
      </c>
      <c r="BT230" s="50" t="e">
        <f>#REF!</f>
        <v>#REF!</v>
      </c>
      <c r="BU230" s="39" t="str">
        <f t="shared" si="327"/>
        <v/>
      </c>
      <c r="BV230" s="39" t="str">
        <f t="shared" si="320"/>
        <v/>
      </c>
    </row>
    <row r="231" spans="1:74" ht="14.25" customHeight="1" x14ac:dyDescent="0.35">
      <c r="A231" s="294"/>
      <c r="B231" s="296"/>
      <c r="C231" s="298"/>
      <c r="D231" s="300"/>
      <c r="E231" s="302"/>
      <c r="F231" s="304"/>
      <c r="G231" s="276"/>
      <c r="H231" s="277"/>
      <c r="I231" s="290"/>
      <c r="J231" s="290"/>
      <c r="K231" s="291"/>
      <c r="L231" s="17"/>
      <c r="M231" s="286"/>
      <c r="N231" s="21"/>
      <c r="O231" s="286"/>
      <c r="P231" s="21"/>
      <c r="Q231" s="286"/>
      <c r="R231" s="248"/>
      <c r="S231" s="287"/>
      <c r="T231" s="248"/>
      <c r="U231" s="13"/>
      <c r="V231" s="282"/>
      <c r="W231" s="283"/>
      <c r="X231" s="284"/>
      <c r="Y231" s="245"/>
      <c r="Z231" s="245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BP231" s="391"/>
      <c r="BQ231" s="393"/>
      <c r="BS231" s="50" t="str">
        <f>Q444</f>
        <v/>
      </c>
      <c r="BT231" s="50" t="e">
        <f>#REF!</f>
        <v>#REF!</v>
      </c>
      <c r="BU231" s="39" t="str">
        <f t="shared" si="327"/>
        <v/>
      </c>
      <c r="BV231" s="39" t="str">
        <f t="shared" si="320"/>
        <v/>
      </c>
    </row>
    <row r="232" spans="1:74" ht="14.25" customHeight="1" x14ac:dyDescent="0.35">
      <c r="A232" s="293">
        <v>108</v>
      </c>
      <c r="B232" s="295"/>
      <c r="C232" s="297"/>
      <c r="D232" s="299"/>
      <c r="E232" s="301"/>
      <c r="F232" s="303"/>
      <c r="G232" s="288"/>
      <c r="H232" s="289"/>
      <c r="I232" s="290"/>
      <c r="J232" s="290"/>
      <c r="K232" s="291"/>
      <c r="L232" s="18"/>
      <c r="M232" s="285" t="str">
        <f t="shared" ref="M232" si="351">IF(COUNT(L232:L233)&lt;1,"",AVERAGE(L232:L233))</f>
        <v/>
      </c>
      <c r="N232" s="22"/>
      <c r="O232" s="285" t="str">
        <f t="shared" ref="O232" si="352">IF(COUNT(N232:N233)&lt;1,"",AVERAGE(N232:N233))</f>
        <v/>
      </c>
      <c r="P232" s="22"/>
      <c r="Q232" s="285" t="str">
        <f t="shared" ref="Q232" si="353">IF(COUNT(P232:P233)&lt;1,"",AVERAGE(P232:P233))</f>
        <v/>
      </c>
      <c r="R232" s="278" t="str">
        <f>IF($X$13="/28",IF(COUNT(P232:P233)&lt;=1,"",ABS(P232-P233)),IF($X$13="/90",IF(COUNT(#REF!)&lt;=1,"",ABS(#REF!-#REF!))))</f>
        <v/>
      </c>
      <c r="S232" s="278" t="str">
        <f>IF($X$13="/28",IF(Q232="","",IF(AVERAGE(Q228:Q233)&gt;=$W$13,ROUND(AVERAGE(Q228:Q233),1)&amp;" ≥ "&amp;$W$13&amp;" OK",ROUND(AVERAGE(Q228:Q233),1)&amp;" &lt; "&amp;$W$13&amp;" NC")),IF($X$13="/90",IF(#REF!="","",IF(AVERAGE(#REF!)&gt;=$W$13,ROUND(AVERAGE(#REF!),1)&amp;" ≥ "&amp;$W$13&amp;" OK",ROUND(AVERAGE(#REF!),1)&amp;" &lt; "&amp;$W$13&amp;" NC"))))</f>
        <v/>
      </c>
      <c r="T232" s="278" t="str">
        <f>IF($X$13="/28",IF(Q232="","",IF(Q232&gt;=$W$13-$S$12,ROUND((Q232),1)&amp;" ≥ "&amp;$W$13-$S$12&amp;" OK",ROUND((Q232),1)&amp;" &lt; "&amp;$W$13-$S$12&amp;" NC")),IF($X$13="/90",IF(#REF!="","",IF(#REF!&gt;=$W$13-$S$12,ROUND((#REF!),1)&amp;" ≥ "&amp;$W$13-$S$12&amp;" OK",ROUND((#REF!),1)&amp;" &lt; "&amp;$W$13-$S$12&amp;" NC"))))</f>
        <v/>
      </c>
      <c r="U232" s="14"/>
      <c r="V232" s="279"/>
      <c r="W232" s="280"/>
      <c r="X232" s="281"/>
      <c r="Y232" s="246"/>
      <c r="Z232" s="246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BP232" s="390" t="str">
        <f>IF($X$13="/28",IF(Q232="","",Q232),IF($X$13="/90",IF(#REF!="","",#REF!),"Falso"))</f>
        <v/>
      </c>
      <c r="BQ232" s="392" t="str">
        <f t="shared" ref="BQ232:BQ292" si="354">IF(BP232="","",BQ230+1)</f>
        <v/>
      </c>
      <c r="BS232" s="50" t="str">
        <f>Q446</f>
        <v/>
      </c>
      <c r="BT232" s="50" t="e">
        <f>#REF!</f>
        <v>#REF!</v>
      </c>
      <c r="BU232" s="39" t="str">
        <f t="shared" si="327"/>
        <v/>
      </c>
      <c r="BV232" s="39" t="str">
        <f t="shared" si="320"/>
        <v/>
      </c>
    </row>
    <row r="233" spans="1:74" ht="14.25" customHeight="1" x14ac:dyDescent="0.35">
      <c r="A233" s="294"/>
      <c r="B233" s="296"/>
      <c r="C233" s="298"/>
      <c r="D233" s="300"/>
      <c r="E233" s="302"/>
      <c r="F233" s="304"/>
      <c r="G233" s="276"/>
      <c r="H233" s="277"/>
      <c r="I233" s="290"/>
      <c r="J233" s="290"/>
      <c r="K233" s="291"/>
      <c r="L233" s="17"/>
      <c r="M233" s="286"/>
      <c r="N233" s="21"/>
      <c r="O233" s="286"/>
      <c r="P233" s="21"/>
      <c r="Q233" s="286"/>
      <c r="R233" s="248"/>
      <c r="S233" s="287"/>
      <c r="T233" s="248"/>
      <c r="U233" s="13"/>
      <c r="V233" s="282"/>
      <c r="W233" s="283"/>
      <c r="X233" s="284"/>
      <c r="Y233" s="245"/>
      <c r="Z233" s="245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BP233" s="391"/>
      <c r="BQ233" s="393"/>
      <c r="BS233" s="50" t="str">
        <f>Q448</f>
        <v/>
      </c>
      <c r="BT233" s="50" t="e">
        <f>#REF!</f>
        <v>#REF!</v>
      </c>
      <c r="BU233" s="39" t="str">
        <f t="shared" si="327"/>
        <v/>
      </c>
      <c r="BV233" s="39" t="str">
        <f t="shared" si="320"/>
        <v/>
      </c>
    </row>
    <row r="234" spans="1:74" ht="14.25" customHeight="1" x14ac:dyDescent="0.35">
      <c r="A234" s="293">
        <v>109</v>
      </c>
      <c r="B234" s="295"/>
      <c r="C234" s="297"/>
      <c r="D234" s="299"/>
      <c r="E234" s="301"/>
      <c r="F234" s="303"/>
      <c r="G234" s="288"/>
      <c r="H234" s="289"/>
      <c r="I234" s="290"/>
      <c r="J234" s="290"/>
      <c r="K234" s="291"/>
      <c r="L234" s="18"/>
      <c r="M234" s="285" t="str">
        <f t="shared" ref="M234" si="355">IF(COUNT(L234:L235)&lt;1,"",AVERAGE(L234:L235))</f>
        <v/>
      </c>
      <c r="N234" s="22"/>
      <c r="O234" s="285" t="str">
        <f t="shared" ref="O234" si="356">IF(COUNT(N234:N235)&lt;1,"",AVERAGE(N234:N235))</f>
        <v/>
      </c>
      <c r="P234" s="22"/>
      <c r="Q234" s="285" t="str">
        <f t="shared" ref="Q234" si="357">IF(COUNT(P234:P235)&lt;1,"",AVERAGE(P234:P235))</f>
        <v/>
      </c>
      <c r="R234" s="278" t="str">
        <f>IF($X$13="/28",IF(COUNT(P234:P235)&lt;=1,"",ABS(P234-P235)),IF($X$13="/90",IF(COUNT(#REF!)&lt;=1,"",ABS(#REF!-#REF!))))</f>
        <v/>
      </c>
      <c r="S234" s="278" t="str">
        <f>IF($X$13="/28",IF(Q234="","",IF(AVERAGE(Q230:Q235)&gt;=$W$13,ROUND(AVERAGE(Q230:Q235),1)&amp;" ≥ "&amp;$W$13&amp;" OK",ROUND(AVERAGE(Q230:Q235),1)&amp;" &lt; "&amp;$W$13&amp;" NC")),IF($X$13="/90",IF(#REF!="","",IF(AVERAGE(#REF!)&gt;=$W$13,ROUND(AVERAGE(#REF!),1)&amp;" ≥ "&amp;$W$13&amp;" OK",ROUND(AVERAGE(#REF!),1)&amp;" &lt; "&amp;$W$13&amp;" NC"))))</f>
        <v/>
      </c>
      <c r="T234" s="278" t="str">
        <f>IF($X$13="/28",IF(Q234="","",IF(Q234&gt;=$W$13-$S$12,ROUND((Q234),1)&amp;" ≥ "&amp;$W$13-$S$12&amp;" OK",ROUND((Q234),1)&amp;" &lt; "&amp;$W$13-$S$12&amp;" NC")),IF($X$13="/90",IF(#REF!="","",IF(#REF!&gt;=$W$13-$S$12,ROUND((#REF!),1)&amp;" ≥ "&amp;$W$13-$S$12&amp;" OK",ROUND((#REF!),1)&amp;" &lt; "&amp;$W$13-$S$12&amp;" NC"))))</f>
        <v/>
      </c>
      <c r="U234" s="14"/>
      <c r="V234" s="279"/>
      <c r="W234" s="280"/>
      <c r="X234" s="281"/>
      <c r="Y234" s="246"/>
      <c r="Z234" s="246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BP234" s="390" t="str">
        <f>IF($X$13="/28",IF(Q234="","",Q234),IF($X$13="/90",IF(#REF!="","",#REF!),"Falso"))</f>
        <v/>
      </c>
      <c r="BQ234" s="392" t="str">
        <f t="shared" si="346"/>
        <v/>
      </c>
      <c r="BS234" s="50" t="str">
        <f>Q450</f>
        <v/>
      </c>
      <c r="BT234" s="50" t="e">
        <f>#REF!</f>
        <v>#REF!</v>
      </c>
      <c r="BU234" s="39" t="str">
        <f t="shared" si="327"/>
        <v/>
      </c>
      <c r="BV234" s="39" t="str">
        <f t="shared" si="320"/>
        <v/>
      </c>
    </row>
    <row r="235" spans="1:74" ht="14.25" customHeight="1" x14ac:dyDescent="0.35">
      <c r="A235" s="294"/>
      <c r="B235" s="296"/>
      <c r="C235" s="298"/>
      <c r="D235" s="300"/>
      <c r="E235" s="302"/>
      <c r="F235" s="304"/>
      <c r="G235" s="276"/>
      <c r="H235" s="277"/>
      <c r="I235" s="290"/>
      <c r="J235" s="290"/>
      <c r="K235" s="291"/>
      <c r="L235" s="17"/>
      <c r="M235" s="286"/>
      <c r="N235" s="21"/>
      <c r="O235" s="286"/>
      <c r="P235" s="21"/>
      <c r="Q235" s="286"/>
      <c r="R235" s="248"/>
      <c r="S235" s="287"/>
      <c r="T235" s="248"/>
      <c r="U235" s="13"/>
      <c r="V235" s="282"/>
      <c r="W235" s="283"/>
      <c r="X235" s="284"/>
      <c r="Y235" s="245"/>
      <c r="Z235" s="245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BP235" s="391"/>
      <c r="BQ235" s="393"/>
      <c r="BS235" s="50" t="str">
        <f>Q452</f>
        <v/>
      </c>
      <c r="BT235" s="50" t="e">
        <f>#REF!</f>
        <v>#REF!</v>
      </c>
      <c r="BU235" s="39" t="str">
        <f t="shared" si="327"/>
        <v/>
      </c>
      <c r="BV235" s="39" t="str">
        <f t="shared" si="320"/>
        <v/>
      </c>
    </row>
    <row r="236" spans="1:74" ht="14.25" customHeight="1" x14ac:dyDescent="0.35">
      <c r="A236" s="293">
        <v>110</v>
      </c>
      <c r="B236" s="295"/>
      <c r="C236" s="297"/>
      <c r="D236" s="299"/>
      <c r="E236" s="301"/>
      <c r="F236" s="303"/>
      <c r="G236" s="288"/>
      <c r="H236" s="289"/>
      <c r="I236" s="290"/>
      <c r="J236" s="290"/>
      <c r="K236" s="291"/>
      <c r="L236" s="18"/>
      <c r="M236" s="285" t="str">
        <f t="shared" ref="M236" si="358">IF(COUNT(L236:L237)&lt;1,"",AVERAGE(L236:L237))</f>
        <v/>
      </c>
      <c r="N236" s="22"/>
      <c r="O236" s="285" t="str">
        <f t="shared" ref="O236" si="359">IF(COUNT(N236:N237)&lt;1,"",AVERAGE(N236:N237))</f>
        <v/>
      </c>
      <c r="P236" s="22"/>
      <c r="Q236" s="285" t="str">
        <f t="shared" ref="Q236" si="360">IF(COUNT(P236:P237)&lt;1,"",AVERAGE(P236:P237))</f>
        <v/>
      </c>
      <c r="R236" s="278" t="str">
        <f>IF($X$13="/28",IF(COUNT(P236:P237)&lt;=1,"",ABS(P236-P237)),IF($X$13="/90",IF(COUNT(#REF!)&lt;=1,"",ABS(#REF!-#REF!))))</f>
        <v/>
      </c>
      <c r="S236" s="278" t="str">
        <f>IF($X$13="/28",IF(Q236="","",IF(AVERAGE(Q232:Q237)&gt;=$W$13,ROUND(AVERAGE(Q232:Q237),1)&amp;" ≥ "&amp;$W$13&amp;" OK",ROUND(AVERAGE(Q232:Q237),1)&amp;" &lt; "&amp;$W$13&amp;" NC")),IF($X$13="/90",IF(#REF!="","",IF(AVERAGE(#REF!)&gt;=$W$13,ROUND(AVERAGE(#REF!),1)&amp;" ≥ "&amp;$W$13&amp;" OK",ROUND(AVERAGE(#REF!),1)&amp;" &lt; "&amp;$W$13&amp;" NC"))))</f>
        <v/>
      </c>
      <c r="T236" s="278" t="str">
        <f>IF($X$13="/28",IF(Q236="","",IF(Q236&gt;=$W$13-$S$12,ROUND((Q236),1)&amp;" ≥ "&amp;$W$13-$S$12&amp;" OK",ROUND((Q236),1)&amp;" &lt; "&amp;$W$13-$S$12&amp;" NC")),IF($X$13="/90",IF(#REF!="","",IF(#REF!&gt;=$W$13-$S$12,ROUND((#REF!),1)&amp;" ≥ "&amp;$W$13-$S$12&amp;" OK",ROUND((#REF!),1)&amp;" &lt; "&amp;$W$13-$S$12&amp;" NC"))))</f>
        <v/>
      </c>
      <c r="U236" s="14"/>
      <c r="V236" s="279"/>
      <c r="W236" s="280"/>
      <c r="X236" s="281"/>
      <c r="Y236" s="246"/>
      <c r="Z236" s="246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BP236" s="390" t="str">
        <f>IF($X$13="/28",IF(Q236="","",Q236),IF($X$13="/90",IF(#REF!="","",#REF!),"Falso"))</f>
        <v/>
      </c>
      <c r="BQ236" s="392" t="str">
        <f t="shared" si="350"/>
        <v/>
      </c>
      <c r="BS236" s="50" t="str">
        <f>Q454</f>
        <v/>
      </c>
      <c r="BT236" s="50" t="e">
        <f>#REF!</f>
        <v>#REF!</v>
      </c>
      <c r="BU236" s="39" t="str">
        <f t="shared" si="327"/>
        <v/>
      </c>
      <c r="BV236" s="39" t="str">
        <f t="shared" si="320"/>
        <v/>
      </c>
    </row>
    <row r="237" spans="1:74" ht="14.25" customHeight="1" x14ac:dyDescent="0.35">
      <c r="A237" s="294"/>
      <c r="B237" s="296"/>
      <c r="C237" s="298"/>
      <c r="D237" s="300"/>
      <c r="E237" s="302"/>
      <c r="F237" s="304"/>
      <c r="G237" s="276"/>
      <c r="H237" s="277"/>
      <c r="I237" s="290"/>
      <c r="J237" s="290"/>
      <c r="K237" s="291"/>
      <c r="L237" s="17"/>
      <c r="M237" s="286"/>
      <c r="N237" s="21"/>
      <c r="O237" s="286"/>
      <c r="P237" s="21"/>
      <c r="Q237" s="286"/>
      <c r="R237" s="248"/>
      <c r="S237" s="287"/>
      <c r="T237" s="248"/>
      <c r="U237" s="13"/>
      <c r="V237" s="282"/>
      <c r="W237" s="283"/>
      <c r="X237" s="284"/>
      <c r="Y237" s="245"/>
      <c r="Z237" s="245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BP237" s="391"/>
      <c r="BQ237" s="393"/>
      <c r="BS237" s="50" t="str">
        <f>Q456</f>
        <v/>
      </c>
      <c r="BT237" s="50" t="e">
        <f>#REF!</f>
        <v>#REF!</v>
      </c>
      <c r="BU237" s="39" t="str">
        <f t="shared" si="327"/>
        <v/>
      </c>
      <c r="BV237" s="39" t="str">
        <f t="shared" si="320"/>
        <v/>
      </c>
    </row>
    <row r="238" spans="1:74" ht="14.25" customHeight="1" x14ac:dyDescent="0.35">
      <c r="A238" s="293">
        <v>111</v>
      </c>
      <c r="B238" s="295"/>
      <c r="C238" s="297"/>
      <c r="D238" s="299"/>
      <c r="E238" s="301"/>
      <c r="F238" s="303"/>
      <c r="G238" s="288"/>
      <c r="H238" s="289"/>
      <c r="I238" s="290"/>
      <c r="J238" s="290"/>
      <c r="K238" s="291"/>
      <c r="L238" s="18"/>
      <c r="M238" s="285" t="str">
        <f t="shared" ref="M238" si="361">IF(COUNT(L238:L239)&lt;1,"",AVERAGE(L238:L239))</f>
        <v/>
      </c>
      <c r="N238" s="22"/>
      <c r="O238" s="285" t="str">
        <f t="shared" ref="O238" si="362">IF(COUNT(N238:N239)&lt;1,"",AVERAGE(N238:N239))</f>
        <v/>
      </c>
      <c r="P238" s="22"/>
      <c r="Q238" s="285" t="str">
        <f t="shared" ref="Q238" si="363">IF(COUNT(P238:P239)&lt;1,"",AVERAGE(P238:P239))</f>
        <v/>
      </c>
      <c r="R238" s="278" t="str">
        <f>IF($X$13="/28",IF(COUNT(P238:P239)&lt;=1,"",ABS(P238-P239)),IF($X$13="/90",IF(COUNT(#REF!)&lt;=1,"",ABS(#REF!-#REF!))))</f>
        <v/>
      </c>
      <c r="S238" s="278" t="str">
        <f>IF($X$13="/28",IF(Q238="","",IF(AVERAGE(Q234:Q239)&gt;=$W$13,ROUND(AVERAGE(Q234:Q239),1)&amp;" ≥ "&amp;$W$13&amp;" OK",ROUND(AVERAGE(Q234:Q239),1)&amp;" &lt; "&amp;$W$13&amp;" NC")),IF($X$13="/90",IF(#REF!="","",IF(AVERAGE(#REF!)&gt;=$W$13,ROUND(AVERAGE(#REF!),1)&amp;" ≥ "&amp;$W$13&amp;" OK",ROUND(AVERAGE(#REF!),1)&amp;" &lt; "&amp;$W$13&amp;" NC"))))</f>
        <v/>
      </c>
      <c r="T238" s="278" t="str">
        <f>IF($X$13="/28",IF(Q238="","",IF(Q238&gt;=$W$13-$S$12,ROUND((Q238),1)&amp;" ≥ "&amp;$W$13-$S$12&amp;" OK",ROUND((Q238),1)&amp;" &lt; "&amp;$W$13-$S$12&amp;" NC")),IF($X$13="/90",IF(#REF!="","",IF(#REF!&gt;=$W$13-$S$12,ROUND((#REF!),1)&amp;" ≥ "&amp;$W$13-$S$12&amp;" OK",ROUND((#REF!),1)&amp;" &lt; "&amp;$W$13-$S$12&amp;" NC"))))</f>
        <v/>
      </c>
      <c r="U238" s="14"/>
      <c r="V238" s="279"/>
      <c r="W238" s="280"/>
      <c r="X238" s="281"/>
      <c r="Y238" s="246"/>
      <c r="Z238" s="246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BP238" s="390" t="str">
        <f>IF($X$13="/28",IF(Q238="","",Q238),IF($X$13="/90",IF(#REF!="","",#REF!),"Falso"))</f>
        <v/>
      </c>
      <c r="BQ238" s="392" t="str">
        <f t="shared" si="354"/>
        <v/>
      </c>
      <c r="BS238" s="50" t="str">
        <f>Q458</f>
        <v/>
      </c>
      <c r="BT238" s="50" t="e">
        <f>#REF!</f>
        <v>#REF!</v>
      </c>
      <c r="BU238" s="39" t="str">
        <f t="shared" si="327"/>
        <v/>
      </c>
      <c r="BV238" s="39" t="str">
        <f t="shared" si="320"/>
        <v/>
      </c>
    </row>
    <row r="239" spans="1:74" ht="14.25" customHeight="1" x14ac:dyDescent="0.35">
      <c r="A239" s="294"/>
      <c r="B239" s="296"/>
      <c r="C239" s="298"/>
      <c r="D239" s="300"/>
      <c r="E239" s="302"/>
      <c r="F239" s="304"/>
      <c r="G239" s="276"/>
      <c r="H239" s="277"/>
      <c r="I239" s="290"/>
      <c r="J239" s="290"/>
      <c r="K239" s="291"/>
      <c r="L239" s="17"/>
      <c r="M239" s="286"/>
      <c r="N239" s="21"/>
      <c r="O239" s="286"/>
      <c r="P239" s="21"/>
      <c r="Q239" s="286"/>
      <c r="R239" s="248"/>
      <c r="S239" s="287"/>
      <c r="T239" s="248"/>
      <c r="U239" s="13"/>
      <c r="V239" s="282"/>
      <c r="W239" s="283"/>
      <c r="X239" s="284"/>
      <c r="Y239" s="245"/>
      <c r="Z239" s="245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BP239" s="391"/>
      <c r="BQ239" s="393"/>
      <c r="BS239" s="50" t="str">
        <f>Q460</f>
        <v/>
      </c>
      <c r="BT239" s="50" t="e">
        <f>#REF!</f>
        <v>#REF!</v>
      </c>
      <c r="BU239" s="39" t="str">
        <f t="shared" si="327"/>
        <v/>
      </c>
      <c r="BV239" s="39" t="str">
        <f t="shared" si="320"/>
        <v/>
      </c>
    </row>
    <row r="240" spans="1:74" ht="14.25" customHeight="1" x14ac:dyDescent="0.35">
      <c r="A240" s="293">
        <v>112</v>
      </c>
      <c r="B240" s="295"/>
      <c r="C240" s="297"/>
      <c r="D240" s="299"/>
      <c r="E240" s="301"/>
      <c r="F240" s="303"/>
      <c r="G240" s="288"/>
      <c r="H240" s="289"/>
      <c r="I240" s="290"/>
      <c r="J240" s="290"/>
      <c r="K240" s="291"/>
      <c r="L240" s="18"/>
      <c r="M240" s="285" t="str">
        <f t="shared" ref="M240" si="364">IF(COUNT(L240:L241)&lt;1,"",AVERAGE(L240:L241))</f>
        <v/>
      </c>
      <c r="N240" s="22"/>
      <c r="O240" s="285" t="str">
        <f t="shared" ref="O240" si="365">IF(COUNT(N240:N241)&lt;1,"",AVERAGE(N240:N241))</f>
        <v/>
      </c>
      <c r="P240" s="22"/>
      <c r="Q240" s="285" t="str">
        <f t="shared" ref="Q240" si="366">IF(COUNT(P240:P241)&lt;1,"",AVERAGE(P240:P241))</f>
        <v/>
      </c>
      <c r="R240" s="278" t="str">
        <f>IF($X$13="/28",IF(COUNT(P240:P241)&lt;=1,"",ABS(P240-P241)),IF($X$13="/90",IF(COUNT(#REF!)&lt;=1,"",ABS(#REF!-#REF!))))</f>
        <v/>
      </c>
      <c r="S240" s="278" t="str">
        <f>IF($X$13="/28",IF(Q240="","",IF(AVERAGE(Q236:Q241)&gt;=$W$13,ROUND(AVERAGE(Q236:Q241),1)&amp;" ≥ "&amp;$W$13&amp;" OK",ROUND(AVERAGE(Q236:Q241),1)&amp;" &lt; "&amp;$W$13&amp;" NC")),IF($X$13="/90",IF(#REF!="","",IF(AVERAGE(#REF!)&gt;=$W$13,ROUND(AVERAGE(#REF!),1)&amp;" ≥ "&amp;$W$13&amp;" OK",ROUND(AVERAGE(#REF!),1)&amp;" &lt; "&amp;$W$13&amp;" NC"))))</f>
        <v/>
      </c>
      <c r="T240" s="278" t="str">
        <f>IF($X$13="/28",IF(Q240="","",IF(Q240&gt;=$W$13-$S$12,ROUND((Q240),1)&amp;" ≥ "&amp;$W$13-$S$12&amp;" OK",ROUND((Q240),1)&amp;" &lt; "&amp;$W$13-$S$12&amp;" NC")),IF($X$13="/90",IF(#REF!="","",IF(#REF!&gt;=$W$13-$S$12,ROUND((#REF!),1)&amp;" ≥ "&amp;$W$13-$S$12&amp;" OK",ROUND((#REF!),1)&amp;" &lt; "&amp;$W$13-$S$12&amp;" NC"))))</f>
        <v/>
      </c>
      <c r="U240" s="14"/>
      <c r="V240" s="279"/>
      <c r="W240" s="280"/>
      <c r="X240" s="281"/>
      <c r="Y240" s="246"/>
      <c r="Z240" s="246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BP240" s="390" t="str">
        <f>IF($X$13="/28",IF(Q240="","",Q240),IF($X$13="/90",IF(#REF!="","",#REF!),"Falso"))</f>
        <v/>
      </c>
      <c r="BQ240" s="392" t="str">
        <f t="shared" si="346"/>
        <v/>
      </c>
      <c r="BS240" s="50" t="str">
        <f>Q462</f>
        <v/>
      </c>
      <c r="BT240" s="50" t="e">
        <f>#REF!</f>
        <v>#REF!</v>
      </c>
      <c r="BU240" s="39" t="str">
        <f t="shared" si="327"/>
        <v/>
      </c>
      <c r="BV240" s="39" t="str">
        <f t="shared" si="320"/>
        <v/>
      </c>
    </row>
    <row r="241" spans="1:74" ht="14.25" customHeight="1" x14ac:dyDescent="0.35">
      <c r="A241" s="294"/>
      <c r="B241" s="296"/>
      <c r="C241" s="298"/>
      <c r="D241" s="300"/>
      <c r="E241" s="302"/>
      <c r="F241" s="304"/>
      <c r="G241" s="276"/>
      <c r="H241" s="277"/>
      <c r="I241" s="290"/>
      <c r="J241" s="290"/>
      <c r="K241" s="291"/>
      <c r="L241" s="17"/>
      <c r="M241" s="286"/>
      <c r="N241" s="21"/>
      <c r="O241" s="286"/>
      <c r="P241" s="21"/>
      <c r="Q241" s="286"/>
      <c r="R241" s="248"/>
      <c r="S241" s="287"/>
      <c r="T241" s="248"/>
      <c r="U241" s="13"/>
      <c r="V241" s="282"/>
      <c r="W241" s="283"/>
      <c r="X241" s="284"/>
      <c r="Y241" s="245"/>
      <c r="Z241" s="245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BP241" s="391"/>
      <c r="BQ241" s="393"/>
      <c r="BS241" s="50" t="str">
        <f>Q464</f>
        <v/>
      </c>
      <c r="BT241" s="50" t="e">
        <f>#REF!</f>
        <v>#REF!</v>
      </c>
      <c r="BU241" s="39" t="str">
        <f t="shared" si="327"/>
        <v/>
      </c>
      <c r="BV241" s="39" t="str">
        <f t="shared" si="320"/>
        <v/>
      </c>
    </row>
    <row r="242" spans="1:74" ht="14.25" customHeight="1" x14ac:dyDescent="0.35">
      <c r="A242" s="293">
        <v>113</v>
      </c>
      <c r="B242" s="295"/>
      <c r="C242" s="297"/>
      <c r="D242" s="299"/>
      <c r="E242" s="301"/>
      <c r="F242" s="303"/>
      <c r="G242" s="288"/>
      <c r="H242" s="289"/>
      <c r="I242" s="290"/>
      <c r="J242" s="290"/>
      <c r="K242" s="291"/>
      <c r="L242" s="18"/>
      <c r="M242" s="285" t="str">
        <f t="shared" ref="M242" si="367">IF(COUNT(L242:L243)&lt;1,"",AVERAGE(L242:L243))</f>
        <v/>
      </c>
      <c r="N242" s="22"/>
      <c r="O242" s="285" t="str">
        <f t="shared" ref="O242" si="368">IF(COUNT(N242:N243)&lt;1,"",AVERAGE(N242:N243))</f>
        <v/>
      </c>
      <c r="P242" s="22"/>
      <c r="Q242" s="285" t="str">
        <f t="shared" ref="Q242" si="369">IF(COUNT(P242:P243)&lt;1,"",AVERAGE(P242:P243))</f>
        <v/>
      </c>
      <c r="R242" s="278" t="str">
        <f>IF($X$13="/28",IF(COUNT(P242:P243)&lt;=1,"",ABS(P242-P243)),IF($X$13="/90",IF(COUNT(#REF!)&lt;=1,"",ABS(#REF!-#REF!))))</f>
        <v/>
      </c>
      <c r="S242" s="278" t="str">
        <f>IF($X$13="/28",IF(Q242="","",IF(AVERAGE(Q238:Q243)&gt;=$W$13,ROUND(AVERAGE(Q238:Q243),1)&amp;" ≥ "&amp;$W$13&amp;" OK",ROUND(AVERAGE(Q238:Q243),1)&amp;" &lt; "&amp;$W$13&amp;" NC")),IF($X$13="/90",IF(#REF!="","",IF(AVERAGE(#REF!)&gt;=$W$13,ROUND(AVERAGE(#REF!),1)&amp;" ≥ "&amp;$W$13&amp;" OK",ROUND(AVERAGE(#REF!),1)&amp;" &lt; "&amp;$W$13&amp;" NC"))))</f>
        <v/>
      </c>
      <c r="T242" s="278" t="str">
        <f>IF($X$13="/28",IF(Q242="","",IF(Q242&gt;=$W$13-$S$12,ROUND((Q242),1)&amp;" ≥ "&amp;$W$13-$S$12&amp;" OK",ROUND((Q242),1)&amp;" &lt; "&amp;$W$13-$S$12&amp;" NC")),IF($X$13="/90",IF(#REF!="","",IF(#REF!&gt;=$W$13-$S$12,ROUND((#REF!),1)&amp;" ≥ "&amp;$W$13-$S$12&amp;" OK",ROUND((#REF!),1)&amp;" &lt; "&amp;$W$13-$S$12&amp;" NC"))))</f>
        <v/>
      </c>
      <c r="U242" s="14"/>
      <c r="V242" s="279"/>
      <c r="W242" s="280"/>
      <c r="X242" s="281"/>
      <c r="Y242" s="246"/>
      <c r="Z242" s="246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BP242" s="390" t="str">
        <f>IF($X$13="/28",IF(Q242="","",Q242),IF($X$13="/90",IF(#REF!="","",#REF!),"Falso"))</f>
        <v/>
      </c>
      <c r="BQ242" s="392" t="str">
        <f t="shared" si="350"/>
        <v/>
      </c>
      <c r="BS242" s="50" t="str">
        <f>Q466</f>
        <v/>
      </c>
      <c r="BT242" s="50" t="e">
        <f>#REF!</f>
        <v>#REF!</v>
      </c>
      <c r="BU242" s="39" t="str">
        <f t="shared" si="327"/>
        <v/>
      </c>
      <c r="BV242" s="39" t="str">
        <f t="shared" si="320"/>
        <v/>
      </c>
    </row>
    <row r="243" spans="1:74" ht="14.25" customHeight="1" x14ac:dyDescent="0.35">
      <c r="A243" s="294"/>
      <c r="B243" s="296"/>
      <c r="C243" s="298"/>
      <c r="D243" s="300"/>
      <c r="E243" s="302"/>
      <c r="F243" s="304"/>
      <c r="G243" s="276"/>
      <c r="H243" s="277"/>
      <c r="I243" s="290"/>
      <c r="J243" s="290"/>
      <c r="K243" s="291"/>
      <c r="L243" s="17"/>
      <c r="M243" s="286"/>
      <c r="N243" s="21"/>
      <c r="O243" s="286"/>
      <c r="P243" s="21"/>
      <c r="Q243" s="286"/>
      <c r="R243" s="248"/>
      <c r="S243" s="287"/>
      <c r="T243" s="248"/>
      <c r="U243" s="13"/>
      <c r="V243" s="282"/>
      <c r="W243" s="283"/>
      <c r="X243" s="284"/>
      <c r="Y243" s="245"/>
      <c r="Z243" s="245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BP243" s="391"/>
      <c r="BQ243" s="393"/>
      <c r="BS243" s="50" t="str">
        <f>Q468</f>
        <v/>
      </c>
      <c r="BT243" s="50" t="e">
        <f>#REF!</f>
        <v>#REF!</v>
      </c>
      <c r="BU243" s="39" t="str">
        <f t="shared" si="327"/>
        <v/>
      </c>
      <c r="BV243" s="39" t="str">
        <f t="shared" si="320"/>
        <v/>
      </c>
    </row>
    <row r="244" spans="1:74" ht="14.25" customHeight="1" x14ac:dyDescent="0.35">
      <c r="A244" s="293">
        <v>114</v>
      </c>
      <c r="B244" s="295"/>
      <c r="C244" s="297"/>
      <c r="D244" s="299"/>
      <c r="E244" s="301"/>
      <c r="F244" s="303"/>
      <c r="G244" s="288"/>
      <c r="H244" s="289"/>
      <c r="I244" s="290"/>
      <c r="J244" s="290"/>
      <c r="K244" s="291"/>
      <c r="L244" s="18"/>
      <c r="M244" s="285" t="str">
        <f t="shared" ref="M244" si="370">IF(COUNT(L244:L245)&lt;1,"",AVERAGE(L244:L245))</f>
        <v/>
      </c>
      <c r="N244" s="22"/>
      <c r="O244" s="285" t="str">
        <f t="shared" ref="O244" si="371">IF(COUNT(N244:N245)&lt;1,"",AVERAGE(N244:N245))</f>
        <v/>
      </c>
      <c r="P244" s="22"/>
      <c r="Q244" s="285" t="str">
        <f t="shared" ref="Q244" si="372">IF(COUNT(P244:P245)&lt;1,"",AVERAGE(P244:P245))</f>
        <v/>
      </c>
      <c r="R244" s="278" t="str">
        <f>IF($X$13="/28",IF(COUNT(P244:P245)&lt;=1,"",ABS(P244-P245)),IF($X$13="/90",IF(COUNT(#REF!)&lt;=1,"",ABS(#REF!-#REF!))))</f>
        <v/>
      </c>
      <c r="S244" s="278" t="str">
        <f>IF($X$13="/28",IF(Q244="","",IF(AVERAGE(Q240:Q245)&gt;=$W$13,ROUND(AVERAGE(Q240:Q245),1)&amp;" ≥ "&amp;$W$13&amp;" OK",ROUND(AVERAGE(Q240:Q245),1)&amp;" &lt; "&amp;$W$13&amp;" NC")),IF($X$13="/90",IF(#REF!="","",IF(AVERAGE(#REF!)&gt;=$W$13,ROUND(AVERAGE(#REF!),1)&amp;" ≥ "&amp;$W$13&amp;" OK",ROUND(AVERAGE(#REF!),1)&amp;" &lt; "&amp;$W$13&amp;" NC"))))</f>
        <v/>
      </c>
      <c r="T244" s="278" t="str">
        <f>IF($X$13="/28",IF(Q244="","",IF(Q244&gt;=$W$13-$S$12,ROUND((Q244),1)&amp;" ≥ "&amp;$W$13-$S$12&amp;" OK",ROUND((Q244),1)&amp;" &lt; "&amp;$W$13-$S$12&amp;" NC")),IF($X$13="/90",IF(#REF!="","",IF(#REF!&gt;=$W$13-$S$12,ROUND((#REF!),1)&amp;" ≥ "&amp;$W$13-$S$12&amp;" OK",ROUND((#REF!),1)&amp;" &lt; "&amp;$W$13-$S$12&amp;" NC"))))</f>
        <v/>
      </c>
      <c r="U244" s="14"/>
      <c r="V244" s="279"/>
      <c r="W244" s="280"/>
      <c r="X244" s="281"/>
      <c r="Y244" s="246"/>
      <c r="Z244" s="246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BP244" s="390" t="str">
        <f>IF($X$13="/28",IF(Q244="","",Q244),IF($X$13="/90",IF(#REF!="","",#REF!),"Falso"))</f>
        <v/>
      </c>
      <c r="BQ244" s="392" t="str">
        <f t="shared" si="354"/>
        <v/>
      </c>
      <c r="BS244" s="50" t="str">
        <f>Q470</f>
        <v/>
      </c>
      <c r="BT244" s="50" t="e">
        <f>#REF!</f>
        <v>#REF!</v>
      </c>
      <c r="BU244" s="39" t="str">
        <f t="shared" si="327"/>
        <v/>
      </c>
      <c r="BV244" s="39" t="str">
        <f t="shared" si="320"/>
        <v/>
      </c>
    </row>
    <row r="245" spans="1:74" ht="14.25" customHeight="1" x14ac:dyDescent="0.35">
      <c r="A245" s="294"/>
      <c r="B245" s="296"/>
      <c r="C245" s="298"/>
      <c r="D245" s="300"/>
      <c r="E245" s="302"/>
      <c r="F245" s="304"/>
      <c r="G245" s="276"/>
      <c r="H245" s="277"/>
      <c r="I245" s="290"/>
      <c r="J245" s="290"/>
      <c r="K245" s="291"/>
      <c r="L245" s="17"/>
      <c r="M245" s="286"/>
      <c r="N245" s="21"/>
      <c r="O245" s="286"/>
      <c r="P245" s="21"/>
      <c r="Q245" s="286"/>
      <c r="R245" s="248"/>
      <c r="S245" s="287"/>
      <c r="T245" s="248"/>
      <c r="U245" s="13"/>
      <c r="V245" s="282"/>
      <c r="W245" s="283"/>
      <c r="X245" s="284"/>
      <c r="Y245" s="245"/>
      <c r="Z245" s="245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BP245" s="391"/>
      <c r="BQ245" s="393"/>
      <c r="BS245" s="50" t="str">
        <f>Q472</f>
        <v/>
      </c>
      <c r="BT245" s="50" t="e">
        <f>#REF!</f>
        <v>#REF!</v>
      </c>
      <c r="BU245" s="39" t="str">
        <f t="shared" si="327"/>
        <v/>
      </c>
      <c r="BV245" s="39" t="str">
        <f t="shared" si="320"/>
        <v/>
      </c>
    </row>
    <row r="246" spans="1:74" ht="14.25" customHeight="1" x14ac:dyDescent="0.35">
      <c r="A246" s="293">
        <v>115</v>
      </c>
      <c r="B246" s="295"/>
      <c r="C246" s="297"/>
      <c r="D246" s="299"/>
      <c r="E246" s="301"/>
      <c r="F246" s="303"/>
      <c r="G246" s="288"/>
      <c r="H246" s="289"/>
      <c r="I246" s="290"/>
      <c r="J246" s="290"/>
      <c r="K246" s="291"/>
      <c r="L246" s="18"/>
      <c r="M246" s="285" t="str">
        <f t="shared" ref="M246" si="373">IF(COUNT(L246:L247)&lt;1,"",AVERAGE(L246:L247))</f>
        <v/>
      </c>
      <c r="N246" s="22"/>
      <c r="O246" s="285" t="str">
        <f t="shared" ref="O246" si="374">IF(COUNT(N246:N247)&lt;1,"",AVERAGE(N246:N247))</f>
        <v/>
      </c>
      <c r="P246" s="22"/>
      <c r="Q246" s="285" t="str">
        <f t="shared" ref="Q246" si="375">IF(COUNT(P246:P247)&lt;1,"",AVERAGE(P246:P247))</f>
        <v/>
      </c>
      <c r="R246" s="278" t="str">
        <f>IF($X$13="/28",IF(COUNT(P246:P247)&lt;=1,"",ABS(P246-P247)),IF($X$13="/90",IF(COUNT(#REF!)&lt;=1,"",ABS(#REF!-#REF!))))</f>
        <v/>
      </c>
      <c r="S246" s="278" t="str">
        <f>IF($X$13="/28",IF(Q246="","",IF(AVERAGE(Q242:Q247)&gt;=$W$13,ROUND(AVERAGE(Q242:Q247),1)&amp;" ≥ "&amp;$W$13&amp;" OK",ROUND(AVERAGE(Q242:Q247),1)&amp;" &lt; "&amp;$W$13&amp;" NC")),IF($X$13="/90",IF(#REF!="","",IF(AVERAGE(#REF!)&gt;=$W$13,ROUND(AVERAGE(#REF!),1)&amp;" ≥ "&amp;$W$13&amp;" OK",ROUND(AVERAGE(#REF!),1)&amp;" &lt; "&amp;$W$13&amp;" NC"))))</f>
        <v/>
      </c>
      <c r="T246" s="278" t="str">
        <f>IF($X$13="/28",IF(Q246="","",IF(Q246&gt;=$W$13-$S$12,ROUND((Q246),1)&amp;" ≥ "&amp;$W$13-$S$12&amp;" OK",ROUND((Q246),1)&amp;" &lt; "&amp;$W$13-$S$12&amp;" NC")),IF($X$13="/90",IF(#REF!="","",IF(#REF!&gt;=$W$13-$S$12,ROUND((#REF!),1)&amp;" ≥ "&amp;$W$13-$S$12&amp;" OK",ROUND((#REF!),1)&amp;" &lt; "&amp;$W$13-$S$12&amp;" NC"))))</f>
        <v/>
      </c>
      <c r="U246" s="14"/>
      <c r="V246" s="279"/>
      <c r="W246" s="280"/>
      <c r="X246" s="281"/>
      <c r="Y246" s="246"/>
      <c r="Z246" s="246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BP246" s="390" t="str">
        <f>IF($X$13="/28",IF(Q246="","",Q246),IF($X$13="/90",IF(#REF!="","",#REF!),"Falso"))</f>
        <v/>
      </c>
      <c r="BQ246" s="392" t="str">
        <f t="shared" si="346"/>
        <v/>
      </c>
      <c r="BS246" s="50" t="str">
        <f>Q474</f>
        <v/>
      </c>
      <c r="BT246" s="50" t="e">
        <f>#REF!</f>
        <v>#REF!</v>
      </c>
      <c r="BU246" s="39" t="str">
        <f t="shared" si="327"/>
        <v/>
      </c>
      <c r="BV246" s="39" t="str">
        <f t="shared" si="320"/>
        <v/>
      </c>
    </row>
    <row r="247" spans="1:74" ht="14.25" customHeight="1" x14ac:dyDescent="0.35">
      <c r="A247" s="294"/>
      <c r="B247" s="296"/>
      <c r="C247" s="298"/>
      <c r="D247" s="300"/>
      <c r="E247" s="302"/>
      <c r="F247" s="304"/>
      <c r="G247" s="276"/>
      <c r="H247" s="277"/>
      <c r="I247" s="290"/>
      <c r="J247" s="290"/>
      <c r="K247" s="291"/>
      <c r="L247" s="17"/>
      <c r="M247" s="286"/>
      <c r="N247" s="21"/>
      <c r="O247" s="286"/>
      <c r="P247" s="21"/>
      <c r="Q247" s="286"/>
      <c r="R247" s="248"/>
      <c r="S247" s="287"/>
      <c r="T247" s="248"/>
      <c r="U247" s="13"/>
      <c r="V247" s="282"/>
      <c r="W247" s="283"/>
      <c r="X247" s="284"/>
      <c r="Y247" s="245"/>
      <c r="Z247" s="245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BP247" s="391"/>
      <c r="BQ247" s="393"/>
      <c r="BS247" s="50" t="str">
        <f>Q476</f>
        <v/>
      </c>
      <c r="BT247" s="50" t="e">
        <f>#REF!</f>
        <v>#REF!</v>
      </c>
      <c r="BU247" s="39" t="str">
        <f t="shared" si="327"/>
        <v/>
      </c>
      <c r="BV247" s="39" t="str">
        <f t="shared" si="320"/>
        <v/>
      </c>
    </row>
    <row r="248" spans="1:74" ht="14.25" customHeight="1" x14ac:dyDescent="0.35">
      <c r="A248" s="293">
        <v>116</v>
      </c>
      <c r="B248" s="295"/>
      <c r="C248" s="297"/>
      <c r="D248" s="299"/>
      <c r="E248" s="301"/>
      <c r="F248" s="303"/>
      <c r="G248" s="288"/>
      <c r="H248" s="289"/>
      <c r="I248" s="290"/>
      <c r="J248" s="290"/>
      <c r="K248" s="291"/>
      <c r="L248" s="18"/>
      <c r="M248" s="285" t="str">
        <f t="shared" ref="M248" si="376">IF(COUNT(L248:L249)&lt;1,"",AVERAGE(L248:L249))</f>
        <v/>
      </c>
      <c r="N248" s="22"/>
      <c r="O248" s="285" t="str">
        <f t="shared" ref="O248" si="377">IF(COUNT(N248:N249)&lt;1,"",AVERAGE(N248:N249))</f>
        <v/>
      </c>
      <c r="P248" s="22"/>
      <c r="Q248" s="285" t="str">
        <f t="shared" ref="Q248" si="378">IF(COUNT(P248:P249)&lt;1,"",AVERAGE(P248:P249))</f>
        <v/>
      </c>
      <c r="R248" s="278" t="str">
        <f>IF($X$13="/28",IF(COUNT(P248:P249)&lt;=1,"",ABS(P248-P249)),IF($X$13="/90",IF(COUNT(#REF!)&lt;=1,"",ABS(#REF!-#REF!))))</f>
        <v/>
      </c>
      <c r="S248" s="278" t="str">
        <f>IF($X$13="/28",IF(Q248="","",IF(AVERAGE(Q244:Q249)&gt;=$W$13,ROUND(AVERAGE(Q244:Q249),1)&amp;" ≥ "&amp;$W$13&amp;" OK",ROUND(AVERAGE(Q244:Q249),1)&amp;" &lt; "&amp;$W$13&amp;" NC")),IF($X$13="/90",IF(#REF!="","",IF(AVERAGE(#REF!)&gt;=$W$13,ROUND(AVERAGE(#REF!),1)&amp;" ≥ "&amp;$W$13&amp;" OK",ROUND(AVERAGE(#REF!),1)&amp;" &lt; "&amp;$W$13&amp;" NC"))))</f>
        <v/>
      </c>
      <c r="T248" s="278" t="str">
        <f>IF($X$13="/28",IF(Q248="","",IF(Q248&gt;=$W$13-$S$12,ROUND((Q248),1)&amp;" ≥ "&amp;$W$13-$S$12&amp;" OK",ROUND((Q248),1)&amp;" &lt; "&amp;$W$13-$S$12&amp;" NC")),IF($X$13="/90",IF(#REF!="","",IF(#REF!&gt;=$W$13-$S$12,ROUND((#REF!),1)&amp;" ≥ "&amp;$W$13-$S$12&amp;" OK",ROUND((#REF!),1)&amp;" &lt; "&amp;$W$13-$S$12&amp;" NC"))))</f>
        <v/>
      </c>
      <c r="U248" s="14"/>
      <c r="V248" s="279"/>
      <c r="W248" s="280"/>
      <c r="X248" s="281"/>
      <c r="Y248" s="246"/>
      <c r="Z248" s="246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BP248" s="390" t="str">
        <f>IF($X$13="/28",IF(Q248="","",Q248),IF($X$13="/90",IF(#REF!="","",#REF!),"Falso"))</f>
        <v/>
      </c>
      <c r="BQ248" s="392" t="str">
        <f t="shared" si="350"/>
        <v/>
      </c>
      <c r="BS248" s="50" t="str">
        <f>Q478</f>
        <v/>
      </c>
      <c r="BT248" s="50" t="e">
        <f>#REF!</f>
        <v>#REF!</v>
      </c>
      <c r="BU248" s="39" t="str">
        <f t="shared" si="327"/>
        <v/>
      </c>
      <c r="BV248" s="39" t="str">
        <f t="shared" si="320"/>
        <v/>
      </c>
    </row>
    <row r="249" spans="1:74" ht="14.25" customHeight="1" x14ac:dyDescent="0.35">
      <c r="A249" s="294"/>
      <c r="B249" s="296"/>
      <c r="C249" s="298"/>
      <c r="D249" s="300"/>
      <c r="E249" s="302"/>
      <c r="F249" s="304"/>
      <c r="G249" s="276"/>
      <c r="H249" s="277"/>
      <c r="I249" s="290"/>
      <c r="J249" s="290"/>
      <c r="K249" s="291"/>
      <c r="L249" s="17"/>
      <c r="M249" s="286"/>
      <c r="N249" s="21"/>
      <c r="O249" s="286"/>
      <c r="P249" s="21"/>
      <c r="Q249" s="286"/>
      <c r="R249" s="248"/>
      <c r="S249" s="287"/>
      <c r="T249" s="248"/>
      <c r="U249" s="13"/>
      <c r="V249" s="282"/>
      <c r="W249" s="283"/>
      <c r="X249" s="284"/>
      <c r="Y249" s="245"/>
      <c r="Z249" s="245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BP249" s="391"/>
      <c r="BQ249" s="393"/>
      <c r="BS249" s="50" t="str">
        <f>Q480</f>
        <v/>
      </c>
      <c r="BT249" s="50" t="e">
        <f>#REF!</f>
        <v>#REF!</v>
      </c>
      <c r="BU249" s="39" t="str">
        <f t="shared" si="327"/>
        <v/>
      </c>
      <c r="BV249" s="39" t="str">
        <f t="shared" si="320"/>
        <v/>
      </c>
    </row>
    <row r="250" spans="1:74" ht="14.25" customHeight="1" x14ac:dyDescent="0.35">
      <c r="A250" s="293">
        <v>117</v>
      </c>
      <c r="B250" s="295"/>
      <c r="C250" s="297"/>
      <c r="D250" s="299"/>
      <c r="E250" s="301"/>
      <c r="F250" s="303"/>
      <c r="G250" s="288"/>
      <c r="H250" s="289"/>
      <c r="I250" s="290"/>
      <c r="J250" s="290"/>
      <c r="K250" s="291"/>
      <c r="L250" s="18"/>
      <c r="M250" s="285" t="str">
        <f t="shared" ref="M250" si="379">IF(COUNT(L250:L251)&lt;1,"",AVERAGE(L250:L251))</f>
        <v/>
      </c>
      <c r="N250" s="22"/>
      <c r="O250" s="285" t="str">
        <f t="shared" ref="O250" si="380">IF(COUNT(N250:N251)&lt;1,"",AVERAGE(N250:N251))</f>
        <v/>
      </c>
      <c r="P250" s="22"/>
      <c r="Q250" s="285" t="str">
        <f t="shared" ref="Q250" si="381">IF(COUNT(P250:P251)&lt;1,"",AVERAGE(P250:P251))</f>
        <v/>
      </c>
      <c r="R250" s="278" t="str">
        <f>IF($X$13="/28",IF(COUNT(P250:P251)&lt;=1,"",ABS(P250-P251)),IF($X$13="/90",IF(COUNT(#REF!)&lt;=1,"",ABS(#REF!-#REF!))))</f>
        <v/>
      </c>
      <c r="S250" s="278" t="str">
        <f>IF($X$13="/28",IF(Q250="","",IF(AVERAGE(Q246:Q251)&gt;=$W$13,ROUND(AVERAGE(Q246:Q251),1)&amp;" ≥ "&amp;$W$13&amp;" OK",ROUND(AVERAGE(Q246:Q251),1)&amp;" &lt; "&amp;$W$13&amp;" NC")),IF($X$13="/90",IF(#REF!="","",IF(AVERAGE(#REF!)&gt;=$W$13,ROUND(AVERAGE(#REF!),1)&amp;" ≥ "&amp;$W$13&amp;" OK",ROUND(AVERAGE(#REF!),1)&amp;" &lt; "&amp;$W$13&amp;" NC"))))</f>
        <v/>
      </c>
      <c r="T250" s="278" t="str">
        <f>IF($X$13="/28",IF(Q250="","",IF(Q250&gt;=$W$13-$S$12,ROUND((Q250),1)&amp;" ≥ "&amp;$W$13-$S$12&amp;" OK",ROUND((Q250),1)&amp;" &lt; "&amp;$W$13-$S$12&amp;" NC")),IF($X$13="/90",IF(#REF!="","",IF(#REF!&gt;=$W$13-$S$12,ROUND((#REF!),1)&amp;" ≥ "&amp;$W$13-$S$12&amp;" OK",ROUND((#REF!),1)&amp;" &lt; "&amp;$W$13-$S$12&amp;" NC"))))</f>
        <v/>
      </c>
      <c r="U250" s="14"/>
      <c r="V250" s="279"/>
      <c r="W250" s="280"/>
      <c r="X250" s="281"/>
      <c r="Y250" s="246"/>
      <c r="Z250" s="246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BP250" s="390" t="str">
        <f>IF($X$13="/28",IF(Q250="","",Q250),IF($X$13="/90",IF(#REF!="","",#REF!),"Falso"))</f>
        <v/>
      </c>
      <c r="BQ250" s="392" t="str">
        <f t="shared" si="354"/>
        <v/>
      </c>
      <c r="BS250" s="50" t="str">
        <f>Q482</f>
        <v/>
      </c>
      <c r="BT250" s="50" t="e">
        <f>#REF!</f>
        <v>#REF!</v>
      </c>
      <c r="BU250" s="39" t="str">
        <f t="shared" si="327"/>
        <v/>
      </c>
      <c r="BV250" s="39" t="str">
        <f t="shared" si="320"/>
        <v/>
      </c>
    </row>
    <row r="251" spans="1:74" ht="14.25" customHeight="1" x14ac:dyDescent="0.35">
      <c r="A251" s="294"/>
      <c r="B251" s="296"/>
      <c r="C251" s="298"/>
      <c r="D251" s="300"/>
      <c r="E251" s="302"/>
      <c r="F251" s="304"/>
      <c r="G251" s="276"/>
      <c r="H251" s="277"/>
      <c r="I251" s="290"/>
      <c r="J251" s="290"/>
      <c r="K251" s="291"/>
      <c r="L251" s="17"/>
      <c r="M251" s="286"/>
      <c r="N251" s="21"/>
      <c r="O251" s="286"/>
      <c r="P251" s="21"/>
      <c r="Q251" s="286"/>
      <c r="R251" s="248"/>
      <c r="S251" s="287"/>
      <c r="T251" s="248"/>
      <c r="U251" s="13"/>
      <c r="V251" s="282"/>
      <c r="W251" s="283"/>
      <c r="X251" s="284"/>
      <c r="Y251" s="245"/>
      <c r="Z251" s="245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BP251" s="391"/>
      <c r="BQ251" s="393"/>
      <c r="BS251" s="50" t="str">
        <f>Q484</f>
        <v/>
      </c>
      <c r="BT251" s="50" t="e">
        <f>#REF!</f>
        <v>#REF!</v>
      </c>
      <c r="BU251" s="39" t="str">
        <f t="shared" si="327"/>
        <v/>
      </c>
      <c r="BV251" s="39" t="str">
        <f t="shared" si="320"/>
        <v/>
      </c>
    </row>
    <row r="252" spans="1:74" ht="14.25" customHeight="1" x14ac:dyDescent="0.35">
      <c r="A252" s="293">
        <v>118</v>
      </c>
      <c r="B252" s="295"/>
      <c r="C252" s="297"/>
      <c r="D252" s="299"/>
      <c r="E252" s="301"/>
      <c r="F252" s="303"/>
      <c r="G252" s="288"/>
      <c r="H252" s="289"/>
      <c r="I252" s="290"/>
      <c r="J252" s="290"/>
      <c r="K252" s="291"/>
      <c r="L252" s="18"/>
      <c r="M252" s="285" t="str">
        <f t="shared" ref="M252" si="382">IF(COUNT(L252:L253)&lt;1,"",AVERAGE(L252:L253))</f>
        <v/>
      </c>
      <c r="N252" s="22"/>
      <c r="O252" s="285" t="str">
        <f t="shared" ref="O252" si="383">IF(COUNT(N252:N253)&lt;1,"",AVERAGE(N252:N253))</f>
        <v/>
      </c>
      <c r="P252" s="22"/>
      <c r="Q252" s="285" t="str">
        <f t="shared" ref="Q252" si="384">IF(COUNT(P252:P253)&lt;1,"",AVERAGE(P252:P253))</f>
        <v/>
      </c>
      <c r="R252" s="278" t="str">
        <f>IF($X$13="/28",IF(COUNT(P252:P253)&lt;=1,"",ABS(P252-P253)),IF($X$13="/90",IF(COUNT(#REF!)&lt;=1,"",ABS(#REF!-#REF!))))</f>
        <v/>
      </c>
      <c r="S252" s="278" t="str">
        <f>IF($X$13="/28",IF(Q252="","",IF(AVERAGE(Q248:Q253)&gt;=$W$13,ROUND(AVERAGE(Q248:Q253),1)&amp;" ≥ "&amp;$W$13&amp;" OK",ROUND(AVERAGE(Q248:Q253),1)&amp;" &lt; "&amp;$W$13&amp;" NC")),IF($X$13="/90",IF(#REF!="","",IF(AVERAGE(#REF!)&gt;=$W$13,ROUND(AVERAGE(#REF!),1)&amp;" ≥ "&amp;$W$13&amp;" OK",ROUND(AVERAGE(#REF!),1)&amp;" &lt; "&amp;$W$13&amp;" NC"))))</f>
        <v/>
      </c>
      <c r="T252" s="278" t="str">
        <f>IF($X$13="/28",IF(Q252="","",IF(Q252&gt;=$W$13-$S$12,ROUND((Q252),1)&amp;" ≥ "&amp;$W$13-$S$12&amp;" OK",ROUND((Q252),1)&amp;" &lt; "&amp;$W$13-$S$12&amp;" NC")),IF($X$13="/90",IF(#REF!="","",IF(#REF!&gt;=$W$13-$S$12,ROUND((#REF!),1)&amp;" ≥ "&amp;$W$13-$S$12&amp;" OK",ROUND((#REF!),1)&amp;" &lt; "&amp;$W$13-$S$12&amp;" NC"))))</f>
        <v/>
      </c>
      <c r="U252" s="14"/>
      <c r="V252" s="279"/>
      <c r="W252" s="280"/>
      <c r="X252" s="281"/>
      <c r="Y252" s="246"/>
      <c r="Z252" s="246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BP252" s="390" t="str">
        <f>IF($X$13="/28",IF(Q252="","",Q252),IF($X$13="/90",IF(#REF!="","",#REF!),"Falso"))</f>
        <v/>
      </c>
      <c r="BQ252" s="392" t="str">
        <f t="shared" si="346"/>
        <v/>
      </c>
      <c r="BS252" s="50" t="str">
        <f>Q486</f>
        <v/>
      </c>
      <c r="BT252" s="50" t="e">
        <f>#REF!</f>
        <v>#REF!</v>
      </c>
      <c r="BU252" s="39" t="str">
        <f t="shared" si="327"/>
        <v/>
      </c>
      <c r="BV252" s="39" t="str">
        <f t="shared" si="320"/>
        <v/>
      </c>
    </row>
    <row r="253" spans="1:74" ht="14.25" customHeight="1" x14ac:dyDescent="0.35">
      <c r="A253" s="294"/>
      <c r="B253" s="296"/>
      <c r="C253" s="298"/>
      <c r="D253" s="300"/>
      <c r="E253" s="302"/>
      <c r="F253" s="304"/>
      <c r="G253" s="276"/>
      <c r="H253" s="277"/>
      <c r="I253" s="290"/>
      <c r="J253" s="290"/>
      <c r="K253" s="291"/>
      <c r="L253" s="17"/>
      <c r="M253" s="286"/>
      <c r="N253" s="21"/>
      <c r="O253" s="286"/>
      <c r="P253" s="21"/>
      <c r="Q253" s="286"/>
      <c r="R253" s="248"/>
      <c r="S253" s="287"/>
      <c r="T253" s="248"/>
      <c r="U253" s="13"/>
      <c r="V253" s="282"/>
      <c r="W253" s="283"/>
      <c r="X253" s="284"/>
      <c r="Y253" s="245"/>
      <c r="Z253" s="245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BP253" s="391"/>
      <c r="BQ253" s="393"/>
      <c r="BS253" s="50" t="str">
        <f>Q488</f>
        <v/>
      </c>
      <c r="BT253" s="50" t="e">
        <f>#REF!</f>
        <v>#REF!</v>
      </c>
      <c r="BU253" s="39" t="str">
        <f t="shared" si="327"/>
        <v/>
      </c>
      <c r="BV253" s="39" t="str">
        <f t="shared" si="320"/>
        <v/>
      </c>
    </row>
    <row r="254" spans="1:74" ht="14.25" customHeight="1" x14ac:dyDescent="0.35">
      <c r="A254" s="293">
        <v>119</v>
      </c>
      <c r="B254" s="295"/>
      <c r="C254" s="297"/>
      <c r="D254" s="299"/>
      <c r="E254" s="301"/>
      <c r="F254" s="303"/>
      <c r="G254" s="288"/>
      <c r="H254" s="289"/>
      <c r="I254" s="290"/>
      <c r="J254" s="290"/>
      <c r="K254" s="291"/>
      <c r="L254" s="18"/>
      <c r="M254" s="285" t="str">
        <f t="shared" ref="M254" si="385">IF(COUNT(L254:L255)&lt;1,"",AVERAGE(L254:L255))</f>
        <v/>
      </c>
      <c r="N254" s="22"/>
      <c r="O254" s="285" t="str">
        <f t="shared" ref="O254" si="386">IF(COUNT(N254:N255)&lt;1,"",AVERAGE(N254:N255))</f>
        <v/>
      </c>
      <c r="P254" s="22"/>
      <c r="Q254" s="285" t="str">
        <f t="shared" ref="Q254" si="387">IF(COUNT(P254:P255)&lt;1,"",AVERAGE(P254:P255))</f>
        <v/>
      </c>
      <c r="R254" s="278" t="str">
        <f>IF($X$13="/28",IF(COUNT(P254:P255)&lt;=1,"",ABS(P254-P255)),IF($X$13="/90",IF(COUNT(#REF!)&lt;=1,"",ABS(#REF!-#REF!))))</f>
        <v/>
      </c>
      <c r="S254" s="278" t="str">
        <f>IF($X$13="/28",IF(Q254="","",IF(AVERAGE(Q250:Q255)&gt;=$W$13,ROUND(AVERAGE(Q250:Q255),1)&amp;" ≥ "&amp;$W$13&amp;" OK",ROUND(AVERAGE(Q250:Q255),1)&amp;" &lt; "&amp;$W$13&amp;" NC")),IF($X$13="/90",IF(#REF!="","",IF(AVERAGE(#REF!)&gt;=$W$13,ROUND(AVERAGE(#REF!),1)&amp;" ≥ "&amp;$W$13&amp;" OK",ROUND(AVERAGE(#REF!),1)&amp;" &lt; "&amp;$W$13&amp;" NC"))))</f>
        <v/>
      </c>
      <c r="T254" s="278" t="str">
        <f>IF($X$13="/28",IF(Q254="","",IF(Q254&gt;=$W$13-$S$12,ROUND((Q254),1)&amp;" ≥ "&amp;$W$13-$S$12&amp;" OK",ROUND((Q254),1)&amp;" &lt; "&amp;$W$13-$S$12&amp;" NC")),IF($X$13="/90",IF(#REF!="","",IF(#REF!&gt;=$W$13-$S$12,ROUND((#REF!),1)&amp;" ≥ "&amp;$W$13-$S$12&amp;" OK",ROUND((#REF!),1)&amp;" &lt; "&amp;$W$13-$S$12&amp;" NC"))))</f>
        <v/>
      </c>
      <c r="U254" s="14"/>
      <c r="V254" s="279"/>
      <c r="W254" s="280"/>
      <c r="X254" s="281"/>
      <c r="Y254" s="246"/>
      <c r="Z254" s="246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BP254" s="390" t="str">
        <f>IF($X$13="/28",IF(Q254="","",Q254),IF($X$13="/90",IF(#REF!="","",#REF!),"Falso"))</f>
        <v/>
      </c>
      <c r="BQ254" s="392" t="str">
        <f t="shared" si="350"/>
        <v/>
      </c>
      <c r="BS254" s="50" t="str">
        <f>Q490</f>
        <v/>
      </c>
      <c r="BT254" s="50" t="e">
        <f>#REF!</f>
        <v>#REF!</v>
      </c>
      <c r="BU254" s="39" t="str">
        <f t="shared" si="327"/>
        <v/>
      </c>
      <c r="BV254" s="39" t="str">
        <f t="shared" si="320"/>
        <v/>
      </c>
    </row>
    <row r="255" spans="1:74" ht="14.25" customHeight="1" x14ac:dyDescent="0.35">
      <c r="A255" s="294"/>
      <c r="B255" s="296"/>
      <c r="C255" s="298"/>
      <c r="D255" s="300"/>
      <c r="E255" s="302"/>
      <c r="F255" s="304"/>
      <c r="G255" s="276"/>
      <c r="H255" s="277"/>
      <c r="I255" s="290"/>
      <c r="J255" s="290"/>
      <c r="K255" s="291"/>
      <c r="L255" s="17"/>
      <c r="M255" s="286"/>
      <c r="N255" s="21"/>
      <c r="O255" s="286"/>
      <c r="P255" s="21"/>
      <c r="Q255" s="286"/>
      <c r="R255" s="248"/>
      <c r="S255" s="287"/>
      <c r="T255" s="248"/>
      <c r="U255" s="13"/>
      <c r="V255" s="282"/>
      <c r="W255" s="283"/>
      <c r="X255" s="284"/>
      <c r="Y255" s="245"/>
      <c r="Z255" s="245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BP255" s="391"/>
      <c r="BQ255" s="393"/>
      <c r="BS255" s="50" t="str">
        <f>Q492</f>
        <v/>
      </c>
      <c r="BT255" s="50" t="e">
        <f>#REF!</f>
        <v>#REF!</v>
      </c>
      <c r="BU255" s="39" t="str">
        <f t="shared" si="327"/>
        <v/>
      </c>
      <c r="BV255" s="39" t="str">
        <f t="shared" si="320"/>
        <v/>
      </c>
    </row>
    <row r="256" spans="1:74" ht="14.25" customHeight="1" x14ac:dyDescent="0.35">
      <c r="A256" s="293">
        <v>120</v>
      </c>
      <c r="B256" s="295"/>
      <c r="C256" s="297"/>
      <c r="D256" s="299"/>
      <c r="E256" s="301"/>
      <c r="F256" s="303"/>
      <c r="G256" s="288"/>
      <c r="H256" s="289"/>
      <c r="I256" s="290"/>
      <c r="J256" s="290"/>
      <c r="K256" s="291"/>
      <c r="L256" s="18"/>
      <c r="M256" s="285" t="str">
        <f t="shared" ref="M256" si="388">IF(COUNT(L256:L257)&lt;1,"",AVERAGE(L256:L257))</f>
        <v/>
      </c>
      <c r="N256" s="22"/>
      <c r="O256" s="285" t="str">
        <f t="shared" ref="O256" si="389">IF(COUNT(N256:N257)&lt;1,"",AVERAGE(N256:N257))</f>
        <v/>
      </c>
      <c r="P256" s="22"/>
      <c r="Q256" s="285" t="str">
        <f t="shared" ref="Q256" si="390">IF(COUNT(P256:P257)&lt;1,"",AVERAGE(P256:P257))</f>
        <v/>
      </c>
      <c r="R256" s="278" t="str">
        <f>IF($X$13="/28",IF(COUNT(P256:P257)&lt;=1,"",ABS(P256-P257)),IF($X$13="/90",IF(COUNT(#REF!)&lt;=1,"",ABS(#REF!-#REF!))))</f>
        <v/>
      </c>
      <c r="S256" s="278" t="str">
        <f>IF($X$13="/28",IF(Q256="","",IF(AVERAGE(Q252:Q257)&gt;=$W$13,ROUND(AVERAGE(Q252:Q257),1)&amp;" ≥ "&amp;$W$13&amp;" OK",ROUND(AVERAGE(Q252:Q257),1)&amp;" &lt; "&amp;$W$13&amp;" NC")),IF($X$13="/90",IF(#REF!="","",IF(AVERAGE(#REF!)&gt;=$W$13,ROUND(AVERAGE(#REF!),1)&amp;" ≥ "&amp;$W$13&amp;" OK",ROUND(AVERAGE(#REF!),1)&amp;" &lt; "&amp;$W$13&amp;" NC"))))</f>
        <v/>
      </c>
      <c r="T256" s="278" t="str">
        <f>IF($X$13="/28",IF(Q256="","",IF(Q256&gt;=$W$13-$S$12,ROUND((Q256),1)&amp;" ≥ "&amp;$W$13-$S$12&amp;" OK",ROUND((Q256),1)&amp;" &lt; "&amp;$W$13-$S$12&amp;" NC")),IF($X$13="/90",IF(#REF!="","",IF(#REF!&gt;=$W$13-$S$12,ROUND((#REF!),1)&amp;" ≥ "&amp;$W$13-$S$12&amp;" OK",ROUND((#REF!),1)&amp;" &lt; "&amp;$W$13-$S$12&amp;" NC"))))</f>
        <v/>
      </c>
      <c r="U256" s="14"/>
      <c r="V256" s="279"/>
      <c r="W256" s="280"/>
      <c r="X256" s="281"/>
      <c r="Y256" s="246"/>
      <c r="Z256" s="246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BP256" s="390" t="str">
        <f>IF($X$13="/28",IF(Q256="","",Q256),IF($X$13="/90",IF(#REF!="","",#REF!),"Falso"))</f>
        <v/>
      </c>
      <c r="BQ256" s="392" t="str">
        <f t="shared" si="354"/>
        <v/>
      </c>
      <c r="BS256" s="50" t="str">
        <f>Q494</f>
        <v/>
      </c>
      <c r="BT256" s="50" t="e">
        <f>#REF!</f>
        <v>#REF!</v>
      </c>
      <c r="BU256" s="39" t="str">
        <f t="shared" si="327"/>
        <v/>
      </c>
      <c r="BV256" s="39" t="str">
        <f t="shared" si="320"/>
        <v/>
      </c>
    </row>
    <row r="257" spans="1:74" ht="14.25" customHeight="1" thickBot="1" x14ac:dyDescent="0.4">
      <c r="A257" s="384"/>
      <c r="B257" s="385"/>
      <c r="C257" s="386"/>
      <c r="D257" s="387"/>
      <c r="E257" s="388"/>
      <c r="F257" s="389"/>
      <c r="G257" s="377"/>
      <c r="H257" s="378"/>
      <c r="I257" s="382"/>
      <c r="J257" s="382"/>
      <c r="K257" s="383"/>
      <c r="L257" s="19"/>
      <c r="M257" s="379"/>
      <c r="N257" s="23"/>
      <c r="O257" s="379"/>
      <c r="P257" s="23"/>
      <c r="Q257" s="379"/>
      <c r="R257" s="380"/>
      <c r="S257" s="381"/>
      <c r="T257" s="380"/>
      <c r="U257" s="15"/>
      <c r="V257" s="373"/>
      <c r="W257" s="374"/>
      <c r="X257" s="375"/>
      <c r="Y257" s="376"/>
      <c r="Z257" s="376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BP257" s="391"/>
      <c r="BQ257" s="393"/>
      <c r="BS257" s="50" t="str">
        <f>Q496</f>
        <v/>
      </c>
      <c r="BT257" s="50" t="e">
        <f>#REF!</f>
        <v>#REF!</v>
      </c>
      <c r="BU257" s="39" t="str">
        <f t="shared" si="327"/>
        <v/>
      </c>
      <c r="BV257" s="39" t="str">
        <f t="shared" si="320"/>
        <v/>
      </c>
    </row>
    <row r="258" spans="1:74" ht="14.25" customHeight="1" x14ac:dyDescent="0.35">
      <c r="A258" s="311">
        <v>121</v>
      </c>
      <c r="B258" s="312"/>
      <c r="C258" s="313"/>
      <c r="D258" s="314"/>
      <c r="E258" s="315"/>
      <c r="F258" s="353"/>
      <c r="G258" s="354"/>
      <c r="H258" s="355"/>
      <c r="I258" s="356"/>
      <c r="J258" s="356"/>
      <c r="K258" s="357"/>
      <c r="L258" s="16"/>
      <c r="M258" s="352" t="str">
        <f t="shared" ref="M258" si="391">IF(COUNT(L258:L259)&lt;1,"",AVERAGE(L258:L259))</f>
        <v/>
      </c>
      <c r="N258" s="20"/>
      <c r="O258" s="352" t="str">
        <f t="shared" ref="O258" si="392">IF(COUNT(N258:N259)&lt;1,"",AVERAGE(N258:N259))</f>
        <v/>
      </c>
      <c r="P258" s="20"/>
      <c r="Q258" s="352" t="str">
        <f t="shared" ref="Q258" si="393">IF(COUNT(P258:P259)&lt;1,"",AVERAGE(P258:P259))</f>
        <v/>
      </c>
      <c r="R258" s="247" t="str">
        <f>IF($X$13="/28",IF(COUNT(P258:P259)&lt;=1,"",ABS(P258-P259)),IF($X$13="/90",IF(COUNT(#REF!)&lt;=1,"",ABS(#REF!-#REF!))))</f>
        <v/>
      </c>
      <c r="S258" s="247" t="str">
        <f>IF($X$13="/28",IF(Q258="","",IF(AVERAGE(Q254:Q259)&gt;=$W$13,ROUND(AVERAGE(Q254:Q259),1)&amp;" ≥ "&amp;$W$13&amp;" OK",ROUND(AVERAGE(Q254:Q259),1)&amp;" &lt; "&amp;$W$13&amp;" NC")),IF($X$13="/90",IF(#REF!="","",IF(AVERAGE(#REF!)&gt;=$W$13,ROUND(AVERAGE(#REF!),1)&amp;" ≥ "&amp;$W$13&amp;" OK",ROUND(AVERAGE(#REF!),1)&amp;" &lt; "&amp;$W$13&amp;" NC"))))</f>
        <v/>
      </c>
      <c r="T258" s="247" t="str">
        <f>IF($X$13="/28",IF(Q258="","",IF(Q258&gt;=$W$13-$S$12,ROUND((Q258),1)&amp;" ≥ "&amp;$W$13-$S$12&amp;" OK",ROUND((Q258),1)&amp;" &lt; "&amp;$W$13-$S$12&amp;" NC")),IF($X$13="/90",IF(#REF!="","",IF(#REF!&gt;=$W$13-$S$12,ROUND((#REF!),1)&amp;" ≥ "&amp;$W$13-$S$12&amp;" OK",ROUND((#REF!),1)&amp;" &lt; "&amp;$W$13-$S$12&amp;" NC"))))</f>
        <v/>
      </c>
      <c r="U258" s="12"/>
      <c r="V258" s="349"/>
      <c r="W258" s="350"/>
      <c r="X258" s="351"/>
      <c r="Y258" s="244"/>
      <c r="Z258" s="244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BP258" s="390" t="str">
        <f>IF($X$13="/28",IF(Q258="","",Q258),IF($X$13="/90",IF(#REF!="","",#REF!),"Falso"))</f>
        <v/>
      </c>
      <c r="BQ258" s="392" t="str">
        <f t="shared" si="346"/>
        <v/>
      </c>
      <c r="BS258" s="50" t="str">
        <f>Q498</f>
        <v/>
      </c>
      <c r="BT258" s="50" t="e">
        <f>#REF!</f>
        <v>#REF!</v>
      </c>
      <c r="BU258" s="39" t="str">
        <f t="shared" si="327"/>
        <v/>
      </c>
      <c r="BV258" s="39" t="str">
        <f t="shared" si="320"/>
        <v/>
      </c>
    </row>
    <row r="259" spans="1:74" ht="14.25" customHeight="1" x14ac:dyDescent="0.35">
      <c r="A259" s="294"/>
      <c r="B259" s="296"/>
      <c r="C259" s="298"/>
      <c r="D259" s="300"/>
      <c r="E259" s="302"/>
      <c r="F259" s="304"/>
      <c r="G259" s="276"/>
      <c r="H259" s="277"/>
      <c r="I259" s="290"/>
      <c r="J259" s="290"/>
      <c r="K259" s="291"/>
      <c r="L259" s="17"/>
      <c r="M259" s="286"/>
      <c r="N259" s="21"/>
      <c r="O259" s="286"/>
      <c r="P259" s="21"/>
      <c r="Q259" s="286"/>
      <c r="R259" s="248"/>
      <c r="S259" s="248"/>
      <c r="T259" s="248"/>
      <c r="U259" s="13"/>
      <c r="V259" s="282"/>
      <c r="W259" s="283"/>
      <c r="X259" s="284"/>
      <c r="Y259" s="245"/>
      <c r="Z259" s="245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BP259" s="391"/>
      <c r="BQ259" s="393"/>
      <c r="BS259" s="50" t="str">
        <f>Q500</f>
        <v/>
      </c>
      <c r="BT259" s="50" t="e">
        <f>#REF!</f>
        <v>#REF!</v>
      </c>
      <c r="BU259" s="39" t="str">
        <f t="shared" si="327"/>
        <v/>
      </c>
      <c r="BV259" s="39" t="str">
        <f t="shared" si="320"/>
        <v/>
      </c>
    </row>
    <row r="260" spans="1:74" ht="14.25" customHeight="1" x14ac:dyDescent="0.35">
      <c r="A260" s="293">
        <v>122</v>
      </c>
      <c r="B260" s="295"/>
      <c r="C260" s="297"/>
      <c r="D260" s="299"/>
      <c r="E260" s="301"/>
      <c r="F260" s="303"/>
      <c r="G260" s="288"/>
      <c r="H260" s="289"/>
      <c r="I260" s="290"/>
      <c r="J260" s="290"/>
      <c r="K260" s="291"/>
      <c r="L260" s="18"/>
      <c r="M260" s="285" t="str">
        <f t="shared" ref="M260" si="394">IF(COUNT(L260:L261)&lt;1,"",AVERAGE(L260:L261))</f>
        <v/>
      </c>
      <c r="N260" s="22"/>
      <c r="O260" s="285" t="str">
        <f t="shared" ref="O260" si="395">IF(COUNT(N260:N261)&lt;1,"",AVERAGE(N260:N261))</f>
        <v/>
      </c>
      <c r="P260" s="22"/>
      <c r="Q260" s="285" t="str">
        <f t="shared" ref="Q260" si="396">IF(COUNT(P260:P261)&lt;1,"",AVERAGE(P260:P261))</f>
        <v/>
      </c>
      <c r="R260" s="278" t="str">
        <f>IF($X$13="/28",IF(COUNT(P260:P261)&lt;=1,"",ABS(P260-P261)),IF($X$13="/90",IF(COUNT(#REF!)&lt;=1,"",ABS(#REF!-#REF!))))</f>
        <v/>
      </c>
      <c r="S260" s="278" t="str">
        <f>IF($X$13="/28",IF(Q260="","",IF(AVERAGE(Q256:Q261)&gt;=$W$13,ROUND(AVERAGE(Q256:Q261),1)&amp;" ≥ "&amp;$W$13&amp;" OK",ROUND(AVERAGE(Q256:Q261),1)&amp;" &lt; "&amp;$W$13&amp;" NC")),IF($X$13="/90",IF(#REF!="","",IF(AVERAGE(#REF!)&gt;=$W$13,ROUND(AVERAGE(#REF!),1)&amp;" ≥ "&amp;$W$13&amp;" OK",ROUND(AVERAGE(#REF!),1)&amp;" &lt; "&amp;$W$13&amp;" NC"))))</f>
        <v/>
      </c>
      <c r="T260" s="278" t="str">
        <f>IF($X$13="/28",IF(Q260="","",IF(Q260&gt;=$W$13-$S$12,ROUND((Q260),1)&amp;" ≥ "&amp;$W$13-$S$12&amp;" OK",ROUND((Q260),1)&amp;" &lt; "&amp;$W$13-$S$12&amp;" NC")),IF($X$13="/90",IF(#REF!="","",IF(#REF!&gt;=$W$13-$S$12,ROUND((#REF!),1)&amp;" ≥ "&amp;$W$13-$S$12&amp;" OK",ROUND((#REF!),1)&amp;" &lt; "&amp;$W$13-$S$12&amp;" NC"))))</f>
        <v/>
      </c>
      <c r="U260" s="14"/>
      <c r="V260" s="279"/>
      <c r="W260" s="280"/>
      <c r="X260" s="281"/>
      <c r="Y260" s="246"/>
      <c r="Z260" s="246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BP260" s="390" t="str">
        <f>IF($X$13="/28",IF(Q260="","",Q260),IF($X$13="/90",IF(#REF!="","",#REF!),"Falso"))</f>
        <v/>
      </c>
      <c r="BQ260" s="392" t="str">
        <f t="shared" si="350"/>
        <v/>
      </c>
      <c r="BS260" s="50" t="str">
        <f>Q502</f>
        <v/>
      </c>
      <c r="BT260" s="50" t="e">
        <f>#REF!</f>
        <v>#REF!</v>
      </c>
      <c r="BU260" s="39" t="str">
        <f t="shared" si="327"/>
        <v/>
      </c>
      <c r="BV260" s="39" t="str">
        <f t="shared" si="320"/>
        <v/>
      </c>
    </row>
    <row r="261" spans="1:74" ht="14.25" customHeight="1" x14ac:dyDescent="0.35">
      <c r="A261" s="294"/>
      <c r="B261" s="296"/>
      <c r="C261" s="298"/>
      <c r="D261" s="300"/>
      <c r="E261" s="302"/>
      <c r="F261" s="304"/>
      <c r="G261" s="276"/>
      <c r="H261" s="277"/>
      <c r="I261" s="290"/>
      <c r="J261" s="290"/>
      <c r="K261" s="291"/>
      <c r="L261" s="17"/>
      <c r="M261" s="286"/>
      <c r="N261" s="21"/>
      <c r="O261" s="286"/>
      <c r="P261" s="21"/>
      <c r="Q261" s="286"/>
      <c r="R261" s="248"/>
      <c r="S261" s="248"/>
      <c r="T261" s="248"/>
      <c r="U261" s="13"/>
      <c r="V261" s="282"/>
      <c r="W261" s="283"/>
      <c r="X261" s="284"/>
      <c r="Y261" s="245"/>
      <c r="Z261" s="245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BP261" s="391"/>
      <c r="BQ261" s="393"/>
      <c r="BS261" s="50" t="str">
        <f>Q504</f>
        <v/>
      </c>
      <c r="BT261" s="50" t="e">
        <f>#REF!</f>
        <v>#REF!</v>
      </c>
      <c r="BU261" s="39" t="str">
        <f t="shared" si="327"/>
        <v/>
      </c>
      <c r="BV261" s="39" t="str">
        <f t="shared" si="320"/>
        <v/>
      </c>
    </row>
    <row r="262" spans="1:74" ht="14.25" customHeight="1" x14ac:dyDescent="0.35">
      <c r="A262" s="293">
        <v>123</v>
      </c>
      <c r="B262" s="295"/>
      <c r="C262" s="297"/>
      <c r="D262" s="299"/>
      <c r="E262" s="301"/>
      <c r="F262" s="303"/>
      <c r="G262" s="288"/>
      <c r="H262" s="289"/>
      <c r="I262" s="290"/>
      <c r="J262" s="290"/>
      <c r="K262" s="291"/>
      <c r="L262" s="18"/>
      <c r="M262" s="285" t="str">
        <f t="shared" ref="M262" si="397">IF(COUNT(L262:L263)&lt;1,"",AVERAGE(L262:L263))</f>
        <v/>
      </c>
      <c r="N262" s="22"/>
      <c r="O262" s="285" t="str">
        <f t="shared" ref="O262" si="398">IF(COUNT(N262:N263)&lt;1,"",AVERAGE(N262:N263))</f>
        <v/>
      </c>
      <c r="P262" s="22"/>
      <c r="Q262" s="285" t="str">
        <f t="shared" ref="Q262" si="399">IF(COUNT(P262:P263)&lt;1,"",AVERAGE(P262:P263))</f>
        <v/>
      </c>
      <c r="R262" s="278" t="str">
        <f>IF($X$13="/28",IF(COUNT(P262:P263)&lt;=1,"",ABS(P262-P263)),IF($X$13="/90",IF(COUNT(#REF!)&lt;=1,"",ABS(#REF!-#REF!))))</f>
        <v/>
      </c>
      <c r="S262" s="278" t="str">
        <f>IF($X$13="/28",IF(Q262="","",IF(AVERAGE(Q258:Q263)&gt;=$W$13,ROUND(AVERAGE(Q258:Q263),1)&amp;" ≥ "&amp;$W$13&amp;" OK",ROUND(AVERAGE(Q258:Q263),1)&amp;" &lt; "&amp;$W$13&amp;" NC")),IF($X$13="/90",IF(#REF!="","",IF(AVERAGE(#REF!)&gt;=$W$13,ROUND(AVERAGE(#REF!),1)&amp;" ≥ "&amp;$W$13&amp;" OK",ROUND(AVERAGE(#REF!),1)&amp;" &lt; "&amp;$W$13&amp;" NC"))))</f>
        <v/>
      </c>
      <c r="T262" s="278" t="str">
        <f>IF($X$13="/28",IF(Q262="","",IF(Q262&gt;=$W$13-$S$12,ROUND((Q262),1)&amp;" ≥ "&amp;$W$13-$S$12&amp;" OK",ROUND((Q262),1)&amp;" &lt; "&amp;$W$13-$S$12&amp;" NC")),IF($X$13="/90",IF(#REF!="","",IF(#REF!&gt;=$W$13-$S$12,ROUND((#REF!),1)&amp;" ≥ "&amp;$W$13-$S$12&amp;" OK",ROUND((#REF!),1)&amp;" &lt; "&amp;$W$13-$S$12&amp;" NC"))))</f>
        <v/>
      </c>
      <c r="U262" s="14"/>
      <c r="V262" s="279"/>
      <c r="W262" s="280"/>
      <c r="X262" s="281"/>
      <c r="Y262" s="246"/>
      <c r="Z262" s="246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BP262" s="390" t="str">
        <f>IF($X$13="/28",IF(Q262="","",Q262),IF($X$13="/90",IF(#REF!="","",#REF!),"Falso"))</f>
        <v/>
      </c>
      <c r="BQ262" s="392" t="str">
        <f t="shared" si="354"/>
        <v/>
      </c>
      <c r="BS262" s="50" t="str">
        <f>Q506</f>
        <v/>
      </c>
      <c r="BT262" s="50" t="e">
        <f>#REF!</f>
        <v>#REF!</v>
      </c>
      <c r="BU262" s="39" t="str">
        <f t="shared" si="327"/>
        <v/>
      </c>
      <c r="BV262" s="39" t="str">
        <f t="shared" si="320"/>
        <v/>
      </c>
    </row>
    <row r="263" spans="1:74" ht="14.25" customHeight="1" x14ac:dyDescent="0.35">
      <c r="A263" s="294"/>
      <c r="B263" s="296"/>
      <c r="C263" s="298"/>
      <c r="D263" s="300"/>
      <c r="E263" s="302"/>
      <c r="F263" s="304"/>
      <c r="G263" s="276"/>
      <c r="H263" s="277"/>
      <c r="I263" s="290"/>
      <c r="J263" s="290"/>
      <c r="K263" s="291"/>
      <c r="L263" s="17"/>
      <c r="M263" s="286"/>
      <c r="N263" s="21"/>
      <c r="O263" s="286"/>
      <c r="P263" s="21"/>
      <c r="Q263" s="286"/>
      <c r="R263" s="248"/>
      <c r="S263" s="287"/>
      <c r="T263" s="248"/>
      <c r="U263" s="13"/>
      <c r="V263" s="282"/>
      <c r="W263" s="283"/>
      <c r="X263" s="284"/>
      <c r="Y263" s="245"/>
      <c r="Z263" s="245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BP263" s="391"/>
      <c r="BQ263" s="393"/>
      <c r="BS263" s="50" t="str">
        <f>Q508</f>
        <v/>
      </c>
      <c r="BT263" s="50" t="e">
        <f>#REF!</f>
        <v>#REF!</v>
      </c>
      <c r="BU263" s="39" t="str">
        <f t="shared" si="327"/>
        <v/>
      </c>
      <c r="BV263" s="39" t="str">
        <f t="shared" si="320"/>
        <v/>
      </c>
    </row>
    <row r="264" spans="1:74" ht="14.25" customHeight="1" x14ac:dyDescent="0.35">
      <c r="A264" s="293">
        <v>124</v>
      </c>
      <c r="B264" s="295"/>
      <c r="C264" s="297"/>
      <c r="D264" s="299"/>
      <c r="E264" s="301"/>
      <c r="F264" s="303"/>
      <c r="G264" s="288"/>
      <c r="H264" s="289"/>
      <c r="I264" s="290"/>
      <c r="J264" s="290"/>
      <c r="K264" s="291"/>
      <c r="L264" s="18"/>
      <c r="M264" s="285" t="str">
        <f t="shared" ref="M264" si="400">IF(COUNT(L264:L265)&lt;1,"",AVERAGE(L264:L265))</f>
        <v/>
      </c>
      <c r="N264" s="22"/>
      <c r="O264" s="285" t="str">
        <f t="shared" ref="O264" si="401">IF(COUNT(N264:N265)&lt;1,"",AVERAGE(N264:N265))</f>
        <v/>
      </c>
      <c r="P264" s="22"/>
      <c r="Q264" s="285" t="str">
        <f t="shared" ref="Q264" si="402">IF(COUNT(P264:P265)&lt;1,"",AVERAGE(P264:P265))</f>
        <v/>
      </c>
      <c r="R264" s="278" t="str">
        <f>IF($X$13="/28",IF(COUNT(P264:P265)&lt;=1,"",ABS(P264-P265)),IF($X$13="/90",IF(COUNT(#REF!)&lt;=1,"",ABS(#REF!-#REF!))))</f>
        <v/>
      </c>
      <c r="S264" s="278" t="str">
        <f>IF($X$13="/28",IF(Q264="","",IF(AVERAGE(Q260:Q265)&gt;=$W$13,ROUND(AVERAGE(Q260:Q265),1)&amp;" ≥ "&amp;$W$13&amp;" OK",ROUND(AVERAGE(Q260:Q265),1)&amp;" &lt; "&amp;$W$13&amp;" NC")),IF($X$13="/90",IF(#REF!="","",IF(AVERAGE(#REF!)&gt;=$W$13,ROUND(AVERAGE(#REF!),1)&amp;" ≥ "&amp;$W$13&amp;" OK",ROUND(AVERAGE(#REF!),1)&amp;" &lt; "&amp;$W$13&amp;" NC"))))</f>
        <v/>
      </c>
      <c r="T264" s="278" t="str">
        <f>IF($X$13="/28",IF(Q264="","",IF(Q264&gt;=$W$13-$S$12,ROUND((Q264),1)&amp;" ≥ "&amp;$W$13-$S$12&amp;" OK",ROUND((Q264),1)&amp;" &lt; "&amp;$W$13-$S$12&amp;" NC")),IF($X$13="/90",IF(#REF!="","",IF(#REF!&gt;=$W$13-$S$12,ROUND((#REF!),1)&amp;" ≥ "&amp;$W$13-$S$12&amp;" OK",ROUND((#REF!),1)&amp;" &lt; "&amp;$W$13-$S$12&amp;" NC"))))</f>
        <v/>
      </c>
      <c r="U264" s="14"/>
      <c r="V264" s="279"/>
      <c r="W264" s="280"/>
      <c r="X264" s="281"/>
      <c r="Y264" s="246"/>
      <c r="Z264" s="246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BP264" s="390" t="str">
        <f>IF($X$13="/28",IF(Q264="","",Q264),IF($X$13="/90",IF(#REF!="","",#REF!),"Falso"))</f>
        <v/>
      </c>
      <c r="BQ264" s="392" t="str">
        <f t="shared" si="346"/>
        <v/>
      </c>
      <c r="BS264" s="50" t="str">
        <f>Q510</f>
        <v/>
      </c>
      <c r="BT264" s="50" t="e">
        <f>#REF!</f>
        <v>#REF!</v>
      </c>
      <c r="BU264" s="39" t="str">
        <f t="shared" si="327"/>
        <v/>
      </c>
      <c r="BV264" s="39" t="str">
        <f t="shared" si="320"/>
        <v/>
      </c>
    </row>
    <row r="265" spans="1:74" ht="14.25" customHeight="1" x14ac:dyDescent="0.35">
      <c r="A265" s="294"/>
      <c r="B265" s="296"/>
      <c r="C265" s="298"/>
      <c r="D265" s="300"/>
      <c r="E265" s="302"/>
      <c r="F265" s="304"/>
      <c r="G265" s="276"/>
      <c r="H265" s="277"/>
      <c r="I265" s="290"/>
      <c r="J265" s="290"/>
      <c r="K265" s="291"/>
      <c r="L265" s="17"/>
      <c r="M265" s="286"/>
      <c r="N265" s="21"/>
      <c r="O265" s="286"/>
      <c r="P265" s="21"/>
      <c r="Q265" s="286"/>
      <c r="R265" s="248"/>
      <c r="S265" s="287"/>
      <c r="T265" s="248"/>
      <c r="U265" s="13"/>
      <c r="V265" s="282"/>
      <c r="W265" s="283"/>
      <c r="X265" s="284"/>
      <c r="Y265" s="245"/>
      <c r="Z265" s="245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BP265" s="391"/>
      <c r="BQ265" s="393"/>
      <c r="BS265" s="50" t="str">
        <f>Q512</f>
        <v/>
      </c>
      <c r="BT265" s="50" t="e">
        <f>#REF!</f>
        <v>#REF!</v>
      </c>
      <c r="BU265" s="39" t="str">
        <f t="shared" si="327"/>
        <v/>
      </c>
      <c r="BV265" s="39" t="str">
        <f t="shared" si="320"/>
        <v/>
      </c>
    </row>
    <row r="266" spans="1:74" ht="14.25" customHeight="1" x14ac:dyDescent="0.35">
      <c r="A266" s="293">
        <v>125</v>
      </c>
      <c r="B266" s="295"/>
      <c r="C266" s="297"/>
      <c r="D266" s="299"/>
      <c r="E266" s="301"/>
      <c r="F266" s="303"/>
      <c r="G266" s="288"/>
      <c r="H266" s="289"/>
      <c r="I266" s="290"/>
      <c r="J266" s="290"/>
      <c r="K266" s="291"/>
      <c r="L266" s="18"/>
      <c r="M266" s="285" t="str">
        <f t="shared" ref="M266" si="403">IF(COUNT(L266:L267)&lt;1,"",AVERAGE(L266:L267))</f>
        <v/>
      </c>
      <c r="N266" s="22"/>
      <c r="O266" s="285" t="str">
        <f t="shared" ref="O266" si="404">IF(COUNT(N266:N267)&lt;1,"",AVERAGE(N266:N267))</f>
        <v/>
      </c>
      <c r="P266" s="22"/>
      <c r="Q266" s="285" t="str">
        <f t="shared" ref="Q266" si="405">IF(COUNT(P266:P267)&lt;1,"",AVERAGE(P266:P267))</f>
        <v/>
      </c>
      <c r="R266" s="278" t="str">
        <f>IF($X$13="/28",IF(COUNT(P266:P267)&lt;=1,"",ABS(P266-P267)),IF($X$13="/90",IF(COUNT(#REF!)&lt;=1,"",ABS(#REF!-#REF!))))</f>
        <v/>
      </c>
      <c r="S266" s="278" t="str">
        <f>IF($X$13="/28",IF(Q266="","",IF(AVERAGE(Q262:Q267)&gt;=$W$13,ROUND(AVERAGE(Q262:Q267),1)&amp;" ≥ "&amp;$W$13&amp;" OK",ROUND(AVERAGE(Q262:Q267),1)&amp;" &lt; "&amp;$W$13&amp;" NC")),IF($X$13="/90",IF(#REF!="","",IF(AVERAGE(#REF!)&gt;=$W$13,ROUND(AVERAGE(#REF!),1)&amp;" ≥ "&amp;$W$13&amp;" OK",ROUND(AVERAGE(#REF!),1)&amp;" &lt; "&amp;$W$13&amp;" NC"))))</f>
        <v/>
      </c>
      <c r="T266" s="278" t="str">
        <f>IF($X$13="/28",IF(Q266="","",IF(Q266&gt;=$W$13-$S$12,ROUND((Q266),1)&amp;" ≥ "&amp;$W$13-$S$12&amp;" OK",ROUND((Q266),1)&amp;" &lt; "&amp;$W$13-$S$12&amp;" NC")),IF($X$13="/90",IF(#REF!="","",IF(#REF!&gt;=$W$13-$S$12,ROUND((#REF!),1)&amp;" ≥ "&amp;$W$13-$S$12&amp;" OK",ROUND((#REF!),1)&amp;" &lt; "&amp;$W$13-$S$12&amp;" NC"))))</f>
        <v/>
      </c>
      <c r="U266" s="14"/>
      <c r="V266" s="279"/>
      <c r="W266" s="280"/>
      <c r="X266" s="281"/>
      <c r="Y266" s="246"/>
      <c r="Z266" s="246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BP266" s="390" t="str">
        <f>IF($X$13="/28",IF(Q266="","",Q266),IF($X$13="/90",IF(#REF!="","",#REF!),"Falso"))</f>
        <v/>
      </c>
      <c r="BQ266" s="392" t="str">
        <f t="shared" si="350"/>
        <v/>
      </c>
      <c r="BS266" s="50" t="str">
        <f>Q514</f>
        <v/>
      </c>
      <c r="BT266" s="50" t="e">
        <f>#REF!</f>
        <v>#REF!</v>
      </c>
      <c r="BU266" s="39" t="str">
        <f t="shared" si="327"/>
        <v/>
      </c>
      <c r="BV266" s="39" t="str">
        <f t="shared" si="320"/>
        <v/>
      </c>
    </row>
    <row r="267" spans="1:74" ht="14.25" customHeight="1" x14ac:dyDescent="0.35">
      <c r="A267" s="294"/>
      <c r="B267" s="296"/>
      <c r="C267" s="298"/>
      <c r="D267" s="300"/>
      <c r="E267" s="302"/>
      <c r="F267" s="304"/>
      <c r="G267" s="276"/>
      <c r="H267" s="277"/>
      <c r="I267" s="290"/>
      <c r="J267" s="290"/>
      <c r="K267" s="291"/>
      <c r="L267" s="17"/>
      <c r="M267" s="286"/>
      <c r="N267" s="21"/>
      <c r="O267" s="286"/>
      <c r="P267" s="21"/>
      <c r="Q267" s="286"/>
      <c r="R267" s="248"/>
      <c r="S267" s="287"/>
      <c r="T267" s="248"/>
      <c r="U267" s="13"/>
      <c r="V267" s="282"/>
      <c r="W267" s="283"/>
      <c r="X267" s="284"/>
      <c r="Y267" s="245"/>
      <c r="Z267" s="245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BP267" s="391"/>
      <c r="BQ267" s="393"/>
      <c r="BS267" s="50" t="str">
        <f>Q516</f>
        <v/>
      </c>
      <c r="BT267" s="50" t="e">
        <f>#REF!</f>
        <v>#REF!</v>
      </c>
      <c r="BU267" s="39" t="str">
        <f t="shared" si="327"/>
        <v/>
      </c>
      <c r="BV267" s="39" t="str">
        <f t="shared" si="320"/>
        <v/>
      </c>
    </row>
    <row r="268" spans="1:74" ht="14.25" customHeight="1" x14ac:dyDescent="0.35">
      <c r="A268" s="293">
        <v>126</v>
      </c>
      <c r="B268" s="295"/>
      <c r="C268" s="297"/>
      <c r="D268" s="299"/>
      <c r="E268" s="301"/>
      <c r="F268" s="303"/>
      <c r="G268" s="288"/>
      <c r="H268" s="289"/>
      <c r="I268" s="290"/>
      <c r="J268" s="290"/>
      <c r="K268" s="291"/>
      <c r="L268" s="18"/>
      <c r="M268" s="285" t="str">
        <f t="shared" ref="M268" si="406">IF(COUNT(L268:L269)&lt;1,"",AVERAGE(L268:L269))</f>
        <v/>
      </c>
      <c r="N268" s="22"/>
      <c r="O268" s="285" t="str">
        <f t="shared" ref="O268" si="407">IF(COUNT(N268:N269)&lt;1,"",AVERAGE(N268:N269))</f>
        <v/>
      </c>
      <c r="P268" s="22"/>
      <c r="Q268" s="285" t="str">
        <f t="shared" ref="Q268" si="408">IF(COUNT(P268:P269)&lt;1,"",AVERAGE(P268:P269))</f>
        <v/>
      </c>
      <c r="R268" s="278" t="str">
        <f>IF($X$13="/28",IF(COUNT(P268:P269)&lt;=1,"",ABS(P268-P269)),IF($X$13="/90",IF(COUNT(#REF!)&lt;=1,"",ABS(#REF!-#REF!))))</f>
        <v/>
      </c>
      <c r="S268" s="278" t="str">
        <f>IF($X$13="/28",IF(Q268="","",IF(AVERAGE(Q264:Q269)&gt;=$W$13,ROUND(AVERAGE(Q264:Q269),1)&amp;" ≥ "&amp;$W$13&amp;" OK",ROUND(AVERAGE(Q264:Q269),1)&amp;" &lt; "&amp;$W$13&amp;" NC")),IF($X$13="/90",IF(#REF!="","",IF(AVERAGE(#REF!)&gt;=$W$13,ROUND(AVERAGE(#REF!),1)&amp;" ≥ "&amp;$W$13&amp;" OK",ROUND(AVERAGE(#REF!),1)&amp;" &lt; "&amp;$W$13&amp;" NC"))))</f>
        <v/>
      </c>
      <c r="T268" s="278" t="str">
        <f>IF($X$13="/28",IF(Q268="","",IF(Q268&gt;=$W$13-$S$12,ROUND((Q268),1)&amp;" ≥ "&amp;$W$13-$S$12&amp;" OK",ROUND((Q268),1)&amp;" &lt; "&amp;$W$13-$S$12&amp;" NC")),IF($X$13="/90",IF(#REF!="","",IF(#REF!&gt;=$W$13-$S$12,ROUND((#REF!),1)&amp;" ≥ "&amp;$W$13-$S$12&amp;" OK",ROUND((#REF!),1)&amp;" &lt; "&amp;$W$13-$S$12&amp;" NC"))))</f>
        <v/>
      </c>
      <c r="U268" s="14"/>
      <c r="V268" s="279"/>
      <c r="W268" s="280"/>
      <c r="X268" s="281"/>
      <c r="Y268" s="246"/>
      <c r="Z268" s="246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BP268" s="390" t="str">
        <f>IF($X$13="/28",IF(Q268="","",Q268),IF($X$13="/90",IF(#REF!="","",#REF!),"Falso"))</f>
        <v/>
      </c>
      <c r="BQ268" s="392" t="str">
        <f t="shared" si="354"/>
        <v/>
      </c>
      <c r="BS268" s="50" t="str">
        <f>Q518</f>
        <v/>
      </c>
      <c r="BT268" s="50" t="e">
        <f>#REF!</f>
        <v>#REF!</v>
      </c>
      <c r="BU268" s="39" t="str">
        <f t="shared" si="327"/>
        <v/>
      </c>
      <c r="BV268" s="39" t="str">
        <f t="shared" si="320"/>
        <v/>
      </c>
    </row>
    <row r="269" spans="1:74" ht="14.25" customHeight="1" x14ac:dyDescent="0.35">
      <c r="A269" s="294"/>
      <c r="B269" s="296"/>
      <c r="C269" s="298"/>
      <c r="D269" s="300"/>
      <c r="E269" s="302"/>
      <c r="F269" s="304"/>
      <c r="G269" s="276"/>
      <c r="H269" s="277"/>
      <c r="I269" s="290"/>
      <c r="J269" s="290"/>
      <c r="K269" s="291"/>
      <c r="L269" s="17"/>
      <c r="M269" s="286"/>
      <c r="N269" s="21"/>
      <c r="O269" s="286"/>
      <c r="P269" s="21"/>
      <c r="Q269" s="286"/>
      <c r="R269" s="248"/>
      <c r="S269" s="287"/>
      <c r="T269" s="248"/>
      <c r="U269" s="13"/>
      <c r="V269" s="282"/>
      <c r="W269" s="283"/>
      <c r="X269" s="284"/>
      <c r="Y269" s="245"/>
      <c r="Z269" s="245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BP269" s="391"/>
      <c r="BQ269" s="393"/>
      <c r="BS269" s="50" t="str">
        <f>Q520</f>
        <v/>
      </c>
      <c r="BT269" s="50" t="e">
        <f>#REF!</f>
        <v>#REF!</v>
      </c>
      <c r="BU269" s="39" t="str">
        <f t="shared" si="327"/>
        <v/>
      </c>
      <c r="BV269" s="39" t="str">
        <f t="shared" si="320"/>
        <v/>
      </c>
    </row>
    <row r="270" spans="1:74" ht="14.25" customHeight="1" x14ac:dyDescent="0.35">
      <c r="A270" s="293">
        <v>127</v>
      </c>
      <c r="B270" s="295"/>
      <c r="C270" s="297"/>
      <c r="D270" s="299"/>
      <c r="E270" s="301"/>
      <c r="F270" s="303"/>
      <c r="G270" s="288"/>
      <c r="H270" s="289"/>
      <c r="I270" s="290"/>
      <c r="J270" s="290"/>
      <c r="K270" s="291"/>
      <c r="L270" s="18"/>
      <c r="M270" s="285" t="str">
        <f t="shared" ref="M270" si="409">IF(COUNT(L270:L271)&lt;1,"",AVERAGE(L270:L271))</f>
        <v/>
      </c>
      <c r="N270" s="22"/>
      <c r="O270" s="285" t="str">
        <f t="shared" ref="O270" si="410">IF(COUNT(N270:N271)&lt;1,"",AVERAGE(N270:N271))</f>
        <v/>
      </c>
      <c r="P270" s="22"/>
      <c r="Q270" s="285" t="str">
        <f t="shared" ref="Q270" si="411">IF(COUNT(P270:P271)&lt;1,"",AVERAGE(P270:P271))</f>
        <v/>
      </c>
      <c r="R270" s="278" t="str">
        <f>IF($X$13="/28",IF(COUNT(P270:P271)&lt;=1,"",ABS(P270-P271)),IF($X$13="/90",IF(COUNT(#REF!)&lt;=1,"",ABS(#REF!-#REF!))))</f>
        <v/>
      </c>
      <c r="S270" s="278" t="str">
        <f>IF($X$13="/28",IF(Q270="","",IF(AVERAGE(Q266:Q271)&gt;=$W$13,ROUND(AVERAGE(Q266:Q271),1)&amp;" ≥ "&amp;$W$13&amp;" OK",ROUND(AVERAGE(Q266:Q271),1)&amp;" &lt; "&amp;$W$13&amp;" NC")),IF($X$13="/90",IF(#REF!="","",IF(AVERAGE(#REF!)&gt;=$W$13,ROUND(AVERAGE(#REF!),1)&amp;" ≥ "&amp;$W$13&amp;" OK",ROUND(AVERAGE(#REF!),1)&amp;" &lt; "&amp;$W$13&amp;" NC"))))</f>
        <v/>
      </c>
      <c r="T270" s="278" t="str">
        <f>IF($X$13="/28",IF(Q270="","",IF(Q270&gt;=$W$13-$S$12,ROUND((Q270),1)&amp;" ≥ "&amp;$W$13-$S$12&amp;" OK",ROUND((Q270),1)&amp;" &lt; "&amp;$W$13-$S$12&amp;" NC")),IF($X$13="/90",IF(#REF!="","",IF(#REF!&gt;=$W$13-$S$12,ROUND((#REF!),1)&amp;" ≥ "&amp;$W$13-$S$12&amp;" OK",ROUND((#REF!),1)&amp;" &lt; "&amp;$W$13-$S$12&amp;" NC"))))</f>
        <v/>
      </c>
      <c r="U270" s="14"/>
      <c r="V270" s="279"/>
      <c r="W270" s="280"/>
      <c r="X270" s="281"/>
      <c r="Y270" s="246"/>
      <c r="Z270" s="246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BP270" s="390" t="str">
        <f>IF($X$13="/28",IF(Q270="","",Q270),IF($X$13="/90",IF(#REF!="","",#REF!),"Falso"))</f>
        <v/>
      </c>
      <c r="BQ270" s="392" t="str">
        <f t="shared" si="346"/>
        <v/>
      </c>
      <c r="BS270" s="50" t="str">
        <f>Q522</f>
        <v/>
      </c>
      <c r="BT270" s="50" t="e">
        <f>#REF!</f>
        <v>#REF!</v>
      </c>
      <c r="BU270" s="39" t="str">
        <f t="shared" si="327"/>
        <v/>
      </c>
      <c r="BV270" s="39" t="str">
        <f t="shared" si="320"/>
        <v/>
      </c>
    </row>
    <row r="271" spans="1:74" ht="14.25" customHeight="1" x14ac:dyDescent="0.35">
      <c r="A271" s="294"/>
      <c r="B271" s="296"/>
      <c r="C271" s="298"/>
      <c r="D271" s="300"/>
      <c r="E271" s="302"/>
      <c r="F271" s="304"/>
      <c r="G271" s="276"/>
      <c r="H271" s="277"/>
      <c r="I271" s="290"/>
      <c r="J271" s="290"/>
      <c r="K271" s="291"/>
      <c r="L271" s="17"/>
      <c r="M271" s="286"/>
      <c r="N271" s="21"/>
      <c r="O271" s="286"/>
      <c r="P271" s="21"/>
      <c r="Q271" s="286"/>
      <c r="R271" s="248"/>
      <c r="S271" s="287"/>
      <c r="T271" s="248"/>
      <c r="U271" s="13"/>
      <c r="V271" s="282"/>
      <c r="W271" s="283"/>
      <c r="X271" s="284"/>
      <c r="Y271" s="245"/>
      <c r="Z271" s="245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BP271" s="391"/>
      <c r="BQ271" s="393"/>
      <c r="BS271" s="50" t="str">
        <f>Q524</f>
        <v/>
      </c>
      <c r="BT271" s="50" t="e">
        <f>#REF!</f>
        <v>#REF!</v>
      </c>
      <c r="BU271" s="39" t="str">
        <f t="shared" si="327"/>
        <v/>
      </c>
      <c r="BV271" s="39" t="str">
        <f t="shared" si="320"/>
        <v/>
      </c>
    </row>
    <row r="272" spans="1:74" ht="14.25" customHeight="1" x14ac:dyDescent="0.35">
      <c r="A272" s="293">
        <v>128</v>
      </c>
      <c r="B272" s="295"/>
      <c r="C272" s="297"/>
      <c r="D272" s="299"/>
      <c r="E272" s="301"/>
      <c r="F272" s="303"/>
      <c r="G272" s="288"/>
      <c r="H272" s="289"/>
      <c r="I272" s="290"/>
      <c r="J272" s="290"/>
      <c r="K272" s="291"/>
      <c r="L272" s="18"/>
      <c r="M272" s="285" t="str">
        <f t="shared" ref="M272" si="412">IF(COUNT(L272:L273)&lt;1,"",AVERAGE(L272:L273))</f>
        <v/>
      </c>
      <c r="N272" s="22"/>
      <c r="O272" s="285" t="str">
        <f t="shared" ref="O272" si="413">IF(COUNT(N272:N273)&lt;1,"",AVERAGE(N272:N273))</f>
        <v/>
      </c>
      <c r="P272" s="22"/>
      <c r="Q272" s="285" t="str">
        <f t="shared" ref="Q272" si="414">IF(COUNT(P272:P273)&lt;1,"",AVERAGE(P272:P273))</f>
        <v/>
      </c>
      <c r="R272" s="278" t="str">
        <f>IF($X$13="/28",IF(COUNT(P272:P273)&lt;=1,"",ABS(P272-P273)),IF($X$13="/90",IF(COUNT(#REF!)&lt;=1,"",ABS(#REF!-#REF!))))</f>
        <v/>
      </c>
      <c r="S272" s="278" t="str">
        <f>IF($X$13="/28",IF(Q272="","",IF(AVERAGE(Q268:Q273)&gt;=$W$13,ROUND(AVERAGE(Q268:Q273),1)&amp;" ≥ "&amp;$W$13&amp;" OK",ROUND(AVERAGE(Q268:Q273),1)&amp;" &lt; "&amp;$W$13&amp;" NC")),IF($X$13="/90",IF(#REF!="","",IF(AVERAGE(#REF!)&gt;=$W$13,ROUND(AVERAGE(#REF!),1)&amp;" ≥ "&amp;$W$13&amp;" OK",ROUND(AVERAGE(#REF!),1)&amp;" &lt; "&amp;$W$13&amp;" NC"))))</f>
        <v/>
      </c>
      <c r="T272" s="278" t="str">
        <f>IF($X$13="/28",IF(Q272="","",IF(Q272&gt;=$W$13-$S$12,ROUND((Q272),1)&amp;" ≥ "&amp;$W$13-$S$12&amp;" OK",ROUND((Q272),1)&amp;" &lt; "&amp;$W$13-$S$12&amp;" NC")),IF($X$13="/90",IF(#REF!="","",IF(#REF!&gt;=$W$13-$S$12,ROUND((#REF!),1)&amp;" ≥ "&amp;$W$13-$S$12&amp;" OK",ROUND((#REF!),1)&amp;" &lt; "&amp;$W$13-$S$12&amp;" NC"))))</f>
        <v/>
      </c>
      <c r="U272" s="14"/>
      <c r="V272" s="279"/>
      <c r="W272" s="280"/>
      <c r="X272" s="281"/>
      <c r="Y272" s="246"/>
      <c r="Z272" s="246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BP272" s="390" t="str">
        <f>IF($X$13="/28",IF(Q272="","",Q272),IF($X$13="/90",IF(#REF!="","",#REF!),"Falso"))</f>
        <v/>
      </c>
      <c r="BQ272" s="392" t="str">
        <f t="shared" si="350"/>
        <v/>
      </c>
      <c r="BS272" s="50" t="str">
        <f>Q526</f>
        <v/>
      </c>
      <c r="BT272" s="50" t="e">
        <f>#REF!</f>
        <v>#REF!</v>
      </c>
      <c r="BU272" s="39" t="str">
        <f t="shared" si="327"/>
        <v/>
      </c>
      <c r="BV272" s="39" t="str">
        <f t="shared" si="320"/>
        <v/>
      </c>
    </row>
    <row r="273" spans="1:74" ht="14.25" customHeight="1" x14ac:dyDescent="0.35">
      <c r="A273" s="294"/>
      <c r="B273" s="296"/>
      <c r="C273" s="298"/>
      <c r="D273" s="300"/>
      <c r="E273" s="302"/>
      <c r="F273" s="304"/>
      <c r="G273" s="276"/>
      <c r="H273" s="277"/>
      <c r="I273" s="290"/>
      <c r="J273" s="290"/>
      <c r="K273" s="291"/>
      <c r="L273" s="17"/>
      <c r="M273" s="286"/>
      <c r="N273" s="21"/>
      <c r="O273" s="286"/>
      <c r="P273" s="21"/>
      <c r="Q273" s="286"/>
      <c r="R273" s="248"/>
      <c r="S273" s="287"/>
      <c r="T273" s="248"/>
      <c r="U273" s="13"/>
      <c r="V273" s="282"/>
      <c r="W273" s="283"/>
      <c r="X273" s="284"/>
      <c r="Y273" s="245"/>
      <c r="Z273" s="245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BP273" s="391"/>
      <c r="BQ273" s="393"/>
      <c r="BS273" s="50" t="str">
        <f>Q528</f>
        <v/>
      </c>
      <c r="BT273" s="50" t="e">
        <f>#REF!</f>
        <v>#REF!</v>
      </c>
      <c r="BU273" s="39" t="str">
        <f t="shared" si="327"/>
        <v/>
      </c>
      <c r="BV273" s="39" t="str">
        <f t="shared" si="320"/>
        <v/>
      </c>
    </row>
    <row r="274" spans="1:74" ht="14.25" customHeight="1" x14ac:dyDescent="0.35">
      <c r="A274" s="293">
        <v>129</v>
      </c>
      <c r="B274" s="295"/>
      <c r="C274" s="297"/>
      <c r="D274" s="299"/>
      <c r="E274" s="301"/>
      <c r="F274" s="303"/>
      <c r="G274" s="288"/>
      <c r="H274" s="289"/>
      <c r="I274" s="290"/>
      <c r="J274" s="290"/>
      <c r="K274" s="291"/>
      <c r="L274" s="18"/>
      <c r="M274" s="285" t="str">
        <f t="shared" ref="M274" si="415">IF(COUNT(L274:L275)&lt;1,"",AVERAGE(L274:L275))</f>
        <v/>
      </c>
      <c r="N274" s="22"/>
      <c r="O274" s="285" t="str">
        <f t="shared" ref="O274" si="416">IF(COUNT(N274:N275)&lt;1,"",AVERAGE(N274:N275))</f>
        <v/>
      </c>
      <c r="P274" s="22"/>
      <c r="Q274" s="285" t="str">
        <f t="shared" ref="Q274" si="417">IF(COUNT(P274:P275)&lt;1,"",AVERAGE(P274:P275))</f>
        <v/>
      </c>
      <c r="R274" s="278" t="str">
        <f>IF($X$13="/28",IF(COUNT(P274:P275)&lt;=1,"",ABS(P274-P275)),IF($X$13="/90",IF(COUNT(#REF!)&lt;=1,"",ABS(#REF!-#REF!))))</f>
        <v/>
      </c>
      <c r="S274" s="278" t="str">
        <f>IF($X$13="/28",IF(Q274="","",IF(AVERAGE(Q270:Q275)&gt;=$W$13,ROUND(AVERAGE(Q270:Q275),1)&amp;" ≥ "&amp;$W$13&amp;" OK",ROUND(AVERAGE(Q270:Q275),1)&amp;" &lt; "&amp;$W$13&amp;" NC")),IF($X$13="/90",IF(#REF!="","",IF(AVERAGE(#REF!)&gt;=$W$13,ROUND(AVERAGE(#REF!),1)&amp;" ≥ "&amp;$W$13&amp;" OK",ROUND(AVERAGE(#REF!),1)&amp;" &lt; "&amp;$W$13&amp;" NC"))))</f>
        <v/>
      </c>
      <c r="T274" s="278" t="str">
        <f>IF($X$13="/28",IF(Q274="","",IF(Q274&gt;=$W$13-$S$12,ROUND((Q274),1)&amp;" ≥ "&amp;$W$13-$S$12&amp;" OK",ROUND((Q274),1)&amp;" &lt; "&amp;$W$13-$S$12&amp;" NC")),IF($X$13="/90",IF(#REF!="","",IF(#REF!&gt;=$W$13-$S$12,ROUND((#REF!),1)&amp;" ≥ "&amp;$W$13-$S$12&amp;" OK",ROUND((#REF!),1)&amp;" &lt; "&amp;$W$13-$S$12&amp;" NC"))))</f>
        <v/>
      </c>
      <c r="U274" s="14"/>
      <c r="V274" s="279"/>
      <c r="W274" s="280"/>
      <c r="X274" s="281"/>
      <c r="Y274" s="246"/>
      <c r="Z274" s="246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BP274" s="390" t="str">
        <f>IF($X$13="/28",IF(Q274="","",Q274),IF($X$13="/90",IF(#REF!="","",#REF!),"Falso"))</f>
        <v/>
      </c>
      <c r="BQ274" s="392" t="str">
        <f t="shared" si="354"/>
        <v/>
      </c>
      <c r="BS274" s="50" t="str">
        <f>Q530</f>
        <v/>
      </c>
      <c r="BT274" s="50" t="e">
        <f>#REF!</f>
        <v>#REF!</v>
      </c>
      <c r="BU274" s="39" t="str">
        <f t="shared" si="327"/>
        <v/>
      </c>
      <c r="BV274" s="39" t="str">
        <f t="shared" si="320"/>
        <v/>
      </c>
    </row>
    <row r="275" spans="1:74" ht="14.25" customHeight="1" x14ac:dyDescent="0.35">
      <c r="A275" s="294"/>
      <c r="B275" s="296"/>
      <c r="C275" s="298"/>
      <c r="D275" s="300"/>
      <c r="E275" s="302"/>
      <c r="F275" s="304"/>
      <c r="G275" s="276"/>
      <c r="H275" s="277"/>
      <c r="I275" s="290"/>
      <c r="J275" s="290"/>
      <c r="K275" s="291"/>
      <c r="L275" s="17"/>
      <c r="M275" s="286"/>
      <c r="N275" s="21"/>
      <c r="O275" s="286"/>
      <c r="P275" s="21"/>
      <c r="Q275" s="286"/>
      <c r="R275" s="248"/>
      <c r="S275" s="287"/>
      <c r="T275" s="248"/>
      <c r="U275" s="13"/>
      <c r="V275" s="282"/>
      <c r="W275" s="283"/>
      <c r="X275" s="284"/>
      <c r="Y275" s="245"/>
      <c r="Z275" s="245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BP275" s="391"/>
      <c r="BQ275" s="393"/>
      <c r="BS275" s="50" t="str">
        <f>Q532</f>
        <v/>
      </c>
      <c r="BT275" s="50" t="e">
        <f>#REF!</f>
        <v>#REF!</v>
      </c>
      <c r="BU275" s="39" t="str">
        <f t="shared" si="327"/>
        <v/>
      </c>
      <c r="BV275" s="39" t="str">
        <f t="shared" si="320"/>
        <v/>
      </c>
    </row>
    <row r="276" spans="1:74" ht="14.25" customHeight="1" x14ac:dyDescent="0.35">
      <c r="A276" s="293">
        <v>130</v>
      </c>
      <c r="B276" s="295"/>
      <c r="C276" s="297"/>
      <c r="D276" s="299"/>
      <c r="E276" s="301"/>
      <c r="F276" s="303"/>
      <c r="G276" s="288"/>
      <c r="H276" s="289"/>
      <c r="I276" s="290"/>
      <c r="J276" s="290"/>
      <c r="K276" s="291"/>
      <c r="L276" s="18"/>
      <c r="M276" s="285" t="str">
        <f t="shared" ref="M276" si="418">IF(COUNT(L276:L277)&lt;1,"",AVERAGE(L276:L277))</f>
        <v/>
      </c>
      <c r="N276" s="22"/>
      <c r="O276" s="285" t="str">
        <f t="shared" ref="O276" si="419">IF(COUNT(N276:N277)&lt;1,"",AVERAGE(N276:N277))</f>
        <v/>
      </c>
      <c r="P276" s="22"/>
      <c r="Q276" s="285" t="str">
        <f t="shared" ref="Q276" si="420">IF(COUNT(P276:P277)&lt;1,"",AVERAGE(P276:P277))</f>
        <v/>
      </c>
      <c r="R276" s="278" t="str">
        <f>IF($X$13="/28",IF(COUNT(P276:P277)&lt;=1,"",ABS(P276-P277)),IF($X$13="/90",IF(COUNT(#REF!)&lt;=1,"",ABS(#REF!-#REF!))))</f>
        <v/>
      </c>
      <c r="S276" s="278" t="str">
        <f>IF($X$13="/28",IF(Q276="","",IF(AVERAGE(Q272:Q277)&gt;=$W$13,ROUND(AVERAGE(Q272:Q277),1)&amp;" ≥ "&amp;$W$13&amp;" OK",ROUND(AVERAGE(Q272:Q277),1)&amp;" &lt; "&amp;$W$13&amp;" NC")),IF($X$13="/90",IF(#REF!="","",IF(AVERAGE(#REF!)&gt;=$W$13,ROUND(AVERAGE(#REF!),1)&amp;" ≥ "&amp;$W$13&amp;" OK",ROUND(AVERAGE(#REF!),1)&amp;" &lt; "&amp;$W$13&amp;" NC"))))</f>
        <v/>
      </c>
      <c r="T276" s="278" t="str">
        <f>IF($X$13="/28",IF(Q276="","",IF(Q276&gt;=$W$13-$S$12,ROUND((Q276),1)&amp;" ≥ "&amp;$W$13-$S$12&amp;" OK",ROUND((Q276),1)&amp;" &lt; "&amp;$W$13-$S$12&amp;" NC")),IF($X$13="/90",IF(#REF!="","",IF(#REF!&gt;=$W$13-$S$12,ROUND((#REF!),1)&amp;" ≥ "&amp;$W$13-$S$12&amp;" OK",ROUND((#REF!),1)&amp;" &lt; "&amp;$W$13-$S$12&amp;" NC"))))</f>
        <v/>
      </c>
      <c r="U276" s="14"/>
      <c r="V276" s="279"/>
      <c r="W276" s="280"/>
      <c r="X276" s="281"/>
      <c r="Y276" s="246"/>
      <c r="Z276" s="246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BP276" s="390" t="str">
        <f>IF($X$13="/28",IF(Q276="","",Q276),IF($X$13="/90",IF(#REF!="","",#REF!),"Falso"))</f>
        <v/>
      </c>
      <c r="BQ276" s="392" t="str">
        <f t="shared" si="346"/>
        <v/>
      </c>
      <c r="BS276" s="50" t="str">
        <f>Q534</f>
        <v/>
      </c>
      <c r="BT276" s="50" t="e">
        <f>#REF!</f>
        <v>#REF!</v>
      </c>
      <c r="BU276" s="39" t="str">
        <f t="shared" si="327"/>
        <v/>
      </c>
      <c r="BV276" s="39" t="str">
        <f t="shared" ref="BV276:BV339" si="421">IF(BU276="","",BV275+1)</f>
        <v/>
      </c>
    </row>
    <row r="277" spans="1:74" ht="14.25" customHeight="1" x14ac:dyDescent="0.35">
      <c r="A277" s="294"/>
      <c r="B277" s="296"/>
      <c r="C277" s="298"/>
      <c r="D277" s="300"/>
      <c r="E277" s="302"/>
      <c r="F277" s="304"/>
      <c r="G277" s="276"/>
      <c r="H277" s="277"/>
      <c r="I277" s="290"/>
      <c r="J277" s="290"/>
      <c r="K277" s="291"/>
      <c r="L277" s="17"/>
      <c r="M277" s="286"/>
      <c r="N277" s="21"/>
      <c r="O277" s="286"/>
      <c r="P277" s="21"/>
      <c r="Q277" s="286"/>
      <c r="R277" s="248"/>
      <c r="S277" s="287"/>
      <c r="T277" s="248"/>
      <c r="U277" s="13"/>
      <c r="V277" s="282"/>
      <c r="W277" s="283"/>
      <c r="X277" s="284"/>
      <c r="Y277" s="245"/>
      <c r="Z277" s="245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BP277" s="391"/>
      <c r="BQ277" s="393"/>
      <c r="BS277" s="50" t="str">
        <f>Q536</f>
        <v/>
      </c>
      <c r="BT277" s="50" t="e">
        <f>#REF!</f>
        <v>#REF!</v>
      </c>
      <c r="BU277" s="39" t="str">
        <f t="shared" si="327"/>
        <v/>
      </c>
      <c r="BV277" s="39" t="str">
        <f t="shared" si="421"/>
        <v/>
      </c>
    </row>
    <row r="278" spans="1:74" ht="14.25" customHeight="1" x14ac:dyDescent="0.35">
      <c r="A278" s="293">
        <v>131</v>
      </c>
      <c r="B278" s="295"/>
      <c r="C278" s="297"/>
      <c r="D278" s="299"/>
      <c r="E278" s="301"/>
      <c r="F278" s="303"/>
      <c r="G278" s="288"/>
      <c r="H278" s="289"/>
      <c r="I278" s="290"/>
      <c r="J278" s="290"/>
      <c r="K278" s="291"/>
      <c r="L278" s="18"/>
      <c r="M278" s="285" t="str">
        <f t="shared" ref="M278" si="422">IF(COUNT(L278:L279)&lt;1,"",AVERAGE(L278:L279))</f>
        <v/>
      </c>
      <c r="N278" s="22"/>
      <c r="O278" s="285" t="str">
        <f t="shared" ref="O278" si="423">IF(COUNT(N278:N279)&lt;1,"",AVERAGE(N278:N279))</f>
        <v/>
      </c>
      <c r="P278" s="22"/>
      <c r="Q278" s="285" t="str">
        <f t="shared" ref="Q278" si="424">IF(COUNT(P278:P279)&lt;1,"",AVERAGE(P278:P279))</f>
        <v/>
      </c>
      <c r="R278" s="278" t="str">
        <f>IF($X$13="/28",IF(COUNT(P278:P279)&lt;=1,"",ABS(P278-P279)),IF($X$13="/90",IF(COUNT(#REF!)&lt;=1,"",ABS(#REF!-#REF!))))</f>
        <v/>
      </c>
      <c r="S278" s="278" t="str">
        <f>IF($X$13="/28",IF(Q278="","",IF(AVERAGE(Q274:Q279)&gt;=$W$13,ROUND(AVERAGE(Q274:Q279),1)&amp;" ≥ "&amp;$W$13&amp;" OK",ROUND(AVERAGE(Q274:Q279),1)&amp;" &lt; "&amp;$W$13&amp;" NC")),IF($X$13="/90",IF(#REF!="","",IF(AVERAGE(#REF!)&gt;=$W$13,ROUND(AVERAGE(#REF!),1)&amp;" ≥ "&amp;$W$13&amp;" OK",ROUND(AVERAGE(#REF!),1)&amp;" &lt; "&amp;$W$13&amp;" NC"))))</f>
        <v/>
      </c>
      <c r="T278" s="278" t="str">
        <f>IF($X$13="/28",IF(Q278="","",IF(Q278&gt;=$W$13-$S$12,ROUND((Q278),1)&amp;" ≥ "&amp;$W$13-$S$12&amp;" OK",ROUND((Q278),1)&amp;" &lt; "&amp;$W$13-$S$12&amp;" NC")),IF($X$13="/90",IF(#REF!="","",IF(#REF!&gt;=$W$13-$S$12,ROUND((#REF!),1)&amp;" ≥ "&amp;$W$13-$S$12&amp;" OK",ROUND((#REF!),1)&amp;" &lt; "&amp;$W$13-$S$12&amp;" NC"))))</f>
        <v/>
      </c>
      <c r="U278" s="14"/>
      <c r="V278" s="279"/>
      <c r="W278" s="280"/>
      <c r="X278" s="281"/>
      <c r="Y278" s="246"/>
      <c r="Z278" s="246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BP278" s="390" t="str">
        <f>IF($X$13="/28",IF(Q278="","",Q278),IF($X$13="/90",IF(#REF!="","",#REF!),"Falso"))</f>
        <v/>
      </c>
      <c r="BQ278" s="392" t="str">
        <f t="shared" si="350"/>
        <v/>
      </c>
      <c r="BS278" s="50" t="str">
        <f>Q538</f>
        <v/>
      </c>
      <c r="BT278" s="50" t="e">
        <f>#REF!</f>
        <v>#REF!</v>
      </c>
      <c r="BU278" s="39" t="str">
        <f t="shared" si="327"/>
        <v/>
      </c>
      <c r="BV278" s="39" t="str">
        <f t="shared" si="421"/>
        <v/>
      </c>
    </row>
    <row r="279" spans="1:74" ht="14.25" customHeight="1" x14ac:dyDescent="0.35">
      <c r="A279" s="294"/>
      <c r="B279" s="296"/>
      <c r="C279" s="298"/>
      <c r="D279" s="300"/>
      <c r="E279" s="302"/>
      <c r="F279" s="304"/>
      <c r="G279" s="276"/>
      <c r="H279" s="277"/>
      <c r="I279" s="290"/>
      <c r="J279" s="290"/>
      <c r="K279" s="291"/>
      <c r="L279" s="17"/>
      <c r="M279" s="286"/>
      <c r="N279" s="21"/>
      <c r="O279" s="286"/>
      <c r="P279" s="21"/>
      <c r="Q279" s="286"/>
      <c r="R279" s="248"/>
      <c r="S279" s="287"/>
      <c r="T279" s="248"/>
      <c r="U279" s="13"/>
      <c r="V279" s="282"/>
      <c r="W279" s="283"/>
      <c r="X279" s="284"/>
      <c r="Y279" s="245"/>
      <c r="Z279" s="245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BP279" s="391"/>
      <c r="BQ279" s="393"/>
      <c r="BS279" s="50" t="str">
        <f>Q540</f>
        <v/>
      </c>
      <c r="BT279" s="50" t="e">
        <f>#REF!</f>
        <v>#REF!</v>
      </c>
      <c r="BU279" s="39" t="str">
        <f t="shared" si="327"/>
        <v/>
      </c>
      <c r="BV279" s="39" t="str">
        <f t="shared" si="421"/>
        <v/>
      </c>
    </row>
    <row r="280" spans="1:74" ht="14.25" customHeight="1" x14ac:dyDescent="0.35">
      <c r="A280" s="293">
        <v>132</v>
      </c>
      <c r="B280" s="295"/>
      <c r="C280" s="297"/>
      <c r="D280" s="299"/>
      <c r="E280" s="301"/>
      <c r="F280" s="303"/>
      <c r="G280" s="288"/>
      <c r="H280" s="289"/>
      <c r="I280" s="290"/>
      <c r="J280" s="290"/>
      <c r="K280" s="291"/>
      <c r="L280" s="18"/>
      <c r="M280" s="285" t="str">
        <f t="shared" ref="M280" si="425">IF(COUNT(L280:L281)&lt;1,"",AVERAGE(L280:L281))</f>
        <v/>
      </c>
      <c r="N280" s="22"/>
      <c r="O280" s="285" t="str">
        <f t="shared" ref="O280" si="426">IF(COUNT(N280:N281)&lt;1,"",AVERAGE(N280:N281))</f>
        <v/>
      </c>
      <c r="P280" s="22"/>
      <c r="Q280" s="285" t="str">
        <f t="shared" ref="Q280" si="427">IF(COUNT(P280:P281)&lt;1,"",AVERAGE(P280:P281))</f>
        <v/>
      </c>
      <c r="R280" s="278" t="str">
        <f>IF($X$13="/28",IF(COUNT(P280:P281)&lt;=1,"",ABS(P280-P281)),IF($X$13="/90",IF(COUNT(#REF!)&lt;=1,"",ABS(#REF!-#REF!))))</f>
        <v/>
      </c>
      <c r="S280" s="278" t="str">
        <f>IF($X$13="/28",IF(Q280="","",IF(AVERAGE(Q276:Q281)&gt;=$W$13,ROUND(AVERAGE(Q276:Q281),1)&amp;" ≥ "&amp;$W$13&amp;" OK",ROUND(AVERAGE(Q276:Q281),1)&amp;" &lt; "&amp;$W$13&amp;" NC")),IF($X$13="/90",IF(#REF!="","",IF(AVERAGE(#REF!)&gt;=$W$13,ROUND(AVERAGE(#REF!),1)&amp;" ≥ "&amp;$W$13&amp;" OK",ROUND(AVERAGE(#REF!),1)&amp;" &lt; "&amp;$W$13&amp;" NC"))))</f>
        <v/>
      </c>
      <c r="T280" s="278" t="str">
        <f>IF($X$13="/28",IF(Q280="","",IF(Q280&gt;=$W$13-$S$12,ROUND((Q280),1)&amp;" ≥ "&amp;$W$13-$S$12&amp;" OK",ROUND((Q280),1)&amp;" &lt; "&amp;$W$13-$S$12&amp;" NC")),IF($X$13="/90",IF(#REF!="","",IF(#REF!&gt;=$W$13-$S$12,ROUND((#REF!),1)&amp;" ≥ "&amp;$W$13-$S$12&amp;" OK",ROUND((#REF!),1)&amp;" &lt; "&amp;$W$13-$S$12&amp;" NC"))))</f>
        <v/>
      </c>
      <c r="U280" s="14"/>
      <c r="V280" s="279"/>
      <c r="W280" s="280"/>
      <c r="X280" s="281"/>
      <c r="Y280" s="246"/>
      <c r="Z280" s="246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BP280" s="390" t="str">
        <f>IF($X$13="/28",IF(Q280="","",Q280),IF($X$13="/90",IF(#REF!="","",#REF!),"Falso"))</f>
        <v/>
      </c>
      <c r="BQ280" s="392" t="str">
        <f t="shared" si="354"/>
        <v/>
      </c>
      <c r="BS280" s="50" t="str">
        <f>Q542</f>
        <v/>
      </c>
      <c r="BT280" s="50" t="e">
        <f>#REF!</f>
        <v>#REF!</v>
      </c>
      <c r="BU280" s="39" t="str">
        <f t="shared" ref="BU280:BU343" si="428">IF($X$13="/28",IF(BS280="","",BS280),IF($X$13="/90",IF(BT280="","",BT280),"Falso"))</f>
        <v/>
      </c>
      <c r="BV280" s="39" t="str">
        <f t="shared" si="421"/>
        <v/>
      </c>
    </row>
    <row r="281" spans="1:74" ht="14.25" customHeight="1" x14ac:dyDescent="0.35">
      <c r="A281" s="294"/>
      <c r="B281" s="296"/>
      <c r="C281" s="298"/>
      <c r="D281" s="300"/>
      <c r="E281" s="302"/>
      <c r="F281" s="304"/>
      <c r="G281" s="276"/>
      <c r="H281" s="277"/>
      <c r="I281" s="290"/>
      <c r="J281" s="290"/>
      <c r="K281" s="291"/>
      <c r="L281" s="17"/>
      <c r="M281" s="286"/>
      <c r="N281" s="21"/>
      <c r="O281" s="286"/>
      <c r="P281" s="21"/>
      <c r="Q281" s="286"/>
      <c r="R281" s="248"/>
      <c r="S281" s="287"/>
      <c r="T281" s="248"/>
      <c r="U281" s="13"/>
      <c r="V281" s="282"/>
      <c r="W281" s="283"/>
      <c r="X281" s="284"/>
      <c r="Y281" s="245"/>
      <c r="Z281" s="245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BP281" s="391"/>
      <c r="BQ281" s="393"/>
      <c r="BS281" s="50" t="str">
        <f>Q544</f>
        <v/>
      </c>
      <c r="BT281" s="50" t="e">
        <f>#REF!</f>
        <v>#REF!</v>
      </c>
      <c r="BU281" s="39" t="str">
        <f t="shared" si="428"/>
        <v/>
      </c>
      <c r="BV281" s="39" t="str">
        <f t="shared" si="421"/>
        <v/>
      </c>
    </row>
    <row r="282" spans="1:74" ht="14.25" customHeight="1" x14ac:dyDescent="0.35">
      <c r="A282" s="293">
        <v>133</v>
      </c>
      <c r="B282" s="295"/>
      <c r="C282" s="297"/>
      <c r="D282" s="299"/>
      <c r="E282" s="301"/>
      <c r="F282" s="303"/>
      <c r="G282" s="288"/>
      <c r="H282" s="289"/>
      <c r="I282" s="290"/>
      <c r="J282" s="290"/>
      <c r="K282" s="291"/>
      <c r="L282" s="18"/>
      <c r="M282" s="285" t="str">
        <f t="shared" ref="M282" si="429">IF(COUNT(L282:L283)&lt;1,"",AVERAGE(L282:L283))</f>
        <v/>
      </c>
      <c r="N282" s="22"/>
      <c r="O282" s="285" t="str">
        <f t="shared" ref="O282" si="430">IF(COUNT(N282:N283)&lt;1,"",AVERAGE(N282:N283))</f>
        <v/>
      </c>
      <c r="P282" s="22"/>
      <c r="Q282" s="285" t="str">
        <f t="shared" ref="Q282" si="431">IF(COUNT(P282:P283)&lt;1,"",AVERAGE(P282:P283))</f>
        <v/>
      </c>
      <c r="R282" s="278" t="str">
        <f>IF($X$13="/28",IF(COUNT(P282:P283)&lt;=1,"",ABS(P282-P283)),IF($X$13="/90",IF(COUNT(#REF!)&lt;=1,"",ABS(#REF!-#REF!))))</f>
        <v/>
      </c>
      <c r="S282" s="278" t="str">
        <f>IF($X$13="/28",IF(Q282="","",IF(AVERAGE(Q278:Q283)&gt;=$W$13,ROUND(AVERAGE(Q278:Q283),1)&amp;" ≥ "&amp;$W$13&amp;" OK",ROUND(AVERAGE(Q278:Q283),1)&amp;" &lt; "&amp;$W$13&amp;" NC")),IF($X$13="/90",IF(#REF!="","",IF(AVERAGE(#REF!)&gt;=$W$13,ROUND(AVERAGE(#REF!),1)&amp;" ≥ "&amp;$W$13&amp;" OK",ROUND(AVERAGE(#REF!),1)&amp;" &lt; "&amp;$W$13&amp;" NC"))))</f>
        <v/>
      </c>
      <c r="T282" s="278" t="str">
        <f>IF($X$13="/28",IF(Q282="","",IF(Q282&gt;=$W$13-$S$12,ROUND((Q282),1)&amp;" ≥ "&amp;$W$13-$S$12&amp;" OK",ROUND((Q282),1)&amp;" &lt; "&amp;$W$13-$S$12&amp;" NC")),IF($X$13="/90",IF(#REF!="","",IF(#REF!&gt;=$W$13-$S$12,ROUND((#REF!),1)&amp;" ≥ "&amp;$W$13-$S$12&amp;" OK",ROUND((#REF!),1)&amp;" &lt; "&amp;$W$13-$S$12&amp;" NC"))))</f>
        <v/>
      </c>
      <c r="U282" s="14"/>
      <c r="V282" s="279"/>
      <c r="W282" s="280"/>
      <c r="X282" s="281"/>
      <c r="Y282" s="246"/>
      <c r="Z282" s="246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BP282" s="390" t="str">
        <f>IF($X$13="/28",IF(Q282="","",Q282),IF($X$13="/90",IF(#REF!="","",#REF!),"Falso"))</f>
        <v/>
      </c>
      <c r="BQ282" s="392" t="str">
        <f t="shared" si="346"/>
        <v/>
      </c>
      <c r="BS282" s="50" t="str">
        <f>Q546</f>
        <v/>
      </c>
      <c r="BT282" s="50" t="e">
        <f>#REF!</f>
        <v>#REF!</v>
      </c>
      <c r="BU282" s="39" t="str">
        <f t="shared" si="428"/>
        <v/>
      </c>
      <c r="BV282" s="39" t="str">
        <f t="shared" si="421"/>
        <v/>
      </c>
    </row>
    <row r="283" spans="1:74" ht="14.25" customHeight="1" x14ac:dyDescent="0.35">
      <c r="A283" s="294"/>
      <c r="B283" s="296"/>
      <c r="C283" s="298"/>
      <c r="D283" s="300"/>
      <c r="E283" s="302"/>
      <c r="F283" s="304"/>
      <c r="G283" s="276"/>
      <c r="H283" s="277"/>
      <c r="I283" s="290"/>
      <c r="J283" s="290"/>
      <c r="K283" s="291"/>
      <c r="L283" s="17"/>
      <c r="M283" s="286"/>
      <c r="N283" s="21"/>
      <c r="O283" s="286"/>
      <c r="P283" s="21"/>
      <c r="Q283" s="286"/>
      <c r="R283" s="248"/>
      <c r="S283" s="287"/>
      <c r="T283" s="248"/>
      <c r="U283" s="13"/>
      <c r="V283" s="282"/>
      <c r="W283" s="283"/>
      <c r="X283" s="284"/>
      <c r="Y283" s="245"/>
      <c r="Z283" s="245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BP283" s="391"/>
      <c r="BQ283" s="393"/>
      <c r="BS283" s="50" t="str">
        <f>Q548</f>
        <v/>
      </c>
      <c r="BT283" s="50" t="e">
        <f>#REF!</f>
        <v>#REF!</v>
      </c>
      <c r="BU283" s="39" t="str">
        <f t="shared" si="428"/>
        <v/>
      </c>
      <c r="BV283" s="39" t="str">
        <f t="shared" si="421"/>
        <v/>
      </c>
    </row>
    <row r="284" spans="1:74" ht="14.25" customHeight="1" x14ac:dyDescent="0.35">
      <c r="A284" s="293">
        <v>134</v>
      </c>
      <c r="B284" s="295"/>
      <c r="C284" s="297"/>
      <c r="D284" s="299"/>
      <c r="E284" s="301"/>
      <c r="F284" s="303"/>
      <c r="G284" s="288"/>
      <c r="H284" s="289"/>
      <c r="I284" s="290"/>
      <c r="J284" s="290"/>
      <c r="K284" s="291"/>
      <c r="L284" s="18"/>
      <c r="M284" s="285" t="str">
        <f t="shared" ref="M284" si="432">IF(COUNT(L284:L285)&lt;1,"",AVERAGE(L284:L285))</f>
        <v/>
      </c>
      <c r="N284" s="22"/>
      <c r="O284" s="285" t="str">
        <f t="shared" ref="O284" si="433">IF(COUNT(N284:N285)&lt;1,"",AVERAGE(N284:N285))</f>
        <v/>
      </c>
      <c r="P284" s="22"/>
      <c r="Q284" s="285" t="str">
        <f t="shared" ref="Q284" si="434">IF(COUNT(P284:P285)&lt;1,"",AVERAGE(P284:P285))</f>
        <v/>
      </c>
      <c r="R284" s="278" t="str">
        <f>IF($X$13="/28",IF(COUNT(P284:P285)&lt;=1,"",ABS(P284-P285)),IF($X$13="/90",IF(COUNT(#REF!)&lt;=1,"",ABS(#REF!-#REF!))))</f>
        <v/>
      </c>
      <c r="S284" s="278" t="str">
        <f>IF($X$13="/28",IF(Q284="","",IF(AVERAGE(Q280:Q285)&gt;=$W$13,ROUND(AVERAGE(Q280:Q285),1)&amp;" ≥ "&amp;$W$13&amp;" OK",ROUND(AVERAGE(Q280:Q285),1)&amp;" &lt; "&amp;$W$13&amp;" NC")),IF($X$13="/90",IF(#REF!="","",IF(AVERAGE(#REF!)&gt;=$W$13,ROUND(AVERAGE(#REF!),1)&amp;" ≥ "&amp;$W$13&amp;" OK",ROUND(AVERAGE(#REF!),1)&amp;" &lt; "&amp;$W$13&amp;" NC"))))</f>
        <v/>
      </c>
      <c r="T284" s="278" t="str">
        <f>IF($X$13="/28",IF(Q284="","",IF(Q284&gt;=$W$13-$S$12,ROUND((Q284),1)&amp;" ≥ "&amp;$W$13-$S$12&amp;" OK",ROUND((Q284),1)&amp;" &lt; "&amp;$W$13-$S$12&amp;" NC")),IF($X$13="/90",IF(#REF!="","",IF(#REF!&gt;=$W$13-$S$12,ROUND((#REF!),1)&amp;" ≥ "&amp;$W$13-$S$12&amp;" OK",ROUND((#REF!),1)&amp;" &lt; "&amp;$W$13-$S$12&amp;" NC"))))</f>
        <v/>
      </c>
      <c r="U284" s="14"/>
      <c r="V284" s="279"/>
      <c r="W284" s="280"/>
      <c r="X284" s="281"/>
      <c r="Y284" s="246"/>
      <c r="Z284" s="246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BP284" s="390" t="str">
        <f>IF($X$13="/28",IF(Q284="","",Q284),IF($X$13="/90",IF(#REF!="","",#REF!),"Falso"))</f>
        <v/>
      </c>
      <c r="BQ284" s="392" t="str">
        <f t="shared" si="350"/>
        <v/>
      </c>
      <c r="BS284" s="50" t="str">
        <f>Q550</f>
        <v/>
      </c>
      <c r="BT284" s="50" t="e">
        <f>#REF!</f>
        <v>#REF!</v>
      </c>
      <c r="BU284" s="39" t="str">
        <f t="shared" si="428"/>
        <v/>
      </c>
      <c r="BV284" s="39" t="str">
        <f t="shared" si="421"/>
        <v/>
      </c>
    </row>
    <row r="285" spans="1:74" ht="14.25" customHeight="1" x14ac:dyDescent="0.35">
      <c r="A285" s="294"/>
      <c r="B285" s="296"/>
      <c r="C285" s="298"/>
      <c r="D285" s="300"/>
      <c r="E285" s="302"/>
      <c r="F285" s="304"/>
      <c r="G285" s="276"/>
      <c r="H285" s="277"/>
      <c r="I285" s="290"/>
      <c r="J285" s="290"/>
      <c r="K285" s="291"/>
      <c r="L285" s="17"/>
      <c r="M285" s="286"/>
      <c r="N285" s="21"/>
      <c r="O285" s="286"/>
      <c r="P285" s="21"/>
      <c r="Q285" s="286"/>
      <c r="R285" s="248"/>
      <c r="S285" s="287"/>
      <c r="T285" s="248"/>
      <c r="U285" s="13"/>
      <c r="V285" s="282"/>
      <c r="W285" s="283"/>
      <c r="X285" s="284"/>
      <c r="Y285" s="245"/>
      <c r="Z285" s="245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BP285" s="391"/>
      <c r="BQ285" s="393"/>
      <c r="BS285" s="50" t="str">
        <f>Q552</f>
        <v/>
      </c>
      <c r="BT285" s="50" t="e">
        <f>#REF!</f>
        <v>#REF!</v>
      </c>
      <c r="BU285" s="39" t="str">
        <f t="shared" si="428"/>
        <v/>
      </c>
      <c r="BV285" s="39" t="str">
        <f t="shared" si="421"/>
        <v/>
      </c>
    </row>
    <row r="286" spans="1:74" ht="14.25" customHeight="1" x14ac:dyDescent="0.35">
      <c r="A286" s="293">
        <v>135</v>
      </c>
      <c r="B286" s="295"/>
      <c r="C286" s="297"/>
      <c r="D286" s="299"/>
      <c r="E286" s="301"/>
      <c r="F286" s="303"/>
      <c r="G286" s="288"/>
      <c r="H286" s="289"/>
      <c r="I286" s="290"/>
      <c r="J286" s="290"/>
      <c r="K286" s="291"/>
      <c r="L286" s="18"/>
      <c r="M286" s="285" t="str">
        <f t="shared" ref="M286" si="435">IF(COUNT(L286:L287)&lt;1,"",AVERAGE(L286:L287))</f>
        <v/>
      </c>
      <c r="N286" s="22"/>
      <c r="O286" s="285" t="str">
        <f t="shared" ref="O286" si="436">IF(COUNT(N286:N287)&lt;1,"",AVERAGE(N286:N287))</f>
        <v/>
      </c>
      <c r="P286" s="22"/>
      <c r="Q286" s="285" t="str">
        <f t="shared" ref="Q286" si="437">IF(COUNT(P286:P287)&lt;1,"",AVERAGE(P286:P287))</f>
        <v/>
      </c>
      <c r="R286" s="278" t="str">
        <f>IF($X$13="/28",IF(COUNT(P286:P287)&lt;=1,"",ABS(P286-P287)),IF($X$13="/90",IF(COUNT(#REF!)&lt;=1,"",ABS(#REF!-#REF!))))</f>
        <v/>
      </c>
      <c r="S286" s="278" t="str">
        <f>IF($X$13="/28",IF(Q286="","",IF(AVERAGE(Q282:Q287)&gt;=$W$13,ROUND(AVERAGE(Q282:Q287),1)&amp;" ≥ "&amp;$W$13&amp;" OK",ROUND(AVERAGE(Q282:Q287),1)&amp;" &lt; "&amp;$W$13&amp;" NC")),IF($X$13="/90",IF(#REF!="","",IF(AVERAGE(#REF!)&gt;=$W$13,ROUND(AVERAGE(#REF!),1)&amp;" ≥ "&amp;$W$13&amp;" OK",ROUND(AVERAGE(#REF!),1)&amp;" &lt; "&amp;$W$13&amp;" NC"))))</f>
        <v/>
      </c>
      <c r="T286" s="278" t="str">
        <f>IF($X$13="/28",IF(Q286="","",IF(Q286&gt;=$W$13-$S$12,ROUND((Q286),1)&amp;" ≥ "&amp;$W$13-$S$12&amp;" OK",ROUND((Q286),1)&amp;" &lt; "&amp;$W$13-$S$12&amp;" NC")),IF($X$13="/90",IF(#REF!="","",IF(#REF!&gt;=$W$13-$S$12,ROUND((#REF!),1)&amp;" ≥ "&amp;$W$13-$S$12&amp;" OK",ROUND((#REF!),1)&amp;" &lt; "&amp;$W$13-$S$12&amp;" NC"))))</f>
        <v/>
      </c>
      <c r="U286" s="14"/>
      <c r="V286" s="279"/>
      <c r="W286" s="280"/>
      <c r="X286" s="281"/>
      <c r="Y286" s="246"/>
      <c r="Z286" s="246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BP286" s="390" t="str">
        <f>IF($X$13="/28",IF(Q286="","",Q286),IF($X$13="/90",IF(#REF!="","",#REF!),"Falso"))</f>
        <v/>
      </c>
      <c r="BQ286" s="392" t="str">
        <f t="shared" si="354"/>
        <v/>
      </c>
      <c r="BS286" s="50" t="str">
        <f>Q554</f>
        <v/>
      </c>
      <c r="BT286" s="50" t="e">
        <f>#REF!</f>
        <v>#REF!</v>
      </c>
      <c r="BU286" s="39" t="str">
        <f t="shared" si="428"/>
        <v/>
      </c>
      <c r="BV286" s="39" t="str">
        <f t="shared" si="421"/>
        <v/>
      </c>
    </row>
    <row r="287" spans="1:74" ht="14.25" customHeight="1" x14ac:dyDescent="0.35">
      <c r="A287" s="294"/>
      <c r="B287" s="296"/>
      <c r="C287" s="298"/>
      <c r="D287" s="300"/>
      <c r="E287" s="302"/>
      <c r="F287" s="304"/>
      <c r="G287" s="276"/>
      <c r="H287" s="277"/>
      <c r="I287" s="290"/>
      <c r="J287" s="290"/>
      <c r="K287" s="291"/>
      <c r="L287" s="17"/>
      <c r="M287" s="286"/>
      <c r="N287" s="21"/>
      <c r="O287" s="286"/>
      <c r="P287" s="21"/>
      <c r="Q287" s="286"/>
      <c r="R287" s="248"/>
      <c r="S287" s="287"/>
      <c r="T287" s="248"/>
      <c r="U287" s="13"/>
      <c r="V287" s="282"/>
      <c r="W287" s="283"/>
      <c r="X287" s="284"/>
      <c r="Y287" s="245"/>
      <c r="Z287" s="245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BP287" s="391"/>
      <c r="BQ287" s="393"/>
      <c r="BS287" s="50" t="str">
        <f>Q556</f>
        <v/>
      </c>
      <c r="BT287" s="50" t="e">
        <f>#REF!</f>
        <v>#REF!</v>
      </c>
      <c r="BU287" s="39" t="str">
        <f t="shared" si="428"/>
        <v/>
      </c>
      <c r="BV287" s="39" t="str">
        <f t="shared" si="421"/>
        <v/>
      </c>
    </row>
    <row r="288" spans="1:74" ht="14.25" customHeight="1" x14ac:dyDescent="0.35">
      <c r="A288" s="293">
        <v>136</v>
      </c>
      <c r="B288" s="295"/>
      <c r="C288" s="297"/>
      <c r="D288" s="299"/>
      <c r="E288" s="301"/>
      <c r="F288" s="303"/>
      <c r="G288" s="288"/>
      <c r="H288" s="289"/>
      <c r="I288" s="290"/>
      <c r="J288" s="290"/>
      <c r="K288" s="291"/>
      <c r="L288" s="18"/>
      <c r="M288" s="285" t="str">
        <f t="shared" ref="M288" si="438">IF(COUNT(L288:L289)&lt;1,"",AVERAGE(L288:L289))</f>
        <v/>
      </c>
      <c r="N288" s="22"/>
      <c r="O288" s="285" t="str">
        <f t="shared" ref="O288" si="439">IF(COUNT(N288:N289)&lt;1,"",AVERAGE(N288:N289))</f>
        <v/>
      </c>
      <c r="P288" s="22"/>
      <c r="Q288" s="285" t="str">
        <f t="shared" ref="Q288" si="440">IF(COUNT(P288:P289)&lt;1,"",AVERAGE(P288:P289))</f>
        <v/>
      </c>
      <c r="R288" s="278" t="str">
        <f>IF($X$13="/28",IF(COUNT(P288:P289)&lt;=1,"",ABS(P288-P289)),IF($X$13="/90",IF(COUNT(#REF!)&lt;=1,"",ABS(#REF!-#REF!))))</f>
        <v/>
      </c>
      <c r="S288" s="278" t="str">
        <f>IF($X$13="/28",IF(Q288="","",IF(AVERAGE(Q284:Q289)&gt;=$W$13,ROUND(AVERAGE(Q284:Q289),1)&amp;" ≥ "&amp;$W$13&amp;" OK",ROUND(AVERAGE(Q284:Q289),1)&amp;" &lt; "&amp;$W$13&amp;" NC")),IF($X$13="/90",IF(#REF!="","",IF(AVERAGE(#REF!)&gt;=$W$13,ROUND(AVERAGE(#REF!),1)&amp;" ≥ "&amp;$W$13&amp;" OK",ROUND(AVERAGE(#REF!),1)&amp;" &lt; "&amp;$W$13&amp;" NC"))))</f>
        <v/>
      </c>
      <c r="T288" s="278" t="str">
        <f>IF($X$13="/28",IF(Q288="","",IF(Q288&gt;=$W$13-$S$12,ROUND((Q288),1)&amp;" ≥ "&amp;$W$13-$S$12&amp;" OK",ROUND((Q288),1)&amp;" &lt; "&amp;$W$13-$S$12&amp;" NC")),IF($X$13="/90",IF(#REF!="","",IF(#REF!&gt;=$W$13-$S$12,ROUND((#REF!),1)&amp;" ≥ "&amp;$W$13-$S$12&amp;" OK",ROUND((#REF!),1)&amp;" &lt; "&amp;$W$13-$S$12&amp;" NC"))))</f>
        <v/>
      </c>
      <c r="U288" s="14"/>
      <c r="V288" s="279"/>
      <c r="W288" s="280"/>
      <c r="X288" s="281"/>
      <c r="Y288" s="246"/>
      <c r="Z288" s="246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BP288" s="390" t="str">
        <f>IF($X$13="/28",IF(Q288="","",Q288),IF($X$13="/90",IF(#REF!="","",#REF!),"Falso"))</f>
        <v/>
      </c>
      <c r="BQ288" s="392" t="str">
        <f t="shared" si="346"/>
        <v/>
      </c>
      <c r="BS288" s="50" t="str">
        <f>Q558</f>
        <v/>
      </c>
      <c r="BT288" s="50" t="e">
        <f>#REF!</f>
        <v>#REF!</v>
      </c>
      <c r="BU288" s="39" t="str">
        <f t="shared" si="428"/>
        <v/>
      </c>
      <c r="BV288" s="39" t="str">
        <f t="shared" si="421"/>
        <v/>
      </c>
    </row>
    <row r="289" spans="1:74" ht="14.25" customHeight="1" x14ac:dyDescent="0.35">
      <c r="A289" s="294"/>
      <c r="B289" s="296"/>
      <c r="C289" s="298"/>
      <c r="D289" s="300"/>
      <c r="E289" s="302"/>
      <c r="F289" s="304"/>
      <c r="G289" s="276"/>
      <c r="H289" s="277"/>
      <c r="I289" s="290"/>
      <c r="J289" s="290"/>
      <c r="K289" s="291"/>
      <c r="L289" s="17"/>
      <c r="M289" s="286"/>
      <c r="N289" s="21"/>
      <c r="O289" s="286"/>
      <c r="P289" s="21"/>
      <c r="Q289" s="286"/>
      <c r="R289" s="248"/>
      <c r="S289" s="287"/>
      <c r="T289" s="248"/>
      <c r="U289" s="13"/>
      <c r="V289" s="282"/>
      <c r="W289" s="283"/>
      <c r="X289" s="284"/>
      <c r="Y289" s="245"/>
      <c r="Z289" s="245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BP289" s="391"/>
      <c r="BQ289" s="393"/>
      <c r="BS289" s="50" t="str">
        <f>Q560</f>
        <v/>
      </c>
      <c r="BT289" s="50" t="e">
        <f>#REF!</f>
        <v>#REF!</v>
      </c>
      <c r="BU289" s="39" t="str">
        <f t="shared" si="428"/>
        <v/>
      </c>
      <c r="BV289" s="39" t="str">
        <f t="shared" si="421"/>
        <v/>
      </c>
    </row>
    <row r="290" spans="1:74" ht="14.25" customHeight="1" x14ac:dyDescent="0.35">
      <c r="A290" s="293">
        <v>137</v>
      </c>
      <c r="B290" s="295"/>
      <c r="C290" s="297"/>
      <c r="D290" s="299"/>
      <c r="E290" s="301"/>
      <c r="F290" s="303"/>
      <c r="G290" s="288"/>
      <c r="H290" s="289"/>
      <c r="I290" s="290"/>
      <c r="J290" s="290"/>
      <c r="K290" s="291"/>
      <c r="L290" s="18"/>
      <c r="M290" s="285" t="str">
        <f t="shared" ref="M290" si="441">IF(COUNT(L290:L291)&lt;1,"",AVERAGE(L290:L291))</f>
        <v/>
      </c>
      <c r="N290" s="22"/>
      <c r="O290" s="285" t="str">
        <f t="shared" ref="O290" si="442">IF(COUNT(N290:N291)&lt;1,"",AVERAGE(N290:N291))</f>
        <v/>
      </c>
      <c r="P290" s="22"/>
      <c r="Q290" s="285" t="str">
        <f t="shared" ref="Q290" si="443">IF(COUNT(P290:P291)&lt;1,"",AVERAGE(P290:P291))</f>
        <v/>
      </c>
      <c r="R290" s="278" t="str">
        <f>IF($X$13="/28",IF(COUNT(P290:P291)&lt;=1,"",ABS(P290-P291)),IF($X$13="/90",IF(COUNT(#REF!)&lt;=1,"",ABS(#REF!-#REF!))))</f>
        <v/>
      </c>
      <c r="S290" s="278" t="str">
        <f>IF($X$13="/28",IF(Q290="","",IF(AVERAGE(Q286:Q291)&gt;=$W$13,ROUND(AVERAGE(Q286:Q291),1)&amp;" ≥ "&amp;$W$13&amp;" OK",ROUND(AVERAGE(Q286:Q291),1)&amp;" &lt; "&amp;$W$13&amp;" NC")),IF($X$13="/90",IF(#REF!="","",IF(AVERAGE(#REF!)&gt;=$W$13,ROUND(AVERAGE(#REF!),1)&amp;" ≥ "&amp;$W$13&amp;" OK",ROUND(AVERAGE(#REF!),1)&amp;" &lt; "&amp;$W$13&amp;" NC"))))</f>
        <v/>
      </c>
      <c r="T290" s="278" t="str">
        <f>IF($X$13="/28",IF(Q290="","",IF(Q290&gt;=$W$13-$S$12,ROUND((Q290),1)&amp;" ≥ "&amp;$W$13-$S$12&amp;" OK",ROUND((Q290),1)&amp;" &lt; "&amp;$W$13-$S$12&amp;" NC")),IF($X$13="/90",IF(#REF!="","",IF(#REF!&gt;=$W$13-$S$12,ROUND((#REF!),1)&amp;" ≥ "&amp;$W$13-$S$12&amp;" OK",ROUND((#REF!),1)&amp;" &lt; "&amp;$W$13-$S$12&amp;" NC"))))</f>
        <v/>
      </c>
      <c r="U290" s="14"/>
      <c r="V290" s="279"/>
      <c r="W290" s="280"/>
      <c r="X290" s="281"/>
      <c r="Y290" s="246"/>
      <c r="Z290" s="246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BP290" s="390" t="str">
        <f>IF($X$13="/28",IF(Q290="","",Q290),IF($X$13="/90",IF(#REF!="","",#REF!),"Falso"))</f>
        <v/>
      </c>
      <c r="BQ290" s="392" t="str">
        <f t="shared" si="350"/>
        <v/>
      </c>
      <c r="BS290" s="50" t="str">
        <f>Q562</f>
        <v/>
      </c>
      <c r="BT290" s="50" t="e">
        <f>#REF!</f>
        <v>#REF!</v>
      </c>
      <c r="BU290" s="39" t="str">
        <f t="shared" si="428"/>
        <v/>
      </c>
      <c r="BV290" s="39" t="str">
        <f t="shared" si="421"/>
        <v/>
      </c>
    </row>
    <row r="291" spans="1:74" ht="14.25" customHeight="1" x14ac:dyDescent="0.35">
      <c r="A291" s="294"/>
      <c r="B291" s="296"/>
      <c r="C291" s="298"/>
      <c r="D291" s="300"/>
      <c r="E291" s="302"/>
      <c r="F291" s="304"/>
      <c r="G291" s="276"/>
      <c r="H291" s="277"/>
      <c r="I291" s="290"/>
      <c r="J291" s="290"/>
      <c r="K291" s="291"/>
      <c r="L291" s="17"/>
      <c r="M291" s="286"/>
      <c r="N291" s="21"/>
      <c r="O291" s="286"/>
      <c r="P291" s="21"/>
      <c r="Q291" s="286"/>
      <c r="R291" s="248"/>
      <c r="S291" s="287"/>
      <c r="T291" s="248"/>
      <c r="U291" s="13"/>
      <c r="V291" s="282"/>
      <c r="W291" s="283"/>
      <c r="X291" s="284"/>
      <c r="Y291" s="245"/>
      <c r="Z291" s="245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BP291" s="391"/>
      <c r="BQ291" s="393"/>
      <c r="BS291" s="50" t="str">
        <f>Q564</f>
        <v/>
      </c>
      <c r="BT291" s="50" t="e">
        <f>#REF!</f>
        <v>#REF!</v>
      </c>
      <c r="BU291" s="39" t="str">
        <f t="shared" si="428"/>
        <v/>
      </c>
      <c r="BV291" s="39" t="str">
        <f t="shared" si="421"/>
        <v/>
      </c>
    </row>
    <row r="292" spans="1:74" ht="14.25" customHeight="1" x14ac:dyDescent="0.35">
      <c r="A292" s="293">
        <v>138</v>
      </c>
      <c r="B292" s="295"/>
      <c r="C292" s="297"/>
      <c r="D292" s="299"/>
      <c r="E292" s="301"/>
      <c r="F292" s="303"/>
      <c r="G292" s="288"/>
      <c r="H292" s="289"/>
      <c r="I292" s="290"/>
      <c r="J292" s="290"/>
      <c r="K292" s="291"/>
      <c r="L292" s="18"/>
      <c r="M292" s="285" t="str">
        <f t="shared" ref="M292" si="444">IF(COUNT(L292:L293)&lt;1,"",AVERAGE(L292:L293))</f>
        <v/>
      </c>
      <c r="N292" s="22"/>
      <c r="O292" s="285" t="str">
        <f t="shared" ref="O292" si="445">IF(COUNT(N292:N293)&lt;1,"",AVERAGE(N292:N293))</f>
        <v/>
      </c>
      <c r="P292" s="22"/>
      <c r="Q292" s="285" t="str">
        <f t="shared" ref="Q292" si="446">IF(COUNT(P292:P293)&lt;1,"",AVERAGE(P292:P293))</f>
        <v/>
      </c>
      <c r="R292" s="278" t="str">
        <f>IF($X$13="/28",IF(COUNT(P292:P293)&lt;=1,"",ABS(P292-P293)),IF($X$13="/90",IF(COUNT(#REF!)&lt;=1,"",ABS(#REF!-#REF!))))</f>
        <v/>
      </c>
      <c r="S292" s="278" t="str">
        <f>IF($X$13="/28",IF(Q292="","",IF(AVERAGE(Q288:Q293)&gt;=$W$13,ROUND(AVERAGE(Q288:Q293),1)&amp;" ≥ "&amp;$W$13&amp;" OK",ROUND(AVERAGE(Q288:Q293),1)&amp;" &lt; "&amp;$W$13&amp;" NC")),IF($X$13="/90",IF(#REF!="","",IF(AVERAGE(#REF!)&gt;=$W$13,ROUND(AVERAGE(#REF!),1)&amp;" ≥ "&amp;$W$13&amp;" OK",ROUND(AVERAGE(#REF!),1)&amp;" &lt; "&amp;$W$13&amp;" NC"))))</f>
        <v/>
      </c>
      <c r="T292" s="278" t="str">
        <f>IF($X$13="/28",IF(Q292="","",IF(Q292&gt;=$W$13-$S$12,ROUND((Q292),1)&amp;" ≥ "&amp;$W$13-$S$12&amp;" OK",ROUND((Q292),1)&amp;" &lt; "&amp;$W$13-$S$12&amp;" NC")),IF($X$13="/90",IF(#REF!="","",IF(#REF!&gt;=$W$13-$S$12,ROUND((#REF!),1)&amp;" ≥ "&amp;$W$13-$S$12&amp;" OK",ROUND((#REF!),1)&amp;" &lt; "&amp;$W$13-$S$12&amp;" NC"))))</f>
        <v/>
      </c>
      <c r="U292" s="14"/>
      <c r="V292" s="279"/>
      <c r="W292" s="280"/>
      <c r="X292" s="281"/>
      <c r="Y292" s="246"/>
      <c r="Z292" s="246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BP292" s="390" t="str">
        <f>IF($X$13="/28",IF(Q292="","",Q292),IF($X$13="/90",IF(#REF!="","",#REF!),"Falso"))</f>
        <v/>
      </c>
      <c r="BQ292" s="392" t="str">
        <f t="shared" si="354"/>
        <v/>
      </c>
      <c r="BS292" s="50" t="str">
        <f>Q566</f>
        <v/>
      </c>
      <c r="BT292" s="50" t="e">
        <f>#REF!</f>
        <v>#REF!</v>
      </c>
      <c r="BU292" s="39" t="str">
        <f t="shared" si="428"/>
        <v/>
      </c>
      <c r="BV292" s="39" t="str">
        <f t="shared" si="421"/>
        <v/>
      </c>
    </row>
    <row r="293" spans="1:74" ht="14.25" customHeight="1" x14ac:dyDescent="0.35">
      <c r="A293" s="294"/>
      <c r="B293" s="296"/>
      <c r="C293" s="298"/>
      <c r="D293" s="300"/>
      <c r="E293" s="302"/>
      <c r="F293" s="304"/>
      <c r="G293" s="276"/>
      <c r="H293" s="277"/>
      <c r="I293" s="290"/>
      <c r="J293" s="290"/>
      <c r="K293" s="291"/>
      <c r="L293" s="17"/>
      <c r="M293" s="286"/>
      <c r="N293" s="21"/>
      <c r="O293" s="286"/>
      <c r="P293" s="21"/>
      <c r="Q293" s="286"/>
      <c r="R293" s="248"/>
      <c r="S293" s="287"/>
      <c r="T293" s="248"/>
      <c r="U293" s="13"/>
      <c r="V293" s="282"/>
      <c r="W293" s="283"/>
      <c r="X293" s="284"/>
      <c r="Y293" s="245"/>
      <c r="Z293" s="245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BP293" s="391"/>
      <c r="BQ293" s="393"/>
      <c r="BS293" s="50" t="str">
        <f>Q568</f>
        <v/>
      </c>
      <c r="BT293" s="50" t="e">
        <f>#REF!</f>
        <v>#REF!</v>
      </c>
      <c r="BU293" s="39" t="str">
        <f t="shared" si="428"/>
        <v/>
      </c>
      <c r="BV293" s="39" t="str">
        <f t="shared" si="421"/>
        <v/>
      </c>
    </row>
    <row r="294" spans="1:74" ht="14.25" customHeight="1" x14ac:dyDescent="0.35">
      <c r="A294" s="293">
        <v>139</v>
      </c>
      <c r="B294" s="295"/>
      <c r="C294" s="297"/>
      <c r="D294" s="299"/>
      <c r="E294" s="301"/>
      <c r="F294" s="303"/>
      <c r="G294" s="288"/>
      <c r="H294" s="289"/>
      <c r="I294" s="290"/>
      <c r="J294" s="290"/>
      <c r="K294" s="291"/>
      <c r="L294" s="18"/>
      <c r="M294" s="285" t="str">
        <f t="shared" ref="M294" si="447">IF(COUNT(L294:L295)&lt;1,"",AVERAGE(L294:L295))</f>
        <v/>
      </c>
      <c r="N294" s="22"/>
      <c r="O294" s="285" t="str">
        <f t="shared" ref="O294" si="448">IF(COUNT(N294:N295)&lt;1,"",AVERAGE(N294:N295))</f>
        <v/>
      </c>
      <c r="P294" s="22"/>
      <c r="Q294" s="285" t="str">
        <f t="shared" ref="Q294" si="449">IF(COUNT(P294:P295)&lt;1,"",AVERAGE(P294:P295))</f>
        <v/>
      </c>
      <c r="R294" s="278" t="str">
        <f>IF($X$13="/28",IF(COUNT(P294:P295)&lt;=1,"",ABS(P294-P295)),IF($X$13="/90",IF(COUNT(#REF!)&lt;=1,"",ABS(#REF!-#REF!))))</f>
        <v/>
      </c>
      <c r="S294" s="278" t="str">
        <f>IF($X$13="/28",IF(Q294="","",IF(AVERAGE(Q290:Q295)&gt;=$W$13,ROUND(AVERAGE(Q290:Q295),1)&amp;" ≥ "&amp;$W$13&amp;" OK",ROUND(AVERAGE(Q290:Q295),1)&amp;" &lt; "&amp;$W$13&amp;" NC")),IF($X$13="/90",IF(#REF!="","",IF(AVERAGE(#REF!)&gt;=$W$13,ROUND(AVERAGE(#REF!),1)&amp;" ≥ "&amp;$W$13&amp;" OK",ROUND(AVERAGE(#REF!),1)&amp;" &lt; "&amp;$W$13&amp;" NC"))))</f>
        <v/>
      </c>
      <c r="T294" s="278" t="str">
        <f>IF($X$13="/28",IF(Q294="","",IF(Q294&gt;=$W$13-$S$12,ROUND((Q294),1)&amp;" ≥ "&amp;$W$13-$S$12&amp;" OK",ROUND((Q294),1)&amp;" &lt; "&amp;$W$13-$S$12&amp;" NC")),IF($X$13="/90",IF(#REF!="","",IF(#REF!&gt;=$W$13-$S$12,ROUND((#REF!),1)&amp;" ≥ "&amp;$W$13-$S$12&amp;" OK",ROUND((#REF!),1)&amp;" &lt; "&amp;$W$13-$S$12&amp;" NC"))))</f>
        <v/>
      </c>
      <c r="U294" s="14"/>
      <c r="V294" s="279"/>
      <c r="W294" s="280"/>
      <c r="X294" s="281"/>
      <c r="Y294" s="246"/>
      <c r="Z294" s="246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BP294" s="390" t="str">
        <f>IF($X$13="/28",IF(Q294="","",Q294),IF($X$13="/90",IF(#REF!="","",#REF!),"Falso"))</f>
        <v/>
      </c>
      <c r="BQ294" s="392" t="str">
        <f t="shared" ref="BQ294:BQ354" si="450">IF(BP294="","",BQ292+1)</f>
        <v/>
      </c>
      <c r="BS294" s="50" t="str">
        <f>Q570</f>
        <v/>
      </c>
      <c r="BT294" s="50" t="e">
        <f>#REF!</f>
        <v>#REF!</v>
      </c>
      <c r="BU294" s="39" t="str">
        <f t="shared" si="428"/>
        <v/>
      </c>
      <c r="BV294" s="39" t="str">
        <f t="shared" si="421"/>
        <v/>
      </c>
    </row>
    <row r="295" spans="1:74" ht="14.25" customHeight="1" x14ac:dyDescent="0.35">
      <c r="A295" s="294"/>
      <c r="B295" s="296"/>
      <c r="C295" s="298"/>
      <c r="D295" s="300"/>
      <c r="E295" s="302"/>
      <c r="F295" s="304"/>
      <c r="G295" s="276"/>
      <c r="H295" s="277"/>
      <c r="I295" s="290"/>
      <c r="J295" s="290"/>
      <c r="K295" s="291"/>
      <c r="L295" s="17"/>
      <c r="M295" s="286"/>
      <c r="N295" s="21"/>
      <c r="O295" s="286"/>
      <c r="P295" s="21"/>
      <c r="Q295" s="286"/>
      <c r="R295" s="248"/>
      <c r="S295" s="287"/>
      <c r="T295" s="248"/>
      <c r="U295" s="13"/>
      <c r="V295" s="282"/>
      <c r="W295" s="283"/>
      <c r="X295" s="284"/>
      <c r="Y295" s="245"/>
      <c r="Z295" s="245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BP295" s="391"/>
      <c r="BQ295" s="393"/>
      <c r="BS295" s="50" t="str">
        <f>Q572</f>
        <v/>
      </c>
      <c r="BT295" s="50" t="e">
        <f>#REF!</f>
        <v>#REF!</v>
      </c>
      <c r="BU295" s="39" t="str">
        <f t="shared" si="428"/>
        <v/>
      </c>
      <c r="BV295" s="39" t="str">
        <f t="shared" si="421"/>
        <v/>
      </c>
    </row>
    <row r="296" spans="1:74" ht="14.25" customHeight="1" x14ac:dyDescent="0.35">
      <c r="A296" s="293">
        <v>140</v>
      </c>
      <c r="B296" s="295"/>
      <c r="C296" s="297"/>
      <c r="D296" s="299"/>
      <c r="E296" s="301"/>
      <c r="F296" s="303"/>
      <c r="G296" s="288"/>
      <c r="H296" s="289"/>
      <c r="I296" s="290"/>
      <c r="J296" s="290"/>
      <c r="K296" s="291"/>
      <c r="L296" s="18"/>
      <c r="M296" s="285" t="str">
        <f t="shared" ref="M296" si="451">IF(COUNT(L296:L297)&lt;1,"",AVERAGE(L296:L297))</f>
        <v/>
      </c>
      <c r="N296" s="22"/>
      <c r="O296" s="285" t="str">
        <f t="shared" ref="O296" si="452">IF(COUNT(N296:N297)&lt;1,"",AVERAGE(N296:N297))</f>
        <v/>
      </c>
      <c r="P296" s="22"/>
      <c r="Q296" s="285" t="str">
        <f t="shared" ref="Q296" si="453">IF(COUNT(P296:P297)&lt;1,"",AVERAGE(P296:P297))</f>
        <v/>
      </c>
      <c r="R296" s="278" t="str">
        <f>IF($X$13="/28",IF(COUNT(P296:P297)&lt;=1,"",ABS(P296-P297)),IF($X$13="/90",IF(COUNT(#REF!)&lt;=1,"",ABS(#REF!-#REF!))))</f>
        <v/>
      </c>
      <c r="S296" s="278" t="str">
        <f>IF($X$13="/28",IF(Q296="","",IF(AVERAGE(Q292:Q297)&gt;=$W$13,ROUND(AVERAGE(Q292:Q297),1)&amp;" ≥ "&amp;$W$13&amp;" OK",ROUND(AVERAGE(Q292:Q297),1)&amp;" &lt; "&amp;$W$13&amp;" NC")),IF($X$13="/90",IF(#REF!="","",IF(AVERAGE(#REF!)&gt;=$W$13,ROUND(AVERAGE(#REF!),1)&amp;" ≥ "&amp;$W$13&amp;" OK",ROUND(AVERAGE(#REF!),1)&amp;" &lt; "&amp;$W$13&amp;" NC"))))</f>
        <v/>
      </c>
      <c r="T296" s="278" t="str">
        <f>IF($X$13="/28",IF(Q296="","",IF(Q296&gt;=$W$13-$S$12,ROUND((Q296),1)&amp;" ≥ "&amp;$W$13-$S$12&amp;" OK",ROUND((Q296),1)&amp;" &lt; "&amp;$W$13-$S$12&amp;" NC")),IF($X$13="/90",IF(#REF!="","",IF(#REF!&gt;=$W$13-$S$12,ROUND((#REF!),1)&amp;" ≥ "&amp;$W$13-$S$12&amp;" OK",ROUND((#REF!),1)&amp;" &lt; "&amp;$W$13-$S$12&amp;" NC"))))</f>
        <v/>
      </c>
      <c r="U296" s="14"/>
      <c r="V296" s="279"/>
      <c r="W296" s="280"/>
      <c r="X296" s="281"/>
      <c r="Y296" s="246"/>
      <c r="Z296" s="246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BP296" s="390" t="str">
        <f>IF($X$13="/28",IF(Q296="","",Q296),IF($X$13="/90",IF(#REF!="","",#REF!),"Falso"))</f>
        <v/>
      </c>
      <c r="BQ296" s="392" t="str">
        <f t="shared" ref="BQ296:BQ356" si="454">IF(BP296="","",BQ294+1)</f>
        <v/>
      </c>
      <c r="BS296" s="50" t="str">
        <f>Q574</f>
        <v/>
      </c>
      <c r="BT296" s="50" t="e">
        <f>#REF!</f>
        <v>#REF!</v>
      </c>
      <c r="BU296" s="39" t="str">
        <f t="shared" si="428"/>
        <v/>
      </c>
      <c r="BV296" s="39" t="str">
        <f t="shared" si="421"/>
        <v/>
      </c>
    </row>
    <row r="297" spans="1:74" ht="14.25" customHeight="1" x14ac:dyDescent="0.35">
      <c r="A297" s="294"/>
      <c r="B297" s="296"/>
      <c r="C297" s="298"/>
      <c r="D297" s="300"/>
      <c r="E297" s="302"/>
      <c r="F297" s="304"/>
      <c r="G297" s="276"/>
      <c r="H297" s="277"/>
      <c r="I297" s="290"/>
      <c r="J297" s="290"/>
      <c r="K297" s="291"/>
      <c r="L297" s="17"/>
      <c r="M297" s="286"/>
      <c r="N297" s="21"/>
      <c r="O297" s="286"/>
      <c r="P297" s="21"/>
      <c r="Q297" s="286"/>
      <c r="R297" s="248"/>
      <c r="S297" s="287"/>
      <c r="T297" s="248"/>
      <c r="U297" s="13"/>
      <c r="V297" s="282"/>
      <c r="W297" s="283"/>
      <c r="X297" s="284"/>
      <c r="Y297" s="245"/>
      <c r="Z297" s="245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BP297" s="391"/>
      <c r="BQ297" s="393"/>
      <c r="BS297" s="50" t="str">
        <f>Q576</f>
        <v/>
      </c>
      <c r="BT297" s="50" t="e">
        <f>#REF!</f>
        <v>#REF!</v>
      </c>
      <c r="BU297" s="39" t="str">
        <f t="shared" si="428"/>
        <v/>
      </c>
      <c r="BV297" s="39" t="str">
        <f t="shared" si="421"/>
        <v/>
      </c>
    </row>
    <row r="298" spans="1:74" ht="14.25" customHeight="1" x14ac:dyDescent="0.35">
      <c r="A298" s="293">
        <v>141</v>
      </c>
      <c r="B298" s="295"/>
      <c r="C298" s="297"/>
      <c r="D298" s="299"/>
      <c r="E298" s="301"/>
      <c r="F298" s="303"/>
      <c r="G298" s="288"/>
      <c r="H298" s="289"/>
      <c r="I298" s="290"/>
      <c r="J298" s="290"/>
      <c r="K298" s="291"/>
      <c r="L298" s="18"/>
      <c r="M298" s="285" t="str">
        <f t="shared" ref="M298" si="455">IF(COUNT(L298:L299)&lt;1,"",AVERAGE(L298:L299))</f>
        <v/>
      </c>
      <c r="N298" s="22"/>
      <c r="O298" s="285" t="str">
        <f t="shared" ref="O298" si="456">IF(COUNT(N298:N299)&lt;1,"",AVERAGE(N298:N299))</f>
        <v/>
      </c>
      <c r="P298" s="22"/>
      <c r="Q298" s="285" t="str">
        <f t="shared" ref="Q298" si="457">IF(COUNT(P298:P299)&lt;1,"",AVERAGE(P298:P299))</f>
        <v/>
      </c>
      <c r="R298" s="278" t="str">
        <f>IF($X$13="/28",IF(COUNT(P298:P299)&lt;=1,"",ABS(P298-P299)),IF($X$13="/90",IF(COUNT(#REF!)&lt;=1,"",ABS(#REF!-#REF!))))</f>
        <v/>
      </c>
      <c r="S298" s="278" t="str">
        <f>IF($X$13="/28",IF(Q298="","",IF(AVERAGE(Q294:Q299)&gt;=$W$13,ROUND(AVERAGE(Q294:Q299),1)&amp;" ≥ "&amp;$W$13&amp;" OK",ROUND(AVERAGE(Q294:Q299),1)&amp;" &lt; "&amp;$W$13&amp;" NC")),IF($X$13="/90",IF(#REF!="","",IF(AVERAGE(#REF!)&gt;=$W$13,ROUND(AVERAGE(#REF!),1)&amp;" ≥ "&amp;$W$13&amp;" OK",ROUND(AVERAGE(#REF!),1)&amp;" &lt; "&amp;$W$13&amp;" NC"))))</f>
        <v/>
      </c>
      <c r="T298" s="278" t="str">
        <f>IF($X$13="/28",IF(Q298="","",IF(Q298&gt;=$W$13-$S$12,ROUND((Q298),1)&amp;" ≥ "&amp;$W$13-$S$12&amp;" OK",ROUND((Q298),1)&amp;" &lt; "&amp;$W$13-$S$12&amp;" NC")),IF($X$13="/90",IF(#REF!="","",IF(#REF!&gt;=$W$13-$S$12,ROUND((#REF!),1)&amp;" ≥ "&amp;$W$13-$S$12&amp;" OK",ROUND((#REF!),1)&amp;" &lt; "&amp;$W$13-$S$12&amp;" NC"))))</f>
        <v/>
      </c>
      <c r="U298" s="14"/>
      <c r="V298" s="279"/>
      <c r="W298" s="280"/>
      <c r="X298" s="281"/>
      <c r="Y298" s="246"/>
      <c r="Z298" s="246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BP298" s="390" t="str">
        <f>IF($X$13="/28",IF(Q298="","",Q298),IF($X$13="/90",IF(#REF!="","",#REF!),"Falso"))</f>
        <v/>
      </c>
      <c r="BQ298" s="392" t="str">
        <f t="shared" ref="BQ298:BQ358" si="458">IF(BP298="","",BQ296+1)</f>
        <v/>
      </c>
      <c r="BS298" s="50" t="str">
        <f>Q578</f>
        <v/>
      </c>
      <c r="BT298" s="50" t="e">
        <f>#REF!</f>
        <v>#REF!</v>
      </c>
      <c r="BU298" s="39" t="str">
        <f t="shared" si="428"/>
        <v/>
      </c>
      <c r="BV298" s="39" t="str">
        <f t="shared" si="421"/>
        <v/>
      </c>
    </row>
    <row r="299" spans="1:74" ht="14.25" customHeight="1" x14ac:dyDescent="0.35">
      <c r="A299" s="294"/>
      <c r="B299" s="296"/>
      <c r="C299" s="298"/>
      <c r="D299" s="300"/>
      <c r="E299" s="302"/>
      <c r="F299" s="304"/>
      <c r="G299" s="276"/>
      <c r="H299" s="277"/>
      <c r="I299" s="290"/>
      <c r="J299" s="290"/>
      <c r="K299" s="291"/>
      <c r="L299" s="17"/>
      <c r="M299" s="286"/>
      <c r="N299" s="21"/>
      <c r="O299" s="286"/>
      <c r="P299" s="21"/>
      <c r="Q299" s="286"/>
      <c r="R299" s="248"/>
      <c r="S299" s="287"/>
      <c r="T299" s="248"/>
      <c r="U299" s="13"/>
      <c r="V299" s="282"/>
      <c r="W299" s="283"/>
      <c r="X299" s="284"/>
      <c r="Y299" s="245"/>
      <c r="Z299" s="245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BP299" s="391"/>
      <c r="BQ299" s="393"/>
      <c r="BS299" s="50" t="str">
        <f>Q580</f>
        <v/>
      </c>
      <c r="BT299" s="50" t="e">
        <f>#REF!</f>
        <v>#REF!</v>
      </c>
      <c r="BU299" s="39" t="str">
        <f t="shared" si="428"/>
        <v/>
      </c>
      <c r="BV299" s="39" t="str">
        <f t="shared" si="421"/>
        <v/>
      </c>
    </row>
    <row r="300" spans="1:74" ht="14.25" customHeight="1" x14ac:dyDescent="0.35">
      <c r="A300" s="293">
        <v>142</v>
      </c>
      <c r="B300" s="295"/>
      <c r="C300" s="297"/>
      <c r="D300" s="299"/>
      <c r="E300" s="301"/>
      <c r="F300" s="303"/>
      <c r="G300" s="288"/>
      <c r="H300" s="289"/>
      <c r="I300" s="290"/>
      <c r="J300" s="290"/>
      <c r="K300" s="291"/>
      <c r="L300" s="18"/>
      <c r="M300" s="285" t="str">
        <f t="shared" ref="M300" si="459">IF(COUNT(L300:L301)&lt;1,"",AVERAGE(L300:L301))</f>
        <v/>
      </c>
      <c r="N300" s="22"/>
      <c r="O300" s="285" t="str">
        <f t="shared" ref="O300" si="460">IF(COUNT(N300:N301)&lt;1,"",AVERAGE(N300:N301))</f>
        <v/>
      </c>
      <c r="P300" s="22"/>
      <c r="Q300" s="285" t="str">
        <f t="shared" ref="Q300" si="461">IF(COUNT(P300:P301)&lt;1,"",AVERAGE(P300:P301))</f>
        <v/>
      </c>
      <c r="R300" s="278" t="str">
        <f>IF($X$13="/28",IF(COUNT(P300:P301)&lt;=1,"",ABS(P300-P301)),IF($X$13="/90",IF(COUNT(#REF!)&lt;=1,"",ABS(#REF!-#REF!))))</f>
        <v/>
      </c>
      <c r="S300" s="278" t="str">
        <f>IF($X$13="/28",IF(Q300="","",IF(AVERAGE(Q296:Q301)&gt;=$W$13,ROUND(AVERAGE(Q296:Q301),1)&amp;" ≥ "&amp;$W$13&amp;" OK",ROUND(AVERAGE(Q296:Q301),1)&amp;" &lt; "&amp;$W$13&amp;" NC")),IF($X$13="/90",IF(#REF!="","",IF(AVERAGE(#REF!)&gt;=$W$13,ROUND(AVERAGE(#REF!),1)&amp;" ≥ "&amp;$W$13&amp;" OK",ROUND(AVERAGE(#REF!),1)&amp;" &lt; "&amp;$W$13&amp;" NC"))))</f>
        <v/>
      </c>
      <c r="T300" s="278" t="str">
        <f>IF($X$13="/28",IF(Q300="","",IF(Q300&gt;=$W$13-$S$12,ROUND((Q300),1)&amp;" ≥ "&amp;$W$13-$S$12&amp;" OK",ROUND((Q300),1)&amp;" &lt; "&amp;$W$13-$S$12&amp;" NC")),IF($X$13="/90",IF(#REF!="","",IF(#REF!&gt;=$W$13-$S$12,ROUND((#REF!),1)&amp;" ≥ "&amp;$W$13-$S$12&amp;" OK",ROUND((#REF!),1)&amp;" &lt; "&amp;$W$13-$S$12&amp;" NC"))))</f>
        <v/>
      </c>
      <c r="U300" s="14"/>
      <c r="V300" s="279"/>
      <c r="W300" s="280"/>
      <c r="X300" s="281"/>
      <c r="Y300" s="246"/>
      <c r="Z300" s="246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BP300" s="390" t="str">
        <f>IF($X$13="/28",IF(Q300="","",Q300),IF($X$13="/90",IF(#REF!="","",#REF!),"Falso"))</f>
        <v/>
      </c>
      <c r="BQ300" s="392" t="str">
        <f t="shared" si="450"/>
        <v/>
      </c>
      <c r="BS300" s="50" t="str">
        <f>Q582</f>
        <v/>
      </c>
      <c r="BT300" s="50" t="e">
        <f>#REF!</f>
        <v>#REF!</v>
      </c>
      <c r="BU300" s="39" t="str">
        <f t="shared" si="428"/>
        <v/>
      </c>
      <c r="BV300" s="39" t="str">
        <f t="shared" si="421"/>
        <v/>
      </c>
    </row>
    <row r="301" spans="1:74" ht="14.25" customHeight="1" x14ac:dyDescent="0.35">
      <c r="A301" s="294"/>
      <c r="B301" s="296"/>
      <c r="C301" s="298"/>
      <c r="D301" s="300"/>
      <c r="E301" s="302"/>
      <c r="F301" s="304"/>
      <c r="G301" s="276"/>
      <c r="H301" s="277"/>
      <c r="I301" s="290"/>
      <c r="J301" s="290"/>
      <c r="K301" s="291"/>
      <c r="L301" s="17"/>
      <c r="M301" s="286"/>
      <c r="N301" s="21"/>
      <c r="O301" s="286"/>
      <c r="P301" s="21"/>
      <c r="Q301" s="286"/>
      <c r="R301" s="248"/>
      <c r="S301" s="287"/>
      <c r="T301" s="248"/>
      <c r="U301" s="13"/>
      <c r="V301" s="282"/>
      <c r="W301" s="283"/>
      <c r="X301" s="284"/>
      <c r="Y301" s="245"/>
      <c r="Z301" s="245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BP301" s="391"/>
      <c r="BQ301" s="393"/>
      <c r="BS301" s="50" t="str">
        <f>Q584</f>
        <v/>
      </c>
      <c r="BT301" s="50" t="e">
        <f>#REF!</f>
        <v>#REF!</v>
      </c>
      <c r="BU301" s="39" t="str">
        <f t="shared" si="428"/>
        <v/>
      </c>
      <c r="BV301" s="39" t="str">
        <f t="shared" si="421"/>
        <v/>
      </c>
    </row>
    <row r="302" spans="1:74" ht="14.25" customHeight="1" x14ac:dyDescent="0.35">
      <c r="A302" s="293">
        <v>143</v>
      </c>
      <c r="B302" s="295"/>
      <c r="C302" s="297"/>
      <c r="D302" s="299"/>
      <c r="E302" s="301"/>
      <c r="F302" s="303"/>
      <c r="G302" s="288"/>
      <c r="H302" s="289"/>
      <c r="I302" s="290"/>
      <c r="J302" s="290"/>
      <c r="K302" s="291"/>
      <c r="L302" s="18"/>
      <c r="M302" s="285" t="str">
        <f t="shared" ref="M302" si="462">IF(COUNT(L302:L303)&lt;1,"",AVERAGE(L302:L303))</f>
        <v/>
      </c>
      <c r="N302" s="22"/>
      <c r="O302" s="285" t="str">
        <f t="shared" ref="O302" si="463">IF(COUNT(N302:N303)&lt;1,"",AVERAGE(N302:N303))</f>
        <v/>
      </c>
      <c r="P302" s="22"/>
      <c r="Q302" s="285" t="str">
        <f t="shared" ref="Q302" si="464">IF(COUNT(P302:P303)&lt;1,"",AVERAGE(P302:P303))</f>
        <v/>
      </c>
      <c r="R302" s="278" t="str">
        <f>IF($X$13="/28",IF(COUNT(P302:P303)&lt;=1,"",ABS(P302-P303)),IF($X$13="/90",IF(COUNT(#REF!)&lt;=1,"",ABS(#REF!-#REF!))))</f>
        <v/>
      </c>
      <c r="S302" s="278" t="str">
        <f>IF($X$13="/28",IF(Q302="","",IF(AVERAGE(Q298:Q303)&gt;=$W$13,ROUND(AVERAGE(Q298:Q303),1)&amp;" ≥ "&amp;$W$13&amp;" OK",ROUND(AVERAGE(Q298:Q303),1)&amp;" &lt; "&amp;$W$13&amp;" NC")),IF($X$13="/90",IF(#REF!="","",IF(AVERAGE(#REF!)&gt;=$W$13,ROUND(AVERAGE(#REF!),1)&amp;" ≥ "&amp;$W$13&amp;" OK",ROUND(AVERAGE(#REF!),1)&amp;" &lt; "&amp;$W$13&amp;" NC"))))</f>
        <v/>
      </c>
      <c r="T302" s="278" t="str">
        <f>IF($X$13="/28",IF(Q302="","",IF(Q302&gt;=$W$13-$S$12,ROUND((Q302),1)&amp;" ≥ "&amp;$W$13-$S$12&amp;" OK",ROUND((Q302),1)&amp;" &lt; "&amp;$W$13-$S$12&amp;" NC")),IF($X$13="/90",IF(#REF!="","",IF(#REF!&gt;=$W$13-$S$12,ROUND((#REF!),1)&amp;" ≥ "&amp;$W$13-$S$12&amp;" OK",ROUND((#REF!),1)&amp;" &lt; "&amp;$W$13-$S$12&amp;" NC"))))</f>
        <v/>
      </c>
      <c r="U302" s="14"/>
      <c r="V302" s="279"/>
      <c r="W302" s="280"/>
      <c r="X302" s="281"/>
      <c r="Y302" s="246"/>
      <c r="Z302" s="246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BP302" s="390" t="str">
        <f>IF($X$13="/28",IF(Q302="","",Q302),IF($X$13="/90",IF(#REF!="","",#REF!),"Falso"))</f>
        <v/>
      </c>
      <c r="BQ302" s="392" t="str">
        <f t="shared" si="454"/>
        <v/>
      </c>
      <c r="BS302" s="50" t="str">
        <f>Q586</f>
        <v/>
      </c>
      <c r="BT302" s="50" t="e">
        <f>#REF!</f>
        <v>#REF!</v>
      </c>
      <c r="BU302" s="39" t="str">
        <f t="shared" si="428"/>
        <v/>
      </c>
      <c r="BV302" s="39" t="str">
        <f t="shared" si="421"/>
        <v/>
      </c>
    </row>
    <row r="303" spans="1:74" ht="14.25" customHeight="1" x14ac:dyDescent="0.35">
      <c r="A303" s="294"/>
      <c r="B303" s="296"/>
      <c r="C303" s="298"/>
      <c r="D303" s="300"/>
      <c r="E303" s="302"/>
      <c r="F303" s="304"/>
      <c r="G303" s="276"/>
      <c r="H303" s="277"/>
      <c r="I303" s="290"/>
      <c r="J303" s="290"/>
      <c r="K303" s="291"/>
      <c r="L303" s="17"/>
      <c r="M303" s="286"/>
      <c r="N303" s="21"/>
      <c r="O303" s="286"/>
      <c r="P303" s="21"/>
      <c r="Q303" s="286"/>
      <c r="R303" s="248"/>
      <c r="S303" s="287"/>
      <c r="T303" s="248"/>
      <c r="U303" s="13"/>
      <c r="V303" s="282"/>
      <c r="W303" s="283"/>
      <c r="X303" s="284"/>
      <c r="Y303" s="245"/>
      <c r="Z303" s="245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BP303" s="391"/>
      <c r="BQ303" s="393"/>
      <c r="BS303" s="50" t="str">
        <f>Q588</f>
        <v/>
      </c>
      <c r="BT303" s="50" t="e">
        <f>#REF!</f>
        <v>#REF!</v>
      </c>
      <c r="BU303" s="39" t="str">
        <f t="shared" si="428"/>
        <v/>
      </c>
      <c r="BV303" s="39" t="str">
        <f t="shared" si="421"/>
        <v/>
      </c>
    </row>
    <row r="304" spans="1:74" ht="14.25" customHeight="1" x14ac:dyDescent="0.35">
      <c r="A304" s="293">
        <v>144</v>
      </c>
      <c r="B304" s="295"/>
      <c r="C304" s="297"/>
      <c r="D304" s="299"/>
      <c r="E304" s="301"/>
      <c r="F304" s="303"/>
      <c r="G304" s="288"/>
      <c r="H304" s="289"/>
      <c r="I304" s="290"/>
      <c r="J304" s="290"/>
      <c r="K304" s="291"/>
      <c r="L304" s="18"/>
      <c r="M304" s="285" t="str">
        <f t="shared" ref="M304" si="465">IF(COUNT(L304:L305)&lt;1,"",AVERAGE(L304:L305))</f>
        <v/>
      </c>
      <c r="N304" s="22"/>
      <c r="O304" s="285" t="str">
        <f t="shared" ref="O304" si="466">IF(COUNT(N304:N305)&lt;1,"",AVERAGE(N304:N305))</f>
        <v/>
      </c>
      <c r="P304" s="22"/>
      <c r="Q304" s="285" t="str">
        <f t="shared" ref="Q304" si="467">IF(COUNT(P304:P305)&lt;1,"",AVERAGE(P304:P305))</f>
        <v/>
      </c>
      <c r="R304" s="278" t="str">
        <f>IF($X$13="/28",IF(COUNT(P304:P305)&lt;=1,"",ABS(P304-P305)),IF($X$13="/90",IF(COUNT(#REF!)&lt;=1,"",ABS(#REF!-#REF!))))</f>
        <v/>
      </c>
      <c r="S304" s="278" t="str">
        <f>IF($X$13="/28",IF(Q304="","",IF(AVERAGE(Q300:Q305)&gt;=$W$13,ROUND(AVERAGE(Q300:Q305),1)&amp;" ≥ "&amp;$W$13&amp;" OK",ROUND(AVERAGE(Q300:Q305),1)&amp;" &lt; "&amp;$W$13&amp;" NC")),IF($X$13="/90",IF(#REF!="","",IF(AVERAGE(#REF!)&gt;=$W$13,ROUND(AVERAGE(#REF!),1)&amp;" ≥ "&amp;$W$13&amp;" OK",ROUND(AVERAGE(#REF!),1)&amp;" &lt; "&amp;$W$13&amp;" NC"))))</f>
        <v/>
      </c>
      <c r="T304" s="278" t="str">
        <f>IF($X$13="/28",IF(Q304="","",IF(Q304&gt;=$W$13-$S$12,ROUND((Q304),1)&amp;" ≥ "&amp;$W$13-$S$12&amp;" OK",ROUND((Q304),1)&amp;" &lt; "&amp;$W$13-$S$12&amp;" NC")),IF($X$13="/90",IF(#REF!="","",IF(#REF!&gt;=$W$13-$S$12,ROUND((#REF!),1)&amp;" ≥ "&amp;$W$13-$S$12&amp;" OK",ROUND((#REF!),1)&amp;" &lt; "&amp;$W$13-$S$12&amp;" NC"))))</f>
        <v/>
      </c>
      <c r="U304" s="14"/>
      <c r="V304" s="279"/>
      <c r="W304" s="280"/>
      <c r="X304" s="281"/>
      <c r="Y304" s="246"/>
      <c r="Z304" s="246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BP304" s="390" t="str">
        <f>IF($X$13="/28",IF(Q304="","",Q304),IF($X$13="/90",IF(#REF!="","",#REF!),"Falso"))</f>
        <v/>
      </c>
      <c r="BQ304" s="392" t="str">
        <f t="shared" si="458"/>
        <v/>
      </c>
      <c r="BS304" s="50" t="str">
        <f>Q590</f>
        <v/>
      </c>
      <c r="BT304" s="50" t="e">
        <f>#REF!</f>
        <v>#REF!</v>
      </c>
      <c r="BU304" s="39" t="str">
        <f t="shared" si="428"/>
        <v/>
      </c>
      <c r="BV304" s="39" t="str">
        <f t="shared" si="421"/>
        <v/>
      </c>
    </row>
    <row r="305" spans="1:74" ht="14.25" customHeight="1" x14ac:dyDescent="0.35">
      <c r="A305" s="294"/>
      <c r="B305" s="296"/>
      <c r="C305" s="298"/>
      <c r="D305" s="300"/>
      <c r="E305" s="302"/>
      <c r="F305" s="304"/>
      <c r="G305" s="276"/>
      <c r="H305" s="277"/>
      <c r="I305" s="290"/>
      <c r="J305" s="290"/>
      <c r="K305" s="291"/>
      <c r="L305" s="17"/>
      <c r="M305" s="286"/>
      <c r="N305" s="21"/>
      <c r="O305" s="286"/>
      <c r="P305" s="21"/>
      <c r="Q305" s="286"/>
      <c r="R305" s="248"/>
      <c r="S305" s="287"/>
      <c r="T305" s="248"/>
      <c r="U305" s="13"/>
      <c r="V305" s="282"/>
      <c r="W305" s="283"/>
      <c r="X305" s="284"/>
      <c r="Y305" s="245"/>
      <c r="Z305" s="245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BP305" s="391"/>
      <c r="BQ305" s="393"/>
      <c r="BS305" s="50" t="str">
        <f>Q592</f>
        <v/>
      </c>
      <c r="BT305" s="50" t="e">
        <f>#REF!</f>
        <v>#REF!</v>
      </c>
      <c r="BU305" s="39" t="str">
        <f t="shared" si="428"/>
        <v/>
      </c>
      <c r="BV305" s="39" t="str">
        <f t="shared" si="421"/>
        <v/>
      </c>
    </row>
    <row r="306" spans="1:74" ht="14.25" customHeight="1" x14ac:dyDescent="0.35">
      <c r="A306" s="293">
        <v>145</v>
      </c>
      <c r="B306" s="295"/>
      <c r="C306" s="297"/>
      <c r="D306" s="299"/>
      <c r="E306" s="301"/>
      <c r="F306" s="303"/>
      <c r="G306" s="288"/>
      <c r="H306" s="289"/>
      <c r="I306" s="290"/>
      <c r="J306" s="290"/>
      <c r="K306" s="291"/>
      <c r="L306" s="18"/>
      <c r="M306" s="285" t="str">
        <f t="shared" ref="M306" si="468">IF(COUNT(L306:L307)&lt;1,"",AVERAGE(L306:L307))</f>
        <v/>
      </c>
      <c r="N306" s="22"/>
      <c r="O306" s="285" t="str">
        <f t="shared" ref="O306" si="469">IF(COUNT(N306:N307)&lt;1,"",AVERAGE(N306:N307))</f>
        <v/>
      </c>
      <c r="P306" s="22"/>
      <c r="Q306" s="285" t="str">
        <f t="shared" ref="Q306" si="470">IF(COUNT(P306:P307)&lt;1,"",AVERAGE(P306:P307))</f>
        <v/>
      </c>
      <c r="R306" s="278" t="str">
        <f>IF($X$13="/28",IF(COUNT(P306:P307)&lt;=1,"",ABS(P306-P307)),IF($X$13="/90",IF(COUNT(#REF!)&lt;=1,"",ABS(#REF!-#REF!))))</f>
        <v/>
      </c>
      <c r="S306" s="278" t="str">
        <f>IF($X$13="/28",IF(Q306="","",IF(AVERAGE(Q302:Q307)&gt;=$W$13,ROUND(AVERAGE(Q302:Q307),1)&amp;" ≥ "&amp;$W$13&amp;" OK",ROUND(AVERAGE(Q302:Q307),1)&amp;" &lt; "&amp;$W$13&amp;" NC")),IF($X$13="/90",IF(#REF!="","",IF(AVERAGE(#REF!)&gt;=$W$13,ROUND(AVERAGE(#REF!),1)&amp;" ≥ "&amp;$W$13&amp;" OK",ROUND(AVERAGE(#REF!),1)&amp;" &lt; "&amp;$W$13&amp;" NC"))))</f>
        <v/>
      </c>
      <c r="T306" s="278" t="str">
        <f>IF($X$13="/28",IF(Q306="","",IF(Q306&gt;=$W$13-$S$12,ROUND((Q306),1)&amp;" ≥ "&amp;$W$13-$S$12&amp;" OK",ROUND((Q306),1)&amp;" &lt; "&amp;$W$13-$S$12&amp;" NC")),IF($X$13="/90",IF(#REF!="","",IF(#REF!&gt;=$W$13-$S$12,ROUND((#REF!),1)&amp;" ≥ "&amp;$W$13-$S$12&amp;" OK",ROUND((#REF!),1)&amp;" &lt; "&amp;$W$13-$S$12&amp;" NC"))))</f>
        <v/>
      </c>
      <c r="U306" s="14"/>
      <c r="V306" s="279"/>
      <c r="W306" s="280"/>
      <c r="X306" s="281"/>
      <c r="Y306" s="246"/>
      <c r="Z306" s="246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BP306" s="390" t="str">
        <f>IF($X$13="/28",IF(Q306="","",Q306),IF($X$13="/90",IF(#REF!="","",#REF!),"Falso"))</f>
        <v/>
      </c>
      <c r="BQ306" s="392" t="str">
        <f t="shared" si="450"/>
        <v/>
      </c>
      <c r="BS306" s="50" t="str">
        <f>Q594</f>
        <v/>
      </c>
      <c r="BT306" s="50" t="e">
        <f>#REF!</f>
        <v>#REF!</v>
      </c>
      <c r="BU306" s="39" t="str">
        <f t="shared" si="428"/>
        <v/>
      </c>
      <c r="BV306" s="39" t="str">
        <f t="shared" si="421"/>
        <v/>
      </c>
    </row>
    <row r="307" spans="1:74" ht="14.25" customHeight="1" x14ac:dyDescent="0.35">
      <c r="A307" s="294"/>
      <c r="B307" s="296"/>
      <c r="C307" s="298"/>
      <c r="D307" s="300"/>
      <c r="E307" s="302"/>
      <c r="F307" s="304"/>
      <c r="G307" s="276"/>
      <c r="H307" s="277"/>
      <c r="I307" s="290"/>
      <c r="J307" s="290"/>
      <c r="K307" s="291"/>
      <c r="L307" s="17"/>
      <c r="M307" s="286"/>
      <c r="N307" s="21"/>
      <c r="O307" s="286"/>
      <c r="P307" s="21"/>
      <c r="Q307" s="286"/>
      <c r="R307" s="248"/>
      <c r="S307" s="287"/>
      <c r="T307" s="248"/>
      <c r="U307" s="13"/>
      <c r="V307" s="282"/>
      <c r="W307" s="283"/>
      <c r="X307" s="284"/>
      <c r="Y307" s="245"/>
      <c r="Z307" s="245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BP307" s="391"/>
      <c r="BQ307" s="393"/>
      <c r="BS307" s="50" t="str">
        <f>Q596</f>
        <v/>
      </c>
      <c r="BT307" s="50" t="e">
        <f>#REF!</f>
        <v>#REF!</v>
      </c>
      <c r="BU307" s="39" t="str">
        <f t="shared" si="428"/>
        <v/>
      </c>
      <c r="BV307" s="39" t="str">
        <f t="shared" si="421"/>
        <v/>
      </c>
    </row>
    <row r="308" spans="1:74" ht="14.25" customHeight="1" x14ac:dyDescent="0.35">
      <c r="A308" s="293">
        <v>146</v>
      </c>
      <c r="B308" s="295"/>
      <c r="C308" s="297"/>
      <c r="D308" s="299"/>
      <c r="E308" s="301"/>
      <c r="F308" s="303"/>
      <c r="G308" s="288"/>
      <c r="H308" s="289"/>
      <c r="I308" s="290"/>
      <c r="J308" s="290"/>
      <c r="K308" s="291"/>
      <c r="L308" s="18"/>
      <c r="M308" s="285" t="str">
        <f t="shared" ref="M308" si="471">IF(COUNT(L308:L309)&lt;1,"",AVERAGE(L308:L309))</f>
        <v/>
      </c>
      <c r="N308" s="22"/>
      <c r="O308" s="285" t="str">
        <f t="shared" ref="O308" si="472">IF(COUNT(N308:N309)&lt;1,"",AVERAGE(N308:N309))</f>
        <v/>
      </c>
      <c r="P308" s="22"/>
      <c r="Q308" s="285" t="str">
        <f t="shared" ref="Q308" si="473">IF(COUNT(P308:P309)&lt;1,"",AVERAGE(P308:P309))</f>
        <v/>
      </c>
      <c r="R308" s="278" t="str">
        <f>IF($X$13="/28",IF(COUNT(P308:P309)&lt;=1,"",ABS(P308-P309)),IF($X$13="/90",IF(COUNT(#REF!)&lt;=1,"",ABS(#REF!-#REF!))))</f>
        <v/>
      </c>
      <c r="S308" s="278" t="str">
        <f>IF($X$13="/28",IF(Q308="","",IF(AVERAGE(Q304:Q309)&gt;=$W$13,ROUND(AVERAGE(Q304:Q309),1)&amp;" ≥ "&amp;$W$13&amp;" OK",ROUND(AVERAGE(Q304:Q309),1)&amp;" &lt; "&amp;$W$13&amp;" NC")),IF($X$13="/90",IF(#REF!="","",IF(AVERAGE(#REF!)&gt;=$W$13,ROUND(AVERAGE(#REF!),1)&amp;" ≥ "&amp;$W$13&amp;" OK",ROUND(AVERAGE(#REF!),1)&amp;" &lt; "&amp;$W$13&amp;" NC"))))</f>
        <v/>
      </c>
      <c r="T308" s="278" t="str">
        <f>IF($X$13="/28",IF(Q308="","",IF(Q308&gt;=$W$13-$S$12,ROUND((Q308),1)&amp;" ≥ "&amp;$W$13-$S$12&amp;" OK",ROUND((Q308),1)&amp;" &lt; "&amp;$W$13-$S$12&amp;" NC")),IF($X$13="/90",IF(#REF!="","",IF(#REF!&gt;=$W$13-$S$12,ROUND((#REF!),1)&amp;" ≥ "&amp;$W$13-$S$12&amp;" OK",ROUND((#REF!),1)&amp;" &lt; "&amp;$W$13-$S$12&amp;" NC"))))</f>
        <v/>
      </c>
      <c r="U308" s="14"/>
      <c r="V308" s="279"/>
      <c r="W308" s="280"/>
      <c r="X308" s="281"/>
      <c r="Y308" s="246"/>
      <c r="Z308" s="246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BP308" s="390" t="str">
        <f>IF($X$13="/28",IF(Q308="","",Q308),IF($X$13="/90",IF(#REF!="","",#REF!),"Falso"))</f>
        <v/>
      </c>
      <c r="BQ308" s="392" t="str">
        <f t="shared" si="454"/>
        <v/>
      </c>
      <c r="BS308" s="50" t="str">
        <f>Q598</f>
        <v/>
      </c>
      <c r="BT308" s="50" t="e">
        <f>#REF!</f>
        <v>#REF!</v>
      </c>
      <c r="BU308" s="39" t="str">
        <f t="shared" si="428"/>
        <v/>
      </c>
      <c r="BV308" s="39" t="str">
        <f t="shared" si="421"/>
        <v/>
      </c>
    </row>
    <row r="309" spans="1:74" ht="14.25" customHeight="1" x14ac:dyDescent="0.35">
      <c r="A309" s="294"/>
      <c r="B309" s="296"/>
      <c r="C309" s="298"/>
      <c r="D309" s="300"/>
      <c r="E309" s="302"/>
      <c r="F309" s="304"/>
      <c r="G309" s="276"/>
      <c r="H309" s="277"/>
      <c r="I309" s="290"/>
      <c r="J309" s="290"/>
      <c r="K309" s="291"/>
      <c r="L309" s="17"/>
      <c r="M309" s="286"/>
      <c r="N309" s="21"/>
      <c r="O309" s="286"/>
      <c r="P309" s="21"/>
      <c r="Q309" s="286"/>
      <c r="R309" s="248"/>
      <c r="S309" s="287"/>
      <c r="T309" s="248"/>
      <c r="U309" s="13"/>
      <c r="V309" s="282"/>
      <c r="W309" s="283"/>
      <c r="X309" s="284"/>
      <c r="Y309" s="245"/>
      <c r="Z309" s="245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BP309" s="391"/>
      <c r="BQ309" s="393"/>
      <c r="BS309" s="50" t="str">
        <f>Q600</f>
        <v/>
      </c>
      <c r="BT309" s="50" t="e">
        <f>#REF!</f>
        <v>#REF!</v>
      </c>
      <c r="BU309" s="39" t="str">
        <f t="shared" si="428"/>
        <v/>
      </c>
      <c r="BV309" s="39" t="str">
        <f t="shared" si="421"/>
        <v/>
      </c>
    </row>
    <row r="310" spans="1:74" ht="14.25" customHeight="1" x14ac:dyDescent="0.35">
      <c r="A310" s="293">
        <v>147</v>
      </c>
      <c r="B310" s="295"/>
      <c r="C310" s="297"/>
      <c r="D310" s="299"/>
      <c r="E310" s="301"/>
      <c r="F310" s="303"/>
      <c r="G310" s="288"/>
      <c r="H310" s="289"/>
      <c r="I310" s="290"/>
      <c r="J310" s="290"/>
      <c r="K310" s="291"/>
      <c r="L310" s="18"/>
      <c r="M310" s="285" t="str">
        <f t="shared" ref="M310" si="474">IF(COUNT(L310:L311)&lt;1,"",AVERAGE(L310:L311))</f>
        <v/>
      </c>
      <c r="N310" s="22"/>
      <c r="O310" s="285" t="str">
        <f t="shared" ref="O310" si="475">IF(COUNT(N310:N311)&lt;1,"",AVERAGE(N310:N311))</f>
        <v/>
      </c>
      <c r="P310" s="22"/>
      <c r="Q310" s="285" t="str">
        <f t="shared" ref="Q310" si="476">IF(COUNT(P310:P311)&lt;1,"",AVERAGE(P310:P311))</f>
        <v/>
      </c>
      <c r="R310" s="278" t="str">
        <f>IF($X$13="/28",IF(COUNT(P310:P311)&lt;=1,"",ABS(P310-P311)),IF($X$13="/90",IF(COUNT(#REF!)&lt;=1,"",ABS(#REF!-#REF!))))</f>
        <v/>
      </c>
      <c r="S310" s="278" t="str">
        <f>IF($X$13="/28",IF(Q310="","",IF(AVERAGE(Q306:Q311)&gt;=$W$13,ROUND(AVERAGE(Q306:Q311),1)&amp;" ≥ "&amp;$W$13&amp;" OK",ROUND(AVERAGE(Q306:Q311),1)&amp;" &lt; "&amp;$W$13&amp;" NC")),IF($X$13="/90",IF(#REF!="","",IF(AVERAGE(#REF!)&gt;=$W$13,ROUND(AVERAGE(#REF!),1)&amp;" ≥ "&amp;$W$13&amp;" OK",ROUND(AVERAGE(#REF!),1)&amp;" &lt; "&amp;$W$13&amp;" NC"))))</f>
        <v/>
      </c>
      <c r="T310" s="278" t="str">
        <f>IF($X$13="/28",IF(Q310="","",IF(Q310&gt;=$W$13-$S$12,ROUND((Q310),1)&amp;" ≥ "&amp;$W$13-$S$12&amp;" OK",ROUND((Q310),1)&amp;" &lt; "&amp;$W$13-$S$12&amp;" NC")),IF($X$13="/90",IF(#REF!="","",IF(#REF!&gt;=$W$13-$S$12,ROUND((#REF!),1)&amp;" ≥ "&amp;$W$13-$S$12&amp;" OK",ROUND((#REF!),1)&amp;" &lt; "&amp;$W$13-$S$12&amp;" NC"))))</f>
        <v/>
      </c>
      <c r="U310" s="14"/>
      <c r="V310" s="279"/>
      <c r="W310" s="280"/>
      <c r="X310" s="281"/>
      <c r="Y310" s="246"/>
      <c r="Z310" s="246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BP310" s="390" t="str">
        <f>IF($X$13="/28",IF(Q310="","",Q310),IF($X$13="/90",IF(#REF!="","",#REF!),"Falso"))</f>
        <v/>
      </c>
      <c r="BQ310" s="392" t="str">
        <f t="shared" si="458"/>
        <v/>
      </c>
      <c r="BS310" s="50" t="str">
        <f>Q602</f>
        <v/>
      </c>
      <c r="BT310" s="50" t="e">
        <f>#REF!</f>
        <v>#REF!</v>
      </c>
      <c r="BU310" s="39" t="str">
        <f t="shared" si="428"/>
        <v/>
      </c>
      <c r="BV310" s="39" t="str">
        <f t="shared" si="421"/>
        <v/>
      </c>
    </row>
    <row r="311" spans="1:74" ht="14.25" customHeight="1" x14ac:dyDescent="0.35">
      <c r="A311" s="294"/>
      <c r="B311" s="296"/>
      <c r="C311" s="298"/>
      <c r="D311" s="300"/>
      <c r="E311" s="302"/>
      <c r="F311" s="304"/>
      <c r="G311" s="276"/>
      <c r="H311" s="277"/>
      <c r="I311" s="290"/>
      <c r="J311" s="290"/>
      <c r="K311" s="291"/>
      <c r="L311" s="17"/>
      <c r="M311" s="286"/>
      <c r="N311" s="21"/>
      <c r="O311" s="286"/>
      <c r="P311" s="21"/>
      <c r="Q311" s="286"/>
      <c r="R311" s="248"/>
      <c r="S311" s="287"/>
      <c r="T311" s="248"/>
      <c r="U311" s="13"/>
      <c r="V311" s="282"/>
      <c r="W311" s="283"/>
      <c r="X311" s="284"/>
      <c r="Y311" s="245"/>
      <c r="Z311" s="245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BP311" s="391"/>
      <c r="BQ311" s="393"/>
      <c r="BS311" s="50" t="str">
        <f>Q604</f>
        <v/>
      </c>
      <c r="BT311" s="50" t="e">
        <f>#REF!</f>
        <v>#REF!</v>
      </c>
      <c r="BU311" s="39" t="str">
        <f t="shared" si="428"/>
        <v/>
      </c>
      <c r="BV311" s="39" t="str">
        <f t="shared" si="421"/>
        <v/>
      </c>
    </row>
    <row r="312" spans="1:74" ht="14.25" customHeight="1" x14ac:dyDescent="0.35">
      <c r="A312" s="293">
        <v>148</v>
      </c>
      <c r="B312" s="295"/>
      <c r="C312" s="297"/>
      <c r="D312" s="299"/>
      <c r="E312" s="301"/>
      <c r="F312" s="303"/>
      <c r="G312" s="288"/>
      <c r="H312" s="289"/>
      <c r="I312" s="290"/>
      <c r="J312" s="290"/>
      <c r="K312" s="291"/>
      <c r="L312" s="18"/>
      <c r="M312" s="285" t="str">
        <f t="shared" ref="M312" si="477">IF(COUNT(L312:L313)&lt;1,"",AVERAGE(L312:L313))</f>
        <v/>
      </c>
      <c r="N312" s="22"/>
      <c r="O312" s="285" t="str">
        <f t="shared" ref="O312" si="478">IF(COUNT(N312:N313)&lt;1,"",AVERAGE(N312:N313))</f>
        <v/>
      </c>
      <c r="P312" s="22"/>
      <c r="Q312" s="285" t="str">
        <f t="shared" ref="Q312" si="479">IF(COUNT(P312:P313)&lt;1,"",AVERAGE(P312:P313))</f>
        <v/>
      </c>
      <c r="R312" s="278" t="str">
        <f>IF($X$13="/28",IF(COUNT(P312:P313)&lt;=1,"",ABS(P312-P313)),IF($X$13="/90",IF(COUNT(#REF!)&lt;=1,"",ABS(#REF!-#REF!))))</f>
        <v/>
      </c>
      <c r="S312" s="278" t="str">
        <f>IF($X$13="/28",IF(Q312="","",IF(AVERAGE(Q308:Q313)&gt;=$W$13,ROUND(AVERAGE(Q308:Q313),1)&amp;" ≥ "&amp;$W$13&amp;" OK",ROUND(AVERAGE(Q308:Q313),1)&amp;" &lt; "&amp;$W$13&amp;" NC")),IF($X$13="/90",IF(#REF!="","",IF(AVERAGE(#REF!)&gt;=$W$13,ROUND(AVERAGE(#REF!),1)&amp;" ≥ "&amp;$W$13&amp;" OK",ROUND(AVERAGE(#REF!),1)&amp;" &lt; "&amp;$W$13&amp;" NC"))))</f>
        <v/>
      </c>
      <c r="T312" s="278" t="str">
        <f>IF($X$13="/28",IF(Q312="","",IF(Q312&gt;=$W$13-$S$12,ROUND((Q312),1)&amp;" ≥ "&amp;$W$13-$S$12&amp;" OK",ROUND((Q312),1)&amp;" &lt; "&amp;$W$13-$S$12&amp;" NC")),IF($X$13="/90",IF(#REF!="","",IF(#REF!&gt;=$W$13-$S$12,ROUND((#REF!),1)&amp;" ≥ "&amp;$W$13-$S$12&amp;" OK",ROUND((#REF!),1)&amp;" &lt; "&amp;$W$13-$S$12&amp;" NC"))))</f>
        <v/>
      </c>
      <c r="U312" s="14"/>
      <c r="V312" s="279"/>
      <c r="W312" s="280"/>
      <c r="X312" s="281"/>
      <c r="Y312" s="246"/>
      <c r="Z312" s="246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BP312" s="390" t="str">
        <f>IF($X$13="/28",IF(Q312="","",Q312),IF($X$13="/90",IF(#REF!="","",#REF!),"Falso"))</f>
        <v/>
      </c>
      <c r="BQ312" s="392" t="str">
        <f t="shared" si="450"/>
        <v/>
      </c>
      <c r="BS312" s="50" t="str">
        <f>Q606</f>
        <v/>
      </c>
      <c r="BT312" s="50" t="e">
        <f>#REF!</f>
        <v>#REF!</v>
      </c>
      <c r="BU312" s="39" t="str">
        <f t="shared" si="428"/>
        <v/>
      </c>
      <c r="BV312" s="39" t="str">
        <f t="shared" si="421"/>
        <v/>
      </c>
    </row>
    <row r="313" spans="1:74" ht="14.25" customHeight="1" x14ac:dyDescent="0.35">
      <c r="A313" s="294"/>
      <c r="B313" s="296"/>
      <c r="C313" s="298"/>
      <c r="D313" s="300"/>
      <c r="E313" s="302"/>
      <c r="F313" s="304"/>
      <c r="G313" s="276"/>
      <c r="H313" s="277"/>
      <c r="I313" s="290"/>
      <c r="J313" s="290"/>
      <c r="K313" s="291"/>
      <c r="L313" s="17"/>
      <c r="M313" s="286"/>
      <c r="N313" s="21"/>
      <c r="O313" s="286"/>
      <c r="P313" s="21"/>
      <c r="Q313" s="286"/>
      <c r="R313" s="248"/>
      <c r="S313" s="287"/>
      <c r="T313" s="248"/>
      <c r="U313" s="13"/>
      <c r="V313" s="282"/>
      <c r="W313" s="283"/>
      <c r="X313" s="284"/>
      <c r="Y313" s="245"/>
      <c r="Z313" s="245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BP313" s="391"/>
      <c r="BQ313" s="393"/>
      <c r="BS313" s="50" t="str">
        <f>Q608</f>
        <v/>
      </c>
      <c r="BT313" s="50" t="e">
        <f>#REF!</f>
        <v>#REF!</v>
      </c>
      <c r="BU313" s="39" t="str">
        <f t="shared" si="428"/>
        <v/>
      </c>
      <c r="BV313" s="39" t="str">
        <f t="shared" si="421"/>
        <v/>
      </c>
    </row>
    <row r="314" spans="1:74" ht="14.25" customHeight="1" x14ac:dyDescent="0.35">
      <c r="A314" s="293">
        <v>149</v>
      </c>
      <c r="B314" s="295"/>
      <c r="C314" s="297"/>
      <c r="D314" s="299"/>
      <c r="E314" s="301"/>
      <c r="F314" s="303"/>
      <c r="G314" s="288"/>
      <c r="H314" s="289"/>
      <c r="I314" s="290"/>
      <c r="J314" s="290"/>
      <c r="K314" s="291"/>
      <c r="L314" s="18"/>
      <c r="M314" s="285" t="str">
        <f t="shared" ref="M314" si="480">IF(COUNT(L314:L315)&lt;1,"",AVERAGE(L314:L315))</f>
        <v/>
      </c>
      <c r="N314" s="22"/>
      <c r="O314" s="285" t="str">
        <f t="shared" ref="O314" si="481">IF(COUNT(N314:N315)&lt;1,"",AVERAGE(N314:N315))</f>
        <v/>
      </c>
      <c r="P314" s="22"/>
      <c r="Q314" s="285" t="str">
        <f t="shared" ref="Q314" si="482">IF(COUNT(P314:P315)&lt;1,"",AVERAGE(P314:P315))</f>
        <v/>
      </c>
      <c r="R314" s="278" t="str">
        <f>IF($X$13="/28",IF(COUNT(P314:P315)&lt;=1,"",ABS(P314-P315)),IF($X$13="/90",IF(COUNT(#REF!)&lt;=1,"",ABS(#REF!-#REF!))))</f>
        <v/>
      </c>
      <c r="S314" s="278" t="str">
        <f>IF($X$13="/28",IF(Q314="","",IF(AVERAGE(Q310:Q315)&gt;=$W$13,ROUND(AVERAGE(Q310:Q315),1)&amp;" ≥ "&amp;$W$13&amp;" OK",ROUND(AVERAGE(Q310:Q315),1)&amp;" &lt; "&amp;$W$13&amp;" NC")),IF($X$13="/90",IF(#REF!="","",IF(AVERAGE(#REF!)&gt;=$W$13,ROUND(AVERAGE(#REF!),1)&amp;" ≥ "&amp;$W$13&amp;" OK",ROUND(AVERAGE(#REF!),1)&amp;" &lt; "&amp;$W$13&amp;" NC"))))</f>
        <v/>
      </c>
      <c r="T314" s="278" t="str">
        <f>IF($X$13="/28",IF(Q314="","",IF(Q314&gt;=$W$13-$S$12,ROUND((Q314),1)&amp;" ≥ "&amp;$W$13-$S$12&amp;" OK",ROUND((Q314),1)&amp;" &lt; "&amp;$W$13-$S$12&amp;" NC")),IF($X$13="/90",IF(#REF!="","",IF(#REF!&gt;=$W$13-$S$12,ROUND((#REF!),1)&amp;" ≥ "&amp;$W$13-$S$12&amp;" OK",ROUND((#REF!),1)&amp;" &lt; "&amp;$W$13-$S$12&amp;" NC"))))</f>
        <v/>
      </c>
      <c r="U314" s="14"/>
      <c r="V314" s="279"/>
      <c r="W314" s="280"/>
      <c r="X314" s="281"/>
      <c r="Y314" s="246"/>
      <c r="Z314" s="246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BP314" s="390" t="str">
        <f>IF($X$13="/28",IF(Q314="","",Q314),IF($X$13="/90",IF(#REF!="","",#REF!),"Falso"))</f>
        <v/>
      </c>
      <c r="BQ314" s="392" t="str">
        <f t="shared" si="454"/>
        <v/>
      </c>
      <c r="BS314" s="50" t="str">
        <f>Q610</f>
        <v/>
      </c>
      <c r="BT314" s="50" t="e">
        <f>#REF!</f>
        <v>#REF!</v>
      </c>
      <c r="BU314" s="39" t="str">
        <f t="shared" si="428"/>
        <v/>
      </c>
      <c r="BV314" s="39" t="str">
        <f t="shared" si="421"/>
        <v/>
      </c>
    </row>
    <row r="315" spans="1:74" ht="14.25" customHeight="1" x14ac:dyDescent="0.35">
      <c r="A315" s="294"/>
      <c r="B315" s="296"/>
      <c r="C315" s="298"/>
      <c r="D315" s="300"/>
      <c r="E315" s="302"/>
      <c r="F315" s="304"/>
      <c r="G315" s="276"/>
      <c r="H315" s="277"/>
      <c r="I315" s="290"/>
      <c r="J315" s="290"/>
      <c r="K315" s="291"/>
      <c r="L315" s="17"/>
      <c r="M315" s="286"/>
      <c r="N315" s="21"/>
      <c r="O315" s="286"/>
      <c r="P315" s="21"/>
      <c r="Q315" s="286"/>
      <c r="R315" s="248"/>
      <c r="S315" s="287"/>
      <c r="T315" s="248"/>
      <c r="U315" s="13"/>
      <c r="V315" s="282"/>
      <c r="W315" s="283"/>
      <c r="X315" s="284"/>
      <c r="Y315" s="245"/>
      <c r="Z315" s="245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BP315" s="391"/>
      <c r="BQ315" s="393"/>
      <c r="BS315" s="50" t="str">
        <f>Q612</f>
        <v/>
      </c>
      <c r="BT315" s="50" t="e">
        <f>#REF!</f>
        <v>#REF!</v>
      </c>
      <c r="BU315" s="39" t="str">
        <f t="shared" si="428"/>
        <v/>
      </c>
      <c r="BV315" s="39" t="str">
        <f t="shared" si="421"/>
        <v/>
      </c>
    </row>
    <row r="316" spans="1:74" ht="14.25" customHeight="1" x14ac:dyDescent="0.35">
      <c r="A316" s="293">
        <v>150</v>
      </c>
      <c r="B316" s="295"/>
      <c r="C316" s="297"/>
      <c r="D316" s="299"/>
      <c r="E316" s="301"/>
      <c r="F316" s="303"/>
      <c r="G316" s="288"/>
      <c r="H316" s="289"/>
      <c r="I316" s="290"/>
      <c r="J316" s="290"/>
      <c r="K316" s="291"/>
      <c r="L316" s="18"/>
      <c r="M316" s="285" t="str">
        <f t="shared" ref="M316" si="483">IF(COUNT(L316:L317)&lt;1,"",AVERAGE(L316:L317))</f>
        <v/>
      </c>
      <c r="N316" s="22"/>
      <c r="O316" s="285" t="str">
        <f t="shared" ref="O316" si="484">IF(COUNT(N316:N317)&lt;1,"",AVERAGE(N316:N317))</f>
        <v/>
      </c>
      <c r="P316" s="22"/>
      <c r="Q316" s="285" t="str">
        <f t="shared" ref="Q316" si="485">IF(COUNT(P316:P317)&lt;1,"",AVERAGE(P316:P317))</f>
        <v/>
      </c>
      <c r="R316" s="278" t="str">
        <f>IF($X$13="/28",IF(COUNT(P316:P317)&lt;=1,"",ABS(P316-P317)),IF($X$13="/90",IF(COUNT(#REF!)&lt;=1,"",ABS(#REF!-#REF!))))</f>
        <v/>
      </c>
      <c r="S316" s="278" t="str">
        <f>IF($X$13="/28",IF(Q316="","",IF(AVERAGE(Q312:Q317)&gt;=$W$13,ROUND(AVERAGE(Q312:Q317),1)&amp;" ≥ "&amp;$W$13&amp;" OK",ROUND(AVERAGE(Q312:Q317),1)&amp;" &lt; "&amp;$W$13&amp;" NC")),IF($X$13="/90",IF(#REF!="","",IF(AVERAGE(#REF!)&gt;=$W$13,ROUND(AVERAGE(#REF!),1)&amp;" ≥ "&amp;$W$13&amp;" OK",ROUND(AVERAGE(#REF!),1)&amp;" &lt; "&amp;$W$13&amp;" NC"))))</f>
        <v/>
      </c>
      <c r="T316" s="278" t="str">
        <f>IF($X$13="/28",IF(Q316="","",IF(Q316&gt;=$W$13-$S$12,ROUND((Q316),1)&amp;" ≥ "&amp;$W$13-$S$12&amp;" OK",ROUND((Q316),1)&amp;" &lt; "&amp;$W$13-$S$12&amp;" NC")),IF($X$13="/90",IF(#REF!="","",IF(#REF!&gt;=$W$13-$S$12,ROUND((#REF!),1)&amp;" ≥ "&amp;$W$13-$S$12&amp;" OK",ROUND((#REF!),1)&amp;" &lt; "&amp;$W$13-$S$12&amp;" NC"))))</f>
        <v/>
      </c>
      <c r="U316" s="14"/>
      <c r="V316" s="279"/>
      <c r="W316" s="280"/>
      <c r="X316" s="281"/>
      <c r="Y316" s="246"/>
      <c r="Z316" s="246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BP316" s="390" t="str">
        <f>IF($X$13="/28",IF(Q316="","",Q316),IF($X$13="/90",IF(#REF!="","",#REF!),"Falso"))</f>
        <v/>
      </c>
      <c r="BQ316" s="392" t="str">
        <f t="shared" si="458"/>
        <v/>
      </c>
      <c r="BS316" s="50" t="str">
        <f>Q614</f>
        <v/>
      </c>
      <c r="BT316" s="50" t="e">
        <f>#REF!</f>
        <v>#REF!</v>
      </c>
      <c r="BU316" s="39" t="str">
        <f t="shared" si="428"/>
        <v/>
      </c>
      <c r="BV316" s="39" t="str">
        <f t="shared" si="421"/>
        <v/>
      </c>
    </row>
    <row r="317" spans="1:74" ht="14.25" customHeight="1" thickBot="1" x14ac:dyDescent="0.4">
      <c r="A317" s="384"/>
      <c r="B317" s="385"/>
      <c r="C317" s="386"/>
      <c r="D317" s="387"/>
      <c r="E317" s="388"/>
      <c r="F317" s="389"/>
      <c r="G317" s="377"/>
      <c r="H317" s="378"/>
      <c r="I317" s="382"/>
      <c r="J317" s="382"/>
      <c r="K317" s="383"/>
      <c r="L317" s="19"/>
      <c r="M317" s="379"/>
      <c r="N317" s="23"/>
      <c r="O317" s="379"/>
      <c r="P317" s="23"/>
      <c r="Q317" s="379"/>
      <c r="R317" s="380"/>
      <c r="S317" s="381"/>
      <c r="T317" s="380"/>
      <c r="U317" s="15"/>
      <c r="V317" s="373"/>
      <c r="W317" s="374"/>
      <c r="X317" s="375"/>
      <c r="Y317" s="376"/>
      <c r="Z317" s="376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BP317" s="391"/>
      <c r="BQ317" s="393"/>
      <c r="BS317" s="50" t="str">
        <f>Q616</f>
        <v/>
      </c>
      <c r="BT317" s="50" t="e">
        <f>#REF!</f>
        <v>#REF!</v>
      </c>
      <c r="BU317" s="39" t="str">
        <f t="shared" si="428"/>
        <v/>
      </c>
      <c r="BV317" s="39" t="str">
        <f t="shared" si="421"/>
        <v/>
      </c>
    </row>
    <row r="318" spans="1:74" ht="14.25" customHeight="1" x14ac:dyDescent="0.35">
      <c r="A318" s="311">
        <v>151</v>
      </c>
      <c r="B318" s="312"/>
      <c r="C318" s="313"/>
      <c r="D318" s="314"/>
      <c r="E318" s="315"/>
      <c r="F318" s="353"/>
      <c r="G318" s="354"/>
      <c r="H318" s="355"/>
      <c r="I318" s="356"/>
      <c r="J318" s="356"/>
      <c r="K318" s="357"/>
      <c r="L318" s="16"/>
      <c r="M318" s="352" t="str">
        <f t="shared" ref="M318" si="486">IF(COUNT(L318:L319)&lt;1,"",AVERAGE(L318:L319))</f>
        <v/>
      </c>
      <c r="N318" s="20"/>
      <c r="O318" s="352" t="str">
        <f t="shared" ref="O318" si="487">IF(COUNT(N318:N319)&lt;1,"",AVERAGE(N318:N319))</f>
        <v/>
      </c>
      <c r="P318" s="20"/>
      <c r="Q318" s="352" t="str">
        <f t="shared" ref="Q318" si="488">IF(COUNT(P318:P319)&lt;1,"",AVERAGE(P318:P319))</f>
        <v/>
      </c>
      <c r="R318" s="247" t="str">
        <f>IF($X$13="/28",IF(COUNT(P318:P319)&lt;=1,"",ABS(P318-P319)),IF($X$13="/90",IF(COUNT(#REF!)&lt;=1,"",ABS(#REF!-#REF!))))</f>
        <v/>
      </c>
      <c r="S318" s="247" t="str">
        <f>IF($X$13="/28",IF(Q318="","",IF(AVERAGE(Q314:Q319)&gt;=$W$13,ROUND(AVERAGE(Q314:Q319),1)&amp;" ≥ "&amp;$W$13&amp;" OK",ROUND(AVERAGE(Q314:Q319),1)&amp;" &lt; "&amp;$W$13&amp;" NC")),IF($X$13="/90",IF(#REF!="","",IF(AVERAGE(#REF!)&gt;=$W$13,ROUND(AVERAGE(#REF!),1)&amp;" ≥ "&amp;$W$13&amp;" OK",ROUND(AVERAGE(#REF!),1)&amp;" &lt; "&amp;$W$13&amp;" NC"))))</f>
        <v/>
      </c>
      <c r="T318" s="247" t="str">
        <f>IF($X$13="/28",IF(Q318="","",IF(Q318&gt;=$W$13-$S$12,ROUND((Q318),1)&amp;" ≥ "&amp;$W$13-$S$12&amp;" OK",ROUND((Q318),1)&amp;" &lt; "&amp;$W$13-$S$12&amp;" NC")),IF($X$13="/90",IF(#REF!="","",IF(#REF!&gt;=$W$13-$S$12,ROUND((#REF!),1)&amp;" ≥ "&amp;$W$13-$S$12&amp;" OK",ROUND((#REF!),1)&amp;" &lt; "&amp;$W$13-$S$12&amp;" NC"))))</f>
        <v/>
      </c>
      <c r="U318" s="12"/>
      <c r="V318" s="349"/>
      <c r="W318" s="350"/>
      <c r="X318" s="351"/>
      <c r="Y318" s="244"/>
      <c r="Z318" s="244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BP318" s="390" t="str">
        <f>IF($X$13="/28",IF(Q318="","",Q318),IF($X$13="/90",IF(#REF!="","",#REF!),"Falso"))</f>
        <v/>
      </c>
      <c r="BQ318" s="392" t="str">
        <f t="shared" si="450"/>
        <v/>
      </c>
      <c r="BS318" s="50" t="str">
        <f>Q618</f>
        <v/>
      </c>
      <c r="BT318" s="50" t="e">
        <f>#REF!</f>
        <v>#REF!</v>
      </c>
      <c r="BU318" s="39" t="str">
        <f t="shared" si="428"/>
        <v/>
      </c>
      <c r="BV318" s="39" t="str">
        <f t="shared" si="421"/>
        <v/>
      </c>
    </row>
    <row r="319" spans="1:74" ht="14.25" customHeight="1" x14ac:dyDescent="0.35">
      <c r="A319" s="294"/>
      <c r="B319" s="296"/>
      <c r="C319" s="298"/>
      <c r="D319" s="300"/>
      <c r="E319" s="302"/>
      <c r="F319" s="304"/>
      <c r="G319" s="276"/>
      <c r="H319" s="277"/>
      <c r="I319" s="290"/>
      <c r="J319" s="290"/>
      <c r="K319" s="291"/>
      <c r="L319" s="17"/>
      <c r="M319" s="286"/>
      <c r="N319" s="21"/>
      <c r="O319" s="286"/>
      <c r="P319" s="21"/>
      <c r="Q319" s="286"/>
      <c r="R319" s="248"/>
      <c r="S319" s="248"/>
      <c r="T319" s="248"/>
      <c r="U319" s="13"/>
      <c r="V319" s="282"/>
      <c r="W319" s="283"/>
      <c r="X319" s="284"/>
      <c r="Y319" s="245"/>
      <c r="Z319" s="245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BP319" s="391"/>
      <c r="BQ319" s="393"/>
      <c r="BS319" s="50" t="str">
        <f>Q620</f>
        <v/>
      </c>
      <c r="BT319" s="50" t="e">
        <f>#REF!</f>
        <v>#REF!</v>
      </c>
      <c r="BU319" s="39" t="str">
        <f t="shared" si="428"/>
        <v/>
      </c>
      <c r="BV319" s="39" t="str">
        <f t="shared" si="421"/>
        <v/>
      </c>
    </row>
    <row r="320" spans="1:74" ht="14.25" customHeight="1" x14ac:dyDescent="0.35">
      <c r="A320" s="293">
        <v>152</v>
      </c>
      <c r="B320" s="295"/>
      <c r="C320" s="297"/>
      <c r="D320" s="299"/>
      <c r="E320" s="301"/>
      <c r="F320" s="303"/>
      <c r="G320" s="288"/>
      <c r="H320" s="289"/>
      <c r="I320" s="290"/>
      <c r="J320" s="290"/>
      <c r="K320" s="291"/>
      <c r="L320" s="18"/>
      <c r="M320" s="285" t="str">
        <f t="shared" ref="M320" si="489">IF(COUNT(L320:L321)&lt;1,"",AVERAGE(L320:L321))</f>
        <v/>
      </c>
      <c r="N320" s="22"/>
      <c r="O320" s="285" t="str">
        <f t="shared" ref="O320" si="490">IF(COUNT(N320:N321)&lt;1,"",AVERAGE(N320:N321))</f>
        <v/>
      </c>
      <c r="P320" s="22"/>
      <c r="Q320" s="285" t="str">
        <f t="shared" ref="Q320" si="491">IF(COUNT(P320:P321)&lt;1,"",AVERAGE(P320:P321))</f>
        <v/>
      </c>
      <c r="R320" s="278" t="str">
        <f>IF($X$13="/28",IF(COUNT(P320:P321)&lt;=1,"",ABS(P320-P321)),IF($X$13="/90",IF(COUNT(#REF!)&lt;=1,"",ABS(#REF!-#REF!))))</f>
        <v/>
      </c>
      <c r="S320" s="278" t="str">
        <f>IF($X$13="/28",IF(Q320="","",IF(AVERAGE(Q316:Q321)&gt;=$W$13,ROUND(AVERAGE(Q316:Q321),1)&amp;" ≥ "&amp;$W$13&amp;" OK",ROUND(AVERAGE(Q316:Q321),1)&amp;" &lt; "&amp;$W$13&amp;" NC")),IF($X$13="/90",IF(#REF!="","",IF(AVERAGE(#REF!)&gt;=$W$13,ROUND(AVERAGE(#REF!),1)&amp;" ≥ "&amp;$W$13&amp;" OK",ROUND(AVERAGE(#REF!),1)&amp;" &lt; "&amp;$W$13&amp;" NC"))))</f>
        <v/>
      </c>
      <c r="T320" s="278" t="str">
        <f>IF($X$13="/28",IF(Q320="","",IF(Q320&gt;=$W$13-$S$12,ROUND((Q320),1)&amp;" ≥ "&amp;$W$13-$S$12&amp;" OK",ROUND((Q320),1)&amp;" &lt; "&amp;$W$13-$S$12&amp;" NC")),IF($X$13="/90",IF(#REF!="","",IF(#REF!&gt;=$W$13-$S$12,ROUND((#REF!),1)&amp;" ≥ "&amp;$W$13-$S$12&amp;" OK",ROUND((#REF!),1)&amp;" &lt; "&amp;$W$13-$S$12&amp;" NC"))))</f>
        <v/>
      </c>
      <c r="U320" s="14"/>
      <c r="V320" s="279"/>
      <c r="W320" s="280"/>
      <c r="X320" s="281"/>
      <c r="Y320" s="246"/>
      <c r="Z320" s="246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BP320" s="390" t="str">
        <f>IF($X$13="/28",IF(Q320="","",Q320),IF($X$13="/90",IF(#REF!="","",#REF!),"Falso"))</f>
        <v/>
      </c>
      <c r="BQ320" s="392" t="str">
        <f t="shared" si="454"/>
        <v/>
      </c>
      <c r="BS320" s="50" t="str">
        <f>Q622</f>
        <v/>
      </c>
      <c r="BT320" s="50" t="e">
        <f>#REF!</f>
        <v>#REF!</v>
      </c>
      <c r="BU320" s="39" t="str">
        <f t="shared" si="428"/>
        <v/>
      </c>
      <c r="BV320" s="39" t="str">
        <f t="shared" si="421"/>
        <v/>
      </c>
    </row>
    <row r="321" spans="1:74" ht="14.25" customHeight="1" x14ac:dyDescent="0.35">
      <c r="A321" s="294"/>
      <c r="B321" s="296"/>
      <c r="C321" s="298"/>
      <c r="D321" s="300"/>
      <c r="E321" s="302"/>
      <c r="F321" s="304"/>
      <c r="G321" s="276"/>
      <c r="H321" s="277"/>
      <c r="I321" s="290"/>
      <c r="J321" s="290"/>
      <c r="K321" s="291"/>
      <c r="L321" s="17"/>
      <c r="M321" s="286"/>
      <c r="N321" s="21"/>
      <c r="O321" s="286"/>
      <c r="P321" s="21"/>
      <c r="Q321" s="286"/>
      <c r="R321" s="248"/>
      <c r="S321" s="248"/>
      <c r="T321" s="248"/>
      <c r="U321" s="13"/>
      <c r="V321" s="282"/>
      <c r="W321" s="283"/>
      <c r="X321" s="284"/>
      <c r="Y321" s="245"/>
      <c r="Z321" s="245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BP321" s="391"/>
      <c r="BQ321" s="393"/>
      <c r="BS321" s="50" t="str">
        <f>Q624</f>
        <v/>
      </c>
      <c r="BT321" s="50" t="e">
        <f>#REF!</f>
        <v>#REF!</v>
      </c>
      <c r="BU321" s="39" t="str">
        <f t="shared" si="428"/>
        <v/>
      </c>
      <c r="BV321" s="39" t="str">
        <f t="shared" si="421"/>
        <v/>
      </c>
    </row>
    <row r="322" spans="1:74" ht="14.25" customHeight="1" x14ac:dyDescent="0.35">
      <c r="A322" s="293">
        <v>153</v>
      </c>
      <c r="B322" s="295"/>
      <c r="C322" s="297"/>
      <c r="D322" s="299"/>
      <c r="E322" s="301"/>
      <c r="F322" s="303"/>
      <c r="G322" s="288"/>
      <c r="H322" s="289"/>
      <c r="I322" s="290"/>
      <c r="J322" s="290"/>
      <c r="K322" s="291"/>
      <c r="L322" s="18"/>
      <c r="M322" s="285" t="str">
        <f t="shared" ref="M322" si="492">IF(COUNT(L322:L323)&lt;1,"",AVERAGE(L322:L323))</f>
        <v/>
      </c>
      <c r="N322" s="22"/>
      <c r="O322" s="285" t="str">
        <f t="shared" ref="O322" si="493">IF(COUNT(N322:N323)&lt;1,"",AVERAGE(N322:N323))</f>
        <v/>
      </c>
      <c r="P322" s="22"/>
      <c r="Q322" s="285" t="str">
        <f t="shared" ref="Q322" si="494">IF(COUNT(P322:P323)&lt;1,"",AVERAGE(P322:P323))</f>
        <v/>
      </c>
      <c r="R322" s="278" t="str">
        <f>IF($X$13="/28",IF(COUNT(P322:P323)&lt;=1,"",ABS(P322-P323)),IF($X$13="/90",IF(COUNT(#REF!)&lt;=1,"",ABS(#REF!-#REF!))))</f>
        <v/>
      </c>
      <c r="S322" s="278" t="str">
        <f>IF($X$13="/28",IF(Q322="","",IF(AVERAGE(Q318:Q323)&gt;=$W$13,ROUND(AVERAGE(Q318:Q323),1)&amp;" ≥ "&amp;$W$13&amp;" OK",ROUND(AVERAGE(Q318:Q323),1)&amp;" &lt; "&amp;$W$13&amp;" NC")),IF($X$13="/90",IF(#REF!="","",IF(AVERAGE(#REF!)&gt;=$W$13,ROUND(AVERAGE(#REF!),1)&amp;" ≥ "&amp;$W$13&amp;" OK",ROUND(AVERAGE(#REF!),1)&amp;" &lt; "&amp;$W$13&amp;" NC"))))</f>
        <v/>
      </c>
      <c r="T322" s="278" t="str">
        <f>IF($X$13="/28",IF(Q322="","",IF(Q322&gt;=$W$13-$S$12,ROUND((Q322),1)&amp;" ≥ "&amp;$W$13-$S$12&amp;" OK",ROUND((Q322),1)&amp;" &lt; "&amp;$W$13-$S$12&amp;" NC")),IF($X$13="/90",IF(#REF!="","",IF(#REF!&gt;=$W$13-$S$12,ROUND((#REF!),1)&amp;" ≥ "&amp;$W$13-$S$12&amp;" OK",ROUND((#REF!),1)&amp;" &lt; "&amp;$W$13-$S$12&amp;" NC"))))</f>
        <v/>
      </c>
      <c r="U322" s="14"/>
      <c r="V322" s="279"/>
      <c r="W322" s="280"/>
      <c r="X322" s="281"/>
      <c r="Y322" s="246"/>
      <c r="Z322" s="246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BP322" s="390" t="str">
        <f>IF($X$13="/28",IF(Q322="","",Q322),IF($X$13="/90",IF(#REF!="","",#REF!),"Falso"))</f>
        <v/>
      </c>
      <c r="BQ322" s="392" t="str">
        <f t="shared" si="458"/>
        <v/>
      </c>
      <c r="BS322" s="50" t="str">
        <f>Q626</f>
        <v/>
      </c>
      <c r="BT322" s="50" t="e">
        <f>#REF!</f>
        <v>#REF!</v>
      </c>
      <c r="BU322" s="39" t="str">
        <f t="shared" si="428"/>
        <v/>
      </c>
      <c r="BV322" s="39" t="str">
        <f t="shared" si="421"/>
        <v/>
      </c>
    </row>
    <row r="323" spans="1:74" ht="14.25" customHeight="1" x14ac:dyDescent="0.35">
      <c r="A323" s="294"/>
      <c r="B323" s="296"/>
      <c r="C323" s="298"/>
      <c r="D323" s="300"/>
      <c r="E323" s="302"/>
      <c r="F323" s="304"/>
      <c r="G323" s="276"/>
      <c r="H323" s="277"/>
      <c r="I323" s="290"/>
      <c r="J323" s="290"/>
      <c r="K323" s="291"/>
      <c r="L323" s="17"/>
      <c r="M323" s="286"/>
      <c r="N323" s="21"/>
      <c r="O323" s="286"/>
      <c r="P323" s="21"/>
      <c r="Q323" s="286"/>
      <c r="R323" s="248"/>
      <c r="S323" s="287"/>
      <c r="T323" s="248"/>
      <c r="U323" s="13"/>
      <c r="V323" s="282"/>
      <c r="W323" s="283"/>
      <c r="X323" s="284"/>
      <c r="Y323" s="245"/>
      <c r="Z323" s="245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BP323" s="391"/>
      <c r="BQ323" s="393"/>
      <c r="BS323" s="50" t="str">
        <f>Q628</f>
        <v/>
      </c>
      <c r="BT323" s="50" t="e">
        <f>#REF!</f>
        <v>#REF!</v>
      </c>
      <c r="BU323" s="39" t="str">
        <f t="shared" si="428"/>
        <v/>
      </c>
      <c r="BV323" s="39" t="str">
        <f t="shared" si="421"/>
        <v/>
      </c>
    </row>
    <row r="324" spans="1:74" ht="14.25" customHeight="1" x14ac:dyDescent="0.35">
      <c r="A324" s="293">
        <v>154</v>
      </c>
      <c r="B324" s="295"/>
      <c r="C324" s="297"/>
      <c r="D324" s="299"/>
      <c r="E324" s="301"/>
      <c r="F324" s="303"/>
      <c r="G324" s="288"/>
      <c r="H324" s="289"/>
      <c r="I324" s="290"/>
      <c r="J324" s="290"/>
      <c r="K324" s="291"/>
      <c r="L324" s="18"/>
      <c r="M324" s="285" t="str">
        <f t="shared" ref="M324" si="495">IF(COUNT(L324:L325)&lt;1,"",AVERAGE(L324:L325))</f>
        <v/>
      </c>
      <c r="N324" s="22"/>
      <c r="O324" s="285" t="str">
        <f t="shared" ref="O324" si="496">IF(COUNT(N324:N325)&lt;1,"",AVERAGE(N324:N325))</f>
        <v/>
      </c>
      <c r="P324" s="22"/>
      <c r="Q324" s="285" t="str">
        <f t="shared" ref="Q324" si="497">IF(COUNT(P324:P325)&lt;1,"",AVERAGE(P324:P325))</f>
        <v/>
      </c>
      <c r="R324" s="278" t="str">
        <f>IF($X$13="/28",IF(COUNT(P324:P325)&lt;=1,"",ABS(P324-P325)),IF($X$13="/90",IF(COUNT(#REF!)&lt;=1,"",ABS(#REF!-#REF!))))</f>
        <v/>
      </c>
      <c r="S324" s="278" t="str">
        <f>IF($X$13="/28",IF(Q324="","",IF(AVERAGE(Q320:Q325)&gt;=$W$13,ROUND(AVERAGE(Q320:Q325),1)&amp;" ≥ "&amp;$W$13&amp;" OK",ROUND(AVERAGE(Q320:Q325),1)&amp;" &lt; "&amp;$W$13&amp;" NC")),IF($X$13="/90",IF(#REF!="","",IF(AVERAGE(#REF!)&gt;=$W$13,ROUND(AVERAGE(#REF!),1)&amp;" ≥ "&amp;$W$13&amp;" OK",ROUND(AVERAGE(#REF!),1)&amp;" &lt; "&amp;$W$13&amp;" NC"))))</f>
        <v/>
      </c>
      <c r="T324" s="278" t="str">
        <f>IF($X$13="/28",IF(Q324="","",IF(Q324&gt;=$W$13-$S$12,ROUND((Q324),1)&amp;" ≥ "&amp;$W$13-$S$12&amp;" OK",ROUND((Q324),1)&amp;" &lt; "&amp;$W$13-$S$12&amp;" NC")),IF($X$13="/90",IF(#REF!="","",IF(#REF!&gt;=$W$13-$S$12,ROUND((#REF!),1)&amp;" ≥ "&amp;$W$13-$S$12&amp;" OK",ROUND((#REF!),1)&amp;" &lt; "&amp;$W$13-$S$12&amp;" NC"))))</f>
        <v/>
      </c>
      <c r="U324" s="14"/>
      <c r="V324" s="279"/>
      <c r="W324" s="280"/>
      <c r="X324" s="281"/>
      <c r="Y324" s="246"/>
      <c r="Z324" s="246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BP324" s="390" t="str">
        <f>IF($X$13="/28",IF(Q324="","",Q324),IF($X$13="/90",IF(#REF!="","",#REF!),"Falso"))</f>
        <v/>
      </c>
      <c r="BQ324" s="392" t="str">
        <f t="shared" si="450"/>
        <v/>
      </c>
      <c r="BS324" s="50" t="str">
        <f>Q630</f>
        <v/>
      </c>
      <c r="BT324" s="50" t="e">
        <f>#REF!</f>
        <v>#REF!</v>
      </c>
      <c r="BU324" s="39" t="str">
        <f t="shared" si="428"/>
        <v/>
      </c>
      <c r="BV324" s="39" t="str">
        <f t="shared" si="421"/>
        <v/>
      </c>
    </row>
    <row r="325" spans="1:74" ht="14.25" customHeight="1" x14ac:dyDescent="0.35">
      <c r="A325" s="294"/>
      <c r="B325" s="296"/>
      <c r="C325" s="298"/>
      <c r="D325" s="300"/>
      <c r="E325" s="302"/>
      <c r="F325" s="304"/>
      <c r="G325" s="276"/>
      <c r="H325" s="277"/>
      <c r="I325" s="290"/>
      <c r="J325" s="290"/>
      <c r="K325" s="291"/>
      <c r="L325" s="17"/>
      <c r="M325" s="286"/>
      <c r="N325" s="21"/>
      <c r="O325" s="286"/>
      <c r="P325" s="21"/>
      <c r="Q325" s="286"/>
      <c r="R325" s="248"/>
      <c r="S325" s="287"/>
      <c r="T325" s="248"/>
      <c r="U325" s="13"/>
      <c r="V325" s="282"/>
      <c r="W325" s="283"/>
      <c r="X325" s="284"/>
      <c r="Y325" s="245"/>
      <c r="Z325" s="245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BP325" s="391"/>
      <c r="BQ325" s="393"/>
      <c r="BS325" s="50" t="str">
        <f>Q632</f>
        <v/>
      </c>
      <c r="BT325" s="50" t="e">
        <f>#REF!</f>
        <v>#REF!</v>
      </c>
      <c r="BU325" s="39" t="str">
        <f t="shared" si="428"/>
        <v/>
      </c>
      <c r="BV325" s="39" t="str">
        <f t="shared" si="421"/>
        <v/>
      </c>
    </row>
    <row r="326" spans="1:74" ht="14.25" customHeight="1" x14ac:dyDescent="0.35">
      <c r="A326" s="293">
        <v>155</v>
      </c>
      <c r="B326" s="295"/>
      <c r="C326" s="297"/>
      <c r="D326" s="299"/>
      <c r="E326" s="301"/>
      <c r="F326" s="303"/>
      <c r="G326" s="288"/>
      <c r="H326" s="289"/>
      <c r="I326" s="290"/>
      <c r="J326" s="290"/>
      <c r="K326" s="291"/>
      <c r="L326" s="18"/>
      <c r="M326" s="285" t="str">
        <f t="shared" ref="M326" si="498">IF(COUNT(L326:L327)&lt;1,"",AVERAGE(L326:L327))</f>
        <v/>
      </c>
      <c r="N326" s="22"/>
      <c r="O326" s="285" t="str">
        <f t="shared" ref="O326" si="499">IF(COUNT(N326:N327)&lt;1,"",AVERAGE(N326:N327))</f>
        <v/>
      </c>
      <c r="P326" s="22"/>
      <c r="Q326" s="285" t="str">
        <f t="shared" ref="Q326" si="500">IF(COUNT(P326:P327)&lt;1,"",AVERAGE(P326:P327))</f>
        <v/>
      </c>
      <c r="R326" s="278" t="str">
        <f>IF($X$13="/28",IF(COUNT(P326:P327)&lt;=1,"",ABS(P326-P327)),IF($X$13="/90",IF(COUNT(#REF!)&lt;=1,"",ABS(#REF!-#REF!))))</f>
        <v/>
      </c>
      <c r="S326" s="278" t="str">
        <f>IF($X$13="/28",IF(Q326="","",IF(AVERAGE(Q322:Q327)&gt;=$W$13,ROUND(AVERAGE(Q322:Q327),1)&amp;" ≥ "&amp;$W$13&amp;" OK",ROUND(AVERAGE(Q322:Q327),1)&amp;" &lt; "&amp;$W$13&amp;" NC")),IF($X$13="/90",IF(#REF!="","",IF(AVERAGE(#REF!)&gt;=$W$13,ROUND(AVERAGE(#REF!),1)&amp;" ≥ "&amp;$W$13&amp;" OK",ROUND(AVERAGE(#REF!),1)&amp;" &lt; "&amp;$W$13&amp;" NC"))))</f>
        <v/>
      </c>
      <c r="T326" s="278" t="str">
        <f>IF($X$13="/28",IF(Q326="","",IF(Q326&gt;=$W$13-$S$12,ROUND((Q326),1)&amp;" ≥ "&amp;$W$13-$S$12&amp;" OK",ROUND((Q326),1)&amp;" &lt; "&amp;$W$13-$S$12&amp;" NC")),IF($X$13="/90",IF(#REF!="","",IF(#REF!&gt;=$W$13-$S$12,ROUND((#REF!),1)&amp;" ≥ "&amp;$W$13-$S$12&amp;" OK",ROUND((#REF!),1)&amp;" &lt; "&amp;$W$13-$S$12&amp;" NC"))))</f>
        <v/>
      </c>
      <c r="U326" s="14"/>
      <c r="V326" s="279"/>
      <c r="W326" s="280"/>
      <c r="X326" s="281"/>
      <c r="Y326" s="246"/>
      <c r="Z326" s="246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BP326" s="390" t="str">
        <f>IF($X$13="/28",IF(Q326="","",Q326),IF($X$13="/90",IF(#REF!="","",#REF!),"Falso"))</f>
        <v/>
      </c>
      <c r="BQ326" s="392" t="str">
        <f t="shared" si="454"/>
        <v/>
      </c>
      <c r="BS326" s="50" t="str">
        <f>Q634</f>
        <v/>
      </c>
      <c r="BT326" s="50" t="e">
        <f>#REF!</f>
        <v>#REF!</v>
      </c>
      <c r="BU326" s="39" t="str">
        <f t="shared" si="428"/>
        <v/>
      </c>
      <c r="BV326" s="39" t="str">
        <f t="shared" si="421"/>
        <v/>
      </c>
    </row>
    <row r="327" spans="1:74" ht="14.25" customHeight="1" x14ac:dyDescent="0.35">
      <c r="A327" s="294"/>
      <c r="B327" s="296"/>
      <c r="C327" s="298"/>
      <c r="D327" s="300"/>
      <c r="E327" s="302"/>
      <c r="F327" s="304"/>
      <c r="G327" s="276"/>
      <c r="H327" s="277"/>
      <c r="I327" s="290"/>
      <c r="J327" s="290"/>
      <c r="K327" s="291"/>
      <c r="L327" s="17"/>
      <c r="M327" s="286"/>
      <c r="N327" s="21"/>
      <c r="O327" s="286"/>
      <c r="P327" s="21"/>
      <c r="Q327" s="286"/>
      <c r="R327" s="248"/>
      <c r="S327" s="287"/>
      <c r="T327" s="248"/>
      <c r="U327" s="13"/>
      <c r="V327" s="282"/>
      <c r="W327" s="283"/>
      <c r="X327" s="284"/>
      <c r="Y327" s="245"/>
      <c r="Z327" s="245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BP327" s="391"/>
      <c r="BQ327" s="393"/>
      <c r="BS327" s="50" t="str">
        <f>Q636</f>
        <v/>
      </c>
      <c r="BT327" s="50" t="e">
        <f>#REF!</f>
        <v>#REF!</v>
      </c>
      <c r="BU327" s="39" t="str">
        <f t="shared" si="428"/>
        <v/>
      </c>
      <c r="BV327" s="39" t="str">
        <f t="shared" si="421"/>
        <v/>
      </c>
    </row>
    <row r="328" spans="1:74" ht="14.25" customHeight="1" x14ac:dyDescent="0.35">
      <c r="A328" s="293">
        <v>156</v>
      </c>
      <c r="B328" s="295"/>
      <c r="C328" s="297"/>
      <c r="D328" s="299"/>
      <c r="E328" s="301"/>
      <c r="F328" s="303"/>
      <c r="G328" s="288"/>
      <c r="H328" s="289"/>
      <c r="I328" s="290"/>
      <c r="J328" s="290"/>
      <c r="K328" s="291"/>
      <c r="L328" s="18"/>
      <c r="M328" s="285" t="str">
        <f t="shared" ref="M328" si="501">IF(COUNT(L328:L329)&lt;1,"",AVERAGE(L328:L329))</f>
        <v/>
      </c>
      <c r="N328" s="22"/>
      <c r="O328" s="285" t="str">
        <f t="shared" ref="O328" si="502">IF(COUNT(N328:N329)&lt;1,"",AVERAGE(N328:N329))</f>
        <v/>
      </c>
      <c r="P328" s="22"/>
      <c r="Q328" s="285" t="str">
        <f t="shared" ref="Q328" si="503">IF(COUNT(P328:P329)&lt;1,"",AVERAGE(P328:P329))</f>
        <v/>
      </c>
      <c r="R328" s="278" t="str">
        <f>IF($X$13="/28",IF(COUNT(P328:P329)&lt;=1,"",ABS(P328-P329)),IF($X$13="/90",IF(COUNT(#REF!)&lt;=1,"",ABS(#REF!-#REF!))))</f>
        <v/>
      </c>
      <c r="S328" s="278" t="str">
        <f>IF($X$13="/28",IF(Q328="","",IF(AVERAGE(Q324:Q329)&gt;=$W$13,ROUND(AVERAGE(Q324:Q329),1)&amp;" ≥ "&amp;$W$13&amp;" OK",ROUND(AVERAGE(Q324:Q329),1)&amp;" &lt; "&amp;$W$13&amp;" NC")),IF($X$13="/90",IF(#REF!="","",IF(AVERAGE(#REF!)&gt;=$W$13,ROUND(AVERAGE(#REF!),1)&amp;" ≥ "&amp;$W$13&amp;" OK",ROUND(AVERAGE(#REF!),1)&amp;" &lt; "&amp;$W$13&amp;" NC"))))</f>
        <v/>
      </c>
      <c r="T328" s="278" t="str">
        <f>IF($X$13="/28",IF(Q328="","",IF(Q328&gt;=$W$13-$S$12,ROUND((Q328),1)&amp;" ≥ "&amp;$W$13-$S$12&amp;" OK",ROUND((Q328),1)&amp;" &lt; "&amp;$W$13-$S$12&amp;" NC")),IF($X$13="/90",IF(#REF!="","",IF(#REF!&gt;=$W$13-$S$12,ROUND((#REF!),1)&amp;" ≥ "&amp;$W$13-$S$12&amp;" OK",ROUND((#REF!),1)&amp;" &lt; "&amp;$W$13-$S$12&amp;" NC"))))</f>
        <v/>
      </c>
      <c r="U328" s="14"/>
      <c r="V328" s="279"/>
      <c r="W328" s="280"/>
      <c r="X328" s="281"/>
      <c r="Y328" s="246"/>
      <c r="Z328" s="246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BP328" s="390" t="str">
        <f>IF($X$13="/28",IF(Q328="","",Q328),IF($X$13="/90",IF(#REF!="","",#REF!),"Falso"))</f>
        <v/>
      </c>
      <c r="BQ328" s="392" t="str">
        <f t="shared" si="458"/>
        <v/>
      </c>
      <c r="BS328" s="50" t="str">
        <f>Q638</f>
        <v/>
      </c>
      <c r="BT328" s="50" t="e">
        <f>#REF!</f>
        <v>#REF!</v>
      </c>
      <c r="BU328" s="39" t="str">
        <f t="shared" si="428"/>
        <v/>
      </c>
      <c r="BV328" s="39" t="str">
        <f t="shared" si="421"/>
        <v/>
      </c>
    </row>
    <row r="329" spans="1:74" ht="14.25" customHeight="1" x14ac:dyDescent="0.35">
      <c r="A329" s="294"/>
      <c r="B329" s="296"/>
      <c r="C329" s="298"/>
      <c r="D329" s="300"/>
      <c r="E329" s="302"/>
      <c r="F329" s="304"/>
      <c r="G329" s="276"/>
      <c r="H329" s="277"/>
      <c r="I329" s="290"/>
      <c r="J329" s="290"/>
      <c r="K329" s="291"/>
      <c r="L329" s="17"/>
      <c r="M329" s="286"/>
      <c r="N329" s="21"/>
      <c r="O329" s="286"/>
      <c r="P329" s="21"/>
      <c r="Q329" s="286"/>
      <c r="R329" s="248"/>
      <c r="S329" s="287"/>
      <c r="T329" s="248"/>
      <c r="U329" s="13"/>
      <c r="V329" s="282"/>
      <c r="W329" s="283"/>
      <c r="X329" s="284"/>
      <c r="Y329" s="245"/>
      <c r="Z329" s="245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BP329" s="391"/>
      <c r="BQ329" s="393"/>
      <c r="BS329" s="50" t="str">
        <f>Q640</f>
        <v/>
      </c>
      <c r="BT329" s="50" t="e">
        <f>#REF!</f>
        <v>#REF!</v>
      </c>
      <c r="BU329" s="39" t="str">
        <f t="shared" si="428"/>
        <v/>
      </c>
      <c r="BV329" s="39" t="str">
        <f t="shared" si="421"/>
        <v/>
      </c>
    </row>
    <row r="330" spans="1:74" ht="14.25" customHeight="1" x14ac:dyDescent="0.35">
      <c r="A330" s="293">
        <v>157</v>
      </c>
      <c r="B330" s="295"/>
      <c r="C330" s="297"/>
      <c r="D330" s="299"/>
      <c r="E330" s="301"/>
      <c r="F330" s="303"/>
      <c r="G330" s="288"/>
      <c r="H330" s="289"/>
      <c r="I330" s="290"/>
      <c r="J330" s="290"/>
      <c r="K330" s="291"/>
      <c r="L330" s="18"/>
      <c r="M330" s="285" t="str">
        <f t="shared" ref="M330" si="504">IF(COUNT(L330:L331)&lt;1,"",AVERAGE(L330:L331))</f>
        <v/>
      </c>
      <c r="N330" s="22"/>
      <c r="O330" s="285" t="str">
        <f t="shared" ref="O330" si="505">IF(COUNT(N330:N331)&lt;1,"",AVERAGE(N330:N331))</f>
        <v/>
      </c>
      <c r="P330" s="22"/>
      <c r="Q330" s="285" t="str">
        <f t="shared" ref="Q330" si="506">IF(COUNT(P330:P331)&lt;1,"",AVERAGE(P330:P331))</f>
        <v/>
      </c>
      <c r="R330" s="278" t="str">
        <f>IF($X$13="/28",IF(COUNT(P330:P331)&lt;=1,"",ABS(P330-P331)),IF($X$13="/90",IF(COUNT(#REF!)&lt;=1,"",ABS(#REF!-#REF!))))</f>
        <v/>
      </c>
      <c r="S330" s="278" t="str">
        <f>IF($X$13="/28",IF(Q330="","",IF(AVERAGE(Q326:Q331)&gt;=$W$13,ROUND(AVERAGE(Q326:Q331),1)&amp;" ≥ "&amp;$W$13&amp;" OK",ROUND(AVERAGE(Q326:Q331),1)&amp;" &lt; "&amp;$W$13&amp;" NC")),IF($X$13="/90",IF(#REF!="","",IF(AVERAGE(#REF!)&gt;=$W$13,ROUND(AVERAGE(#REF!),1)&amp;" ≥ "&amp;$W$13&amp;" OK",ROUND(AVERAGE(#REF!),1)&amp;" &lt; "&amp;$W$13&amp;" NC"))))</f>
        <v/>
      </c>
      <c r="T330" s="278" t="str">
        <f>IF($X$13="/28",IF(Q330="","",IF(Q330&gt;=$W$13-$S$12,ROUND((Q330),1)&amp;" ≥ "&amp;$W$13-$S$12&amp;" OK",ROUND((Q330),1)&amp;" &lt; "&amp;$W$13-$S$12&amp;" NC")),IF($X$13="/90",IF(#REF!="","",IF(#REF!&gt;=$W$13-$S$12,ROUND((#REF!),1)&amp;" ≥ "&amp;$W$13-$S$12&amp;" OK",ROUND((#REF!),1)&amp;" &lt; "&amp;$W$13-$S$12&amp;" NC"))))</f>
        <v/>
      </c>
      <c r="U330" s="14"/>
      <c r="V330" s="279"/>
      <c r="W330" s="280"/>
      <c r="X330" s="281"/>
      <c r="Y330" s="246"/>
      <c r="Z330" s="246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BP330" s="390" t="str">
        <f>IF($X$13="/28",IF(Q330="","",Q330),IF($X$13="/90",IF(#REF!="","",#REF!),"Falso"))</f>
        <v/>
      </c>
      <c r="BQ330" s="392" t="str">
        <f t="shared" si="450"/>
        <v/>
      </c>
      <c r="BS330" s="50" t="str">
        <f>Q642</f>
        <v/>
      </c>
      <c r="BT330" s="50" t="e">
        <f>#REF!</f>
        <v>#REF!</v>
      </c>
      <c r="BU330" s="39" t="str">
        <f t="shared" si="428"/>
        <v/>
      </c>
      <c r="BV330" s="39" t="str">
        <f t="shared" si="421"/>
        <v/>
      </c>
    </row>
    <row r="331" spans="1:74" ht="14.25" customHeight="1" x14ac:dyDescent="0.35">
      <c r="A331" s="294"/>
      <c r="B331" s="296"/>
      <c r="C331" s="298"/>
      <c r="D331" s="300"/>
      <c r="E331" s="302"/>
      <c r="F331" s="304"/>
      <c r="G331" s="276"/>
      <c r="H331" s="277"/>
      <c r="I331" s="290"/>
      <c r="J331" s="290"/>
      <c r="K331" s="291"/>
      <c r="L331" s="17"/>
      <c r="M331" s="286"/>
      <c r="N331" s="21"/>
      <c r="O331" s="286"/>
      <c r="P331" s="21"/>
      <c r="Q331" s="286"/>
      <c r="R331" s="248"/>
      <c r="S331" s="287"/>
      <c r="T331" s="248"/>
      <c r="U331" s="13"/>
      <c r="V331" s="282"/>
      <c r="W331" s="283"/>
      <c r="X331" s="284"/>
      <c r="Y331" s="245"/>
      <c r="Z331" s="245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BP331" s="391"/>
      <c r="BQ331" s="393"/>
      <c r="BS331" s="50" t="str">
        <f>Q644</f>
        <v/>
      </c>
      <c r="BT331" s="50" t="e">
        <f>#REF!</f>
        <v>#REF!</v>
      </c>
      <c r="BU331" s="39" t="str">
        <f t="shared" si="428"/>
        <v/>
      </c>
      <c r="BV331" s="39" t="str">
        <f t="shared" si="421"/>
        <v/>
      </c>
    </row>
    <row r="332" spans="1:74" ht="14.25" customHeight="1" x14ac:dyDescent="0.35">
      <c r="A332" s="293">
        <v>158</v>
      </c>
      <c r="B332" s="295"/>
      <c r="C332" s="297"/>
      <c r="D332" s="299"/>
      <c r="E332" s="301"/>
      <c r="F332" s="303"/>
      <c r="G332" s="288"/>
      <c r="H332" s="289"/>
      <c r="I332" s="290"/>
      <c r="J332" s="290"/>
      <c r="K332" s="291"/>
      <c r="L332" s="18"/>
      <c r="M332" s="285" t="str">
        <f t="shared" ref="M332" si="507">IF(COUNT(L332:L333)&lt;1,"",AVERAGE(L332:L333))</f>
        <v/>
      </c>
      <c r="N332" s="22"/>
      <c r="O332" s="285" t="str">
        <f t="shared" ref="O332" si="508">IF(COUNT(N332:N333)&lt;1,"",AVERAGE(N332:N333))</f>
        <v/>
      </c>
      <c r="P332" s="22"/>
      <c r="Q332" s="285" t="str">
        <f t="shared" ref="Q332" si="509">IF(COUNT(P332:P333)&lt;1,"",AVERAGE(P332:P333))</f>
        <v/>
      </c>
      <c r="R332" s="278" t="str">
        <f>IF($X$13="/28",IF(COUNT(P332:P333)&lt;=1,"",ABS(P332-P333)),IF($X$13="/90",IF(COUNT(#REF!)&lt;=1,"",ABS(#REF!-#REF!))))</f>
        <v/>
      </c>
      <c r="S332" s="278" t="str">
        <f>IF($X$13="/28",IF(Q332="","",IF(AVERAGE(Q328:Q333)&gt;=$W$13,ROUND(AVERAGE(Q328:Q333),1)&amp;" ≥ "&amp;$W$13&amp;" OK",ROUND(AVERAGE(Q328:Q333),1)&amp;" &lt; "&amp;$W$13&amp;" NC")),IF($X$13="/90",IF(#REF!="","",IF(AVERAGE(#REF!)&gt;=$W$13,ROUND(AVERAGE(#REF!),1)&amp;" ≥ "&amp;$W$13&amp;" OK",ROUND(AVERAGE(#REF!),1)&amp;" &lt; "&amp;$W$13&amp;" NC"))))</f>
        <v/>
      </c>
      <c r="T332" s="278" t="str">
        <f>IF($X$13="/28",IF(Q332="","",IF(Q332&gt;=$W$13-$S$12,ROUND((Q332),1)&amp;" ≥ "&amp;$W$13-$S$12&amp;" OK",ROUND((Q332),1)&amp;" &lt; "&amp;$W$13-$S$12&amp;" NC")),IF($X$13="/90",IF(#REF!="","",IF(#REF!&gt;=$W$13-$S$12,ROUND((#REF!),1)&amp;" ≥ "&amp;$W$13-$S$12&amp;" OK",ROUND((#REF!),1)&amp;" &lt; "&amp;$W$13-$S$12&amp;" NC"))))</f>
        <v/>
      </c>
      <c r="U332" s="14"/>
      <c r="V332" s="279"/>
      <c r="W332" s="280"/>
      <c r="X332" s="281"/>
      <c r="Y332" s="246"/>
      <c r="Z332" s="246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BP332" s="390" t="str">
        <f>IF($X$13="/28",IF(Q332="","",Q332),IF($X$13="/90",IF(#REF!="","",#REF!),"Falso"))</f>
        <v/>
      </c>
      <c r="BQ332" s="392" t="str">
        <f t="shared" si="454"/>
        <v/>
      </c>
      <c r="BS332" s="50" t="str">
        <f>Q646</f>
        <v/>
      </c>
      <c r="BT332" s="50" t="e">
        <f>#REF!</f>
        <v>#REF!</v>
      </c>
      <c r="BU332" s="39" t="str">
        <f t="shared" si="428"/>
        <v/>
      </c>
      <c r="BV332" s="39" t="str">
        <f t="shared" si="421"/>
        <v/>
      </c>
    </row>
    <row r="333" spans="1:74" ht="14.25" customHeight="1" x14ac:dyDescent="0.35">
      <c r="A333" s="294"/>
      <c r="B333" s="296"/>
      <c r="C333" s="298"/>
      <c r="D333" s="300"/>
      <c r="E333" s="302"/>
      <c r="F333" s="304"/>
      <c r="G333" s="276"/>
      <c r="H333" s="277"/>
      <c r="I333" s="290"/>
      <c r="J333" s="290"/>
      <c r="K333" s="291"/>
      <c r="L333" s="17"/>
      <c r="M333" s="286"/>
      <c r="N333" s="21"/>
      <c r="O333" s="286"/>
      <c r="P333" s="21"/>
      <c r="Q333" s="286"/>
      <c r="R333" s="248"/>
      <c r="S333" s="287"/>
      <c r="T333" s="248"/>
      <c r="U333" s="13"/>
      <c r="V333" s="282"/>
      <c r="W333" s="283"/>
      <c r="X333" s="284"/>
      <c r="Y333" s="245"/>
      <c r="Z333" s="245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BP333" s="391"/>
      <c r="BQ333" s="393"/>
      <c r="BS333" s="50" t="str">
        <f>Q648</f>
        <v/>
      </c>
      <c r="BT333" s="50" t="e">
        <f>#REF!</f>
        <v>#REF!</v>
      </c>
      <c r="BU333" s="39" t="str">
        <f t="shared" si="428"/>
        <v/>
      </c>
      <c r="BV333" s="39" t="str">
        <f t="shared" si="421"/>
        <v/>
      </c>
    </row>
    <row r="334" spans="1:74" ht="14.25" customHeight="1" x14ac:dyDescent="0.35">
      <c r="A334" s="293">
        <v>159</v>
      </c>
      <c r="B334" s="295"/>
      <c r="C334" s="297"/>
      <c r="D334" s="299"/>
      <c r="E334" s="301"/>
      <c r="F334" s="303"/>
      <c r="G334" s="288"/>
      <c r="H334" s="289"/>
      <c r="I334" s="290"/>
      <c r="J334" s="290"/>
      <c r="K334" s="291"/>
      <c r="L334" s="18"/>
      <c r="M334" s="285" t="str">
        <f t="shared" ref="M334" si="510">IF(COUNT(L334:L335)&lt;1,"",AVERAGE(L334:L335))</f>
        <v/>
      </c>
      <c r="N334" s="22"/>
      <c r="O334" s="285" t="str">
        <f t="shared" ref="O334" si="511">IF(COUNT(N334:N335)&lt;1,"",AVERAGE(N334:N335))</f>
        <v/>
      </c>
      <c r="P334" s="22"/>
      <c r="Q334" s="285" t="str">
        <f t="shared" ref="Q334" si="512">IF(COUNT(P334:P335)&lt;1,"",AVERAGE(P334:P335))</f>
        <v/>
      </c>
      <c r="R334" s="278" t="str">
        <f>IF($X$13="/28",IF(COUNT(P334:P335)&lt;=1,"",ABS(P334-P335)),IF($X$13="/90",IF(COUNT(#REF!)&lt;=1,"",ABS(#REF!-#REF!))))</f>
        <v/>
      </c>
      <c r="S334" s="278" t="str">
        <f>IF($X$13="/28",IF(Q334="","",IF(AVERAGE(Q330:Q335)&gt;=$W$13,ROUND(AVERAGE(Q330:Q335),1)&amp;" ≥ "&amp;$W$13&amp;" OK",ROUND(AVERAGE(Q330:Q335),1)&amp;" &lt; "&amp;$W$13&amp;" NC")),IF($X$13="/90",IF(#REF!="","",IF(AVERAGE(#REF!)&gt;=$W$13,ROUND(AVERAGE(#REF!),1)&amp;" ≥ "&amp;$W$13&amp;" OK",ROUND(AVERAGE(#REF!),1)&amp;" &lt; "&amp;$W$13&amp;" NC"))))</f>
        <v/>
      </c>
      <c r="T334" s="278" t="str">
        <f>IF($X$13="/28",IF(Q334="","",IF(Q334&gt;=$W$13-$S$12,ROUND((Q334),1)&amp;" ≥ "&amp;$W$13-$S$12&amp;" OK",ROUND((Q334),1)&amp;" &lt; "&amp;$W$13-$S$12&amp;" NC")),IF($X$13="/90",IF(#REF!="","",IF(#REF!&gt;=$W$13-$S$12,ROUND((#REF!),1)&amp;" ≥ "&amp;$W$13-$S$12&amp;" OK",ROUND((#REF!),1)&amp;" &lt; "&amp;$W$13-$S$12&amp;" NC"))))</f>
        <v/>
      </c>
      <c r="U334" s="14"/>
      <c r="V334" s="279"/>
      <c r="W334" s="280"/>
      <c r="X334" s="281"/>
      <c r="Y334" s="246"/>
      <c r="Z334" s="246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BP334" s="390" t="str">
        <f>IF($X$13="/28",IF(Q334="","",Q334),IF($X$13="/90",IF(#REF!="","",#REF!),"Falso"))</f>
        <v/>
      </c>
      <c r="BQ334" s="392" t="str">
        <f t="shared" si="458"/>
        <v/>
      </c>
      <c r="BS334" s="50" t="str">
        <f>Q650</f>
        <v/>
      </c>
      <c r="BT334" s="50" t="e">
        <f>#REF!</f>
        <v>#REF!</v>
      </c>
      <c r="BU334" s="39" t="str">
        <f t="shared" si="428"/>
        <v/>
      </c>
      <c r="BV334" s="39" t="str">
        <f t="shared" si="421"/>
        <v/>
      </c>
    </row>
    <row r="335" spans="1:74" ht="14.25" customHeight="1" x14ac:dyDescent="0.35">
      <c r="A335" s="294"/>
      <c r="B335" s="296"/>
      <c r="C335" s="298"/>
      <c r="D335" s="300"/>
      <c r="E335" s="302"/>
      <c r="F335" s="304"/>
      <c r="G335" s="276"/>
      <c r="H335" s="277"/>
      <c r="I335" s="290"/>
      <c r="J335" s="290"/>
      <c r="K335" s="291"/>
      <c r="L335" s="17"/>
      <c r="M335" s="286"/>
      <c r="N335" s="21"/>
      <c r="O335" s="286"/>
      <c r="P335" s="21"/>
      <c r="Q335" s="286"/>
      <c r="R335" s="248"/>
      <c r="S335" s="287"/>
      <c r="T335" s="248"/>
      <c r="U335" s="13"/>
      <c r="V335" s="282"/>
      <c r="W335" s="283"/>
      <c r="X335" s="284"/>
      <c r="Y335" s="245"/>
      <c r="Z335" s="245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BP335" s="391"/>
      <c r="BQ335" s="393"/>
      <c r="BS335" s="50" t="str">
        <f>Q652</f>
        <v/>
      </c>
      <c r="BT335" s="50" t="e">
        <f>#REF!</f>
        <v>#REF!</v>
      </c>
      <c r="BU335" s="39" t="str">
        <f t="shared" si="428"/>
        <v/>
      </c>
      <c r="BV335" s="39" t="str">
        <f t="shared" si="421"/>
        <v/>
      </c>
    </row>
    <row r="336" spans="1:74" ht="14.25" customHeight="1" x14ac:dyDescent="0.35">
      <c r="A336" s="293">
        <v>160</v>
      </c>
      <c r="B336" s="295"/>
      <c r="C336" s="297"/>
      <c r="D336" s="299"/>
      <c r="E336" s="301"/>
      <c r="F336" s="303"/>
      <c r="G336" s="288"/>
      <c r="H336" s="289"/>
      <c r="I336" s="290"/>
      <c r="J336" s="290"/>
      <c r="K336" s="291"/>
      <c r="L336" s="18"/>
      <c r="M336" s="285" t="str">
        <f t="shared" ref="M336" si="513">IF(COUNT(L336:L337)&lt;1,"",AVERAGE(L336:L337))</f>
        <v/>
      </c>
      <c r="N336" s="22"/>
      <c r="O336" s="285" t="str">
        <f t="shared" ref="O336" si="514">IF(COUNT(N336:N337)&lt;1,"",AVERAGE(N336:N337))</f>
        <v/>
      </c>
      <c r="P336" s="22"/>
      <c r="Q336" s="285" t="str">
        <f t="shared" ref="Q336" si="515">IF(COUNT(P336:P337)&lt;1,"",AVERAGE(P336:P337))</f>
        <v/>
      </c>
      <c r="R336" s="278" t="str">
        <f>IF($X$13="/28",IF(COUNT(P336:P337)&lt;=1,"",ABS(P336-P337)),IF($X$13="/90",IF(COUNT(#REF!)&lt;=1,"",ABS(#REF!-#REF!))))</f>
        <v/>
      </c>
      <c r="S336" s="278" t="str">
        <f>IF($X$13="/28",IF(Q336="","",IF(AVERAGE(Q332:Q337)&gt;=$W$13,ROUND(AVERAGE(Q332:Q337),1)&amp;" ≥ "&amp;$W$13&amp;" OK",ROUND(AVERAGE(Q332:Q337),1)&amp;" &lt; "&amp;$W$13&amp;" NC")),IF($X$13="/90",IF(#REF!="","",IF(AVERAGE(#REF!)&gt;=$W$13,ROUND(AVERAGE(#REF!),1)&amp;" ≥ "&amp;$W$13&amp;" OK",ROUND(AVERAGE(#REF!),1)&amp;" &lt; "&amp;$W$13&amp;" NC"))))</f>
        <v/>
      </c>
      <c r="T336" s="278" t="str">
        <f>IF($X$13="/28",IF(Q336="","",IF(Q336&gt;=$W$13-$S$12,ROUND((Q336),1)&amp;" ≥ "&amp;$W$13-$S$12&amp;" OK",ROUND((Q336),1)&amp;" &lt; "&amp;$W$13-$S$12&amp;" NC")),IF($X$13="/90",IF(#REF!="","",IF(#REF!&gt;=$W$13-$S$12,ROUND((#REF!),1)&amp;" ≥ "&amp;$W$13-$S$12&amp;" OK",ROUND((#REF!),1)&amp;" &lt; "&amp;$W$13-$S$12&amp;" NC"))))</f>
        <v/>
      </c>
      <c r="U336" s="14"/>
      <c r="V336" s="279"/>
      <c r="W336" s="280"/>
      <c r="X336" s="281"/>
      <c r="Y336" s="246"/>
      <c r="Z336" s="246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BP336" s="390" t="str">
        <f>IF($X$13="/28",IF(Q336="","",Q336),IF($X$13="/90",IF(#REF!="","",#REF!),"Falso"))</f>
        <v/>
      </c>
      <c r="BQ336" s="392" t="str">
        <f t="shared" si="450"/>
        <v/>
      </c>
      <c r="BS336" s="50" t="str">
        <f>Q654</f>
        <v/>
      </c>
      <c r="BT336" s="50" t="e">
        <f>#REF!</f>
        <v>#REF!</v>
      </c>
      <c r="BU336" s="39" t="str">
        <f t="shared" si="428"/>
        <v/>
      </c>
      <c r="BV336" s="39" t="str">
        <f t="shared" si="421"/>
        <v/>
      </c>
    </row>
    <row r="337" spans="1:74" ht="14.25" customHeight="1" x14ac:dyDescent="0.35">
      <c r="A337" s="294"/>
      <c r="B337" s="296"/>
      <c r="C337" s="298"/>
      <c r="D337" s="300"/>
      <c r="E337" s="302"/>
      <c r="F337" s="304"/>
      <c r="G337" s="276"/>
      <c r="H337" s="277"/>
      <c r="I337" s="290"/>
      <c r="J337" s="290"/>
      <c r="K337" s="291"/>
      <c r="L337" s="17"/>
      <c r="M337" s="286"/>
      <c r="N337" s="21"/>
      <c r="O337" s="286"/>
      <c r="P337" s="21"/>
      <c r="Q337" s="286"/>
      <c r="R337" s="248"/>
      <c r="S337" s="287"/>
      <c r="T337" s="248"/>
      <c r="U337" s="13"/>
      <c r="V337" s="282"/>
      <c r="W337" s="283"/>
      <c r="X337" s="284"/>
      <c r="Y337" s="245"/>
      <c r="Z337" s="245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BP337" s="391"/>
      <c r="BQ337" s="393"/>
      <c r="BS337" s="50" t="str">
        <f>Q656</f>
        <v/>
      </c>
      <c r="BT337" s="50" t="e">
        <f>#REF!</f>
        <v>#REF!</v>
      </c>
      <c r="BU337" s="39" t="str">
        <f t="shared" si="428"/>
        <v/>
      </c>
      <c r="BV337" s="39" t="str">
        <f t="shared" si="421"/>
        <v/>
      </c>
    </row>
    <row r="338" spans="1:74" ht="14.25" customHeight="1" x14ac:dyDescent="0.35">
      <c r="A338" s="293">
        <v>161</v>
      </c>
      <c r="B338" s="295"/>
      <c r="C338" s="297"/>
      <c r="D338" s="299"/>
      <c r="E338" s="301"/>
      <c r="F338" s="303"/>
      <c r="G338" s="288"/>
      <c r="H338" s="289"/>
      <c r="I338" s="290"/>
      <c r="J338" s="290"/>
      <c r="K338" s="291"/>
      <c r="L338" s="18"/>
      <c r="M338" s="285" t="str">
        <f t="shared" ref="M338" si="516">IF(COUNT(L338:L339)&lt;1,"",AVERAGE(L338:L339))</f>
        <v/>
      </c>
      <c r="N338" s="22"/>
      <c r="O338" s="285" t="str">
        <f t="shared" ref="O338" si="517">IF(COUNT(N338:N339)&lt;1,"",AVERAGE(N338:N339))</f>
        <v/>
      </c>
      <c r="P338" s="22"/>
      <c r="Q338" s="285" t="str">
        <f t="shared" ref="Q338" si="518">IF(COUNT(P338:P339)&lt;1,"",AVERAGE(P338:P339))</f>
        <v/>
      </c>
      <c r="R338" s="278" t="str">
        <f>IF($X$13="/28",IF(COUNT(P338:P339)&lt;=1,"",ABS(P338-P339)),IF($X$13="/90",IF(COUNT(#REF!)&lt;=1,"",ABS(#REF!-#REF!))))</f>
        <v/>
      </c>
      <c r="S338" s="278" t="str">
        <f>IF($X$13="/28",IF(Q338="","",IF(AVERAGE(Q334:Q339)&gt;=$W$13,ROUND(AVERAGE(Q334:Q339),1)&amp;" ≥ "&amp;$W$13&amp;" OK",ROUND(AVERAGE(Q334:Q339),1)&amp;" &lt; "&amp;$W$13&amp;" NC")),IF($X$13="/90",IF(#REF!="","",IF(AVERAGE(#REF!)&gt;=$W$13,ROUND(AVERAGE(#REF!),1)&amp;" ≥ "&amp;$W$13&amp;" OK",ROUND(AVERAGE(#REF!),1)&amp;" &lt; "&amp;$W$13&amp;" NC"))))</f>
        <v/>
      </c>
      <c r="T338" s="278" t="str">
        <f>IF($X$13="/28",IF(Q338="","",IF(Q338&gt;=$W$13-$S$12,ROUND((Q338),1)&amp;" ≥ "&amp;$W$13-$S$12&amp;" OK",ROUND((Q338),1)&amp;" &lt; "&amp;$W$13-$S$12&amp;" NC")),IF($X$13="/90",IF(#REF!="","",IF(#REF!&gt;=$W$13-$S$12,ROUND((#REF!),1)&amp;" ≥ "&amp;$W$13-$S$12&amp;" OK",ROUND((#REF!),1)&amp;" &lt; "&amp;$W$13-$S$12&amp;" NC"))))</f>
        <v/>
      </c>
      <c r="U338" s="14"/>
      <c r="V338" s="279"/>
      <c r="W338" s="280"/>
      <c r="X338" s="281"/>
      <c r="Y338" s="246"/>
      <c r="Z338" s="246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BP338" s="390" t="str">
        <f>IF($X$13="/28",IF(Q338="","",Q338),IF($X$13="/90",IF(#REF!="","",#REF!),"Falso"))</f>
        <v/>
      </c>
      <c r="BQ338" s="392" t="str">
        <f t="shared" si="454"/>
        <v/>
      </c>
      <c r="BS338" s="50" t="str">
        <f>Q658</f>
        <v/>
      </c>
      <c r="BT338" s="50" t="e">
        <f>#REF!</f>
        <v>#REF!</v>
      </c>
      <c r="BU338" s="39" t="str">
        <f t="shared" si="428"/>
        <v/>
      </c>
      <c r="BV338" s="39" t="str">
        <f t="shared" si="421"/>
        <v/>
      </c>
    </row>
    <row r="339" spans="1:74" ht="14.25" customHeight="1" x14ac:dyDescent="0.35">
      <c r="A339" s="294"/>
      <c r="B339" s="296"/>
      <c r="C339" s="298"/>
      <c r="D339" s="300"/>
      <c r="E339" s="302"/>
      <c r="F339" s="304"/>
      <c r="G339" s="276"/>
      <c r="H339" s="277"/>
      <c r="I339" s="290"/>
      <c r="J339" s="290"/>
      <c r="K339" s="291"/>
      <c r="L339" s="17"/>
      <c r="M339" s="286"/>
      <c r="N339" s="21"/>
      <c r="O339" s="286"/>
      <c r="P339" s="21"/>
      <c r="Q339" s="286"/>
      <c r="R339" s="248"/>
      <c r="S339" s="287"/>
      <c r="T339" s="248"/>
      <c r="U339" s="13"/>
      <c r="V339" s="282"/>
      <c r="W339" s="283"/>
      <c r="X339" s="284"/>
      <c r="Y339" s="245"/>
      <c r="Z339" s="245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BP339" s="391"/>
      <c r="BQ339" s="393"/>
      <c r="BS339" s="50" t="str">
        <f>Q660</f>
        <v/>
      </c>
      <c r="BT339" s="50" t="e">
        <f>#REF!</f>
        <v>#REF!</v>
      </c>
      <c r="BU339" s="39" t="str">
        <f t="shared" si="428"/>
        <v/>
      </c>
      <c r="BV339" s="39" t="str">
        <f t="shared" si="421"/>
        <v/>
      </c>
    </row>
    <row r="340" spans="1:74" ht="14.25" customHeight="1" x14ac:dyDescent="0.35">
      <c r="A340" s="293">
        <v>162</v>
      </c>
      <c r="B340" s="295"/>
      <c r="C340" s="297"/>
      <c r="D340" s="299"/>
      <c r="E340" s="301"/>
      <c r="F340" s="303"/>
      <c r="G340" s="288"/>
      <c r="H340" s="289"/>
      <c r="I340" s="290"/>
      <c r="J340" s="290"/>
      <c r="K340" s="291"/>
      <c r="L340" s="18"/>
      <c r="M340" s="285" t="str">
        <f t="shared" ref="M340" si="519">IF(COUNT(L340:L341)&lt;1,"",AVERAGE(L340:L341))</f>
        <v/>
      </c>
      <c r="N340" s="22"/>
      <c r="O340" s="285" t="str">
        <f t="shared" ref="O340" si="520">IF(COUNT(N340:N341)&lt;1,"",AVERAGE(N340:N341))</f>
        <v/>
      </c>
      <c r="P340" s="22"/>
      <c r="Q340" s="285" t="str">
        <f t="shared" ref="Q340" si="521">IF(COUNT(P340:P341)&lt;1,"",AVERAGE(P340:P341))</f>
        <v/>
      </c>
      <c r="R340" s="278" t="str">
        <f>IF($X$13="/28",IF(COUNT(P340:P341)&lt;=1,"",ABS(P340-P341)),IF($X$13="/90",IF(COUNT(#REF!)&lt;=1,"",ABS(#REF!-#REF!))))</f>
        <v/>
      </c>
      <c r="S340" s="278" t="str">
        <f>IF($X$13="/28",IF(Q340="","",IF(AVERAGE(Q336:Q341)&gt;=$W$13,ROUND(AVERAGE(Q336:Q341),1)&amp;" ≥ "&amp;$W$13&amp;" OK",ROUND(AVERAGE(Q336:Q341),1)&amp;" &lt; "&amp;$W$13&amp;" NC")),IF($X$13="/90",IF(#REF!="","",IF(AVERAGE(#REF!)&gt;=$W$13,ROUND(AVERAGE(#REF!),1)&amp;" ≥ "&amp;$W$13&amp;" OK",ROUND(AVERAGE(#REF!),1)&amp;" &lt; "&amp;$W$13&amp;" NC"))))</f>
        <v/>
      </c>
      <c r="T340" s="278" t="str">
        <f>IF($X$13="/28",IF(Q340="","",IF(Q340&gt;=$W$13-$S$12,ROUND((Q340),1)&amp;" ≥ "&amp;$W$13-$S$12&amp;" OK",ROUND((Q340),1)&amp;" &lt; "&amp;$W$13-$S$12&amp;" NC")),IF($X$13="/90",IF(#REF!="","",IF(#REF!&gt;=$W$13-$S$12,ROUND((#REF!),1)&amp;" ≥ "&amp;$W$13-$S$12&amp;" OK",ROUND((#REF!),1)&amp;" &lt; "&amp;$W$13-$S$12&amp;" NC"))))</f>
        <v/>
      </c>
      <c r="U340" s="14"/>
      <c r="V340" s="279"/>
      <c r="W340" s="280"/>
      <c r="X340" s="281"/>
      <c r="Y340" s="246"/>
      <c r="Z340" s="246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BP340" s="390" t="str">
        <f>IF($X$13="/28",IF(Q340="","",Q340),IF($X$13="/90",IF(#REF!="","",#REF!),"Falso"))</f>
        <v/>
      </c>
      <c r="BQ340" s="392" t="str">
        <f t="shared" si="458"/>
        <v/>
      </c>
      <c r="BS340" s="50" t="str">
        <f>Q662</f>
        <v/>
      </c>
      <c r="BT340" s="50" t="e">
        <f>#REF!</f>
        <v>#REF!</v>
      </c>
      <c r="BU340" s="39" t="str">
        <f t="shared" si="428"/>
        <v/>
      </c>
      <c r="BV340" s="39" t="str">
        <f t="shared" ref="BV340:BV403" si="522">IF(BU340="","",BV339+1)</f>
        <v/>
      </c>
    </row>
    <row r="341" spans="1:74" ht="14.25" customHeight="1" x14ac:dyDescent="0.35">
      <c r="A341" s="294"/>
      <c r="B341" s="296"/>
      <c r="C341" s="298"/>
      <c r="D341" s="300"/>
      <c r="E341" s="302"/>
      <c r="F341" s="304"/>
      <c r="G341" s="276"/>
      <c r="H341" s="277"/>
      <c r="I341" s="290"/>
      <c r="J341" s="290"/>
      <c r="K341" s="291"/>
      <c r="L341" s="17"/>
      <c r="M341" s="286"/>
      <c r="N341" s="21"/>
      <c r="O341" s="286"/>
      <c r="P341" s="21"/>
      <c r="Q341" s="286"/>
      <c r="R341" s="248"/>
      <c r="S341" s="287"/>
      <c r="T341" s="248"/>
      <c r="U341" s="13"/>
      <c r="V341" s="282"/>
      <c r="W341" s="283"/>
      <c r="X341" s="284"/>
      <c r="Y341" s="245"/>
      <c r="Z341" s="245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BP341" s="391"/>
      <c r="BQ341" s="393"/>
      <c r="BS341" s="50" t="str">
        <f>Q664</f>
        <v/>
      </c>
      <c r="BT341" s="50" t="e">
        <f>#REF!</f>
        <v>#REF!</v>
      </c>
      <c r="BU341" s="39" t="str">
        <f t="shared" si="428"/>
        <v/>
      </c>
      <c r="BV341" s="39" t="str">
        <f t="shared" si="522"/>
        <v/>
      </c>
    </row>
    <row r="342" spans="1:74" ht="14.25" customHeight="1" x14ac:dyDescent="0.35">
      <c r="A342" s="293">
        <v>163</v>
      </c>
      <c r="B342" s="295"/>
      <c r="C342" s="297"/>
      <c r="D342" s="299"/>
      <c r="E342" s="301"/>
      <c r="F342" s="303"/>
      <c r="G342" s="288"/>
      <c r="H342" s="289"/>
      <c r="I342" s="290"/>
      <c r="J342" s="290"/>
      <c r="K342" s="291"/>
      <c r="L342" s="18"/>
      <c r="M342" s="285" t="str">
        <f t="shared" ref="M342" si="523">IF(COUNT(L342:L343)&lt;1,"",AVERAGE(L342:L343))</f>
        <v/>
      </c>
      <c r="N342" s="22"/>
      <c r="O342" s="285" t="str">
        <f t="shared" ref="O342" si="524">IF(COUNT(N342:N343)&lt;1,"",AVERAGE(N342:N343))</f>
        <v/>
      </c>
      <c r="P342" s="22"/>
      <c r="Q342" s="285" t="str">
        <f t="shared" ref="Q342" si="525">IF(COUNT(P342:P343)&lt;1,"",AVERAGE(P342:P343))</f>
        <v/>
      </c>
      <c r="R342" s="278" t="str">
        <f>IF($X$13="/28",IF(COUNT(P342:P343)&lt;=1,"",ABS(P342-P343)),IF($X$13="/90",IF(COUNT(#REF!)&lt;=1,"",ABS(#REF!-#REF!))))</f>
        <v/>
      </c>
      <c r="S342" s="278" t="str">
        <f>IF($X$13="/28",IF(Q342="","",IF(AVERAGE(Q338:Q343)&gt;=$W$13,ROUND(AVERAGE(Q338:Q343),1)&amp;" ≥ "&amp;$W$13&amp;" OK",ROUND(AVERAGE(Q338:Q343),1)&amp;" &lt; "&amp;$W$13&amp;" NC")),IF($X$13="/90",IF(#REF!="","",IF(AVERAGE(#REF!)&gt;=$W$13,ROUND(AVERAGE(#REF!),1)&amp;" ≥ "&amp;$W$13&amp;" OK",ROUND(AVERAGE(#REF!),1)&amp;" &lt; "&amp;$W$13&amp;" NC"))))</f>
        <v/>
      </c>
      <c r="T342" s="278" t="str">
        <f>IF($X$13="/28",IF(Q342="","",IF(Q342&gt;=$W$13-$S$12,ROUND((Q342),1)&amp;" ≥ "&amp;$W$13-$S$12&amp;" OK",ROUND((Q342),1)&amp;" &lt; "&amp;$W$13-$S$12&amp;" NC")),IF($X$13="/90",IF(#REF!="","",IF(#REF!&gt;=$W$13-$S$12,ROUND((#REF!),1)&amp;" ≥ "&amp;$W$13-$S$12&amp;" OK",ROUND((#REF!),1)&amp;" &lt; "&amp;$W$13-$S$12&amp;" NC"))))</f>
        <v/>
      </c>
      <c r="U342" s="14"/>
      <c r="V342" s="279"/>
      <c r="W342" s="280"/>
      <c r="X342" s="281"/>
      <c r="Y342" s="246"/>
      <c r="Z342" s="246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BP342" s="390" t="str">
        <f>IF($X$13="/28",IF(Q342="","",Q342),IF($X$13="/90",IF(#REF!="","",#REF!),"Falso"))</f>
        <v/>
      </c>
      <c r="BQ342" s="392" t="str">
        <f t="shared" si="450"/>
        <v/>
      </c>
      <c r="BS342" s="50" t="str">
        <f>Q666</f>
        <v/>
      </c>
      <c r="BT342" s="50" t="e">
        <f>#REF!</f>
        <v>#REF!</v>
      </c>
      <c r="BU342" s="39" t="str">
        <f t="shared" si="428"/>
        <v/>
      </c>
      <c r="BV342" s="39" t="str">
        <f t="shared" si="522"/>
        <v/>
      </c>
    </row>
    <row r="343" spans="1:74" ht="14.25" customHeight="1" x14ac:dyDescent="0.35">
      <c r="A343" s="294"/>
      <c r="B343" s="296"/>
      <c r="C343" s="298"/>
      <c r="D343" s="300"/>
      <c r="E343" s="302"/>
      <c r="F343" s="304"/>
      <c r="G343" s="276"/>
      <c r="H343" s="277"/>
      <c r="I343" s="290"/>
      <c r="J343" s="290"/>
      <c r="K343" s="291"/>
      <c r="L343" s="17"/>
      <c r="M343" s="286"/>
      <c r="N343" s="21"/>
      <c r="O343" s="286"/>
      <c r="P343" s="21"/>
      <c r="Q343" s="286"/>
      <c r="R343" s="248"/>
      <c r="S343" s="287"/>
      <c r="T343" s="248"/>
      <c r="U343" s="13"/>
      <c r="V343" s="282"/>
      <c r="W343" s="283"/>
      <c r="X343" s="284"/>
      <c r="Y343" s="245"/>
      <c r="Z343" s="245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BP343" s="391"/>
      <c r="BQ343" s="393"/>
      <c r="BS343" s="50" t="str">
        <f>Q668</f>
        <v/>
      </c>
      <c r="BT343" s="50" t="e">
        <f>#REF!</f>
        <v>#REF!</v>
      </c>
      <c r="BU343" s="39" t="str">
        <f t="shared" si="428"/>
        <v/>
      </c>
      <c r="BV343" s="39" t="str">
        <f t="shared" si="522"/>
        <v/>
      </c>
    </row>
    <row r="344" spans="1:74" ht="14.25" customHeight="1" x14ac:dyDescent="0.35">
      <c r="A344" s="293">
        <v>164</v>
      </c>
      <c r="B344" s="295"/>
      <c r="C344" s="297"/>
      <c r="D344" s="299"/>
      <c r="E344" s="301"/>
      <c r="F344" s="303"/>
      <c r="G344" s="288"/>
      <c r="H344" s="289"/>
      <c r="I344" s="290"/>
      <c r="J344" s="290"/>
      <c r="K344" s="291"/>
      <c r="L344" s="18"/>
      <c r="M344" s="285" t="str">
        <f t="shared" ref="M344" si="526">IF(COUNT(L344:L345)&lt;1,"",AVERAGE(L344:L345))</f>
        <v/>
      </c>
      <c r="N344" s="22"/>
      <c r="O344" s="285" t="str">
        <f t="shared" ref="O344" si="527">IF(COUNT(N344:N345)&lt;1,"",AVERAGE(N344:N345))</f>
        <v/>
      </c>
      <c r="P344" s="22"/>
      <c r="Q344" s="285" t="str">
        <f t="shared" ref="Q344" si="528">IF(COUNT(P344:P345)&lt;1,"",AVERAGE(P344:P345))</f>
        <v/>
      </c>
      <c r="R344" s="278" t="str">
        <f>IF($X$13="/28",IF(COUNT(P344:P345)&lt;=1,"",ABS(P344-P345)),IF($X$13="/90",IF(COUNT(#REF!)&lt;=1,"",ABS(#REF!-#REF!))))</f>
        <v/>
      </c>
      <c r="S344" s="278" t="str">
        <f>IF($X$13="/28",IF(Q344="","",IF(AVERAGE(Q340:Q345)&gt;=$W$13,ROUND(AVERAGE(Q340:Q345),1)&amp;" ≥ "&amp;$W$13&amp;" OK",ROUND(AVERAGE(Q340:Q345),1)&amp;" &lt; "&amp;$W$13&amp;" NC")),IF($X$13="/90",IF(#REF!="","",IF(AVERAGE(#REF!)&gt;=$W$13,ROUND(AVERAGE(#REF!),1)&amp;" ≥ "&amp;$W$13&amp;" OK",ROUND(AVERAGE(#REF!),1)&amp;" &lt; "&amp;$W$13&amp;" NC"))))</f>
        <v/>
      </c>
      <c r="T344" s="278" t="str">
        <f>IF($X$13="/28",IF(Q344="","",IF(Q344&gt;=$W$13-$S$12,ROUND((Q344),1)&amp;" ≥ "&amp;$W$13-$S$12&amp;" OK",ROUND((Q344),1)&amp;" &lt; "&amp;$W$13-$S$12&amp;" NC")),IF($X$13="/90",IF(#REF!="","",IF(#REF!&gt;=$W$13-$S$12,ROUND((#REF!),1)&amp;" ≥ "&amp;$W$13-$S$12&amp;" OK",ROUND((#REF!),1)&amp;" &lt; "&amp;$W$13-$S$12&amp;" NC"))))</f>
        <v/>
      </c>
      <c r="U344" s="14"/>
      <c r="V344" s="279"/>
      <c r="W344" s="280"/>
      <c r="X344" s="281"/>
      <c r="Y344" s="246"/>
      <c r="Z344" s="246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BP344" s="390" t="str">
        <f>IF($X$13="/28",IF(Q344="","",Q344),IF($X$13="/90",IF(#REF!="","",#REF!),"Falso"))</f>
        <v/>
      </c>
      <c r="BQ344" s="392" t="str">
        <f t="shared" si="454"/>
        <v/>
      </c>
      <c r="BS344" s="50" t="str">
        <f>Q670</f>
        <v/>
      </c>
      <c r="BT344" s="50" t="e">
        <f>#REF!</f>
        <v>#REF!</v>
      </c>
      <c r="BU344" s="39" t="str">
        <f t="shared" ref="BU344:BU407" si="529">IF($X$13="/28",IF(BS344="","",BS344),IF($X$13="/90",IF(BT344="","",BT344),"Falso"))</f>
        <v/>
      </c>
      <c r="BV344" s="39" t="str">
        <f t="shared" si="522"/>
        <v/>
      </c>
    </row>
    <row r="345" spans="1:74" ht="14.25" customHeight="1" x14ac:dyDescent="0.35">
      <c r="A345" s="294"/>
      <c r="B345" s="296"/>
      <c r="C345" s="298"/>
      <c r="D345" s="300"/>
      <c r="E345" s="302"/>
      <c r="F345" s="304"/>
      <c r="G345" s="276"/>
      <c r="H345" s="277"/>
      <c r="I345" s="290"/>
      <c r="J345" s="290"/>
      <c r="K345" s="291"/>
      <c r="L345" s="17"/>
      <c r="M345" s="286"/>
      <c r="N345" s="21"/>
      <c r="O345" s="286"/>
      <c r="P345" s="21"/>
      <c r="Q345" s="286"/>
      <c r="R345" s="248"/>
      <c r="S345" s="287"/>
      <c r="T345" s="248"/>
      <c r="U345" s="13"/>
      <c r="V345" s="282"/>
      <c r="W345" s="283"/>
      <c r="X345" s="284"/>
      <c r="Y345" s="245"/>
      <c r="Z345" s="245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BP345" s="391"/>
      <c r="BQ345" s="393"/>
      <c r="BS345" s="50" t="str">
        <f>Q672</f>
        <v/>
      </c>
      <c r="BT345" s="50" t="e">
        <f>#REF!</f>
        <v>#REF!</v>
      </c>
      <c r="BU345" s="39" t="str">
        <f t="shared" si="529"/>
        <v/>
      </c>
      <c r="BV345" s="39" t="str">
        <f t="shared" si="522"/>
        <v/>
      </c>
    </row>
    <row r="346" spans="1:74" ht="14.25" customHeight="1" x14ac:dyDescent="0.35">
      <c r="A346" s="293">
        <v>165</v>
      </c>
      <c r="B346" s="295"/>
      <c r="C346" s="297"/>
      <c r="D346" s="299"/>
      <c r="E346" s="301"/>
      <c r="F346" s="303"/>
      <c r="G346" s="288"/>
      <c r="H346" s="289"/>
      <c r="I346" s="290"/>
      <c r="J346" s="290"/>
      <c r="K346" s="291"/>
      <c r="L346" s="18"/>
      <c r="M346" s="285" t="str">
        <f t="shared" ref="M346" si="530">IF(COUNT(L346:L347)&lt;1,"",AVERAGE(L346:L347))</f>
        <v/>
      </c>
      <c r="N346" s="22"/>
      <c r="O346" s="285" t="str">
        <f t="shared" ref="O346" si="531">IF(COUNT(N346:N347)&lt;1,"",AVERAGE(N346:N347))</f>
        <v/>
      </c>
      <c r="P346" s="22"/>
      <c r="Q346" s="285" t="str">
        <f t="shared" ref="Q346" si="532">IF(COUNT(P346:P347)&lt;1,"",AVERAGE(P346:P347))</f>
        <v/>
      </c>
      <c r="R346" s="278" t="str">
        <f>IF($X$13="/28",IF(COUNT(P346:P347)&lt;=1,"",ABS(P346-P347)),IF($X$13="/90",IF(COUNT(#REF!)&lt;=1,"",ABS(#REF!-#REF!))))</f>
        <v/>
      </c>
      <c r="S346" s="278" t="str">
        <f>IF($X$13="/28",IF(Q346="","",IF(AVERAGE(Q342:Q347)&gt;=$W$13,ROUND(AVERAGE(Q342:Q347),1)&amp;" ≥ "&amp;$W$13&amp;" OK",ROUND(AVERAGE(Q342:Q347),1)&amp;" &lt; "&amp;$W$13&amp;" NC")),IF($X$13="/90",IF(#REF!="","",IF(AVERAGE(#REF!)&gt;=$W$13,ROUND(AVERAGE(#REF!),1)&amp;" ≥ "&amp;$W$13&amp;" OK",ROUND(AVERAGE(#REF!),1)&amp;" &lt; "&amp;$W$13&amp;" NC"))))</f>
        <v/>
      </c>
      <c r="T346" s="278" t="str">
        <f>IF($X$13="/28",IF(Q346="","",IF(Q346&gt;=$W$13-$S$12,ROUND((Q346),1)&amp;" ≥ "&amp;$W$13-$S$12&amp;" OK",ROUND((Q346),1)&amp;" &lt; "&amp;$W$13-$S$12&amp;" NC")),IF($X$13="/90",IF(#REF!="","",IF(#REF!&gt;=$W$13-$S$12,ROUND((#REF!),1)&amp;" ≥ "&amp;$W$13-$S$12&amp;" OK",ROUND((#REF!),1)&amp;" &lt; "&amp;$W$13-$S$12&amp;" NC"))))</f>
        <v/>
      </c>
      <c r="U346" s="14"/>
      <c r="V346" s="279"/>
      <c r="W346" s="280"/>
      <c r="X346" s="281"/>
      <c r="Y346" s="246"/>
      <c r="Z346" s="246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BP346" s="390" t="str">
        <f>IF($X$13="/28",IF(Q346="","",Q346),IF($X$13="/90",IF(#REF!="","",#REF!),"Falso"))</f>
        <v/>
      </c>
      <c r="BQ346" s="392" t="str">
        <f t="shared" si="458"/>
        <v/>
      </c>
      <c r="BS346" s="50" t="str">
        <f>Q674</f>
        <v/>
      </c>
      <c r="BT346" s="50" t="e">
        <f>#REF!</f>
        <v>#REF!</v>
      </c>
      <c r="BU346" s="39" t="str">
        <f t="shared" si="529"/>
        <v/>
      </c>
      <c r="BV346" s="39" t="str">
        <f t="shared" si="522"/>
        <v/>
      </c>
    </row>
    <row r="347" spans="1:74" ht="14.25" customHeight="1" x14ac:dyDescent="0.35">
      <c r="A347" s="294"/>
      <c r="B347" s="296"/>
      <c r="C347" s="298"/>
      <c r="D347" s="300"/>
      <c r="E347" s="302"/>
      <c r="F347" s="304"/>
      <c r="G347" s="276"/>
      <c r="H347" s="277"/>
      <c r="I347" s="290"/>
      <c r="J347" s="290"/>
      <c r="K347" s="291"/>
      <c r="L347" s="17"/>
      <c r="M347" s="286"/>
      <c r="N347" s="21"/>
      <c r="O347" s="286"/>
      <c r="P347" s="21"/>
      <c r="Q347" s="286"/>
      <c r="R347" s="248"/>
      <c r="S347" s="287"/>
      <c r="T347" s="248"/>
      <c r="U347" s="13"/>
      <c r="V347" s="282"/>
      <c r="W347" s="283"/>
      <c r="X347" s="284"/>
      <c r="Y347" s="245"/>
      <c r="Z347" s="245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BP347" s="391"/>
      <c r="BQ347" s="393"/>
      <c r="BS347" s="50" t="str">
        <f>Q676</f>
        <v/>
      </c>
      <c r="BT347" s="50" t="e">
        <f>#REF!</f>
        <v>#REF!</v>
      </c>
      <c r="BU347" s="39" t="str">
        <f t="shared" si="529"/>
        <v/>
      </c>
      <c r="BV347" s="39" t="str">
        <f t="shared" si="522"/>
        <v/>
      </c>
    </row>
    <row r="348" spans="1:74" ht="14.25" customHeight="1" x14ac:dyDescent="0.35">
      <c r="A348" s="293">
        <v>166</v>
      </c>
      <c r="B348" s="295"/>
      <c r="C348" s="297"/>
      <c r="D348" s="299"/>
      <c r="E348" s="301"/>
      <c r="F348" s="303"/>
      <c r="G348" s="288"/>
      <c r="H348" s="289"/>
      <c r="I348" s="290"/>
      <c r="J348" s="290"/>
      <c r="K348" s="291"/>
      <c r="L348" s="18"/>
      <c r="M348" s="285" t="str">
        <f t="shared" ref="M348" si="533">IF(COUNT(L348:L349)&lt;1,"",AVERAGE(L348:L349))</f>
        <v/>
      </c>
      <c r="N348" s="22"/>
      <c r="O348" s="285" t="str">
        <f t="shared" ref="O348" si="534">IF(COUNT(N348:N349)&lt;1,"",AVERAGE(N348:N349))</f>
        <v/>
      </c>
      <c r="P348" s="22"/>
      <c r="Q348" s="285" t="str">
        <f t="shared" ref="Q348" si="535">IF(COUNT(P348:P349)&lt;1,"",AVERAGE(P348:P349))</f>
        <v/>
      </c>
      <c r="R348" s="278" t="str">
        <f>IF($X$13="/28",IF(COUNT(P348:P349)&lt;=1,"",ABS(P348-P349)),IF($X$13="/90",IF(COUNT(#REF!)&lt;=1,"",ABS(#REF!-#REF!))))</f>
        <v/>
      </c>
      <c r="S348" s="278" t="str">
        <f>IF($X$13="/28",IF(Q348="","",IF(AVERAGE(Q344:Q349)&gt;=$W$13,ROUND(AVERAGE(Q344:Q349),1)&amp;" ≥ "&amp;$W$13&amp;" OK",ROUND(AVERAGE(Q344:Q349),1)&amp;" &lt; "&amp;$W$13&amp;" NC")),IF($X$13="/90",IF(#REF!="","",IF(AVERAGE(#REF!)&gt;=$W$13,ROUND(AVERAGE(#REF!),1)&amp;" ≥ "&amp;$W$13&amp;" OK",ROUND(AVERAGE(#REF!),1)&amp;" &lt; "&amp;$W$13&amp;" NC"))))</f>
        <v/>
      </c>
      <c r="T348" s="278" t="str">
        <f>IF($X$13="/28",IF(Q348="","",IF(Q348&gt;=$W$13-$S$12,ROUND((Q348),1)&amp;" ≥ "&amp;$W$13-$S$12&amp;" OK",ROUND((Q348),1)&amp;" &lt; "&amp;$W$13-$S$12&amp;" NC")),IF($X$13="/90",IF(#REF!="","",IF(#REF!&gt;=$W$13-$S$12,ROUND((#REF!),1)&amp;" ≥ "&amp;$W$13-$S$12&amp;" OK",ROUND((#REF!),1)&amp;" &lt; "&amp;$W$13-$S$12&amp;" NC"))))</f>
        <v/>
      </c>
      <c r="U348" s="14"/>
      <c r="V348" s="279"/>
      <c r="W348" s="280"/>
      <c r="X348" s="281"/>
      <c r="Y348" s="246"/>
      <c r="Z348" s="246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BP348" s="390" t="str">
        <f>IF($X$13="/28",IF(Q348="","",Q348),IF($X$13="/90",IF(#REF!="","",#REF!),"Falso"))</f>
        <v/>
      </c>
      <c r="BQ348" s="392" t="str">
        <f t="shared" si="450"/>
        <v/>
      </c>
      <c r="BS348" s="50" t="str">
        <f>Q678</f>
        <v/>
      </c>
      <c r="BT348" s="50" t="e">
        <f>#REF!</f>
        <v>#REF!</v>
      </c>
      <c r="BU348" s="39" t="str">
        <f t="shared" si="529"/>
        <v/>
      </c>
      <c r="BV348" s="39" t="str">
        <f t="shared" si="522"/>
        <v/>
      </c>
    </row>
    <row r="349" spans="1:74" ht="14.25" customHeight="1" x14ac:dyDescent="0.35">
      <c r="A349" s="294"/>
      <c r="B349" s="296"/>
      <c r="C349" s="298"/>
      <c r="D349" s="300"/>
      <c r="E349" s="302"/>
      <c r="F349" s="304"/>
      <c r="G349" s="276"/>
      <c r="H349" s="277"/>
      <c r="I349" s="290"/>
      <c r="J349" s="290"/>
      <c r="K349" s="291"/>
      <c r="L349" s="17"/>
      <c r="M349" s="286"/>
      <c r="N349" s="21"/>
      <c r="O349" s="286"/>
      <c r="P349" s="21"/>
      <c r="Q349" s="286"/>
      <c r="R349" s="248"/>
      <c r="S349" s="287"/>
      <c r="T349" s="248"/>
      <c r="U349" s="13"/>
      <c r="V349" s="282"/>
      <c r="W349" s="283"/>
      <c r="X349" s="284"/>
      <c r="Y349" s="245"/>
      <c r="Z349" s="245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BP349" s="391"/>
      <c r="BQ349" s="393"/>
      <c r="BS349" s="50" t="str">
        <f>Q680</f>
        <v/>
      </c>
      <c r="BT349" s="50" t="e">
        <f>#REF!</f>
        <v>#REF!</v>
      </c>
      <c r="BU349" s="39" t="str">
        <f t="shared" si="529"/>
        <v/>
      </c>
      <c r="BV349" s="39" t="str">
        <f t="shared" si="522"/>
        <v/>
      </c>
    </row>
    <row r="350" spans="1:74" ht="14.25" customHeight="1" x14ac:dyDescent="0.35">
      <c r="A350" s="293">
        <v>167</v>
      </c>
      <c r="B350" s="295"/>
      <c r="C350" s="297"/>
      <c r="D350" s="299"/>
      <c r="E350" s="301"/>
      <c r="F350" s="303"/>
      <c r="G350" s="288"/>
      <c r="H350" s="289"/>
      <c r="I350" s="290"/>
      <c r="J350" s="290"/>
      <c r="K350" s="291"/>
      <c r="L350" s="18"/>
      <c r="M350" s="285" t="str">
        <f t="shared" ref="M350" si="536">IF(COUNT(L350:L351)&lt;1,"",AVERAGE(L350:L351))</f>
        <v/>
      </c>
      <c r="N350" s="22"/>
      <c r="O350" s="285" t="str">
        <f t="shared" ref="O350" si="537">IF(COUNT(N350:N351)&lt;1,"",AVERAGE(N350:N351))</f>
        <v/>
      </c>
      <c r="P350" s="22"/>
      <c r="Q350" s="285" t="str">
        <f t="shared" ref="Q350" si="538">IF(COUNT(P350:P351)&lt;1,"",AVERAGE(P350:P351))</f>
        <v/>
      </c>
      <c r="R350" s="278" t="str">
        <f>IF($X$13="/28",IF(COUNT(P350:P351)&lt;=1,"",ABS(P350-P351)),IF($X$13="/90",IF(COUNT(#REF!)&lt;=1,"",ABS(#REF!-#REF!))))</f>
        <v/>
      </c>
      <c r="S350" s="278" t="str">
        <f>IF($X$13="/28",IF(Q350="","",IF(AVERAGE(Q346:Q351)&gt;=$W$13,ROUND(AVERAGE(Q346:Q351),1)&amp;" ≥ "&amp;$W$13&amp;" OK",ROUND(AVERAGE(Q346:Q351),1)&amp;" &lt; "&amp;$W$13&amp;" NC")),IF($X$13="/90",IF(#REF!="","",IF(AVERAGE(#REF!)&gt;=$W$13,ROUND(AVERAGE(#REF!),1)&amp;" ≥ "&amp;$W$13&amp;" OK",ROUND(AVERAGE(#REF!),1)&amp;" &lt; "&amp;$W$13&amp;" NC"))))</f>
        <v/>
      </c>
      <c r="T350" s="278" t="str">
        <f>IF($X$13="/28",IF(Q350="","",IF(Q350&gt;=$W$13-$S$12,ROUND((Q350),1)&amp;" ≥ "&amp;$W$13-$S$12&amp;" OK",ROUND((Q350),1)&amp;" &lt; "&amp;$W$13-$S$12&amp;" NC")),IF($X$13="/90",IF(#REF!="","",IF(#REF!&gt;=$W$13-$S$12,ROUND((#REF!),1)&amp;" ≥ "&amp;$W$13-$S$12&amp;" OK",ROUND((#REF!),1)&amp;" &lt; "&amp;$W$13-$S$12&amp;" NC"))))</f>
        <v/>
      </c>
      <c r="U350" s="14"/>
      <c r="V350" s="279"/>
      <c r="W350" s="280"/>
      <c r="X350" s="281"/>
      <c r="Y350" s="246"/>
      <c r="Z350" s="246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BP350" s="390" t="str">
        <f>IF($X$13="/28",IF(Q350="","",Q350),IF($X$13="/90",IF(#REF!="","",#REF!),"Falso"))</f>
        <v/>
      </c>
      <c r="BQ350" s="392" t="str">
        <f t="shared" si="454"/>
        <v/>
      </c>
      <c r="BS350" s="50" t="str">
        <f>Q682</f>
        <v/>
      </c>
      <c r="BT350" s="50" t="e">
        <f>#REF!</f>
        <v>#REF!</v>
      </c>
      <c r="BU350" s="39" t="str">
        <f t="shared" si="529"/>
        <v/>
      </c>
      <c r="BV350" s="39" t="str">
        <f t="shared" si="522"/>
        <v/>
      </c>
    </row>
    <row r="351" spans="1:74" ht="14.25" customHeight="1" x14ac:dyDescent="0.35">
      <c r="A351" s="294"/>
      <c r="B351" s="296"/>
      <c r="C351" s="298"/>
      <c r="D351" s="300"/>
      <c r="E351" s="302"/>
      <c r="F351" s="304"/>
      <c r="G351" s="276"/>
      <c r="H351" s="277"/>
      <c r="I351" s="290"/>
      <c r="J351" s="290"/>
      <c r="K351" s="291"/>
      <c r="L351" s="17"/>
      <c r="M351" s="286"/>
      <c r="N351" s="21"/>
      <c r="O351" s="286"/>
      <c r="P351" s="21"/>
      <c r="Q351" s="286"/>
      <c r="R351" s="248"/>
      <c r="S351" s="287"/>
      <c r="T351" s="248"/>
      <c r="U351" s="13"/>
      <c r="V351" s="282"/>
      <c r="W351" s="283"/>
      <c r="X351" s="284"/>
      <c r="Y351" s="245"/>
      <c r="Z351" s="245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BP351" s="391"/>
      <c r="BQ351" s="393"/>
      <c r="BS351" s="50" t="str">
        <f>Q684</f>
        <v/>
      </c>
      <c r="BT351" s="50" t="e">
        <f>#REF!</f>
        <v>#REF!</v>
      </c>
      <c r="BU351" s="39" t="str">
        <f t="shared" si="529"/>
        <v/>
      </c>
      <c r="BV351" s="39" t="str">
        <f t="shared" si="522"/>
        <v/>
      </c>
    </row>
    <row r="352" spans="1:74" ht="14.25" customHeight="1" x14ac:dyDescent="0.35">
      <c r="A352" s="293">
        <v>168</v>
      </c>
      <c r="B352" s="295"/>
      <c r="C352" s="297"/>
      <c r="D352" s="299"/>
      <c r="E352" s="301"/>
      <c r="F352" s="303"/>
      <c r="G352" s="288"/>
      <c r="H352" s="289"/>
      <c r="I352" s="290"/>
      <c r="J352" s="290"/>
      <c r="K352" s="291"/>
      <c r="L352" s="18"/>
      <c r="M352" s="285" t="str">
        <f t="shared" ref="M352" si="539">IF(COUNT(L352:L353)&lt;1,"",AVERAGE(L352:L353))</f>
        <v/>
      </c>
      <c r="N352" s="22"/>
      <c r="O352" s="285" t="str">
        <f t="shared" ref="O352" si="540">IF(COUNT(N352:N353)&lt;1,"",AVERAGE(N352:N353))</f>
        <v/>
      </c>
      <c r="P352" s="22"/>
      <c r="Q352" s="285" t="str">
        <f t="shared" ref="Q352" si="541">IF(COUNT(P352:P353)&lt;1,"",AVERAGE(P352:P353))</f>
        <v/>
      </c>
      <c r="R352" s="278" t="str">
        <f>IF($X$13="/28",IF(COUNT(P352:P353)&lt;=1,"",ABS(P352-P353)),IF($X$13="/90",IF(COUNT(#REF!)&lt;=1,"",ABS(#REF!-#REF!))))</f>
        <v/>
      </c>
      <c r="S352" s="278" t="str">
        <f>IF($X$13="/28",IF(Q352="","",IF(AVERAGE(Q348:Q353)&gt;=$W$13,ROUND(AVERAGE(Q348:Q353),1)&amp;" ≥ "&amp;$W$13&amp;" OK",ROUND(AVERAGE(Q348:Q353),1)&amp;" &lt; "&amp;$W$13&amp;" NC")),IF($X$13="/90",IF(#REF!="","",IF(AVERAGE(#REF!)&gt;=$W$13,ROUND(AVERAGE(#REF!),1)&amp;" ≥ "&amp;$W$13&amp;" OK",ROUND(AVERAGE(#REF!),1)&amp;" &lt; "&amp;$W$13&amp;" NC"))))</f>
        <v/>
      </c>
      <c r="T352" s="278" t="str">
        <f>IF($X$13="/28",IF(Q352="","",IF(Q352&gt;=$W$13-$S$12,ROUND((Q352),1)&amp;" ≥ "&amp;$W$13-$S$12&amp;" OK",ROUND((Q352),1)&amp;" &lt; "&amp;$W$13-$S$12&amp;" NC")),IF($X$13="/90",IF(#REF!="","",IF(#REF!&gt;=$W$13-$S$12,ROUND((#REF!),1)&amp;" ≥ "&amp;$W$13-$S$12&amp;" OK",ROUND((#REF!),1)&amp;" &lt; "&amp;$W$13-$S$12&amp;" NC"))))</f>
        <v/>
      </c>
      <c r="U352" s="14"/>
      <c r="V352" s="279"/>
      <c r="W352" s="280"/>
      <c r="X352" s="281"/>
      <c r="Y352" s="246"/>
      <c r="Z352" s="246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BP352" s="390" t="str">
        <f>IF($X$13="/28",IF(Q352="","",Q352),IF($X$13="/90",IF(#REF!="","",#REF!),"Falso"))</f>
        <v/>
      </c>
      <c r="BQ352" s="392" t="str">
        <f t="shared" si="458"/>
        <v/>
      </c>
      <c r="BS352" s="50" t="str">
        <f>Q686</f>
        <v/>
      </c>
      <c r="BT352" s="50" t="e">
        <f>#REF!</f>
        <v>#REF!</v>
      </c>
      <c r="BU352" s="39" t="str">
        <f t="shared" si="529"/>
        <v/>
      </c>
      <c r="BV352" s="39" t="str">
        <f t="shared" si="522"/>
        <v/>
      </c>
    </row>
    <row r="353" spans="1:74" ht="14.25" customHeight="1" x14ac:dyDescent="0.35">
      <c r="A353" s="294"/>
      <c r="B353" s="296"/>
      <c r="C353" s="298"/>
      <c r="D353" s="300"/>
      <c r="E353" s="302"/>
      <c r="F353" s="304"/>
      <c r="G353" s="276"/>
      <c r="H353" s="277"/>
      <c r="I353" s="290"/>
      <c r="J353" s="290"/>
      <c r="K353" s="291"/>
      <c r="L353" s="17"/>
      <c r="M353" s="286"/>
      <c r="N353" s="21"/>
      <c r="O353" s="286"/>
      <c r="P353" s="21"/>
      <c r="Q353" s="286"/>
      <c r="R353" s="248"/>
      <c r="S353" s="287"/>
      <c r="T353" s="248"/>
      <c r="U353" s="13"/>
      <c r="V353" s="282"/>
      <c r="W353" s="283"/>
      <c r="X353" s="284"/>
      <c r="Y353" s="245"/>
      <c r="Z353" s="245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BP353" s="391"/>
      <c r="BQ353" s="393"/>
      <c r="BS353" s="50" t="str">
        <f>Q688</f>
        <v/>
      </c>
      <c r="BT353" s="50" t="e">
        <f>#REF!</f>
        <v>#REF!</v>
      </c>
      <c r="BU353" s="39" t="str">
        <f t="shared" si="529"/>
        <v/>
      </c>
      <c r="BV353" s="39" t="str">
        <f t="shared" si="522"/>
        <v/>
      </c>
    </row>
    <row r="354" spans="1:74" ht="14.25" customHeight="1" x14ac:dyDescent="0.35">
      <c r="A354" s="293">
        <v>169</v>
      </c>
      <c r="B354" s="295"/>
      <c r="C354" s="297"/>
      <c r="D354" s="299"/>
      <c r="E354" s="301"/>
      <c r="F354" s="303"/>
      <c r="G354" s="288"/>
      <c r="H354" s="289"/>
      <c r="I354" s="290"/>
      <c r="J354" s="290"/>
      <c r="K354" s="291"/>
      <c r="L354" s="18"/>
      <c r="M354" s="285" t="str">
        <f t="shared" ref="M354" si="542">IF(COUNT(L354:L355)&lt;1,"",AVERAGE(L354:L355))</f>
        <v/>
      </c>
      <c r="N354" s="22"/>
      <c r="O354" s="285" t="str">
        <f t="shared" ref="O354" si="543">IF(COUNT(N354:N355)&lt;1,"",AVERAGE(N354:N355))</f>
        <v/>
      </c>
      <c r="P354" s="22"/>
      <c r="Q354" s="285" t="str">
        <f t="shared" ref="Q354" si="544">IF(COUNT(P354:P355)&lt;1,"",AVERAGE(P354:P355))</f>
        <v/>
      </c>
      <c r="R354" s="278" t="str">
        <f>IF($X$13="/28",IF(COUNT(P354:P355)&lt;=1,"",ABS(P354-P355)),IF($X$13="/90",IF(COUNT(#REF!)&lt;=1,"",ABS(#REF!-#REF!))))</f>
        <v/>
      </c>
      <c r="S354" s="278" t="str">
        <f>IF($X$13="/28",IF(Q354="","",IF(AVERAGE(Q350:Q355)&gt;=$W$13,ROUND(AVERAGE(Q350:Q355),1)&amp;" ≥ "&amp;$W$13&amp;" OK",ROUND(AVERAGE(Q350:Q355),1)&amp;" &lt; "&amp;$W$13&amp;" NC")),IF($X$13="/90",IF(#REF!="","",IF(AVERAGE(#REF!)&gt;=$W$13,ROUND(AVERAGE(#REF!),1)&amp;" ≥ "&amp;$W$13&amp;" OK",ROUND(AVERAGE(#REF!),1)&amp;" &lt; "&amp;$W$13&amp;" NC"))))</f>
        <v/>
      </c>
      <c r="T354" s="278" t="str">
        <f>IF($X$13="/28",IF(Q354="","",IF(Q354&gt;=$W$13-$S$12,ROUND((Q354),1)&amp;" ≥ "&amp;$W$13-$S$12&amp;" OK",ROUND((Q354),1)&amp;" &lt; "&amp;$W$13-$S$12&amp;" NC")),IF($X$13="/90",IF(#REF!="","",IF(#REF!&gt;=$W$13-$S$12,ROUND((#REF!),1)&amp;" ≥ "&amp;$W$13-$S$12&amp;" OK",ROUND((#REF!),1)&amp;" &lt; "&amp;$W$13-$S$12&amp;" NC"))))</f>
        <v/>
      </c>
      <c r="U354" s="14"/>
      <c r="V354" s="279"/>
      <c r="W354" s="280"/>
      <c r="X354" s="281"/>
      <c r="Y354" s="246"/>
      <c r="Z354" s="246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BP354" s="390" t="str">
        <f>IF($X$13="/28",IF(Q354="","",Q354),IF($X$13="/90",IF(#REF!="","",#REF!),"Falso"))</f>
        <v/>
      </c>
      <c r="BQ354" s="392" t="str">
        <f t="shared" si="450"/>
        <v/>
      </c>
      <c r="BS354" s="50" t="str">
        <f>Q690</f>
        <v/>
      </c>
      <c r="BT354" s="50" t="e">
        <f>#REF!</f>
        <v>#REF!</v>
      </c>
      <c r="BU354" s="39" t="str">
        <f t="shared" si="529"/>
        <v/>
      </c>
      <c r="BV354" s="39" t="str">
        <f t="shared" si="522"/>
        <v/>
      </c>
    </row>
    <row r="355" spans="1:74" ht="14.25" customHeight="1" x14ac:dyDescent="0.35">
      <c r="A355" s="294"/>
      <c r="B355" s="296"/>
      <c r="C355" s="298"/>
      <c r="D355" s="300"/>
      <c r="E355" s="302"/>
      <c r="F355" s="304"/>
      <c r="G355" s="276"/>
      <c r="H355" s="277"/>
      <c r="I355" s="290"/>
      <c r="J355" s="290"/>
      <c r="K355" s="291"/>
      <c r="L355" s="17"/>
      <c r="M355" s="286"/>
      <c r="N355" s="21"/>
      <c r="O355" s="286"/>
      <c r="P355" s="21"/>
      <c r="Q355" s="286"/>
      <c r="R355" s="248"/>
      <c r="S355" s="287"/>
      <c r="T355" s="248"/>
      <c r="U355" s="13"/>
      <c r="V355" s="282"/>
      <c r="W355" s="283"/>
      <c r="X355" s="284"/>
      <c r="Y355" s="245"/>
      <c r="Z355" s="245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BP355" s="391"/>
      <c r="BQ355" s="393"/>
      <c r="BS355" s="50" t="str">
        <f>Q692</f>
        <v/>
      </c>
      <c r="BT355" s="50" t="e">
        <f>#REF!</f>
        <v>#REF!</v>
      </c>
      <c r="BU355" s="39" t="str">
        <f t="shared" si="529"/>
        <v/>
      </c>
      <c r="BV355" s="39" t="str">
        <f t="shared" si="522"/>
        <v/>
      </c>
    </row>
    <row r="356" spans="1:74" ht="14.25" customHeight="1" x14ac:dyDescent="0.35">
      <c r="A356" s="293">
        <v>170</v>
      </c>
      <c r="B356" s="295"/>
      <c r="C356" s="297"/>
      <c r="D356" s="299"/>
      <c r="E356" s="301"/>
      <c r="F356" s="303"/>
      <c r="G356" s="288"/>
      <c r="H356" s="289"/>
      <c r="I356" s="290"/>
      <c r="J356" s="290"/>
      <c r="K356" s="291"/>
      <c r="L356" s="18"/>
      <c r="M356" s="285" t="str">
        <f t="shared" ref="M356" si="545">IF(COUNT(L356:L357)&lt;1,"",AVERAGE(L356:L357))</f>
        <v/>
      </c>
      <c r="N356" s="22"/>
      <c r="O356" s="285" t="str">
        <f t="shared" ref="O356" si="546">IF(COUNT(N356:N357)&lt;1,"",AVERAGE(N356:N357))</f>
        <v/>
      </c>
      <c r="P356" s="22"/>
      <c r="Q356" s="285" t="str">
        <f t="shared" ref="Q356" si="547">IF(COUNT(P356:P357)&lt;1,"",AVERAGE(P356:P357))</f>
        <v/>
      </c>
      <c r="R356" s="278" t="str">
        <f>IF($X$13="/28",IF(COUNT(P356:P357)&lt;=1,"",ABS(P356-P357)),IF($X$13="/90",IF(COUNT(#REF!)&lt;=1,"",ABS(#REF!-#REF!))))</f>
        <v/>
      </c>
      <c r="S356" s="278" t="str">
        <f>IF($X$13="/28",IF(Q356="","",IF(AVERAGE(Q352:Q357)&gt;=$W$13,ROUND(AVERAGE(Q352:Q357),1)&amp;" ≥ "&amp;$W$13&amp;" OK",ROUND(AVERAGE(Q352:Q357),1)&amp;" &lt; "&amp;$W$13&amp;" NC")),IF($X$13="/90",IF(#REF!="","",IF(AVERAGE(#REF!)&gt;=$W$13,ROUND(AVERAGE(#REF!),1)&amp;" ≥ "&amp;$W$13&amp;" OK",ROUND(AVERAGE(#REF!),1)&amp;" &lt; "&amp;$W$13&amp;" NC"))))</f>
        <v/>
      </c>
      <c r="T356" s="278" t="str">
        <f>IF($X$13="/28",IF(Q356="","",IF(Q356&gt;=$W$13-$S$12,ROUND((Q356),1)&amp;" ≥ "&amp;$W$13-$S$12&amp;" OK",ROUND((Q356),1)&amp;" &lt; "&amp;$W$13-$S$12&amp;" NC")),IF($X$13="/90",IF(#REF!="","",IF(#REF!&gt;=$W$13-$S$12,ROUND((#REF!),1)&amp;" ≥ "&amp;$W$13-$S$12&amp;" OK",ROUND((#REF!),1)&amp;" &lt; "&amp;$W$13-$S$12&amp;" NC"))))</f>
        <v/>
      </c>
      <c r="U356" s="14"/>
      <c r="V356" s="279"/>
      <c r="W356" s="280"/>
      <c r="X356" s="281"/>
      <c r="Y356" s="246"/>
      <c r="Z356" s="246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BP356" s="390" t="str">
        <f>IF($X$13="/28",IF(Q356="","",Q356),IF($X$13="/90",IF(#REF!="","",#REF!),"Falso"))</f>
        <v/>
      </c>
      <c r="BQ356" s="392" t="str">
        <f t="shared" si="454"/>
        <v/>
      </c>
      <c r="BS356" s="50" t="str">
        <f>Q694</f>
        <v/>
      </c>
      <c r="BT356" s="50" t="e">
        <f>#REF!</f>
        <v>#REF!</v>
      </c>
      <c r="BU356" s="39" t="str">
        <f t="shared" si="529"/>
        <v/>
      </c>
      <c r="BV356" s="39" t="str">
        <f t="shared" si="522"/>
        <v/>
      </c>
    </row>
    <row r="357" spans="1:74" ht="14.25" customHeight="1" x14ac:dyDescent="0.35">
      <c r="A357" s="294"/>
      <c r="B357" s="296"/>
      <c r="C357" s="298"/>
      <c r="D357" s="300"/>
      <c r="E357" s="302"/>
      <c r="F357" s="304"/>
      <c r="G357" s="276"/>
      <c r="H357" s="277"/>
      <c r="I357" s="290"/>
      <c r="J357" s="290"/>
      <c r="K357" s="291"/>
      <c r="L357" s="17"/>
      <c r="M357" s="286"/>
      <c r="N357" s="21"/>
      <c r="O357" s="286"/>
      <c r="P357" s="21"/>
      <c r="Q357" s="286"/>
      <c r="R357" s="248"/>
      <c r="S357" s="287"/>
      <c r="T357" s="248"/>
      <c r="U357" s="13"/>
      <c r="V357" s="282"/>
      <c r="W357" s="283"/>
      <c r="X357" s="284"/>
      <c r="Y357" s="245"/>
      <c r="Z357" s="245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BP357" s="391"/>
      <c r="BQ357" s="393"/>
      <c r="BS357" s="50" t="str">
        <f>Q696</f>
        <v/>
      </c>
      <c r="BT357" s="50" t="e">
        <f>#REF!</f>
        <v>#REF!</v>
      </c>
      <c r="BU357" s="39" t="str">
        <f t="shared" si="529"/>
        <v/>
      </c>
      <c r="BV357" s="39" t="str">
        <f t="shared" si="522"/>
        <v/>
      </c>
    </row>
    <row r="358" spans="1:74" ht="14.25" customHeight="1" x14ac:dyDescent="0.35">
      <c r="A358" s="293">
        <v>171</v>
      </c>
      <c r="B358" s="295"/>
      <c r="C358" s="297"/>
      <c r="D358" s="299"/>
      <c r="E358" s="301"/>
      <c r="F358" s="303"/>
      <c r="G358" s="288"/>
      <c r="H358" s="289"/>
      <c r="I358" s="290"/>
      <c r="J358" s="290"/>
      <c r="K358" s="291"/>
      <c r="L358" s="18"/>
      <c r="M358" s="285" t="str">
        <f t="shared" ref="M358" si="548">IF(COUNT(L358:L359)&lt;1,"",AVERAGE(L358:L359))</f>
        <v/>
      </c>
      <c r="N358" s="22"/>
      <c r="O358" s="285" t="str">
        <f t="shared" ref="O358" si="549">IF(COUNT(N358:N359)&lt;1,"",AVERAGE(N358:N359))</f>
        <v/>
      </c>
      <c r="P358" s="22"/>
      <c r="Q358" s="285" t="str">
        <f t="shared" ref="Q358" si="550">IF(COUNT(P358:P359)&lt;1,"",AVERAGE(P358:P359))</f>
        <v/>
      </c>
      <c r="R358" s="278" t="str">
        <f>IF($X$13="/28",IF(COUNT(P358:P359)&lt;=1,"",ABS(P358-P359)),IF($X$13="/90",IF(COUNT(#REF!)&lt;=1,"",ABS(#REF!-#REF!))))</f>
        <v/>
      </c>
      <c r="S358" s="278" t="str">
        <f>IF($X$13="/28",IF(Q358="","",IF(AVERAGE(Q354:Q359)&gt;=$W$13,ROUND(AVERAGE(Q354:Q359),1)&amp;" ≥ "&amp;$W$13&amp;" OK",ROUND(AVERAGE(Q354:Q359),1)&amp;" &lt; "&amp;$W$13&amp;" NC")),IF($X$13="/90",IF(#REF!="","",IF(AVERAGE(#REF!)&gt;=$W$13,ROUND(AVERAGE(#REF!),1)&amp;" ≥ "&amp;$W$13&amp;" OK",ROUND(AVERAGE(#REF!),1)&amp;" &lt; "&amp;$W$13&amp;" NC"))))</f>
        <v/>
      </c>
      <c r="T358" s="278" t="str">
        <f>IF($X$13="/28",IF(Q358="","",IF(Q358&gt;=$W$13-$S$12,ROUND((Q358),1)&amp;" ≥ "&amp;$W$13-$S$12&amp;" OK",ROUND((Q358),1)&amp;" &lt; "&amp;$W$13-$S$12&amp;" NC")),IF($X$13="/90",IF(#REF!="","",IF(#REF!&gt;=$W$13-$S$12,ROUND((#REF!),1)&amp;" ≥ "&amp;$W$13-$S$12&amp;" OK",ROUND((#REF!),1)&amp;" &lt; "&amp;$W$13-$S$12&amp;" NC"))))</f>
        <v/>
      </c>
      <c r="U358" s="14"/>
      <c r="V358" s="279"/>
      <c r="W358" s="280"/>
      <c r="X358" s="281"/>
      <c r="Y358" s="246"/>
      <c r="Z358" s="246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BP358" s="390" t="str">
        <f>IF($X$13="/28",IF(Q358="","",Q358),IF($X$13="/90",IF(#REF!="","",#REF!),"Falso"))</f>
        <v/>
      </c>
      <c r="BQ358" s="392" t="str">
        <f t="shared" si="458"/>
        <v/>
      </c>
      <c r="BS358" s="50" t="str">
        <f>Q698</f>
        <v/>
      </c>
      <c r="BT358" s="50" t="e">
        <f>#REF!</f>
        <v>#REF!</v>
      </c>
      <c r="BU358" s="39" t="str">
        <f t="shared" si="529"/>
        <v/>
      </c>
      <c r="BV358" s="39" t="str">
        <f t="shared" si="522"/>
        <v/>
      </c>
    </row>
    <row r="359" spans="1:74" ht="14.25" customHeight="1" x14ac:dyDescent="0.35">
      <c r="A359" s="294"/>
      <c r="B359" s="296"/>
      <c r="C359" s="298"/>
      <c r="D359" s="300"/>
      <c r="E359" s="302"/>
      <c r="F359" s="304"/>
      <c r="G359" s="276"/>
      <c r="H359" s="277"/>
      <c r="I359" s="290"/>
      <c r="J359" s="290"/>
      <c r="K359" s="291"/>
      <c r="L359" s="17"/>
      <c r="M359" s="286"/>
      <c r="N359" s="21"/>
      <c r="O359" s="286"/>
      <c r="P359" s="21"/>
      <c r="Q359" s="286"/>
      <c r="R359" s="248"/>
      <c r="S359" s="287"/>
      <c r="T359" s="248"/>
      <c r="U359" s="13"/>
      <c r="V359" s="282"/>
      <c r="W359" s="283"/>
      <c r="X359" s="284"/>
      <c r="Y359" s="245"/>
      <c r="Z359" s="245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BP359" s="391"/>
      <c r="BQ359" s="393"/>
      <c r="BS359" s="50" t="str">
        <f>Q700</f>
        <v/>
      </c>
      <c r="BT359" s="50" t="e">
        <f>#REF!</f>
        <v>#REF!</v>
      </c>
      <c r="BU359" s="39" t="str">
        <f t="shared" si="529"/>
        <v/>
      </c>
      <c r="BV359" s="39" t="str">
        <f t="shared" si="522"/>
        <v/>
      </c>
    </row>
    <row r="360" spans="1:74" ht="14.25" customHeight="1" x14ac:dyDescent="0.35">
      <c r="A360" s="293">
        <v>172</v>
      </c>
      <c r="B360" s="295"/>
      <c r="C360" s="297"/>
      <c r="D360" s="299"/>
      <c r="E360" s="301"/>
      <c r="F360" s="303"/>
      <c r="G360" s="288"/>
      <c r="H360" s="289"/>
      <c r="I360" s="290"/>
      <c r="J360" s="290"/>
      <c r="K360" s="291"/>
      <c r="L360" s="18"/>
      <c r="M360" s="285" t="str">
        <f t="shared" ref="M360" si="551">IF(COUNT(L360:L361)&lt;1,"",AVERAGE(L360:L361))</f>
        <v/>
      </c>
      <c r="N360" s="22"/>
      <c r="O360" s="285" t="str">
        <f t="shared" ref="O360" si="552">IF(COUNT(N360:N361)&lt;1,"",AVERAGE(N360:N361))</f>
        <v/>
      </c>
      <c r="P360" s="22"/>
      <c r="Q360" s="285" t="str">
        <f t="shared" ref="Q360" si="553">IF(COUNT(P360:P361)&lt;1,"",AVERAGE(P360:P361))</f>
        <v/>
      </c>
      <c r="R360" s="278" t="str">
        <f>IF($X$13="/28",IF(COUNT(P360:P361)&lt;=1,"",ABS(P360-P361)),IF($X$13="/90",IF(COUNT(#REF!)&lt;=1,"",ABS(#REF!-#REF!))))</f>
        <v/>
      </c>
      <c r="S360" s="278" t="str">
        <f>IF($X$13="/28",IF(Q360="","",IF(AVERAGE(Q356:Q361)&gt;=$W$13,ROUND(AVERAGE(Q356:Q361),1)&amp;" ≥ "&amp;$W$13&amp;" OK",ROUND(AVERAGE(Q356:Q361),1)&amp;" &lt; "&amp;$W$13&amp;" NC")),IF($X$13="/90",IF(#REF!="","",IF(AVERAGE(#REF!)&gt;=$W$13,ROUND(AVERAGE(#REF!),1)&amp;" ≥ "&amp;$W$13&amp;" OK",ROUND(AVERAGE(#REF!),1)&amp;" &lt; "&amp;$W$13&amp;" NC"))))</f>
        <v/>
      </c>
      <c r="T360" s="278" t="str">
        <f>IF($X$13="/28",IF(Q360="","",IF(Q360&gt;=$W$13-$S$12,ROUND((Q360),1)&amp;" ≥ "&amp;$W$13-$S$12&amp;" OK",ROUND((Q360),1)&amp;" &lt; "&amp;$W$13-$S$12&amp;" NC")),IF($X$13="/90",IF(#REF!="","",IF(#REF!&gt;=$W$13-$S$12,ROUND((#REF!),1)&amp;" ≥ "&amp;$W$13-$S$12&amp;" OK",ROUND((#REF!),1)&amp;" &lt; "&amp;$W$13-$S$12&amp;" NC"))))</f>
        <v/>
      </c>
      <c r="U360" s="14"/>
      <c r="V360" s="279"/>
      <c r="W360" s="280"/>
      <c r="X360" s="281"/>
      <c r="Y360" s="246"/>
      <c r="Z360" s="246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BP360" s="390" t="str">
        <f>IF($X$13="/28",IF(Q360="","",Q360),IF($X$13="/90",IF(#REF!="","",#REF!),"Falso"))</f>
        <v/>
      </c>
      <c r="BQ360" s="392" t="str">
        <f t="shared" ref="BQ360:BQ420" si="554">IF(BP360="","",BQ358+1)</f>
        <v/>
      </c>
      <c r="BS360" s="50" t="str">
        <f>Q702</f>
        <v/>
      </c>
      <c r="BT360" s="50" t="e">
        <f>#REF!</f>
        <v>#REF!</v>
      </c>
      <c r="BU360" s="39" t="str">
        <f t="shared" si="529"/>
        <v/>
      </c>
      <c r="BV360" s="39" t="str">
        <f t="shared" si="522"/>
        <v/>
      </c>
    </row>
    <row r="361" spans="1:74" ht="14.25" customHeight="1" x14ac:dyDescent="0.35">
      <c r="A361" s="294"/>
      <c r="B361" s="296"/>
      <c r="C361" s="298"/>
      <c r="D361" s="300"/>
      <c r="E361" s="302"/>
      <c r="F361" s="304"/>
      <c r="G361" s="276"/>
      <c r="H361" s="277"/>
      <c r="I361" s="290"/>
      <c r="J361" s="290"/>
      <c r="K361" s="291"/>
      <c r="L361" s="17"/>
      <c r="M361" s="286"/>
      <c r="N361" s="21"/>
      <c r="O361" s="286"/>
      <c r="P361" s="21"/>
      <c r="Q361" s="286"/>
      <c r="R361" s="248"/>
      <c r="S361" s="287"/>
      <c r="T361" s="248"/>
      <c r="U361" s="13"/>
      <c r="V361" s="282"/>
      <c r="W361" s="283"/>
      <c r="X361" s="284"/>
      <c r="Y361" s="245"/>
      <c r="Z361" s="245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BP361" s="391"/>
      <c r="BQ361" s="393"/>
      <c r="BS361" s="50" t="str">
        <f>Q704</f>
        <v/>
      </c>
      <c r="BT361" s="50" t="e">
        <f>#REF!</f>
        <v>#REF!</v>
      </c>
      <c r="BU361" s="39" t="str">
        <f t="shared" si="529"/>
        <v/>
      </c>
      <c r="BV361" s="39" t="str">
        <f t="shared" si="522"/>
        <v/>
      </c>
    </row>
    <row r="362" spans="1:74" ht="14.25" customHeight="1" x14ac:dyDescent="0.35">
      <c r="A362" s="293">
        <v>173</v>
      </c>
      <c r="B362" s="295"/>
      <c r="C362" s="297"/>
      <c r="D362" s="299"/>
      <c r="E362" s="301"/>
      <c r="F362" s="303"/>
      <c r="G362" s="288"/>
      <c r="H362" s="289"/>
      <c r="I362" s="290"/>
      <c r="J362" s="290"/>
      <c r="K362" s="291"/>
      <c r="L362" s="18"/>
      <c r="M362" s="285" t="str">
        <f t="shared" ref="M362" si="555">IF(COUNT(L362:L363)&lt;1,"",AVERAGE(L362:L363))</f>
        <v/>
      </c>
      <c r="N362" s="22"/>
      <c r="O362" s="285" t="str">
        <f t="shared" ref="O362" si="556">IF(COUNT(N362:N363)&lt;1,"",AVERAGE(N362:N363))</f>
        <v/>
      </c>
      <c r="P362" s="22"/>
      <c r="Q362" s="285" t="str">
        <f t="shared" ref="Q362" si="557">IF(COUNT(P362:P363)&lt;1,"",AVERAGE(P362:P363))</f>
        <v/>
      </c>
      <c r="R362" s="278" t="str">
        <f>IF($X$13="/28",IF(COUNT(P362:P363)&lt;=1,"",ABS(P362-P363)),IF($X$13="/90",IF(COUNT(#REF!)&lt;=1,"",ABS(#REF!-#REF!))))</f>
        <v/>
      </c>
      <c r="S362" s="278" t="str">
        <f>IF($X$13="/28",IF(Q362="","",IF(AVERAGE(Q358:Q363)&gt;=$W$13,ROUND(AVERAGE(Q358:Q363),1)&amp;" ≥ "&amp;$W$13&amp;" OK",ROUND(AVERAGE(Q358:Q363),1)&amp;" &lt; "&amp;$W$13&amp;" NC")),IF($X$13="/90",IF(#REF!="","",IF(AVERAGE(#REF!)&gt;=$W$13,ROUND(AVERAGE(#REF!),1)&amp;" ≥ "&amp;$W$13&amp;" OK",ROUND(AVERAGE(#REF!),1)&amp;" &lt; "&amp;$W$13&amp;" NC"))))</f>
        <v/>
      </c>
      <c r="T362" s="278" t="str">
        <f>IF($X$13="/28",IF(Q362="","",IF(Q362&gt;=$W$13-$S$12,ROUND((Q362),1)&amp;" ≥ "&amp;$W$13-$S$12&amp;" OK",ROUND((Q362),1)&amp;" &lt; "&amp;$W$13-$S$12&amp;" NC")),IF($X$13="/90",IF(#REF!="","",IF(#REF!&gt;=$W$13-$S$12,ROUND((#REF!),1)&amp;" ≥ "&amp;$W$13-$S$12&amp;" OK",ROUND((#REF!),1)&amp;" &lt; "&amp;$W$13-$S$12&amp;" NC"))))</f>
        <v/>
      </c>
      <c r="U362" s="14"/>
      <c r="V362" s="279"/>
      <c r="W362" s="280"/>
      <c r="X362" s="281"/>
      <c r="Y362" s="246"/>
      <c r="Z362" s="246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BP362" s="390" t="str">
        <f>IF($X$13="/28",IF(Q362="","",Q362),IF($X$13="/90",IF(#REF!="","",#REF!),"Falso"))</f>
        <v/>
      </c>
      <c r="BQ362" s="392" t="str">
        <f t="shared" ref="BQ362:BQ422" si="558">IF(BP362="","",BQ360+1)</f>
        <v/>
      </c>
      <c r="BS362" s="50" t="str">
        <f>Q706</f>
        <v/>
      </c>
      <c r="BT362" s="50" t="e">
        <f>#REF!</f>
        <v>#REF!</v>
      </c>
      <c r="BU362" s="39" t="str">
        <f t="shared" si="529"/>
        <v/>
      </c>
      <c r="BV362" s="39" t="str">
        <f t="shared" si="522"/>
        <v/>
      </c>
    </row>
    <row r="363" spans="1:74" ht="14.25" customHeight="1" x14ac:dyDescent="0.35">
      <c r="A363" s="294"/>
      <c r="B363" s="296"/>
      <c r="C363" s="298"/>
      <c r="D363" s="300"/>
      <c r="E363" s="302"/>
      <c r="F363" s="304"/>
      <c r="G363" s="276"/>
      <c r="H363" s="277"/>
      <c r="I363" s="290"/>
      <c r="J363" s="290"/>
      <c r="K363" s="291"/>
      <c r="L363" s="17"/>
      <c r="M363" s="286"/>
      <c r="N363" s="21"/>
      <c r="O363" s="286"/>
      <c r="P363" s="21"/>
      <c r="Q363" s="286"/>
      <c r="R363" s="248"/>
      <c r="S363" s="287"/>
      <c r="T363" s="248"/>
      <c r="U363" s="13"/>
      <c r="V363" s="282"/>
      <c r="W363" s="283"/>
      <c r="X363" s="284"/>
      <c r="Y363" s="245"/>
      <c r="Z363" s="245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BP363" s="391"/>
      <c r="BQ363" s="393"/>
      <c r="BS363" s="50" t="str">
        <f>Q708</f>
        <v/>
      </c>
      <c r="BT363" s="50" t="e">
        <f>#REF!</f>
        <v>#REF!</v>
      </c>
      <c r="BU363" s="39" t="str">
        <f t="shared" si="529"/>
        <v/>
      </c>
      <c r="BV363" s="39" t="str">
        <f t="shared" si="522"/>
        <v/>
      </c>
    </row>
    <row r="364" spans="1:74" ht="14.25" customHeight="1" x14ac:dyDescent="0.35">
      <c r="A364" s="293">
        <v>174</v>
      </c>
      <c r="B364" s="295"/>
      <c r="C364" s="297"/>
      <c r="D364" s="299"/>
      <c r="E364" s="301"/>
      <c r="F364" s="303"/>
      <c r="G364" s="288"/>
      <c r="H364" s="289"/>
      <c r="I364" s="290"/>
      <c r="J364" s="290"/>
      <c r="K364" s="291"/>
      <c r="L364" s="18"/>
      <c r="M364" s="285" t="str">
        <f t="shared" ref="M364" si="559">IF(COUNT(L364:L365)&lt;1,"",AVERAGE(L364:L365))</f>
        <v/>
      </c>
      <c r="N364" s="22"/>
      <c r="O364" s="285" t="str">
        <f t="shared" ref="O364" si="560">IF(COUNT(N364:N365)&lt;1,"",AVERAGE(N364:N365))</f>
        <v/>
      </c>
      <c r="P364" s="22"/>
      <c r="Q364" s="285" t="str">
        <f t="shared" ref="Q364" si="561">IF(COUNT(P364:P365)&lt;1,"",AVERAGE(P364:P365))</f>
        <v/>
      </c>
      <c r="R364" s="278" t="str">
        <f>IF($X$13="/28",IF(COUNT(P364:P365)&lt;=1,"",ABS(P364-P365)),IF($X$13="/90",IF(COUNT(#REF!)&lt;=1,"",ABS(#REF!-#REF!))))</f>
        <v/>
      </c>
      <c r="S364" s="278" t="str">
        <f>IF($X$13="/28",IF(Q364="","",IF(AVERAGE(Q360:Q365)&gt;=$W$13,ROUND(AVERAGE(Q360:Q365),1)&amp;" ≥ "&amp;$W$13&amp;" OK",ROUND(AVERAGE(Q360:Q365),1)&amp;" &lt; "&amp;$W$13&amp;" NC")),IF($X$13="/90",IF(#REF!="","",IF(AVERAGE(#REF!)&gt;=$W$13,ROUND(AVERAGE(#REF!),1)&amp;" ≥ "&amp;$W$13&amp;" OK",ROUND(AVERAGE(#REF!),1)&amp;" &lt; "&amp;$W$13&amp;" NC"))))</f>
        <v/>
      </c>
      <c r="T364" s="278" t="str">
        <f>IF($X$13="/28",IF(Q364="","",IF(Q364&gt;=$W$13-$S$12,ROUND((Q364),1)&amp;" ≥ "&amp;$W$13-$S$12&amp;" OK",ROUND((Q364),1)&amp;" &lt; "&amp;$W$13-$S$12&amp;" NC")),IF($X$13="/90",IF(#REF!="","",IF(#REF!&gt;=$W$13-$S$12,ROUND((#REF!),1)&amp;" ≥ "&amp;$W$13-$S$12&amp;" OK",ROUND((#REF!),1)&amp;" &lt; "&amp;$W$13-$S$12&amp;" NC"))))</f>
        <v/>
      </c>
      <c r="U364" s="14"/>
      <c r="V364" s="279"/>
      <c r="W364" s="280"/>
      <c r="X364" s="281"/>
      <c r="Y364" s="246"/>
      <c r="Z364" s="246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BP364" s="390" t="str">
        <f>IF($X$13="/28",IF(Q364="","",Q364),IF($X$13="/90",IF(#REF!="","",#REF!),"Falso"))</f>
        <v/>
      </c>
      <c r="BQ364" s="392" t="str">
        <f t="shared" ref="BQ364:BQ424" si="562">IF(BP364="","",BQ362+1)</f>
        <v/>
      </c>
      <c r="BS364" s="50" t="str">
        <f>Q710</f>
        <v/>
      </c>
      <c r="BT364" s="50" t="e">
        <f>#REF!</f>
        <v>#REF!</v>
      </c>
      <c r="BU364" s="39" t="str">
        <f t="shared" si="529"/>
        <v/>
      </c>
      <c r="BV364" s="39" t="str">
        <f t="shared" si="522"/>
        <v/>
      </c>
    </row>
    <row r="365" spans="1:74" ht="14.25" customHeight="1" x14ac:dyDescent="0.35">
      <c r="A365" s="294"/>
      <c r="B365" s="296"/>
      <c r="C365" s="298"/>
      <c r="D365" s="300"/>
      <c r="E365" s="302"/>
      <c r="F365" s="304"/>
      <c r="G365" s="276"/>
      <c r="H365" s="277"/>
      <c r="I365" s="290"/>
      <c r="J365" s="290"/>
      <c r="K365" s="291"/>
      <c r="L365" s="17"/>
      <c r="M365" s="286"/>
      <c r="N365" s="21"/>
      <c r="O365" s="286"/>
      <c r="P365" s="21"/>
      <c r="Q365" s="286"/>
      <c r="R365" s="248"/>
      <c r="S365" s="287"/>
      <c r="T365" s="248"/>
      <c r="U365" s="13"/>
      <c r="V365" s="282"/>
      <c r="W365" s="283"/>
      <c r="X365" s="284"/>
      <c r="Y365" s="245"/>
      <c r="Z365" s="245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BP365" s="391"/>
      <c r="BQ365" s="393"/>
      <c r="BS365" s="50" t="str">
        <f>Q712</f>
        <v/>
      </c>
      <c r="BT365" s="50" t="e">
        <f>#REF!</f>
        <v>#REF!</v>
      </c>
      <c r="BU365" s="39" t="str">
        <f t="shared" si="529"/>
        <v/>
      </c>
      <c r="BV365" s="39" t="str">
        <f t="shared" si="522"/>
        <v/>
      </c>
    </row>
    <row r="366" spans="1:74" ht="14.25" customHeight="1" x14ac:dyDescent="0.35">
      <c r="A366" s="293">
        <v>175</v>
      </c>
      <c r="B366" s="295"/>
      <c r="C366" s="297"/>
      <c r="D366" s="299"/>
      <c r="E366" s="301"/>
      <c r="F366" s="303"/>
      <c r="G366" s="288"/>
      <c r="H366" s="289"/>
      <c r="I366" s="290"/>
      <c r="J366" s="290"/>
      <c r="K366" s="291"/>
      <c r="L366" s="18"/>
      <c r="M366" s="285" t="str">
        <f t="shared" ref="M366" si="563">IF(COUNT(L366:L367)&lt;1,"",AVERAGE(L366:L367))</f>
        <v/>
      </c>
      <c r="N366" s="22"/>
      <c r="O366" s="285" t="str">
        <f t="shared" ref="O366" si="564">IF(COUNT(N366:N367)&lt;1,"",AVERAGE(N366:N367))</f>
        <v/>
      </c>
      <c r="P366" s="22"/>
      <c r="Q366" s="285" t="str">
        <f t="shared" ref="Q366" si="565">IF(COUNT(P366:P367)&lt;1,"",AVERAGE(P366:P367))</f>
        <v/>
      </c>
      <c r="R366" s="278" t="str">
        <f>IF($X$13="/28",IF(COUNT(P366:P367)&lt;=1,"",ABS(P366-P367)),IF($X$13="/90",IF(COUNT(#REF!)&lt;=1,"",ABS(#REF!-#REF!))))</f>
        <v/>
      </c>
      <c r="S366" s="278" t="str">
        <f>IF($X$13="/28",IF(Q366="","",IF(AVERAGE(Q362:Q367)&gt;=$W$13,ROUND(AVERAGE(Q362:Q367),1)&amp;" ≥ "&amp;$W$13&amp;" OK",ROUND(AVERAGE(Q362:Q367),1)&amp;" &lt; "&amp;$W$13&amp;" NC")),IF($X$13="/90",IF(#REF!="","",IF(AVERAGE(#REF!)&gt;=$W$13,ROUND(AVERAGE(#REF!),1)&amp;" ≥ "&amp;$W$13&amp;" OK",ROUND(AVERAGE(#REF!),1)&amp;" &lt; "&amp;$W$13&amp;" NC"))))</f>
        <v/>
      </c>
      <c r="T366" s="278" t="str">
        <f>IF($X$13="/28",IF(Q366="","",IF(Q366&gt;=$W$13-$S$12,ROUND((Q366),1)&amp;" ≥ "&amp;$W$13-$S$12&amp;" OK",ROUND((Q366),1)&amp;" &lt; "&amp;$W$13-$S$12&amp;" NC")),IF($X$13="/90",IF(#REF!="","",IF(#REF!&gt;=$W$13-$S$12,ROUND((#REF!),1)&amp;" ≥ "&amp;$W$13-$S$12&amp;" OK",ROUND((#REF!),1)&amp;" &lt; "&amp;$W$13-$S$12&amp;" NC"))))</f>
        <v/>
      </c>
      <c r="U366" s="14"/>
      <c r="V366" s="279"/>
      <c r="W366" s="280"/>
      <c r="X366" s="281"/>
      <c r="Y366" s="246"/>
      <c r="Z366" s="246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BP366" s="390" t="str">
        <f>IF($X$13="/28",IF(Q366="","",Q366),IF($X$13="/90",IF(#REF!="","",#REF!),"Falso"))</f>
        <v/>
      </c>
      <c r="BQ366" s="392" t="str">
        <f t="shared" si="554"/>
        <v/>
      </c>
      <c r="BS366" s="50" t="str">
        <f>Q714</f>
        <v/>
      </c>
      <c r="BT366" s="50" t="e">
        <f>#REF!</f>
        <v>#REF!</v>
      </c>
      <c r="BU366" s="39" t="str">
        <f t="shared" si="529"/>
        <v/>
      </c>
      <c r="BV366" s="39" t="str">
        <f t="shared" si="522"/>
        <v/>
      </c>
    </row>
    <row r="367" spans="1:74" ht="14.25" customHeight="1" x14ac:dyDescent="0.35">
      <c r="A367" s="294"/>
      <c r="B367" s="296"/>
      <c r="C367" s="298"/>
      <c r="D367" s="300"/>
      <c r="E367" s="302"/>
      <c r="F367" s="304"/>
      <c r="G367" s="276"/>
      <c r="H367" s="277"/>
      <c r="I367" s="290"/>
      <c r="J367" s="290"/>
      <c r="K367" s="291"/>
      <c r="L367" s="17"/>
      <c r="M367" s="286"/>
      <c r="N367" s="21"/>
      <c r="O367" s="286"/>
      <c r="P367" s="21"/>
      <c r="Q367" s="286"/>
      <c r="R367" s="248"/>
      <c r="S367" s="287"/>
      <c r="T367" s="248"/>
      <c r="U367" s="13"/>
      <c r="V367" s="282"/>
      <c r="W367" s="283"/>
      <c r="X367" s="284"/>
      <c r="Y367" s="245"/>
      <c r="Z367" s="245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BP367" s="391"/>
      <c r="BQ367" s="393"/>
      <c r="BS367" s="50" t="str">
        <f>Q716</f>
        <v/>
      </c>
      <c r="BT367" s="50" t="e">
        <f>#REF!</f>
        <v>#REF!</v>
      </c>
      <c r="BU367" s="39" t="str">
        <f t="shared" si="529"/>
        <v/>
      </c>
      <c r="BV367" s="39" t="str">
        <f t="shared" si="522"/>
        <v/>
      </c>
    </row>
    <row r="368" spans="1:74" ht="14.25" customHeight="1" x14ac:dyDescent="0.35">
      <c r="A368" s="293">
        <v>176</v>
      </c>
      <c r="B368" s="295"/>
      <c r="C368" s="297"/>
      <c r="D368" s="299"/>
      <c r="E368" s="301"/>
      <c r="F368" s="303"/>
      <c r="G368" s="288"/>
      <c r="H368" s="289"/>
      <c r="I368" s="290"/>
      <c r="J368" s="290"/>
      <c r="K368" s="291"/>
      <c r="L368" s="18"/>
      <c r="M368" s="285" t="str">
        <f t="shared" ref="M368" si="566">IF(COUNT(L368:L369)&lt;1,"",AVERAGE(L368:L369))</f>
        <v/>
      </c>
      <c r="N368" s="22"/>
      <c r="O368" s="285" t="str">
        <f t="shared" ref="O368" si="567">IF(COUNT(N368:N369)&lt;1,"",AVERAGE(N368:N369))</f>
        <v/>
      </c>
      <c r="P368" s="22"/>
      <c r="Q368" s="285" t="str">
        <f t="shared" ref="Q368" si="568">IF(COUNT(P368:P369)&lt;1,"",AVERAGE(P368:P369))</f>
        <v/>
      </c>
      <c r="R368" s="278" t="str">
        <f>IF($X$13="/28",IF(COUNT(P368:P369)&lt;=1,"",ABS(P368-P369)),IF($X$13="/90",IF(COUNT(#REF!)&lt;=1,"",ABS(#REF!-#REF!))))</f>
        <v/>
      </c>
      <c r="S368" s="278" t="str">
        <f>IF($X$13="/28",IF(Q368="","",IF(AVERAGE(Q364:Q369)&gt;=$W$13,ROUND(AVERAGE(Q364:Q369),1)&amp;" ≥ "&amp;$W$13&amp;" OK",ROUND(AVERAGE(Q364:Q369),1)&amp;" &lt; "&amp;$W$13&amp;" NC")),IF($X$13="/90",IF(#REF!="","",IF(AVERAGE(#REF!)&gt;=$W$13,ROUND(AVERAGE(#REF!),1)&amp;" ≥ "&amp;$W$13&amp;" OK",ROUND(AVERAGE(#REF!),1)&amp;" &lt; "&amp;$W$13&amp;" NC"))))</f>
        <v/>
      </c>
      <c r="T368" s="278" t="str">
        <f>IF($X$13="/28",IF(Q368="","",IF(Q368&gt;=$W$13-$S$12,ROUND((Q368),1)&amp;" ≥ "&amp;$W$13-$S$12&amp;" OK",ROUND((Q368),1)&amp;" &lt; "&amp;$W$13-$S$12&amp;" NC")),IF($X$13="/90",IF(#REF!="","",IF(#REF!&gt;=$W$13-$S$12,ROUND((#REF!),1)&amp;" ≥ "&amp;$W$13-$S$12&amp;" OK",ROUND((#REF!),1)&amp;" &lt; "&amp;$W$13-$S$12&amp;" NC"))))</f>
        <v/>
      </c>
      <c r="U368" s="14"/>
      <c r="V368" s="279"/>
      <c r="W368" s="280"/>
      <c r="X368" s="281"/>
      <c r="Y368" s="246"/>
      <c r="Z368" s="246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BP368" s="390" t="str">
        <f>IF($X$13="/28",IF(Q368="","",Q368),IF($X$13="/90",IF(#REF!="","",#REF!),"Falso"))</f>
        <v/>
      </c>
      <c r="BQ368" s="392" t="str">
        <f t="shared" si="558"/>
        <v/>
      </c>
      <c r="BS368" s="50" t="str">
        <f>Q718</f>
        <v/>
      </c>
      <c r="BT368" s="50" t="e">
        <f>#REF!</f>
        <v>#REF!</v>
      </c>
      <c r="BU368" s="39" t="str">
        <f t="shared" si="529"/>
        <v/>
      </c>
      <c r="BV368" s="39" t="str">
        <f t="shared" si="522"/>
        <v/>
      </c>
    </row>
    <row r="369" spans="1:74" ht="14.25" customHeight="1" x14ac:dyDescent="0.35">
      <c r="A369" s="294"/>
      <c r="B369" s="296"/>
      <c r="C369" s="298"/>
      <c r="D369" s="300"/>
      <c r="E369" s="302"/>
      <c r="F369" s="304"/>
      <c r="G369" s="276"/>
      <c r="H369" s="277"/>
      <c r="I369" s="290"/>
      <c r="J369" s="290"/>
      <c r="K369" s="291"/>
      <c r="L369" s="17"/>
      <c r="M369" s="286"/>
      <c r="N369" s="21"/>
      <c r="O369" s="286"/>
      <c r="P369" s="21"/>
      <c r="Q369" s="286"/>
      <c r="R369" s="248"/>
      <c r="S369" s="287"/>
      <c r="T369" s="248"/>
      <c r="U369" s="13"/>
      <c r="V369" s="282"/>
      <c r="W369" s="283"/>
      <c r="X369" s="284"/>
      <c r="Y369" s="245"/>
      <c r="Z369" s="245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BP369" s="391"/>
      <c r="BQ369" s="393"/>
      <c r="BS369" s="50" t="str">
        <f>Q720</f>
        <v/>
      </c>
      <c r="BT369" s="50" t="e">
        <f>#REF!</f>
        <v>#REF!</v>
      </c>
      <c r="BU369" s="39" t="str">
        <f t="shared" si="529"/>
        <v/>
      </c>
      <c r="BV369" s="39" t="str">
        <f t="shared" si="522"/>
        <v/>
      </c>
    </row>
    <row r="370" spans="1:74" ht="14.25" customHeight="1" x14ac:dyDescent="0.35">
      <c r="A370" s="293">
        <v>177</v>
      </c>
      <c r="B370" s="295"/>
      <c r="C370" s="297"/>
      <c r="D370" s="299"/>
      <c r="E370" s="301"/>
      <c r="F370" s="303"/>
      <c r="G370" s="288"/>
      <c r="H370" s="289"/>
      <c r="I370" s="290"/>
      <c r="J370" s="290"/>
      <c r="K370" s="291"/>
      <c r="L370" s="18"/>
      <c r="M370" s="285" t="str">
        <f t="shared" ref="M370" si="569">IF(COUNT(L370:L371)&lt;1,"",AVERAGE(L370:L371))</f>
        <v/>
      </c>
      <c r="N370" s="22"/>
      <c r="O370" s="285" t="str">
        <f t="shared" ref="O370" si="570">IF(COUNT(N370:N371)&lt;1,"",AVERAGE(N370:N371))</f>
        <v/>
      </c>
      <c r="P370" s="22"/>
      <c r="Q370" s="285" t="str">
        <f t="shared" ref="Q370" si="571">IF(COUNT(P370:P371)&lt;1,"",AVERAGE(P370:P371))</f>
        <v/>
      </c>
      <c r="R370" s="278" t="str">
        <f>IF($X$13="/28",IF(COUNT(P370:P371)&lt;=1,"",ABS(P370-P371)),IF($X$13="/90",IF(COUNT(#REF!)&lt;=1,"",ABS(#REF!-#REF!))))</f>
        <v/>
      </c>
      <c r="S370" s="278" t="str">
        <f>IF($X$13="/28",IF(Q370="","",IF(AVERAGE(Q366:Q371)&gt;=$W$13,ROUND(AVERAGE(Q366:Q371),1)&amp;" ≥ "&amp;$W$13&amp;" OK",ROUND(AVERAGE(Q366:Q371),1)&amp;" &lt; "&amp;$W$13&amp;" NC")),IF($X$13="/90",IF(#REF!="","",IF(AVERAGE(#REF!)&gt;=$W$13,ROUND(AVERAGE(#REF!),1)&amp;" ≥ "&amp;$W$13&amp;" OK",ROUND(AVERAGE(#REF!),1)&amp;" &lt; "&amp;$W$13&amp;" NC"))))</f>
        <v/>
      </c>
      <c r="T370" s="278" t="str">
        <f>IF($X$13="/28",IF(Q370="","",IF(Q370&gt;=$W$13-$S$12,ROUND((Q370),1)&amp;" ≥ "&amp;$W$13-$S$12&amp;" OK",ROUND((Q370),1)&amp;" &lt; "&amp;$W$13-$S$12&amp;" NC")),IF($X$13="/90",IF(#REF!="","",IF(#REF!&gt;=$W$13-$S$12,ROUND((#REF!),1)&amp;" ≥ "&amp;$W$13-$S$12&amp;" OK",ROUND((#REF!),1)&amp;" &lt; "&amp;$W$13-$S$12&amp;" NC"))))</f>
        <v/>
      </c>
      <c r="U370" s="14"/>
      <c r="V370" s="279"/>
      <c r="W370" s="280"/>
      <c r="X370" s="281"/>
      <c r="Y370" s="246"/>
      <c r="Z370" s="246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BP370" s="390" t="str">
        <f>IF($X$13="/28",IF(Q370="","",Q370),IF($X$13="/90",IF(#REF!="","",#REF!),"Falso"))</f>
        <v/>
      </c>
      <c r="BQ370" s="392" t="str">
        <f t="shared" si="562"/>
        <v/>
      </c>
      <c r="BS370" s="50" t="str">
        <f>Q722</f>
        <v/>
      </c>
      <c r="BT370" s="50" t="e">
        <f>#REF!</f>
        <v>#REF!</v>
      </c>
      <c r="BU370" s="39" t="str">
        <f t="shared" si="529"/>
        <v/>
      </c>
      <c r="BV370" s="39" t="str">
        <f t="shared" si="522"/>
        <v/>
      </c>
    </row>
    <row r="371" spans="1:74" ht="14.25" customHeight="1" x14ac:dyDescent="0.35">
      <c r="A371" s="294"/>
      <c r="B371" s="296"/>
      <c r="C371" s="298"/>
      <c r="D371" s="300"/>
      <c r="E371" s="302"/>
      <c r="F371" s="304"/>
      <c r="G371" s="276"/>
      <c r="H371" s="277"/>
      <c r="I371" s="290"/>
      <c r="J371" s="290"/>
      <c r="K371" s="291"/>
      <c r="L371" s="17"/>
      <c r="M371" s="286"/>
      <c r="N371" s="21"/>
      <c r="O371" s="286"/>
      <c r="P371" s="21"/>
      <c r="Q371" s="286"/>
      <c r="R371" s="248"/>
      <c r="S371" s="287"/>
      <c r="T371" s="248"/>
      <c r="U371" s="13"/>
      <c r="V371" s="282"/>
      <c r="W371" s="283"/>
      <c r="X371" s="284"/>
      <c r="Y371" s="245"/>
      <c r="Z371" s="245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BP371" s="391"/>
      <c r="BQ371" s="393"/>
      <c r="BS371" s="50" t="str">
        <f>Q724</f>
        <v/>
      </c>
      <c r="BT371" s="50" t="e">
        <f>#REF!</f>
        <v>#REF!</v>
      </c>
      <c r="BU371" s="39" t="str">
        <f t="shared" si="529"/>
        <v/>
      </c>
      <c r="BV371" s="39" t="str">
        <f t="shared" si="522"/>
        <v/>
      </c>
    </row>
    <row r="372" spans="1:74" ht="14.25" customHeight="1" x14ac:dyDescent="0.35">
      <c r="A372" s="293">
        <v>178</v>
      </c>
      <c r="B372" s="295"/>
      <c r="C372" s="297"/>
      <c r="D372" s="299"/>
      <c r="E372" s="301"/>
      <c r="F372" s="303"/>
      <c r="G372" s="288"/>
      <c r="H372" s="289"/>
      <c r="I372" s="290"/>
      <c r="J372" s="290"/>
      <c r="K372" s="291"/>
      <c r="L372" s="18"/>
      <c r="M372" s="285" t="str">
        <f t="shared" ref="M372" si="572">IF(COUNT(L372:L373)&lt;1,"",AVERAGE(L372:L373))</f>
        <v/>
      </c>
      <c r="N372" s="22"/>
      <c r="O372" s="285" t="str">
        <f t="shared" ref="O372" si="573">IF(COUNT(N372:N373)&lt;1,"",AVERAGE(N372:N373))</f>
        <v/>
      </c>
      <c r="P372" s="22"/>
      <c r="Q372" s="285" t="str">
        <f t="shared" ref="Q372" si="574">IF(COUNT(P372:P373)&lt;1,"",AVERAGE(P372:P373))</f>
        <v/>
      </c>
      <c r="R372" s="278" t="str">
        <f>IF($X$13="/28",IF(COUNT(P372:P373)&lt;=1,"",ABS(P372-P373)),IF($X$13="/90",IF(COUNT(#REF!)&lt;=1,"",ABS(#REF!-#REF!))))</f>
        <v/>
      </c>
      <c r="S372" s="278" t="str">
        <f>IF($X$13="/28",IF(Q372="","",IF(AVERAGE(Q368:Q373)&gt;=$W$13,ROUND(AVERAGE(Q368:Q373),1)&amp;" ≥ "&amp;$W$13&amp;" OK",ROUND(AVERAGE(Q368:Q373),1)&amp;" &lt; "&amp;$W$13&amp;" NC")),IF($X$13="/90",IF(#REF!="","",IF(AVERAGE(#REF!)&gt;=$W$13,ROUND(AVERAGE(#REF!),1)&amp;" ≥ "&amp;$W$13&amp;" OK",ROUND(AVERAGE(#REF!),1)&amp;" &lt; "&amp;$W$13&amp;" NC"))))</f>
        <v/>
      </c>
      <c r="T372" s="278" t="str">
        <f>IF($X$13="/28",IF(Q372="","",IF(Q372&gt;=$W$13-$S$12,ROUND((Q372),1)&amp;" ≥ "&amp;$W$13-$S$12&amp;" OK",ROUND((Q372),1)&amp;" &lt; "&amp;$W$13-$S$12&amp;" NC")),IF($X$13="/90",IF(#REF!="","",IF(#REF!&gt;=$W$13-$S$12,ROUND((#REF!),1)&amp;" ≥ "&amp;$W$13-$S$12&amp;" OK",ROUND((#REF!),1)&amp;" &lt; "&amp;$W$13-$S$12&amp;" NC"))))</f>
        <v/>
      </c>
      <c r="U372" s="14"/>
      <c r="V372" s="279"/>
      <c r="W372" s="280"/>
      <c r="X372" s="281"/>
      <c r="Y372" s="246"/>
      <c r="Z372" s="246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BP372" s="390" t="str">
        <f>IF($X$13="/28",IF(Q372="","",Q372),IF($X$13="/90",IF(#REF!="","",#REF!),"Falso"))</f>
        <v/>
      </c>
      <c r="BQ372" s="392" t="str">
        <f t="shared" si="554"/>
        <v/>
      </c>
      <c r="BS372" s="50" t="str">
        <f>Q726</f>
        <v/>
      </c>
      <c r="BT372" s="50" t="e">
        <f>#REF!</f>
        <v>#REF!</v>
      </c>
      <c r="BU372" s="39" t="str">
        <f t="shared" si="529"/>
        <v/>
      </c>
      <c r="BV372" s="39" t="str">
        <f t="shared" si="522"/>
        <v/>
      </c>
    </row>
    <row r="373" spans="1:74" ht="14.25" customHeight="1" x14ac:dyDescent="0.35">
      <c r="A373" s="294"/>
      <c r="B373" s="296"/>
      <c r="C373" s="298"/>
      <c r="D373" s="300"/>
      <c r="E373" s="302"/>
      <c r="F373" s="304"/>
      <c r="G373" s="276"/>
      <c r="H373" s="277"/>
      <c r="I373" s="290"/>
      <c r="J373" s="290"/>
      <c r="K373" s="291"/>
      <c r="L373" s="17"/>
      <c r="M373" s="286"/>
      <c r="N373" s="21"/>
      <c r="O373" s="286"/>
      <c r="P373" s="21"/>
      <c r="Q373" s="286"/>
      <c r="R373" s="248"/>
      <c r="S373" s="287"/>
      <c r="T373" s="248"/>
      <c r="U373" s="13"/>
      <c r="V373" s="282"/>
      <c r="W373" s="283"/>
      <c r="X373" s="284"/>
      <c r="Y373" s="245"/>
      <c r="Z373" s="245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BP373" s="391"/>
      <c r="BQ373" s="393"/>
      <c r="BS373" s="50" t="str">
        <f>Q728</f>
        <v/>
      </c>
      <c r="BT373" s="50" t="e">
        <f>#REF!</f>
        <v>#REF!</v>
      </c>
      <c r="BU373" s="39" t="str">
        <f t="shared" si="529"/>
        <v/>
      </c>
      <c r="BV373" s="39" t="str">
        <f t="shared" si="522"/>
        <v/>
      </c>
    </row>
    <row r="374" spans="1:74" ht="14.25" customHeight="1" x14ac:dyDescent="0.35">
      <c r="A374" s="293">
        <v>179</v>
      </c>
      <c r="B374" s="295"/>
      <c r="C374" s="297"/>
      <c r="D374" s="299"/>
      <c r="E374" s="301"/>
      <c r="F374" s="303"/>
      <c r="G374" s="288"/>
      <c r="H374" s="289"/>
      <c r="I374" s="290"/>
      <c r="J374" s="290"/>
      <c r="K374" s="291"/>
      <c r="L374" s="18"/>
      <c r="M374" s="285" t="str">
        <f t="shared" ref="M374" si="575">IF(COUNT(L374:L375)&lt;1,"",AVERAGE(L374:L375))</f>
        <v/>
      </c>
      <c r="N374" s="22"/>
      <c r="O374" s="285" t="str">
        <f t="shared" ref="O374" si="576">IF(COUNT(N374:N375)&lt;1,"",AVERAGE(N374:N375))</f>
        <v/>
      </c>
      <c r="P374" s="22"/>
      <c r="Q374" s="285" t="str">
        <f t="shared" ref="Q374" si="577">IF(COUNT(P374:P375)&lt;1,"",AVERAGE(P374:P375))</f>
        <v/>
      </c>
      <c r="R374" s="278" t="str">
        <f>IF($X$13="/28",IF(COUNT(P374:P375)&lt;=1,"",ABS(P374-P375)),IF($X$13="/90",IF(COUNT(#REF!)&lt;=1,"",ABS(#REF!-#REF!))))</f>
        <v/>
      </c>
      <c r="S374" s="278" t="str">
        <f>IF($X$13="/28",IF(Q374="","",IF(AVERAGE(Q370:Q375)&gt;=$W$13,ROUND(AVERAGE(Q370:Q375),1)&amp;" ≥ "&amp;$W$13&amp;" OK",ROUND(AVERAGE(Q370:Q375),1)&amp;" &lt; "&amp;$W$13&amp;" NC")),IF($X$13="/90",IF(#REF!="","",IF(AVERAGE(#REF!)&gt;=$W$13,ROUND(AVERAGE(#REF!),1)&amp;" ≥ "&amp;$W$13&amp;" OK",ROUND(AVERAGE(#REF!),1)&amp;" &lt; "&amp;$W$13&amp;" NC"))))</f>
        <v/>
      </c>
      <c r="T374" s="278" t="str">
        <f>IF($X$13="/28",IF(Q374="","",IF(Q374&gt;=$W$13-$S$12,ROUND((Q374),1)&amp;" ≥ "&amp;$W$13-$S$12&amp;" OK",ROUND((Q374),1)&amp;" &lt; "&amp;$W$13-$S$12&amp;" NC")),IF($X$13="/90",IF(#REF!="","",IF(#REF!&gt;=$W$13-$S$12,ROUND((#REF!),1)&amp;" ≥ "&amp;$W$13-$S$12&amp;" OK",ROUND((#REF!),1)&amp;" &lt; "&amp;$W$13-$S$12&amp;" NC"))))</f>
        <v/>
      </c>
      <c r="U374" s="14"/>
      <c r="V374" s="279"/>
      <c r="W374" s="280"/>
      <c r="X374" s="281"/>
      <c r="Y374" s="246"/>
      <c r="Z374" s="246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BP374" s="390" t="str">
        <f>IF($X$13="/28",IF(Q374="","",Q374),IF($X$13="/90",IF(#REF!="","",#REF!),"Falso"))</f>
        <v/>
      </c>
      <c r="BQ374" s="392" t="str">
        <f t="shared" si="558"/>
        <v/>
      </c>
      <c r="BS374" s="50" t="str">
        <f>Q730</f>
        <v/>
      </c>
      <c r="BT374" s="50" t="e">
        <f>#REF!</f>
        <v>#REF!</v>
      </c>
      <c r="BU374" s="39" t="str">
        <f t="shared" si="529"/>
        <v/>
      </c>
      <c r="BV374" s="39" t="str">
        <f t="shared" si="522"/>
        <v/>
      </c>
    </row>
    <row r="375" spans="1:74" ht="14.25" customHeight="1" x14ac:dyDescent="0.35">
      <c r="A375" s="294"/>
      <c r="B375" s="296"/>
      <c r="C375" s="298"/>
      <c r="D375" s="300"/>
      <c r="E375" s="302"/>
      <c r="F375" s="304"/>
      <c r="G375" s="276"/>
      <c r="H375" s="277"/>
      <c r="I375" s="290"/>
      <c r="J375" s="290"/>
      <c r="K375" s="291"/>
      <c r="L375" s="17"/>
      <c r="M375" s="286"/>
      <c r="N375" s="21"/>
      <c r="O375" s="286"/>
      <c r="P375" s="21"/>
      <c r="Q375" s="286"/>
      <c r="R375" s="248"/>
      <c r="S375" s="287"/>
      <c r="T375" s="248"/>
      <c r="U375" s="13"/>
      <c r="V375" s="282"/>
      <c r="W375" s="283"/>
      <c r="X375" s="284"/>
      <c r="Y375" s="245"/>
      <c r="Z375" s="245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BP375" s="391"/>
      <c r="BQ375" s="393"/>
      <c r="BS375" s="50" t="str">
        <f>Q732</f>
        <v/>
      </c>
      <c r="BT375" s="50" t="e">
        <f>#REF!</f>
        <v>#REF!</v>
      </c>
      <c r="BU375" s="39" t="str">
        <f t="shared" si="529"/>
        <v/>
      </c>
      <c r="BV375" s="39" t="str">
        <f t="shared" si="522"/>
        <v/>
      </c>
    </row>
    <row r="376" spans="1:74" ht="14.25" customHeight="1" x14ac:dyDescent="0.35">
      <c r="A376" s="293">
        <v>180</v>
      </c>
      <c r="B376" s="295"/>
      <c r="C376" s="297"/>
      <c r="D376" s="299"/>
      <c r="E376" s="301"/>
      <c r="F376" s="303"/>
      <c r="G376" s="288"/>
      <c r="H376" s="289"/>
      <c r="I376" s="290"/>
      <c r="J376" s="290"/>
      <c r="K376" s="291"/>
      <c r="L376" s="18"/>
      <c r="M376" s="285" t="str">
        <f t="shared" ref="M376" si="578">IF(COUNT(L376:L377)&lt;1,"",AVERAGE(L376:L377))</f>
        <v/>
      </c>
      <c r="N376" s="22"/>
      <c r="O376" s="285" t="str">
        <f t="shared" ref="O376" si="579">IF(COUNT(N376:N377)&lt;1,"",AVERAGE(N376:N377))</f>
        <v/>
      </c>
      <c r="P376" s="22"/>
      <c r="Q376" s="285" t="str">
        <f t="shared" ref="Q376" si="580">IF(COUNT(P376:P377)&lt;1,"",AVERAGE(P376:P377))</f>
        <v/>
      </c>
      <c r="R376" s="278" t="str">
        <f>IF($X$13="/28",IF(COUNT(P376:P377)&lt;=1,"",ABS(P376-P377)),IF($X$13="/90",IF(COUNT(#REF!)&lt;=1,"",ABS(#REF!-#REF!))))</f>
        <v/>
      </c>
      <c r="S376" s="278" t="str">
        <f>IF($X$13="/28",IF(Q376="","",IF(AVERAGE(Q372:Q377)&gt;=$W$13,ROUND(AVERAGE(Q372:Q377),1)&amp;" ≥ "&amp;$W$13&amp;" OK",ROUND(AVERAGE(Q372:Q377),1)&amp;" &lt; "&amp;$W$13&amp;" NC")),IF($X$13="/90",IF(#REF!="","",IF(AVERAGE(#REF!)&gt;=$W$13,ROUND(AVERAGE(#REF!),1)&amp;" ≥ "&amp;$W$13&amp;" OK",ROUND(AVERAGE(#REF!),1)&amp;" &lt; "&amp;$W$13&amp;" NC"))))</f>
        <v/>
      </c>
      <c r="T376" s="278" t="str">
        <f>IF($X$13="/28",IF(Q376="","",IF(Q376&gt;=$W$13-$S$12,ROUND((Q376),1)&amp;" ≥ "&amp;$W$13-$S$12&amp;" OK",ROUND((Q376),1)&amp;" &lt; "&amp;$W$13-$S$12&amp;" NC")),IF($X$13="/90",IF(#REF!="","",IF(#REF!&gt;=$W$13-$S$12,ROUND((#REF!),1)&amp;" ≥ "&amp;$W$13-$S$12&amp;" OK",ROUND((#REF!),1)&amp;" &lt; "&amp;$W$13-$S$12&amp;" NC"))))</f>
        <v/>
      </c>
      <c r="U376" s="14"/>
      <c r="V376" s="279"/>
      <c r="W376" s="280"/>
      <c r="X376" s="281"/>
      <c r="Y376" s="246"/>
      <c r="Z376" s="246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BP376" s="390" t="str">
        <f>IF($X$13="/28",IF(Q376="","",Q376),IF($X$13="/90",IF(#REF!="","",#REF!),"Falso"))</f>
        <v/>
      </c>
      <c r="BQ376" s="392" t="str">
        <f t="shared" si="562"/>
        <v/>
      </c>
      <c r="BS376" s="50" t="str">
        <f>Q734</f>
        <v/>
      </c>
      <c r="BT376" s="50" t="e">
        <f>#REF!</f>
        <v>#REF!</v>
      </c>
      <c r="BU376" s="39" t="str">
        <f t="shared" si="529"/>
        <v/>
      </c>
      <c r="BV376" s="39" t="str">
        <f t="shared" si="522"/>
        <v/>
      </c>
    </row>
    <row r="377" spans="1:74" ht="14.25" customHeight="1" thickBot="1" x14ac:dyDescent="0.4">
      <c r="A377" s="384"/>
      <c r="B377" s="385"/>
      <c r="C377" s="386"/>
      <c r="D377" s="387"/>
      <c r="E377" s="388"/>
      <c r="F377" s="389"/>
      <c r="G377" s="377"/>
      <c r="H377" s="378"/>
      <c r="I377" s="382"/>
      <c r="J377" s="382"/>
      <c r="K377" s="383"/>
      <c r="L377" s="19"/>
      <c r="M377" s="379"/>
      <c r="N377" s="23"/>
      <c r="O377" s="379"/>
      <c r="P377" s="23"/>
      <c r="Q377" s="379"/>
      <c r="R377" s="380"/>
      <c r="S377" s="381"/>
      <c r="T377" s="380"/>
      <c r="U377" s="15"/>
      <c r="V377" s="373"/>
      <c r="W377" s="374"/>
      <c r="X377" s="375"/>
      <c r="Y377" s="376"/>
      <c r="Z377" s="376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BP377" s="391"/>
      <c r="BQ377" s="393"/>
      <c r="BS377" s="50" t="str">
        <f>Q736</f>
        <v/>
      </c>
      <c r="BT377" s="50" t="e">
        <f>#REF!</f>
        <v>#REF!</v>
      </c>
      <c r="BU377" s="39" t="str">
        <f t="shared" si="529"/>
        <v/>
      </c>
      <c r="BV377" s="39" t="str">
        <f t="shared" si="522"/>
        <v/>
      </c>
    </row>
    <row r="378" spans="1:74" ht="14.25" customHeight="1" x14ac:dyDescent="0.35">
      <c r="A378" s="311">
        <v>181</v>
      </c>
      <c r="B378" s="312"/>
      <c r="C378" s="313"/>
      <c r="D378" s="314"/>
      <c r="E378" s="315"/>
      <c r="F378" s="353"/>
      <c r="G378" s="354"/>
      <c r="H378" s="355"/>
      <c r="I378" s="356"/>
      <c r="J378" s="356"/>
      <c r="K378" s="357"/>
      <c r="L378" s="16"/>
      <c r="M378" s="352" t="str">
        <f t="shared" ref="M378" si="581">IF(COUNT(L378:L379)&lt;1,"",AVERAGE(L378:L379))</f>
        <v/>
      </c>
      <c r="N378" s="20"/>
      <c r="O378" s="352" t="str">
        <f t="shared" ref="O378" si="582">IF(COUNT(N378:N379)&lt;1,"",AVERAGE(N378:N379))</f>
        <v/>
      </c>
      <c r="P378" s="20"/>
      <c r="Q378" s="352" t="str">
        <f t="shared" ref="Q378" si="583">IF(COUNT(P378:P379)&lt;1,"",AVERAGE(P378:P379))</f>
        <v/>
      </c>
      <c r="R378" s="247" t="str">
        <f>IF($X$13="/28",IF(COUNT(P378:P379)&lt;=1,"",ABS(P378-P379)),IF($X$13="/90",IF(COUNT(#REF!)&lt;=1,"",ABS(#REF!-#REF!))))</f>
        <v/>
      </c>
      <c r="S378" s="247" t="str">
        <f>IF($X$13="/28",IF(Q378="","",IF(AVERAGE(Q374:Q379)&gt;=$W$13,ROUND(AVERAGE(Q374:Q379),1)&amp;" ≥ "&amp;$W$13&amp;" OK",ROUND(AVERAGE(Q374:Q379),1)&amp;" &lt; "&amp;$W$13&amp;" NC")),IF($X$13="/90",IF(#REF!="","",IF(AVERAGE(#REF!)&gt;=$W$13,ROUND(AVERAGE(#REF!),1)&amp;" ≥ "&amp;$W$13&amp;" OK",ROUND(AVERAGE(#REF!),1)&amp;" &lt; "&amp;$W$13&amp;" NC"))))</f>
        <v/>
      </c>
      <c r="T378" s="247" t="str">
        <f>IF($X$13="/28",IF(Q378="","",IF(Q378&gt;=$W$13-$S$12,ROUND((Q378),1)&amp;" ≥ "&amp;$W$13-$S$12&amp;" OK",ROUND((Q378),1)&amp;" &lt; "&amp;$W$13-$S$12&amp;" NC")),IF($X$13="/90",IF(#REF!="","",IF(#REF!&gt;=$W$13-$S$12,ROUND((#REF!),1)&amp;" ≥ "&amp;$W$13-$S$12&amp;" OK",ROUND((#REF!),1)&amp;" &lt; "&amp;$W$13-$S$12&amp;" NC"))))</f>
        <v/>
      </c>
      <c r="U378" s="12"/>
      <c r="V378" s="349"/>
      <c r="W378" s="350"/>
      <c r="X378" s="351"/>
      <c r="Y378" s="244"/>
      <c r="Z378" s="244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BP378" s="390" t="str">
        <f>IF($X$13="/28",IF(Q378="","",Q378),IF($X$13="/90",IF(#REF!="","",#REF!),"Falso"))</f>
        <v/>
      </c>
      <c r="BQ378" s="392" t="str">
        <f t="shared" si="554"/>
        <v/>
      </c>
      <c r="BS378" s="50" t="str">
        <f>Q738</f>
        <v/>
      </c>
      <c r="BT378" s="50" t="e">
        <f>#REF!</f>
        <v>#REF!</v>
      </c>
      <c r="BU378" s="39" t="str">
        <f t="shared" si="529"/>
        <v/>
      </c>
      <c r="BV378" s="39" t="str">
        <f t="shared" si="522"/>
        <v/>
      </c>
    </row>
    <row r="379" spans="1:74" ht="14.25" customHeight="1" x14ac:dyDescent="0.35">
      <c r="A379" s="294"/>
      <c r="B379" s="296"/>
      <c r="C379" s="298"/>
      <c r="D379" s="300"/>
      <c r="E379" s="302"/>
      <c r="F379" s="304"/>
      <c r="G379" s="276"/>
      <c r="H379" s="277"/>
      <c r="I379" s="290"/>
      <c r="J379" s="290"/>
      <c r="K379" s="291"/>
      <c r="L379" s="17"/>
      <c r="M379" s="286"/>
      <c r="N379" s="21"/>
      <c r="O379" s="286"/>
      <c r="P379" s="21"/>
      <c r="Q379" s="286"/>
      <c r="R379" s="248"/>
      <c r="S379" s="248"/>
      <c r="T379" s="248"/>
      <c r="U379" s="13"/>
      <c r="V379" s="282"/>
      <c r="W379" s="283"/>
      <c r="X379" s="284"/>
      <c r="Y379" s="245"/>
      <c r="Z379" s="245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BP379" s="391"/>
      <c r="BQ379" s="393"/>
      <c r="BS379" s="50" t="str">
        <f>Q740</f>
        <v/>
      </c>
      <c r="BT379" s="50" t="e">
        <f>#REF!</f>
        <v>#REF!</v>
      </c>
      <c r="BU379" s="39" t="str">
        <f t="shared" si="529"/>
        <v/>
      </c>
      <c r="BV379" s="39" t="str">
        <f t="shared" si="522"/>
        <v/>
      </c>
    </row>
    <row r="380" spans="1:74" ht="14.25" customHeight="1" x14ac:dyDescent="0.35">
      <c r="A380" s="293">
        <v>182</v>
      </c>
      <c r="B380" s="295"/>
      <c r="C380" s="297"/>
      <c r="D380" s="299"/>
      <c r="E380" s="301"/>
      <c r="F380" s="303"/>
      <c r="G380" s="288"/>
      <c r="H380" s="289"/>
      <c r="I380" s="290"/>
      <c r="J380" s="290"/>
      <c r="K380" s="291"/>
      <c r="L380" s="18"/>
      <c r="M380" s="285" t="str">
        <f t="shared" ref="M380" si="584">IF(COUNT(L380:L381)&lt;1,"",AVERAGE(L380:L381))</f>
        <v/>
      </c>
      <c r="N380" s="22"/>
      <c r="O380" s="285" t="str">
        <f t="shared" ref="O380" si="585">IF(COUNT(N380:N381)&lt;1,"",AVERAGE(N380:N381))</f>
        <v/>
      </c>
      <c r="P380" s="22"/>
      <c r="Q380" s="285" t="str">
        <f t="shared" ref="Q380" si="586">IF(COUNT(P380:P381)&lt;1,"",AVERAGE(P380:P381))</f>
        <v/>
      </c>
      <c r="R380" s="278" t="str">
        <f>IF($X$13="/28",IF(COUNT(P380:P381)&lt;=1,"",ABS(P380-P381)),IF($X$13="/90",IF(COUNT(#REF!)&lt;=1,"",ABS(#REF!-#REF!))))</f>
        <v/>
      </c>
      <c r="S380" s="278" t="str">
        <f>IF($X$13="/28",IF(Q380="","",IF(AVERAGE(Q376:Q381)&gt;=$W$13,ROUND(AVERAGE(Q376:Q381),1)&amp;" ≥ "&amp;$W$13&amp;" OK",ROUND(AVERAGE(Q376:Q381),1)&amp;" &lt; "&amp;$W$13&amp;" NC")),IF($X$13="/90",IF(#REF!="","",IF(AVERAGE(#REF!)&gt;=$W$13,ROUND(AVERAGE(#REF!),1)&amp;" ≥ "&amp;$W$13&amp;" OK",ROUND(AVERAGE(#REF!),1)&amp;" &lt; "&amp;$W$13&amp;" NC"))))</f>
        <v/>
      </c>
      <c r="T380" s="278" t="str">
        <f>IF($X$13="/28",IF(Q380="","",IF(Q380&gt;=$W$13-$S$12,ROUND((Q380),1)&amp;" ≥ "&amp;$W$13-$S$12&amp;" OK",ROUND((Q380),1)&amp;" &lt; "&amp;$W$13-$S$12&amp;" NC")),IF($X$13="/90",IF(#REF!="","",IF(#REF!&gt;=$W$13-$S$12,ROUND((#REF!),1)&amp;" ≥ "&amp;$W$13-$S$12&amp;" OK",ROUND((#REF!),1)&amp;" &lt; "&amp;$W$13-$S$12&amp;" NC"))))</f>
        <v/>
      </c>
      <c r="U380" s="14"/>
      <c r="V380" s="279"/>
      <c r="W380" s="280"/>
      <c r="X380" s="281"/>
      <c r="Y380" s="246"/>
      <c r="Z380" s="246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BP380" s="390" t="str">
        <f>IF($X$13="/28",IF(Q380="","",Q380),IF($X$13="/90",IF(#REF!="","",#REF!),"Falso"))</f>
        <v/>
      </c>
      <c r="BQ380" s="392" t="str">
        <f t="shared" si="558"/>
        <v/>
      </c>
      <c r="BS380" s="50" t="str">
        <f>Q742</f>
        <v/>
      </c>
      <c r="BT380" s="50" t="e">
        <f>#REF!</f>
        <v>#REF!</v>
      </c>
      <c r="BU380" s="39" t="str">
        <f t="shared" si="529"/>
        <v/>
      </c>
      <c r="BV380" s="39" t="str">
        <f t="shared" si="522"/>
        <v/>
      </c>
    </row>
    <row r="381" spans="1:74" ht="14.25" customHeight="1" x14ac:dyDescent="0.35">
      <c r="A381" s="294"/>
      <c r="B381" s="296"/>
      <c r="C381" s="298"/>
      <c r="D381" s="300"/>
      <c r="E381" s="302"/>
      <c r="F381" s="304"/>
      <c r="G381" s="276"/>
      <c r="H381" s="277"/>
      <c r="I381" s="290"/>
      <c r="J381" s="290"/>
      <c r="K381" s="291"/>
      <c r="L381" s="17"/>
      <c r="M381" s="286"/>
      <c r="N381" s="21"/>
      <c r="O381" s="286"/>
      <c r="P381" s="21"/>
      <c r="Q381" s="286"/>
      <c r="R381" s="248"/>
      <c r="S381" s="248"/>
      <c r="T381" s="248"/>
      <c r="U381" s="13"/>
      <c r="V381" s="282"/>
      <c r="W381" s="283"/>
      <c r="X381" s="284"/>
      <c r="Y381" s="245"/>
      <c r="Z381" s="245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BP381" s="391"/>
      <c r="BQ381" s="393"/>
      <c r="BS381" s="50" t="str">
        <f>Q744</f>
        <v/>
      </c>
      <c r="BT381" s="50" t="e">
        <f>#REF!</f>
        <v>#REF!</v>
      </c>
      <c r="BU381" s="39" t="str">
        <f t="shared" si="529"/>
        <v/>
      </c>
      <c r="BV381" s="39" t="str">
        <f t="shared" si="522"/>
        <v/>
      </c>
    </row>
    <row r="382" spans="1:74" ht="14.25" customHeight="1" x14ac:dyDescent="0.35">
      <c r="A382" s="293">
        <v>183</v>
      </c>
      <c r="B382" s="295"/>
      <c r="C382" s="297"/>
      <c r="D382" s="299"/>
      <c r="E382" s="301"/>
      <c r="F382" s="303"/>
      <c r="G382" s="288"/>
      <c r="H382" s="289"/>
      <c r="I382" s="290"/>
      <c r="J382" s="290"/>
      <c r="K382" s="291"/>
      <c r="L382" s="18"/>
      <c r="M382" s="285" t="str">
        <f t="shared" ref="M382" si="587">IF(COUNT(L382:L383)&lt;1,"",AVERAGE(L382:L383))</f>
        <v/>
      </c>
      <c r="N382" s="22"/>
      <c r="O382" s="285" t="str">
        <f t="shared" ref="O382" si="588">IF(COUNT(N382:N383)&lt;1,"",AVERAGE(N382:N383))</f>
        <v/>
      </c>
      <c r="P382" s="22"/>
      <c r="Q382" s="285" t="str">
        <f t="shared" ref="Q382" si="589">IF(COUNT(P382:P383)&lt;1,"",AVERAGE(P382:P383))</f>
        <v/>
      </c>
      <c r="R382" s="278" t="str">
        <f>IF($X$13="/28",IF(COUNT(P382:P383)&lt;=1,"",ABS(P382-P383)),IF($X$13="/90",IF(COUNT(#REF!)&lt;=1,"",ABS(#REF!-#REF!))))</f>
        <v/>
      </c>
      <c r="S382" s="278" t="str">
        <f>IF($X$13="/28",IF(Q382="","",IF(AVERAGE(Q378:Q383)&gt;=$W$13,ROUND(AVERAGE(Q378:Q383),1)&amp;" ≥ "&amp;$W$13&amp;" OK",ROUND(AVERAGE(Q378:Q383),1)&amp;" &lt; "&amp;$W$13&amp;" NC")),IF($X$13="/90",IF(#REF!="","",IF(AVERAGE(#REF!)&gt;=$W$13,ROUND(AVERAGE(#REF!),1)&amp;" ≥ "&amp;$W$13&amp;" OK",ROUND(AVERAGE(#REF!),1)&amp;" &lt; "&amp;$W$13&amp;" NC"))))</f>
        <v/>
      </c>
      <c r="T382" s="278" t="str">
        <f>IF($X$13="/28",IF(Q382="","",IF(Q382&gt;=$W$13-$S$12,ROUND((Q382),1)&amp;" ≥ "&amp;$W$13-$S$12&amp;" OK",ROUND((Q382),1)&amp;" &lt; "&amp;$W$13-$S$12&amp;" NC")),IF($X$13="/90",IF(#REF!="","",IF(#REF!&gt;=$W$13-$S$12,ROUND((#REF!),1)&amp;" ≥ "&amp;$W$13-$S$12&amp;" OK",ROUND((#REF!),1)&amp;" &lt; "&amp;$W$13-$S$12&amp;" NC"))))</f>
        <v/>
      </c>
      <c r="U382" s="14"/>
      <c r="V382" s="279"/>
      <c r="W382" s="280"/>
      <c r="X382" s="281"/>
      <c r="Y382" s="246"/>
      <c r="Z382" s="246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BP382" s="390" t="str">
        <f>IF($X$13="/28",IF(Q382="","",Q382),IF($X$13="/90",IF(#REF!="","",#REF!),"Falso"))</f>
        <v/>
      </c>
      <c r="BQ382" s="392" t="str">
        <f t="shared" si="562"/>
        <v/>
      </c>
      <c r="BS382" s="50" t="str">
        <f>Q746</f>
        <v/>
      </c>
      <c r="BT382" s="50" t="e">
        <f>#REF!</f>
        <v>#REF!</v>
      </c>
      <c r="BU382" s="39" t="str">
        <f t="shared" si="529"/>
        <v/>
      </c>
      <c r="BV382" s="39" t="str">
        <f t="shared" si="522"/>
        <v/>
      </c>
    </row>
    <row r="383" spans="1:74" ht="14.25" customHeight="1" x14ac:dyDescent="0.35">
      <c r="A383" s="294"/>
      <c r="B383" s="296"/>
      <c r="C383" s="298"/>
      <c r="D383" s="300"/>
      <c r="E383" s="302"/>
      <c r="F383" s="304"/>
      <c r="G383" s="276"/>
      <c r="H383" s="277"/>
      <c r="I383" s="290"/>
      <c r="J383" s="290"/>
      <c r="K383" s="291"/>
      <c r="L383" s="17"/>
      <c r="M383" s="286"/>
      <c r="N383" s="21"/>
      <c r="O383" s="286"/>
      <c r="P383" s="21"/>
      <c r="Q383" s="286"/>
      <c r="R383" s="248"/>
      <c r="S383" s="287"/>
      <c r="T383" s="248"/>
      <c r="U383" s="13"/>
      <c r="V383" s="282"/>
      <c r="W383" s="283"/>
      <c r="X383" s="284"/>
      <c r="Y383" s="245"/>
      <c r="Z383" s="245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BP383" s="391"/>
      <c r="BQ383" s="393"/>
      <c r="BS383" s="50" t="str">
        <f>Q748</f>
        <v/>
      </c>
      <c r="BT383" s="50" t="e">
        <f>#REF!</f>
        <v>#REF!</v>
      </c>
      <c r="BU383" s="39" t="str">
        <f t="shared" si="529"/>
        <v/>
      </c>
      <c r="BV383" s="39" t="str">
        <f t="shared" si="522"/>
        <v/>
      </c>
    </row>
    <row r="384" spans="1:74" ht="14.25" customHeight="1" x14ac:dyDescent="0.35">
      <c r="A384" s="293">
        <v>184</v>
      </c>
      <c r="B384" s="295"/>
      <c r="C384" s="297"/>
      <c r="D384" s="299"/>
      <c r="E384" s="301"/>
      <c r="F384" s="303"/>
      <c r="G384" s="288"/>
      <c r="H384" s="289"/>
      <c r="I384" s="290"/>
      <c r="J384" s="290"/>
      <c r="K384" s="291"/>
      <c r="L384" s="18"/>
      <c r="M384" s="285" t="str">
        <f t="shared" ref="M384" si="590">IF(COUNT(L384:L385)&lt;1,"",AVERAGE(L384:L385))</f>
        <v/>
      </c>
      <c r="N384" s="22"/>
      <c r="O384" s="285" t="str">
        <f t="shared" ref="O384" si="591">IF(COUNT(N384:N385)&lt;1,"",AVERAGE(N384:N385))</f>
        <v/>
      </c>
      <c r="P384" s="22"/>
      <c r="Q384" s="285" t="str">
        <f t="shared" ref="Q384" si="592">IF(COUNT(P384:P385)&lt;1,"",AVERAGE(P384:P385))</f>
        <v/>
      </c>
      <c r="R384" s="278" t="str">
        <f>IF($X$13="/28",IF(COUNT(P384:P385)&lt;=1,"",ABS(P384-P385)),IF($X$13="/90",IF(COUNT(#REF!)&lt;=1,"",ABS(#REF!-#REF!))))</f>
        <v/>
      </c>
      <c r="S384" s="278" t="str">
        <f>IF($X$13="/28",IF(Q384="","",IF(AVERAGE(Q380:Q385)&gt;=$W$13,ROUND(AVERAGE(Q380:Q385),1)&amp;" ≥ "&amp;$W$13&amp;" OK",ROUND(AVERAGE(Q380:Q385),1)&amp;" &lt; "&amp;$W$13&amp;" NC")),IF($X$13="/90",IF(#REF!="","",IF(AVERAGE(#REF!)&gt;=$W$13,ROUND(AVERAGE(#REF!),1)&amp;" ≥ "&amp;$W$13&amp;" OK",ROUND(AVERAGE(#REF!),1)&amp;" &lt; "&amp;$W$13&amp;" NC"))))</f>
        <v/>
      </c>
      <c r="T384" s="278" t="str">
        <f>IF($X$13="/28",IF(Q384="","",IF(Q384&gt;=$W$13-$S$12,ROUND((Q384),1)&amp;" ≥ "&amp;$W$13-$S$12&amp;" OK",ROUND((Q384),1)&amp;" &lt; "&amp;$W$13-$S$12&amp;" NC")),IF($X$13="/90",IF(#REF!="","",IF(#REF!&gt;=$W$13-$S$12,ROUND((#REF!),1)&amp;" ≥ "&amp;$W$13-$S$12&amp;" OK",ROUND((#REF!),1)&amp;" &lt; "&amp;$W$13-$S$12&amp;" NC"))))</f>
        <v/>
      </c>
      <c r="U384" s="14"/>
      <c r="V384" s="279"/>
      <c r="W384" s="280"/>
      <c r="X384" s="281"/>
      <c r="Y384" s="246"/>
      <c r="Z384" s="246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BP384" s="390" t="str">
        <f>IF($X$13="/28",IF(Q384="","",Q384),IF($X$13="/90",IF(#REF!="","",#REF!),"Falso"))</f>
        <v/>
      </c>
      <c r="BQ384" s="392" t="str">
        <f t="shared" si="554"/>
        <v/>
      </c>
      <c r="BS384" s="50" t="str">
        <f>Q750</f>
        <v/>
      </c>
      <c r="BT384" s="50" t="e">
        <f>#REF!</f>
        <v>#REF!</v>
      </c>
      <c r="BU384" s="39" t="str">
        <f t="shared" si="529"/>
        <v/>
      </c>
      <c r="BV384" s="39" t="str">
        <f t="shared" si="522"/>
        <v/>
      </c>
    </row>
    <row r="385" spans="1:74" ht="14.25" customHeight="1" x14ac:dyDescent="0.35">
      <c r="A385" s="294"/>
      <c r="B385" s="296"/>
      <c r="C385" s="298"/>
      <c r="D385" s="300"/>
      <c r="E385" s="302"/>
      <c r="F385" s="304"/>
      <c r="G385" s="276"/>
      <c r="H385" s="277"/>
      <c r="I385" s="290"/>
      <c r="J385" s="290"/>
      <c r="K385" s="291"/>
      <c r="L385" s="17"/>
      <c r="M385" s="286"/>
      <c r="N385" s="21"/>
      <c r="O385" s="286"/>
      <c r="P385" s="21"/>
      <c r="Q385" s="286"/>
      <c r="R385" s="248"/>
      <c r="S385" s="287"/>
      <c r="T385" s="248"/>
      <c r="U385" s="13"/>
      <c r="V385" s="282"/>
      <c r="W385" s="283"/>
      <c r="X385" s="284"/>
      <c r="Y385" s="245"/>
      <c r="Z385" s="245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BP385" s="391"/>
      <c r="BQ385" s="393"/>
      <c r="BS385" s="50" t="str">
        <f>Q752</f>
        <v/>
      </c>
      <c r="BT385" s="50" t="e">
        <f>#REF!</f>
        <v>#REF!</v>
      </c>
      <c r="BU385" s="39" t="str">
        <f t="shared" si="529"/>
        <v/>
      </c>
      <c r="BV385" s="39" t="str">
        <f t="shared" si="522"/>
        <v/>
      </c>
    </row>
    <row r="386" spans="1:74" ht="14.25" customHeight="1" x14ac:dyDescent="0.35">
      <c r="A386" s="293">
        <v>185</v>
      </c>
      <c r="B386" s="295"/>
      <c r="C386" s="297"/>
      <c r="D386" s="299"/>
      <c r="E386" s="301"/>
      <c r="F386" s="303"/>
      <c r="G386" s="288"/>
      <c r="H386" s="289"/>
      <c r="I386" s="290"/>
      <c r="J386" s="290"/>
      <c r="K386" s="291"/>
      <c r="L386" s="18"/>
      <c r="M386" s="285" t="str">
        <f t="shared" ref="M386" si="593">IF(COUNT(L386:L387)&lt;1,"",AVERAGE(L386:L387))</f>
        <v/>
      </c>
      <c r="N386" s="22"/>
      <c r="O386" s="285" t="str">
        <f t="shared" ref="O386" si="594">IF(COUNT(N386:N387)&lt;1,"",AVERAGE(N386:N387))</f>
        <v/>
      </c>
      <c r="P386" s="22"/>
      <c r="Q386" s="285" t="str">
        <f t="shared" ref="Q386" si="595">IF(COUNT(P386:P387)&lt;1,"",AVERAGE(P386:P387))</f>
        <v/>
      </c>
      <c r="R386" s="278" t="str">
        <f>IF($X$13="/28",IF(COUNT(P386:P387)&lt;=1,"",ABS(P386-P387)),IF($X$13="/90",IF(COUNT(#REF!)&lt;=1,"",ABS(#REF!-#REF!))))</f>
        <v/>
      </c>
      <c r="S386" s="278" t="str">
        <f>IF($X$13="/28",IF(Q386="","",IF(AVERAGE(Q382:Q387)&gt;=$W$13,ROUND(AVERAGE(Q382:Q387),1)&amp;" ≥ "&amp;$W$13&amp;" OK",ROUND(AVERAGE(Q382:Q387),1)&amp;" &lt; "&amp;$W$13&amp;" NC")),IF($X$13="/90",IF(#REF!="","",IF(AVERAGE(#REF!)&gt;=$W$13,ROUND(AVERAGE(#REF!),1)&amp;" ≥ "&amp;$W$13&amp;" OK",ROUND(AVERAGE(#REF!),1)&amp;" &lt; "&amp;$W$13&amp;" NC"))))</f>
        <v/>
      </c>
      <c r="T386" s="278" t="str">
        <f>IF($X$13="/28",IF(Q386="","",IF(Q386&gt;=$W$13-$S$12,ROUND((Q386),1)&amp;" ≥ "&amp;$W$13-$S$12&amp;" OK",ROUND((Q386),1)&amp;" &lt; "&amp;$W$13-$S$12&amp;" NC")),IF($X$13="/90",IF(#REF!="","",IF(#REF!&gt;=$W$13-$S$12,ROUND((#REF!),1)&amp;" ≥ "&amp;$W$13-$S$12&amp;" OK",ROUND((#REF!),1)&amp;" &lt; "&amp;$W$13-$S$12&amp;" NC"))))</f>
        <v/>
      </c>
      <c r="U386" s="14"/>
      <c r="V386" s="279"/>
      <c r="W386" s="280"/>
      <c r="X386" s="281"/>
      <c r="Y386" s="246"/>
      <c r="Z386" s="246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BP386" s="390" t="str">
        <f>IF($X$13="/28",IF(Q386="","",Q386),IF($X$13="/90",IF(#REF!="","",#REF!),"Falso"))</f>
        <v/>
      </c>
      <c r="BQ386" s="392" t="str">
        <f t="shared" si="558"/>
        <v/>
      </c>
      <c r="BS386" s="50" t="str">
        <f>Q754</f>
        <v/>
      </c>
      <c r="BT386" s="50" t="e">
        <f>#REF!</f>
        <v>#REF!</v>
      </c>
      <c r="BU386" s="39" t="str">
        <f t="shared" si="529"/>
        <v/>
      </c>
      <c r="BV386" s="39" t="str">
        <f t="shared" si="522"/>
        <v/>
      </c>
    </row>
    <row r="387" spans="1:74" ht="14.25" customHeight="1" x14ac:dyDescent="0.35">
      <c r="A387" s="294"/>
      <c r="B387" s="296"/>
      <c r="C387" s="298"/>
      <c r="D387" s="300"/>
      <c r="E387" s="302"/>
      <c r="F387" s="304"/>
      <c r="G387" s="276"/>
      <c r="H387" s="277"/>
      <c r="I387" s="290"/>
      <c r="J387" s="290"/>
      <c r="K387" s="291"/>
      <c r="L387" s="17"/>
      <c r="M387" s="286"/>
      <c r="N387" s="21"/>
      <c r="O387" s="286"/>
      <c r="P387" s="21"/>
      <c r="Q387" s="286"/>
      <c r="R387" s="248"/>
      <c r="S387" s="287"/>
      <c r="T387" s="248"/>
      <c r="U387" s="13"/>
      <c r="V387" s="282"/>
      <c r="W387" s="283"/>
      <c r="X387" s="284"/>
      <c r="Y387" s="245"/>
      <c r="Z387" s="245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BP387" s="391"/>
      <c r="BQ387" s="393"/>
      <c r="BS387" s="50" t="str">
        <f>Q756</f>
        <v/>
      </c>
      <c r="BT387" s="50" t="e">
        <f>#REF!</f>
        <v>#REF!</v>
      </c>
      <c r="BU387" s="39" t="str">
        <f t="shared" si="529"/>
        <v/>
      </c>
      <c r="BV387" s="39" t="str">
        <f t="shared" si="522"/>
        <v/>
      </c>
    </row>
    <row r="388" spans="1:74" ht="14.25" customHeight="1" x14ac:dyDescent="0.35">
      <c r="A388" s="293">
        <v>186</v>
      </c>
      <c r="B388" s="295"/>
      <c r="C388" s="297"/>
      <c r="D388" s="299"/>
      <c r="E388" s="301"/>
      <c r="F388" s="303"/>
      <c r="G388" s="288"/>
      <c r="H388" s="289"/>
      <c r="I388" s="290"/>
      <c r="J388" s="290"/>
      <c r="K388" s="291"/>
      <c r="L388" s="18"/>
      <c r="M388" s="285" t="str">
        <f t="shared" ref="M388" si="596">IF(COUNT(L388:L389)&lt;1,"",AVERAGE(L388:L389))</f>
        <v/>
      </c>
      <c r="N388" s="22"/>
      <c r="O388" s="285" t="str">
        <f t="shared" ref="O388" si="597">IF(COUNT(N388:N389)&lt;1,"",AVERAGE(N388:N389))</f>
        <v/>
      </c>
      <c r="P388" s="22"/>
      <c r="Q388" s="285" t="str">
        <f t="shared" ref="Q388" si="598">IF(COUNT(P388:P389)&lt;1,"",AVERAGE(P388:P389))</f>
        <v/>
      </c>
      <c r="R388" s="278" t="str">
        <f>IF($X$13="/28",IF(COUNT(P388:P389)&lt;=1,"",ABS(P388-P389)),IF($X$13="/90",IF(COUNT(#REF!)&lt;=1,"",ABS(#REF!-#REF!))))</f>
        <v/>
      </c>
      <c r="S388" s="278" t="str">
        <f>IF($X$13="/28",IF(Q388="","",IF(AVERAGE(Q384:Q389)&gt;=$W$13,ROUND(AVERAGE(Q384:Q389),1)&amp;" ≥ "&amp;$W$13&amp;" OK",ROUND(AVERAGE(Q384:Q389),1)&amp;" &lt; "&amp;$W$13&amp;" NC")),IF($X$13="/90",IF(#REF!="","",IF(AVERAGE(#REF!)&gt;=$W$13,ROUND(AVERAGE(#REF!),1)&amp;" ≥ "&amp;$W$13&amp;" OK",ROUND(AVERAGE(#REF!),1)&amp;" &lt; "&amp;$W$13&amp;" NC"))))</f>
        <v/>
      </c>
      <c r="T388" s="278" t="str">
        <f>IF($X$13="/28",IF(Q388="","",IF(Q388&gt;=$W$13-$S$12,ROUND((Q388),1)&amp;" ≥ "&amp;$W$13-$S$12&amp;" OK",ROUND((Q388),1)&amp;" &lt; "&amp;$W$13-$S$12&amp;" NC")),IF($X$13="/90",IF(#REF!="","",IF(#REF!&gt;=$W$13-$S$12,ROUND((#REF!),1)&amp;" ≥ "&amp;$W$13-$S$12&amp;" OK",ROUND((#REF!),1)&amp;" &lt; "&amp;$W$13-$S$12&amp;" NC"))))</f>
        <v/>
      </c>
      <c r="U388" s="14"/>
      <c r="V388" s="279"/>
      <c r="W388" s="280"/>
      <c r="X388" s="281"/>
      <c r="Y388" s="246"/>
      <c r="Z388" s="246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BP388" s="390" t="str">
        <f>IF($X$13="/28",IF(Q388="","",Q388),IF($X$13="/90",IF(#REF!="","",#REF!),"Falso"))</f>
        <v/>
      </c>
      <c r="BQ388" s="392" t="str">
        <f t="shared" si="562"/>
        <v/>
      </c>
      <c r="BS388" s="50" t="str">
        <f>Q758</f>
        <v/>
      </c>
      <c r="BT388" s="50" t="e">
        <f>#REF!</f>
        <v>#REF!</v>
      </c>
      <c r="BU388" s="39" t="str">
        <f t="shared" si="529"/>
        <v/>
      </c>
      <c r="BV388" s="39" t="str">
        <f t="shared" si="522"/>
        <v/>
      </c>
    </row>
    <row r="389" spans="1:74" ht="14.25" customHeight="1" x14ac:dyDescent="0.35">
      <c r="A389" s="294"/>
      <c r="B389" s="296"/>
      <c r="C389" s="298"/>
      <c r="D389" s="300"/>
      <c r="E389" s="302"/>
      <c r="F389" s="304"/>
      <c r="G389" s="276"/>
      <c r="H389" s="277"/>
      <c r="I389" s="290"/>
      <c r="J389" s="290"/>
      <c r="K389" s="291"/>
      <c r="L389" s="17"/>
      <c r="M389" s="286"/>
      <c r="N389" s="21"/>
      <c r="O389" s="286"/>
      <c r="P389" s="21"/>
      <c r="Q389" s="286"/>
      <c r="R389" s="248"/>
      <c r="S389" s="287"/>
      <c r="T389" s="248"/>
      <c r="U389" s="13"/>
      <c r="V389" s="282"/>
      <c r="W389" s="283"/>
      <c r="X389" s="284"/>
      <c r="Y389" s="245"/>
      <c r="Z389" s="245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BP389" s="391"/>
      <c r="BQ389" s="393"/>
      <c r="BS389" s="50" t="str">
        <f>Q760</f>
        <v/>
      </c>
      <c r="BT389" s="50" t="e">
        <f>#REF!</f>
        <v>#REF!</v>
      </c>
      <c r="BU389" s="39" t="str">
        <f t="shared" si="529"/>
        <v/>
      </c>
      <c r="BV389" s="39" t="str">
        <f t="shared" si="522"/>
        <v/>
      </c>
    </row>
    <row r="390" spans="1:74" ht="14.25" customHeight="1" x14ac:dyDescent="0.35">
      <c r="A390" s="293">
        <v>187</v>
      </c>
      <c r="B390" s="295"/>
      <c r="C390" s="297"/>
      <c r="D390" s="299"/>
      <c r="E390" s="301"/>
      <c r="F390" s="303"/>
      <c r="G390" s="288"/>
      <c r="H390" s="289"/>
      <c r="I390" s="290"/>
      <c r="J390" s="290"/>
      <c r="K390" s="291"/>
      <c r="L390" s="18"/>
      <c r="M390" s="285" t="str">
        <f t="shared" ref="M390" si="599">IF(COUNT(L390:L391)&lt;1,"",AVERAGE(L390:L391))</f>
        <v/>
      </c>
      <c r="N390" s="22"/>
      <c r="O390" s="285" t="str">
        <f t="shared" ref="O390" si="600">IF(COUNT(N390:N391)&lt;1,"",AVERAGE(N390:N391))</f>
        <v/>
      </c>
      <c r="P390" s="22"/>
      <c r="Q390" s="285" t="str">
        <f t="shared" ref="Q390" si="601">IF(COUNT(P390:P391)&lt;1,"",AVERAGE(P390:P391))</f>
        <v/>
      </c>
      <c r="R390" s="278" t="str">
        <f>IF($X$13="/28",IF(COUNT(P390:P391)&lt;=1,"",ABS(P390-P391)),IF($X$13="/90",IF(COUNT(#REF!)&lt;=1,"",ABS(#REF!-#REF!))))</f>
        <v/>
      </c>
      <c r="S390" s="278" t="str">
        <f>IF($X$13="/28",IF(Q390="","",IF(AVERAGE(Q386:Q391)&gt;=$W$13,ROUND(AVERAGE(Q386:Q391),1)&amp;" ≥ "&amp;$W$13&amp;" OK",ROUND(AVERAGE(Q386:Q391),1)&amp;" &lt; "&amp;$W$13&amp;" NC")),IF($X$13="/90",IF(#REF!="","",IF(AVERAGE(#REF!)&gt;=$W$13,ROUND(AVERAGE(#REF!),1)&amp;" ≥ "&amp;$W$13&amp;" OK",ROUND(AVERAGE(#REF!),1)&amp;" &lt; "&amp;$W$13&amp;" NC"))))</f>
        <v/>
      </c>
      <c r="T390" s="278" t="str">
        <f>IF($X$13="/28",IF(Q390="","",IF(Q390&gt;=$W$13-$S$12,ROUND((Q390),1)&amp;" ≥ "&amp;$W$13-$S$12&amp;" OK",ROUND((Q390),1)&amp;" &lt; "&amp;$W$13-$S$12&amp;" NC")),IF($X$13="/90",IF(#REF!="","",IF(#REF!&gt;=$W$13-$S$12,ROUND((#REF!),1)&amp;" ≥ "&amp;$W$13-$S$12&amp;" OK",ROUND((#REF!),1)&amp;" &lt; "&amp;$W$13-$S$12&amp;" NC"))))</f>
        <v/>
      </c>
      <c r="U390" s="14"/>
      <c r="V390" s="279"/>
      <c r="W390" s="280"/>
      <c r="X390" s="281"/>
      <c r="Y390" s="246"/>
      <c r="Z390" s="246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BP390" s="390" t="str">
        <f>IF($X$13="/28",IF(Q390="","",Q390),IF($X$13="/90",IF(#REF!="","",#REF!),"Falso"))</f>
        <v/>
      </c>
      <c r="BQ390" s="392" t="str">
        <f t="shared" si="554"/>
        <v/>
      </c>
      <c r="BS390" s="50" t="str">
        <f>Q762</f>
        <v/>
      </c>
      <c r="BT390" s="50" t="e">
        <f>#REF!</f>
        <v>#REF!</v>
      </c>
      <c r="BU390" s="39" t="str">
        <f t="shared" si="529"/>
        <v/>
      </c>
      <c r="BV390" s="39" t="str">
        <f t="shared" si="522"/>
        <v/>
      </c>
    </row>
    <row r="391" spans="1:74" ht="14.25" customHeight="1" x14ac:dyDescent="0.35">
      <c r="A391" s="294"/>
      <c r="B391" s="296"/>
      <c r="C391" s="298"/>
      <c r="D391" s="300"/>
      <c r="E391" s="302"/>
      <c r="F391" s="304"/>
      <c r="G391" s="276"/>
      <c r="H391" s="277"/>
      <c r="I391" s="290"/>
      <c r="J391" s="290"/>
      <c r="K391" s="291"/>
      <c r="L391" s="17"/>
      <c r="M391" s="286"/>
      <c r="N391" s="21"/>
      <c r="O391" s="286"/>
      <c r="P391" s="21"/>
      <c r="Q391" s="286"/>
      <c r="R391" s="248"/>
      <c r="S391" s="287"/>
      <c r="T391" s="248"/>
      <c r="U391" s="13"/>
      <c r="V391" s="282"/>
      <c r="W391" s="283"/>
      <c r="X391" s="284"/>
      <c r="Y391" s="245"/>
      <c r="Z391" s="245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BP391" s="391"/>
      <c r="BQ391" s="393"/>
      <c r="BS391" s="50" t="str">
        <f>Q764</f>
        <v/>
      </c>
      <c r="BT391" s="50" t="e">
        <f>#REF!</f>
        <v>#REF!</v>
      </c>
      <c r="BU391" s="39" t="str">
        <f t="shared" si="529"/>
        <v/>
      </c>
      <c r="BV391" s="39" t="str">
        <f t="shared" si="522"/>
        <v/>
      </c>
    </row>
    <row r="392" spans="1:74" ht="14.25" customHeight="1" x14ac:dyDescent="0.35">
      <c r="A392" s="293">
        <v>188</v>
      </c>
      <c r="B392" s="295"/>
      <c r="C392" s="297"/>
      <c r="D392" s="299"/>
      <c r="E392" s="301"/>
      <c r="F392" s="303"/>
      <c r="G392" s="288"/>
      <c r="H392" s="289"/>
      <c r="I392" s="290"/>
      <c r="J392" s="290"/>
      <c r="K392" s="291"/>
      <c r="L392" s="18"/>
      <c r="M392" s="285" t="str">
        <f t="shared" ref="M392" si="602">IF(COUNT(L392:L393)&lt;1,"",AVERAGE(L392:L393))</f>
        <v/>
      </c>
      <c r="N392" s="22"/>
      <c r="O392" s="285" t="str">
        <f t="shared" ref="O392" si="603">IF(COUNT(N392:N393)&lt;1,"",AVERAGE(N392:N393))</f>
        <v/>
      </c>
      <c r="P392" s="22"/>
      <c r="Q392" s="285" t="str">
        <f t="shared" ref="Q392" si="604">IF(COUNT(P392:P393)&lt;1,"",AVERAGE(P392:P393))</f>
        <v/>
      </c>
      <c r="R392" s="278" t="str">
        <f>IF($X$13="/28",IF(COUNT(P392:P393)&lt;=1,"",ABS(P392-P393)),IF($X$13="/90",IF(COUNT(#REF!)&lt;=1,"",ABS(#REF!-#REF!))))</f>
        <v/>
      </c>
      <c r="S392" s="278" t="str">
        <f>IF($X$13="/28",IF(Q392="","",IF(AVERAGE(Q388:Q393)&gt;=$W$13,ROUND(AVERAGE(Q388:Q393),1)&amp;" ≥ "&amp;$W$13&amp;" OK",ROUND(AVERAGE(Q388:Q393),1)&amp;" &lt; "&amp;$W$13&amp;" NC")),IF($X$13="/90",IF(#REF!="","",IF(AVERAGE(#REF!)&gt;=$W$13,ROUND(AVERAGE(#REF!),1)&amp;" ≥ "&amp;$W$13&amp;" OK",ROUND(AVERAGE(#REF!),1)&amp;" &lt; "&amp;$W$13&amp;" NC"))))</f>
        <v/>
      </c>
      <c r="T392" s="278" t="str">
        <f>IF($X$13="/28",IF(Q392="","",IF(Q392&gt;=$W$13-$S$12,ROUND((Q392),1)&amp;" ≥ "&amp;$W$13-$S$12&amp;" OK",ROUND((Q392),1)&amp;" &lt; "&amp;$W$13-$S$12&amp;" NC")),IF($X$13="/90",IF(#REF!="","",IF(#REF!&gt;=$W$13-$S$12,ROUND((#REF!),1)&amp;" ≥ "&amp;$W$13-$S$12&amp;" OK",ROUND((#REF!),1)&amp;" &lt; "&amp;$W$13-$S$12&amp;" NC"))))</f>
        <v/>
      </c>
      <c r="U392" s="14"/>
      <c r="V392" s="279"/>
      <c r="W392" s="280"/>
      <c r="X392" s="281"/>
      <c r="Y392" s="246"/>
      <c r="Z392" s="246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BP392" s="390" t="str">
        <f>IF($X$13="/28",IF(Q392="","",Q392),IF($X$13="/90",IF(#REF!="","",#REF!),"Falso"))</f>
        <v/>
      </c>
      <c r="BQ392" s="392" t="str">
        <f t="shared" si="558"/>
        <v/>
      </c>
      <c r="BS392" s="50" t="str">
        <f>Q766</f>
        <v/>
      </c>
      <c r="BT392" s="50" t="e">
        <f>#REF!</f>
        <v>#REF!</v>
      </c>
      <c r="BU392" s="39" t="str">
        <f t="shared" si="529"/>
        <v/>
      </c>
      <c r="BV392" s="39" t="str">
        <f t="shared" si="522"/>
        <v/>
      </c>
    </row>
    <row r="393" spans="1:74" ht="14.25" customHeight="1" x14ac:dyDescent="0.35">
      <c r="A393" s="294"/>
      <c r="B393" s="296"/>
      <c r="C393" s="298"/>
      <c r="D393" s="300"/>
      <c r="E393" s="302"/>
      <c r="F393" s="304"/>
      <c r="G393" s="276"/>
      <c r="H393" s="277"/>
      <c r="I393" s="290"/>
      <c r="J393" s="290"/>
      <c r="K393" s="291"/>
      <c r="L393" s="17"/>
      <c r="M393" s="286"/>
      <c r="N393" s="21"/>
      <c r="O393" s="286"/>
      <c r="P393" s="21"/>
      <c r="Q393" s="286"/>
      <c r="R393" s="248"/>
      <c r="S393" s="287"/>
      <c r="T393" s="248"/>
      <c r="U393" s="13"/>
      <c r="V393" s="282"/>
      <c r="W393" s="283"/>
      <c r="X393" s="284"/>
      <c r="Y393" s="245"/>
      <c r="Z393" s="245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BP393" s="391"/>
      <c r="BQ393" s="393"/>
      <c r="BS393" s="50" t="str">
        <f>Q768</f>
        <v/>
      </c>
      <c r="BT393" s="50" t="e">
        <f>#REF!</f>
        <v>#REF!</v>
      </c>
      <c r="BU393" s="39" t="str">
        <f t="shared" si="529"/>
        <v/>
      </c>
      <c r="BV393" s="39" t="str">
        <f t="shared" si="522"/>
        <v/>
      </c>
    </row>
    <row r="394" spans="1:74" ht="14.25" customHeight="1" x14ac:dyDescent="0.35">
      <c r="A394" s="293">
        <v>189</v>
      </c>
      <c r="B394" s="295"/>
      <c r="C394" s="297"/>
      <c r="D394" s="299"/>
      <c r="E394" s="301"/>
      <c r="F394" s="303"/>
      <c r="G394" s="288"/>
      <c r="H394" s="289"/>
      <c r="I394" s="290"/>
      <c r="J394" s="290"/>
      <c r="K394" s="291"/>
      <c r="L394" s="18"/>
      <c r="M394" s="285" t="str">
        <f t="shared" ref="M394" si="605">IF(COUNT(L394:L395)&lt;1,"",AVERAGE(L394:L395))</f>
        <v/>
      </c>
      <c r="N394" s="22"/>
      <c r="O394" s="285" t="str">
        <f t="shared" ref="O394" si="606">IF(COUNT(N394:N395)&lt;1,"",AVERAGE(N394:N395))</f>
        <v/>
      </c>
      <c r="P394" s="22"/>
      <c r="Q394" s="285" t="str">
        <f t="shared" ref="Q394" si="607">IF(COUNT(P394:P395)&lt;1,"",AVERAGE(P394:P395))</f>
        <v/>
      </c>
      <c r="R394" s="278" t="str">
        <f>IF($X$13="/28",IF(COUNT(P394:P395)&lt;=1,"",ABS(P394-P395)),IF($X$13="/90",IF(COUNT(#REF!)&lt;=1,"",ABS(#REF!-#REF!))))</f>
        <v/>
      </c>
      <c r="S394" s="278" t="str">
        <f>IF($X$13="/28",IF(Q394="","",IF(AVERAGE(Q390:Q395)&gt;=$W$13,ROUND(AVERAGE(Q390:Q395),1)&amp;" ≥ "&amp;$W$13&amp;" OK",ROUND(AVERAGE(Q390:Q395),1)&amp;" &lt; "&amp;$W$13&amp;" NC")),IF($X$13="/90",IF(#REF!="","",IF(AVERAGE(#REF!)&gt;=$W$13,ROUND(AVERAGE(#REF!),1)&amp;" ≥ "&amp;$W$13&amp;" OK",ROUND(AVERAGE(#REF!),1)&amp;" &lt; "&amp;$W$13&amp;" NC"))))</f>
        <v/>
      </c>
      <c r="T394" s="278" t="str">
        <f>IF($X$13="/28",IF(Q394="","",IF(Q394&gt;=$W$13-$S$12,ROUND((Q394),1)&amp;" ≥ "&amp;$W$13-$S$12&amp;" OK",ROUND((Q394),1)&amp;" &lt; "&amp;$W$13-$S$12&amp;" NC")),IF($X$13="/90",IF(#REF!="","",IF(#REF!&gt;=$W$13-$S$12,ROUND((#REF!),1)&amp;" ≥ "&amp;$W$13-$S$12&amp;" OK",ROUND((#REF!),1)&amp;" &lt; "&amp;$W$13-$S$12&amp;" NC"))))</f>
        <v/>
      </c>
      <c r="U394" s="14"/>
      <c r="V394" s="279"/>
      <c r="W394" s="280"/>
      <c r="X394" s="281"/>
      <c r="Y394" s="246"/>
      <c r="Z394" s="246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BP394" s="390" t="str">
        <f>IF($X$13="/28",IF(Q394="","",Q394),IF($X$13="/90",IF(#REF!="","",#REF!),"Falso"))</f>
        <v/>
      </c>
      <c r="BQ394" s="392" t="str">
        <f t="shared" si="562"/>
        <v/>
      </c>
      <c r="BS394" s="50" t="str">
        <f>Q770</f>
        <v/>
      </c>
      <c r="BT394" s="50" t="e">
        <f>#REF!</f>
        <v>#REF!</v>
      </c>
      <c r="BU394" s="39" t="str">
        <f t="shared" si="529"/>
        <v/>
      </c>
      <c r="BV394" s="39" t="str">
        <f t="shared" si="522"/>
        <v/>
      </c>
    </row>
    <row r="395" spans="1:74" ht="14.25" customHeight="1" x14ac:dyDescent="0.35">
      <c r="A395" s="294"/>
      <c r="B395" s="296"/>
      <c r="C395" s="298"/>
      <c r="D395" s="300"/>
      <c r="E395" s="302"/>
      <c r="F395" s="304"/>
      <c r="G395" s="276"/>
      <c r="H395" s="277"/>
      <c r="I395" s="290"/>
      <c r="J395" s="290"/>
      <c r="K395" s="291"/>
      <c r="L395" s="17"/>
      <c r="M395" s="286"/>
      <c r="N395" s="21"/>
      <c r="O395" s="286"/>
      <c r="P395" s="21"/>
      <c r="Q395" s="286"/>
      <c r="R395" s="248"/>
      <c r="S395" s="287"/>
      <c r="T395" s="248"/>
      <c r="U395" s="13"/>
      <c r="V395" s="282"/>
      <c r="W395" s="283"/>
      <c r="X395" s="284"/>
      <c r="Y395" s="245"/>
      <c r="Z395" s="245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BP395" s="391"/>
      <c r="BQ395" s="393"/>
      <c r="BS395" s="50" t="str">
        <f>Q772</f>
        <v/>
      </c>
      <c r="BT395" s="50" t="e">
        <f>#REF!</f>
        <v>#REF!</v>
      </c>
      <c r="BU395" s="39" t="str">
        <f t="shared" si="529"/>
        <v/>
      </c>
      <c r="BV395" s="39" t="str">
        <f t="shared" si="522"/>
        <v/>
      </c>
    </row>
    <row r="396" spans="1:74" ht="14.25" customHeight="1" x14ac:dyDescent="0.35">
      <c r="A396" s="293">
        <v>190</v>
      </c>
      <c r="B396" s="295"/>
      <c r="C396" s="297"/>
      <c r="D396" s="299"/>
      <c r="E396" s="301"/>
      <c r="F396" s="303"/>
      <c r="G396" s="288"/>
      <c r="H396" s="289"/>
      <c r="I396" s="290"/>
      <c r="J396" s="290"/>
      <c r="K396" s="291"/>
      <c r="L396" s="18"/>
      <c r="M396" s="285" t="str">
        <f t="shared" ref="M396" si="608">IF(COUNT(L396:L397)&lt;1,"",AVERAGE(L396:L397))</f>
        <v/>
      </c>
      <c r="N396" s="22"/>
      <c r="O396" s="285" t="str">
        <f t="shared" ref="O396" si="609">IF(COUNT(N396:N397)&lt;1,"",AVERAGE(N396:N397))</f>
        <v/>
      </c>
      <c r="P396" s="22"/>
      <c r="Q396" s="285" t="str">
        <f t="shared" ref="Q396" si="610">IF(COUNT(P396:P397)&lt;1,"",AVERAGE(P396:P397))</f>
        <v/>
      </c>
      <c r="R396" s="278" t="str">
        <f>IF($X$13="/28",IF(COUNT(P396:P397)&lt;=1,"",ABS(P396-P397)),IF($X$13="/90",IF(COUNT(#REF!)&lt;=1,"",ABS(#REF!-#REF!))))</f>
        <v/>
      </c>
      <c r="S396" s="278" t="str">
        <f>IF($X$13="/28",IF(Q396="","",IF(AVERAGE(Q392:Q397)&gt;=$W$13,ROUND(AVERAGE(Q392:Q397),1)&amp;" ≥ "&amp;$W$13&amp;" OK",ROUND(AVERAGE(Q392:Q397),1)&amp;" &lt; "&amp;$W$13&amp;" NC")),IF($X$13="/90",IF(#REF!="","",IF(AVERAGE(#REF!)&gt;=$W$13,ROUND(AVERAGE(#REF!),1)&amp;" ≥ "&amp;$W$13&amp;" OK",ROUND(AVERAGE(#REF!),1)&amp;" &lt; "&amp;$W$13&amp;" NC"))))</f>
        <v/>
      </c>
      <c r="T396" s="278" t="str">
        <f>IF($X$13="/28",IF(Q396="","",IF(Q396&gt;=$W$13-$S$12,ROUND((Q396),1)&amp;" ≥ "&amp;$W$13-$S$12&amp;" OK",ROUND((Q396),1)&amp;" &lt; "&amp;$W$13-$S$12&amp;" NC")),IF($X$13="/90",IF(#REF!="","",IF(#REF!&gt;=$W$13-$S$12,ROUND((#REF!),1)&amp;" ≥ "&amp;$W$13-$S$12&amp;" OK",ROUND((#REF!),1)&amp;" &lt; "&amp;$W$13-$S$12&amp;" NC"))))</f>
        <v/>
      </c>
      <c r="U396" s="14"/>
      <c r="V396" s="279"/>
      <c r="W396" s="280"/>
      <c r="X396" s="281"/>
      <c r="Y396" s="246"/>
      <c r="Z396" s="246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BP396" s="390" t="str">
        <f>IF($X$13="/28",IF(Q396="","",Q396),IF($X$13="/90",IF(#REF!="","",#REF!),"Falso"))</f>
        <v/>
      </c>
      <c r="BQ396" s="392" t="str">
        <f t="shared" si="554"/>
        <v/>
      </c>
      <c r="BS396" s="50" t="str">
        <f>Q774</f>
        <v/>
      </c>
      <c r="BT396" s="50" t="e">
        <f>#REF!</f>
        <v>#REF!</v>
      </c>
      <c r="BU396" s="39" t="str">
        <f t="shared" si="529"/>
        <v/>
      </c>
      <c r="BV396" s="39" t="str">
        <f t="shared" si="522"/>
        <v/>
      </c>
    </row>
    <row r="397" spans="1:74" ht="14.25" customHeight="1" x14ac:dyDescent="0.35">
      <c r="A397" s="294"/>
      <c r="B397" s="296"/>
      <c r="C397" s="298"/>
      <c r="D397" s="300"/>
      <c r="E397" s="302"/>
      <c r="F397" s="304"/>
      <c r="G397" s="276"/>
      <c r="H397" s="277"/>
      <c r="I397" s="290"/>
      <c r="J397" s="290"/>
      <c r="K397" s="291"/>
      <c r="L397" s="17"/>
      <c r="M397" s="286"/>
      <c r="N397" s="21"/>
      <c r="O397" s="286"/>
      <c r="P397" s="21"/>
      <c r="Q397" s="286"/>
      <c r="R397" s="248"/>
      <c r="S397" s="287"/>
      <c r="T397" s="248"/>
      <c r="U397" s="13"/>
      <c r="V397" s="282"/>
      <c r="W397" s="283"/>
      <c r="X397" s="284"/>
      <c r="Y397" s="245"/>
      <c r="Z397" s="245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BP397" s="391"/>
      <c r="BQ397" s="393"/>
      <c r="BS397" s="50" t="str">
        <f>Q776</f>
        <v/>
      </c>
      <c r="BT397" s="50" t="e">
        <f>#REF!</f>
        <v>#REF!</v>
      </c>
      <c r="BU397" s="39" t="str">
        <f t="shared" si="529"/>
        <v/>
      </c>
      <c r="BV397" s="39" t="str">
        <f t="shared" si="522"/>
        <v/>
      </c>
    </row>
    <row r="398" spans="1:74" ht="14.25" customHeight="1" x14ac:dyDescent="0.35">
      <c r="A398" s="293">
        <v>191</v>
      </c>
      <c r="B398" s="295"/>
      <c r="C398" s="297"/>
      <c r="D398" s="299"/>
      <c r="E398" s="301"/>
      <c r="F398" s="303"/>
      <c r="G398" s="288"/>
      <c r="H398" s="289"/>
      <c r="I398" s="290"/>
      <c r="J398" s="290"/>
      <c r="K398" s="291"/>
      <c r="L398" s="18"/>
      <c r="M398" s="285" t="str">
        <f t="shared" ref="M398" si="611">IF(COUNT(L398:L399)&lt;1,"",AVERAGE(L398:L399))</f>
        <v/>
      </c>
      <c r="N398" s="22"/>
      <c r="O398" s="285" t="str">
        <f t="shared" ref="O398" si="612">IF(COUNT(N398:N399)&lt;1,"",AVERAGE(N398:N399))</f>
        <v/>
      </c>
      <c r="P398" s="22"/>
      <c r="Q398" s="285" t="str">
        <f t="shared" ref="Q398" si="613">IF(COUNT(P398:P399)&lt;1,"",AVERAGE(P398:P399))</f>
        <v/>
      </c>
      <c r="R398" s="278" t="str">
        <f>IF($X$13="/28",IF(COUNT(P398:P399)&lt;=1,"",ABS(P398-P399)),IF($X$13="/90",IF(COUNT(#REF!)&lt;=1,"",ABS(#REF!-#REF!))))</f>
        <v/>
      </c>
      <c r="S398" s="278" t="str">
        <f>IF($X$13="/28",IF(Q398="","",IF(AVERAGE(Q394:Q399)&gt;=$W$13,ROUND(AVERAGE(Q394:Q399),1)&amp;" ≥ "&amp;$W$13&amp;" OK",ROUND(AVERAGE(Q394:Q399),1)&amp;" &lt; "&amp;$W$13&amp;" NC")),IF($X$13="/90",IF(#REF!="","",IF(AVERAGE(#REF!)&gt;=$W$13,ROUND(AVERAGE(#REF!),1)&amp;" ≥ "&amp;$W$13&amp;" OK",ROUND(AVERAGE(#REF!),1)&amp;" &lt; "&amp;$W$13&amp;" NC"))))</f>
        <v/>
      </c>
      <c r="T398" s="278" t="str">
        <f>IF($X$13="/28",IF(Q398="","",IF(Q398&gt;=$W$13-$S$12,ROUND((Q398),1)&amp;" ≥ "&amp;$W$13-$S$12&amp;" OK",ROUND((Q398),1)&amp;" &lt; "&amp;$W$13-$S$12&amp;" NC")),IF($X$13="/90",IF(#REF!="","",IF(#REF!&gt;=$W$13-$S$12,ROUND((#REF!),1)&amp;" ≥ "&amp;$W$13-$S$12&amp;" OK",ROUND((#REF!),1)&amp;" &lt; "&amp;$W$13-$S$12&amp;" NC"))))</f>
        <v/>
      </c>
      <c r="U398" s="14"/>
      <c r="V398" s="279"/>
      <c r="W398" s="280"/>
      <c r="X398" s="281"/>
      <c r="Y398" s="246"/>
      <c r="Z398" s="246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BP398" s="390" t="str">
        <f>IF($X$13="/28",IF(Q398="","",Q398),IF($X$13="/90",IF(#REF!="","",#REF!),"Falso"))</f>
        <v/>
      </c>
      <c r="BQ398" s="392" t="str">
        <f t="shared" si="558"/>
        <v/>
      </c>
      <c r="BS398" s="50" t="str">
        <f>Q778</f>
        <v/>
      </c>
      <c r="BT398" s="50" t="e">
        <f>#REF!</f>
        <v>#REF!</v>
      </c>
      <c r="BU398" s="39" t="str">
        <f t="shared" si="529"/>
        <v/>
      </c>
      <c r="BV398" s="39" t="str">
        <f t="shared" si="522"/>
        <v/>
      </c>
    </row>
    <row r="399" spans="1:74" ht="14.25" customHeight="1" x14ac:dyDescent="0.35">
      <c r="A399" s="294"/>
      <c r="B399" s="296"/>
      <c r="C399" s="298"/>
      <c r="D399" s="300"/>
      <c r="E399" s="302"/>
      <c r="F399" s="304"/>
      <c r="G399" s="276"/>
      <c r="H399" s="277"/>
      <c r="I399" s="290"/>
      <c r="J399" s="290"/>
      <c r="K399" s="291"/>
      <c r="L399" s="17"/>
      <c r="M399" s="286"/>
      <c r="N399" s="21"/>
      <c r="O399" s="286"/>
      <c r="P399" s="21"/>
      <c r="Q399" s="286"/>
      <c r="R399" s="248"/>
      <c r="S399" s="287"/>
      <c r="T399" s="248"/>
      <c r="U399" s="13"/>
      <c r="V399" s="282"/>
      <c r="W399" s="283"/>
      <c r="X399" s="284"/>
      <c r="Y399" s="245"/>
      <c r="Z399" s="245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BP399" s="391"/>
      <c r="BQ399" s="393"/>
      <c r="BS399" s="50" t="str">
        <f>Q780</f>
        <v/>
      </c>
      <c r="BT399" s="50" t="e">
        <f>#REF!</f>
        <v>#REF!</v>
      </c>
      <c r="BU399" s="39" t="str">
        <f t="shared" si="529"/>
        <v/>
      </c>
      <c r="BV399" s="39" t="str">
        <f t="shared" si="522"/>
        <v/>
      </c>
    </row>
    <row r="400" spans="1:74" ht="14.25" customHeight="1" x14ac:dyDescent="0.35">
      <c r="A400" s="293">
        <v>192</v>
      </c>
      <c r="B400" s="295"/>
      <c r="C400" s="297"/>
      <c r="D400" s="299"/>
      <c r="E400" s="301"/>
      <c r="F400" s="303"/>
      <c r="G400" s="288"/>
      <c r="H400" s="289"/>
      <c r="I400" s="290"/>
      <c r="J400" s="290"/>
      <c r="K400" s="291"/>
      <c r="L400" s="18"/>
      <c r="M400" s="285" t="str">
        <f t="shared" ref="M400" si="614">IF(COUNT(L400:L401)&lt;1,"",AVERAGE(L400:L401))</f>
        <v/>
      </c>
      <c r="N400" s="22"/>
      <c r="O400" s="285" t="str">
        <f t="shared" ref="O400" si="615">IF(COUNT(N400:N401)&lt;1,"",AVERAGE(N400:N401))</f>
        <v/>
      </c>
      <c r="P400" s="22"/>
      <c r="Q400" s="285" t="str">
        <f t="shared" ref="Q400" si="616">IF(COUNT(P400:P401)&lt;1,"",AVERAGE(P400:P401))</f>
        <v/>
      </c>
      <c r="R400" s="278" t="str">
        <f>IF($X$13="/28",IF(COUNT(P400:P401)&lt;=1,"",ABS(P400-P401)),IF($X$13="/90",IF(COUNT(#REF!)&lt;=1,"",ABS(#REF!-#REF!))))</f>
        <v/>
      </c>
      <c r="S400" s="278" t="str">
        <f>IF($X$13="/28",IF(Q400="","",IF(AVERAGE(Q396:Q401)&gt;=$W$13,ROUND(AVERAGE(Q396:Q401),1)&amp;" ≥ "&amp;$W$13&amp;" OK",ROUND(AVERAGE(Q396:Q401),1)&amp;" &lt; "&amp;$W$13&amp;" NC")),IF($X$13="/90",IF(#REF!="","",IF(AVERAGE(#REF!)&gt;=$W$13,ROUND(AVERAGE(#REF!),1)&amp;" ≥ "&amp;$W$13&amp;" OK",ROUND(AVERAGE(#REF!),1)&amp;" &lt; "&amp;$W$13&amp;" NC"))))</f>
        <v/>
      </c>
      <c r="T400" s="278" t="str">
        <f>IF($X$13="/28",IF(Q400="","",IF(Q400&gt;=$W$13-$S$12,ROUND((Q400),1)&amp;" ≥ "&amp;$W$13-$S$12&amp;" OK",ROUND((Q400),1)&amp;" &lt; "&amp;$W$13-$S$12&amp;" NC")),IF($X$13="/90",IF(#REF!="","",IF(#REF!&gt;=$W$13-$S$12,ROUND((#REF!),1)&amp;" ≥ "&amp;$W$13-$S$12&amp;" OK",ROUND((#REF!),1)&amp;" &lt; "&amp;$W$13-$S$12&amp;" NC"))))</f>
        <v/>
      </c>
      <c r="U400" s="14"/>
      <c r="V400" s="279"/>
      <c r="W400" s="280"/>
      <c r="X400" s="281"/>
      <c r="Y400" s="246"/>
      <c r="Z400" s="246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BP400" s="390" t="str">
        <f>IF($X$13="/28",IF(Q400="","",Q400),IF($X$13="/90",IF(#REF!="","",#REF!),"Falso"))</f>
        <v/>
      </c>
      <c r="BQ400" s="392" t="str">
        <f t="shared" si="562"/>
        <v/>
      </c>
      <c r="BS400" s="50" t="str">
        <f>Q782</f>
        <v/>
      </c>
      <c r="BT400" s="50" t="e">
        <f>#REF!</f>
        <v>#REF!</v>
      </c>
      <c r="BU400" s="39" t="str">
        <f t="shared" si="529"/>
        <v/>
      </c>
      <c r="BV400" s="39" t="str">
        <f t="shared" si="522"/>
        <v/>
      </c>
    </row>
    <row r="401" spans="1:74" ht="14.25" customHeight="1" x14ac:dyDescent="0.35">
      <c r="A401" s="294"/>
      <c r="B401" s="296"/>
      <c r="C401" s="298"/>
      <c r="D401" s="300"/>
      <c r="E401" s="302"/>
      <c r="F401" s="304"/>
      <c r="G401" s="276"/>
      <c r="H401" s="277"/>
      <c r="I401" s="290"/>
      <c r="J401" s="290"/>
      <c r="K401" s="291"/>
      <c r="L401" s="17"/>
      <c r="M401" s="286"/>
      <c r="N401" s="21"/>
      <c r="O401" s="286"/>
      <c r="P401" s="21"/>
      <c r="Q401" s="286"/>
      <c r="R401" s="248"/>
      <c r="S401" s="287"/>
      <c r="T401" s="248"/>
      <c r="U401" s="13"/>
      <c r="V401" s="282"/>
      <c r="W401" s="283"/>
      <c r="X401" s="284"/>
      <c r="Y401" s="245"/>
      <c r="Z401" s="245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BP401" s="391"/>
      <c r="BQ401" s="393"/>
      <c r="BS401" s="50" t="str">
        <f>Q784</f>
        <v/>
      </c>
      <c r="BT401" s="50" t="e">
        <f>#REF!</f>
        <v>#REF!</v>
      </c>
      <c r="BU401" s="39" t="str">
        <f t="shared" si="529"/>
        <v/>
      </c>
      <c r="BV401" s="39" t="str">
        <f t="shared" si="522"/>
        <v/>
      </c>
    </row>
    <row r="402" spans="1:74" ht="14.25" customHeight="1" x14ac:dyDescent="0.35">
      <c r="A402" s="293">
        <v>193</v>
      </c>
      <c r="B402" s="295"/>
      <c r="C402" s="297"/>
      <c r="D402" s="299"/>
      <c r="E402" s="301"/>
      <c r="F402" s="303"/>
      <c r="G402" s="288"/>
      <c r="H402" s="289"/>
      <c r="I402" s="290"/>
      <c r="J402" s="290"/>
      <c r="K402" s="291"/>
      <c r="L402" s="18"/>
      <c r="M402" s="285" t="str">
        <f t="shared" ref="M402" si="617">IF(COUNT(L402:L403)&lt;1,"",AVERAGE(L402:L403))</f>
        <v/>
      </c>
      <c r="N402" s="22"/>
      <c r="O402" s="285" t="str">
        <f t="shared" ref="O402" si="618">IF(COUNT(N402:N403)&lt;1,"",AVERAGE(N402:N403))</f>
        <v/>
      </c>
      <c r="P402" s="22"/>
      <c r="Q402" s="285" t="str">
        <f t="shared" ref="Q402" si="619">IF(COUNT(P402:P403)&lt;1,"",AVERAGE(P402:P403))</f>
        <v/>
      </c>
      <c r="R402" s="278" t="str">
        <f>IF($X$13="/28",IF(COUNT(P402:P403)&lt;=1,"",ABS(P402-P403)),IF($X$13="/90",IF(COUNT(#REF!)&lt;=1,"",ABS(#REF!-#REF!))))</f>
        <v/>
      </c>
      <c r="S402" s="278" t="str">
        <f>IF($X$13="/28",IF(Q402="","",IF(AVERAGE(Q398:Q403)&gt;=$W$13,ROUND(AVERAGE(Q398:Q403),1)&amp;" ≥ "&amp;$W$13&amp;" OK",ROUND(AVERAGE(Q398:Q403),1)&amp;" &lt; "&amp;$W$13&amp;" NC")),IF($X$13="/90",IF(#REF!="","",IF(AVERAGE(#REF!)&gt;=$W$13,ROUND(AVERAGE(#REF!),1)&amp;" ≥ "&amp;$W$13&amp;" OK",ROUND(AVERAGE(#REF!),1)&amp;" &lt; "&amp;$W$13&amp;" NC"))))</f>
        <v/>
      </c>
      <c r="T402" s="278" t="str">
        <f>IF($X$13="/28",IF(Q402="","",IF(Q402&gt;=$W$13-$S$12,ROUND((Q402),1)&amp;" ≥ "&amp;$W$13-$S$12&amp;" OK",ROUND((Q402),1)&amp;" &lt; "&amp;$W$13-$S$12&amp;" NC")),IF($X$13="/90",IF(#REF!="","",IF(#REF!&gt;=$W$13-$S$12,ROUND((#REF!),1)&amp;" ≥ "&amp;$W$13-$S$12&amp;" OK",ROUND((#REF!),1)&amp;" &lt; "&amp;$W$13-$S$12&amp;" NC"))))</f>
        <v/>
      </c>
      <c r="U402" s="14"/>
      <c r="V402" s="279"/>
      <c r="W402" s="280"/>
      <c r="X402" s="281"/>
      <c r="Y402" s="246"/>
      <c r="Z402" s="246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BP402" s="390" t="str">
        <f>IF($X$13="/28",IF(Q402="","",Q402),IF($X$13="/90",IF(#REF!="","",#REF!),"Falso"))</f>
        <v/>
      </c>
      <c r="BQ402" s="392" t="str">
        <f t="shared" si="554"/>
        <v/>
      </c>
      <c r="BS402" s="50" t="str">
        <f>Q786</f>
        <v/>
      </c>
      <c r="BT402" s="50" t="e">
        <f>#REF!</f>
        <v>#REF!</v>
      </c>
      <c r="BU402" s="39" t="str">
        <f t="shared" si="529"/>
        <v/>
      </c>
      <c r="BV402" s="39" t="str">
        <f t="shared" si="522"/>
        <v/>
      </c>
    </row>
    <row r="403" spans="1:74" ht="14.25" customHeight="1" x14ac:dyDescent="0.35">
      <c r="A403" s="294"/>
      <c r="B403" s="296"/>
      <c r="C403" s="298"/>
      <c r="D403" s="300"/>
      <c r="E403" s="302"/>
      <c r="F403" s="304"/>
      <c r="G403" s="276"/>
      <c r="H403" s="277"/>
      <c r="I403" s="290"/>
      <c r="J403" s="290"/>
      <c r="K403" s="291"/>
      <c r="L403" s="17"/>
      <c r="M403" s="286"/>
      <c r="N403" s="21"/>
      <c r="O403" s="286"/>
      <c r="P403" s="21"/>
      <c r="Q403" s="286"/>
      <c r="R403" s="248"/>
      <c r="S403" s="287"/>
      <c r="T403" s="248"/>
      <c r="U403" s="13"/>
      <c r="V403" s="282"/>
      <c r="W403" s="283"/>
      <c r="X403" s="284"/>
      <c r="Y403" s="245"/>
      <c r="Z403" s="245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BP403" s="391"/>
      <c r="BQ403" s="393"/>
      <c r="BS403" s="50" t="str">
        <f>Q788</f>
        <v/>
      </c>
      <c r="BT403" s="50" t="e">
        <f>#REF!</f>
        <v>#REF!</v>
      </c>
      <c r="BU403" s="39" t="str">
        <f t="shared" si="529"/>
        <v/>
      </c>
      <c r="BV403" s="39" t="str">
        <f t="shared" si="522"/>
        <v/>
      </c>
    </row>
    <row r="404" spans="1:74" ht="14.25" customHeight="1" x14ac:dyDescent="0.35">
      <c r="A404" s="293">
        <v>194</v>
      </c>
      <c r="B404" s="295"/>
      <c r="C404" s="297"/>
      <c r="D404" s="299"/>
      <c r="E404" s="301"/>
      <c r="F404" s="303"/>
      <c r="G404" s="288"/>
      <c r="H404" s="289"/>
      <c r="I404" s="290"/>
      <c r="J404" s="290"/>
      <c r="K404" s="291"/>
      <c r="L404" s="18"/>
      <c r="M404" s="285" t="str">
        <f t="shared" ref="M404" si="620">IF(COUNT(L404:L405)&lt;1,"",AVERAGE(L404:L405))</f>
        <v/>
      </c>
      <c r="N404" s="22"/>
      <c r="O404" s="285" t="str">
        <f t="shared" ref="O404" si="621">IF(COUNT(N404:N405)&lt;1,"",AVERAGE(N404:N405))</f>
        <v/>
      </c>
      <c r="P404" s="22"/>
      <c r="Q404" s="285" t="str">
        <f t="shared" ref="Q404" si="622">IF(COUNT(P404:P405)&lt;1,"",AVERAGE(P404:P405))</f>
        <v/>
      </c>
      <c r="R404" s="278" t="str">
        <f>IF($X$13="/28",IF(COUNT(P404:P405)&lt;=1,"",ABS(P404-P405)),IF($X$13="/90",IF(COUNT(#REF!)&lt;=1,"",ABS(#REF!-#REF!))))</f>
        <v/>
      </c>
      <c r="S404" s="278" t="str">
        <f>IF($X$13="/28",IF(Q404="","",IF(AVERAGE(Q400:Q405)&gt;=$W$13,ROUND(AVERAGE(Q400:Q405),1)&amp;" ≥ "&amp;$W$13&amp;" OK",ROUND(AVERAGE(Q400:Q405),1)&amp;" &lt; "&amp;$W$13&amp;" NC")),IF($X$13="/90",IF(#REF!="","",IF(AVERAGE(#REF!)&gt;=$W$13,ROUND(AVERAGE(#REF!),1)&amp;" ≥ "&amp;$W$13&amp;" OK",ROUND(AVERAGE(#REF!),1)&amp;" &lt; "&amp;$W$13&amp;" NC"))))</f>
        <v/>
      </c>
      <c r="T404" s="278" t="str">
        <f>IF($X$13="/28",IF(Q404="","",IF(Q404&gt;=$W$13-$S$12,ROUND((Q404),1)&amp;" ≥ "&amp;$W$13-$S$12&amp;" OK",ROUND((Q404),1)&amp;" &lt; "&amp;$W$13-$S$12&amp;" NC")),IF($X$13="/90",IF(#REF!="","",IF(#REF!&gt;=$W$13-$S$12,ROUND((#REF!),1)&amp;" ≥ "&amp;$W$13-$S$12&amp;" OK",ROUND((#REF!),1)&amp;" &lt; "&amp;$W$13-$S$12&amp;" NC"))))</f>
        <v/>
      </c>
      <c r="U404" s="14"/>
      <c r="V404" s="279"/>
      <c r="W404" s="280"/>
      <c r="X404" s="281"/>
      <c r="Y404" s="246"/>
      <c r="Z404" s="246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BP404" s="390" t="str">
        <f>IF($X$13="/28",IF(Q404="","",Q404),IF($X$13="/90",IF(#REF!="","",#REF!),"Falso"))</f>
        <v/>
      </c>
      <c r="BQ404" s="392" t="str">
        <f t="shared" si="558"/>
        <v/>
      </c>
      <c r="BS404" s="50" t="str">
        <f>Q790</f>
        <v/>
      </c>
      <c r="BT404" s="50" t="e">
        <f>#REF!</f>
        <v>#REF!</v>
      </c>
      <c r="BU404" s="39" t="str">
        <f t="shared" si="529"/>
        <v/>
      </c>
      <c r="BV404" s="39" t="str">
        <f t="shared" ref="BV404:BV467" si="623">IF(BU404="","",BV403+1)</f>
        <v/>
      </c>
    </row>
    <row r="405" spans="1:74" ht="14.25" customHeight="1" x14ac:dyDescent="0.35">
      <c r="A405" s="294"/>
      <c r="B405" s="296"/>
      <c r="C405" s="298"/>
      <c r="D405" s="300"/>
      <c r="E405" s="302"/>
      <c r="F405" s="304"/>
      <c r="G405" s="276"/>
      <c r="H405" s="277"/>
      <c r="I405" s="290"/>
      <c r="J405" s="290"/>
      <c r="K405" s="291"/>
      <c r="L405" s="17"/>
      <c r="M405" s="286"/>
      <c r="N405" s="21"/>
      <c r="O405" s="286"/>
      <c r="P405" s="21"/>
      <c r="Q405" s="286"/>
      <c r="R405" s="248"/>
      <c r="S405" s="287"/>
      <c r="T405" s="248"/>
      <c r="U405" s="13"/>
      <c r="V405" s="282"/>
      <c r="W405" s="283"/>
      <c r="X405" s="284"/>
      <c r="Y405" s="245"/>
      <c r="Z405" s="245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BP405" s="391"/>
      <c r="BQ405" s="393"/>
      <c r="BS405" s="50" t="str">
        <f>Q792</f>
        <v/>
      </c>
      <c r="BT405" s="50" t="e">
        <f>#REF!</f>
        <v>#REF!</v>
      </c>
      <c r="BU405" s="39" t="str">
        <f t="shared" si="529"/>
        <v/>
      </c>
      <c r="BV405" s="39" t="str">
        <f t="shared" si="623"/>
        <v/>
      </c>
    </row>
    <row r="406" spans="1:74" ht="14.25" customHeight="1" x14ac:dyDescent="0.35">
      <c r="A406" s="293">
        <v>195</v>
      </c>
      <c r="B406" s="295"/>
      <c r="C406" s="297"/>
      <c r="D406" s="299"/>
      <c r="E406" s="301"/>
      <c r="F406" s="303"/>
      <c r="G406" s="288"/>
      <c r="H406" s="289"/>
      <c r="I406" s="290"/>
      <c r="J406" s="290"/>
      <c r="K406" s="291"/>
      <c r="L406" s="18"/>
      <c r="M406" s="285" t="str">
        <f t="shared" ref="M406" si="624">IF(COUNT(L406:L407)&lt;1,"",AVERAGE(L406:L407))</f>
        <v/>
      </c>
      <c r="N406" s="22"/>
      <c r="O406" s="285" t="str">
        <f t="shared" ref="O406" si="625">IF(COUNT(N406:N407)&lt;1,"",AVERAGE(N406:N407))</f>
        <v/>
      </c>
      <c r="P406" s="22"/>
      <c r="Q406" s="285" t="str">
        <f t="shared" ref="Q406" si="626">IF(COUNT(P406:P407)&lt;1,"",AVERAGE(P406:P407))</f>
        <v/>
      </c>
      <c r="R406" s="278" t="str">
        <f>IF($X$13="/28",IF(COUNT(P406:P407)&lt;=1,"",ABS(P406-P407)),IF($X$13="/90",IF(COUNT(#REF!)&lt;=1,"",ABS(#REF!-#REF!))))</f>
        <v/>
      </c>
      <c r="S406" s="278" t="str">
        <f>IF($X$13="/28",IF(Q406="","",IF(AVERAGE(Q402:Q407)&gt;=$W$13,ROUND(AVERAGE(Q402:Q407),1)&amp;" ≥ "&amp;$W$13&amp;" OK",ROUND(AVERAGE(Q402:Q407),1)&amp;" &lt; "&amp;$W$13&amp;" NC")),IF($X$13="/90",IF(#REF!="","",IF(AVERAGE(#REF!)&gt;=$W$13,ROUND(AVERAGE(#REF!),1)&amp;" ≥ "&amp;$W$13&amp;" OK",ROUND(AVERAGE(#REF!),1)&amp;" &lt; "&amp;$W$13&amp;" NC"))))</f>
        <v/>
      </c>
      <c r="T406" s="278" t="str">
        <f>IF($X$13="/28",IF(Q406="","",IF(Q406&gt;=$W$13-$S$12,ROUND((Q406),1)&amp;" ≥ "&amp;$W$13-$S$12&amp;" OK",ROUND((Q406),1)&amp;" &lt; "&amp;$W$13-$S$12&amp;" NC")),IF($X$13="/90",IF(#REF!="","",IF(#REF!&gt;=$W$13-$S$12,ROUND((#REF!),1)&amp;" ≥ "&amp;$W$13-$S$12&amp;" OK",ROUND((#REF!),1)&amp;" &lt; "&amp;$W$13-$S$12&amp;" NC"))))</f>
        <v/>
      </c>
      <c r="U406" s="14"/>
      <c r="V406" s="279"/>
      <c r="W406" s="280"/>
      <c r="X406" s="281"/>
      <c r="Y406" s="246"/>
      <c r="Z406" s="246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BP406" s="390" t="str">
        <f>IF($X$13="/28",IF(Q406="","",Q406),IF($X$13="/90",IF(#REF!="","",#REF!),"Falso"))</f>
        <v/>
      </c>
      <c r="BQ406" s="392" t="str">
        <f t="shared" si="562"/>
        <v/>
      </c>
      <c r="BS406" s="50" t="str">
        <f>Q794</f>
        <v/>
      </c>
      <c r="BT406" s="50" t="e">
        <f>#REF!</f>
        <v>#REF!</v>
      </c>
      <c r="BU406" s="39" t="str">
        <f t="shared" si="529"/>
        <v/>
      </c>
      <c r="BV406" s="39" t="str">
        <f t="shared" si="623"/>
        <v/>
      </c>
    </row>
    <row r="407" spans="1:74" ht="14.25" customHeight="1" x14ac:dyDescent="0.35">
      <c r="A407" s="294"/>
      <c r="B407" s="296"/>
      <c r="C407" s="298"/>
      <c r="D407" s="300"/>
      <c r="E407" s="302"/>
      <c r="F407" s="304"/>
      <c r="G407" s="276"/>
      <c r="H407" s="277"/>
      <c r="I407" s="290"/>
      <c r="J407" s="290"/>
      <c r="K407" s="291"/>
      <c r="L407" s="17"/>
      <c r="M407" s="286"/>
      <c r="N407" s="21"/>
      <c r="O407" s="286"/>
      <c r="P407" s="21"/>
      <c r="Q407" s="286"/>
      <c r="R407" s="248"/>
      <c r="S407" s="287"/>
      <c r="T407" s="248"/>
      <c r="U407" s="13"/>
      <c r="V407" s="282"/>
      <c r="W407" s="283"/>
      <c r="X407" s="284"/>
      <c r="Y407" s="245"/>
      <c r="Z407" s="245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BP407" s="391"/>
      <c r="BQ407" s="393"/>
      <c r="BS407" s="50" t="str">
        <f>Q796</f>
        <v/>
      </c>
      <c r="BT407" s="50" t="e">
        <f>#REF!</f>
        <v>#REF!</v>
      </c>
      <c r="BU407" s="39" t="str">
        <f t="shared" si="529"/>
        <v/>
      </c>
      <c r="BV407" s="39" t="str">
        <f t="shared" si="623"/>
        <v/>
      </c>
    </row>
    <row r="408" spans="1:74" ht="14.25" customHeight="1" x14ac:dyDescent="0.35">
      <c r="A408" s="293">
        <v>196</v>
      </c>
      <c r="B408" s="295"/>
      <c r="C408" s="297"/>
      <c r="D408" s="299"/>
      <c r="E408" s="301"/>
      <c r="F408" s="303"/>
      <c r="G408" s="288"/>
      <c r="H408" s="289"/>
      <c r="I408" s="290"/>
      <c r="J408" s="290"/>
      <c r="K408" s="291"/>
      <c r="L408" s="18"/>
      <c r="M408" s="285" t="str">
        <f t="shared" ref="M408" si="627">IF(COUNT(L408:L409)&lt;1,"",AVERAGE(L408:L409))</f>
        <v/>
      </c>
      <c r="N408" s="22"/>
      <c r="O408" s="285" t="str">
        <f t="shared" ref="O408" si="628">IF(COUNT(N408:N409)&lt;1,"",AVERAGE(N408:N409))</f>
        <v/>
      </c>
      <c r="P408" s="22"/>
      <c r="Q408" s="285" t="str">
        <f t="shared" ref="Q408" si="629">IF(COUNT(P408:P409)&lt;1,"",AVERAGE(P408:P409))</f>
        <v/>
      </c>
      <c r="R408" s="278" t="str">
        <f>IF($X$13="/28",IF(COUNT(P408:P409)&lt;=1,"",ABS(P408-P409)),IF($X$13="/90",IF(COUNT(#REF!)&lt;=1,"",ABS(#REF!-#REF!))))</f>
        <v/>
      </c>
      <c r="S408" s="278" t="str">
        <f>IF($X$13="/28",IF(Q408="","",IF(AVERAGE(Q404:Q409)&gt;=$W$13,ROUND(AVERAGE(Q404:Q409),1)&amp;" ≥ "&amp;$W$13&amp;" OK",ROUND(AVERAGE(Q404:Q409),1)&amp;" &lt; "&amp;$W$13&amp;" NC")),IF($X$13="/90",IF(#REF!="","",IF(AVERAGE(#REF!)&gt;=$W$13,ROUND(AVERAGE(#REF!),1)&amp;" ≥ "&amp;$W$13&amp;" OK",ROUND(AVERAGE(#REF!),1)&amp;" &lt; "&amp;$W$13&amp;" NC"))))</f>
        <v/>
      </c>
      <c r="T408" s="278" t="str">
        <f>IF($X$13="/28",IF(Q408="","",IF(Q408&gt;=$W$13-$S$12,ROUND((Q408),1)&amp;" ≥ "&amp;$W$13-$S$12&amp;" OK",ROUND((Q408),1)&amp;" &lt; "&amp;$W$13-$S$12&amp;" NC")),IF($X$13="/90",IF(#REF!="","",IF(#REF!&gt;=$W$13-$S$12,ROUND((#REF!),1)&amp;" ≥ "&amp;$W$13-$S$12&amp;" OK",ROUND((#REF!),1)&amp;" &lt; "&amp;$W$13-$S$12&amp;" NC"))))</f>
        <v/>
      </c>
      <c r="U408" s="14"/>
      <c r="V408" s="279"/>
      <c r="W408" s="280"/>
      <c r="X408" s="281"/>
      <c r="Y408" s="246"/>
      <c r="Z408" s="246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BP408" s="390" t="str">
        <f>IF($X$13="/28",IF(Q408="","",Q408),IF($X$13="/90",IF(#REF!="","",#REF!),"Falso"))</f>
        <v/>
      </c>
      <c r="BQ408" s="392" t="str">
        <f t="shared" si="554"/>
        <v/>
      </c>
      <c r="BS408" s="50" t="str">
        <f>Q798</f>
        <v/>
      </c>
      <c r="BT408" s="50" t="e">
        <f>#REF!</f>
        <v>#REF!</v>
      </c>
      <c r="BU408" s="39" t="str">
        <f t="shared" ref="BU408:BU471" si="630">IF($X$13="/28",IF(BS408="","",BS408),IF($X$13="/90",IF(BT408="","",BT408),"Falso"))</f>
        <v/>
      </c>
      <c r="BV408" s="39" t="str">
        <f t="shared" si="623"/>
        <v/>
      </c>
    </row>
    <row r="409" spans="1:74" ht="14.25" customHeight="1" x14ac:dyDescent="0.35">
      <c r="A409" s="294"/>
      <c r="B409" s="296"/>
      <c r="C409" s="298"/>
      <c r="D409" s="300"/>
      <c r="E409" s="302"/>
      <c r="F409" s="304"/>
      <c r="G409" s="276"/>
      <c r="H409" s="277"/>
      <c r="I409" s="290"/>
      <c r="J409" s="290"/>
      <c r="K409" s="291"/>
      <c r="L409" s="17"/>
      <c r="M409" s="286"/>
      <c r="N409" s="21"/>
      <c r="O409" s="286"/>
      <c r="P409" s="21"/>
      <c r="Q409" s="286"/>
      <c r="R409" s="248"/>
      <c r="S409" s="287"/>
      <c r="T409" s="248"/>
      <c r="U409" s="13"/>
      <c r="V409" s="282"/>
      <c r="W409" s="283"/>
      <c r="X409" s="284"/>
      <c r="Y409" s="245"/>
      <c r="Z409" s="245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BP409" s="391"/>
      <c r="BQ409" s="393"/>
      <c r="BS409" s="50" t="str">
        <f>Q800</f>
        <v/>
      </c>
      <c r="BT409" s="50" t="e">
        <f>#REF!</f>
        <v>#REF!</v>
      </c>
      <c r="BU409" s="39" t="str">
        <f t="shared" si="630"/>
        <v/>
      </c>
      <c r="BV409" s="39" t="str">
        <f t="shared" si="623"/>
        <v/>
      </c>
    </row>
    <row r="410" spans="1:74" ht="14.25" customHeight="1" x14ac:dyDescent="0.35">
      <c r="A410" s="293">
        <v>197</v>
      </c>
      <c r="B410" s="295"/>
      <c r="C410" s="297"/>
      <c r="D410" s="299"/>
      <c r="E410" s="301"/>
      <c r="F410" s="303"/>
      <c r="G410" s="288"/>
      <c r="H410" s="289"/>
      <c r="I410" s="290"/>
      <c r="J410" s="290"/>
      <c r="K410" s="291"/>
      <c r="L410" s="18"/>
      <c r="M410" s="285" t="str">
        <f t="shared" ref="M410" si="631">IF(COUNT(L410:L411)&lt;1,"",AVERAGE(L410:L411))</f>
        <v/>
      </c>
      <c r="N410" s="22"/>
      <c r="O410" s="285" t="str">
        <f t="shared" ref="O410" si="632">IF(COUNT(N410:N411)&lt;1,"",AVERAGE(N410:N411))</f>
        <v/>
      </c>
      <c r="P410" s="22"/>
      <c r="Q410" s="285" t="str">
        <f t="shared" ref="Q410" si="633">IF(COUNT(P410:P411)&lt;1,"",AVERAGE(P410:P411))</f>
        <v/>
      </c>
      <c r="R410" s="278" t="str">
        <f>IF($X$13="/28",IF(COUNT(P410:P411)&lt;=1,"",ABS(P410-P411)),IF($X$13="/90",IF(COUNT(#REF!)&lt;=1,"",ABS(#REF!-#REF!))))</f>
        <v/>
      </c>
      <c r="S410" s="278" t="str">
        <f>IF($X$13="/28",IF(Q410="","",IF(AVERAGE(Q406:Q411)&gt;=$W$13,ROUND(AVERAGE(Q406:Q411),1)&amp;" ≥ "&amp;$W$13&amp;" OK",ROUND(AVERAGE(Q406:Q411),1)&amp;" &lt; "&amp;$W$13&amp;" NC")),IF($X$13="/90",IF(#REF!="","",IF(AVERAGE(#REF!)&gt;=$W$13,ROUND(AVERAGE(#REF!),1)&amp;" ≥ "&amp;$W$13&amp;" OK",ROUND(AVERAGE(#REF!),1)&amp;" &lt; "&amp;$W$13&amp;" NC"))))</f>
        <v/>
      </c>
      <c r="T410" s="278" t="str">
        <f>IF($X$13="/28",IF(Q410="","",IF(Q410&gt;=$W$13-$S$12,ROUND((Q410),1)&amp;" ≥ "&amp;$W$13-$S$12&amp;" OK",ROUND((Q410),1)&amp;" &lt; "&amp;$W$13-$S$12&amp;" NC")),IF($X$13="/90",IF(#REF!="","",IF(#REF!&gt;=$W$13-$S$12,ROUND((#REF!),1)&amp;" ≥ "&amp;$W$13-$S$12&amp;" OK",ROUND((#REF!),1)&amp;" &lt; "&amp;$W$13-$S$12&amp;" NC"))))</f>
        <v/>
      </c>
      <c r="U410" s="14"/>
      <c r="V410" s="279"/>
      <c r="W410" s="280"/>
      <c r="X410" s="281"/>
      <c r="Y410" s="246"/>
      <c r="Z410" s="246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BP410" s="390" t="str">
        <f>IF($X$13="/28",IF(Q410="","",Q410),IF($X$13="/90",IF(#REF!="","",#REF!),"Falso"))</f>
        <v/>
      </c>
      <c r="BQ410" s="392" t="str">
        <f t="shared" si="558"/>
        <v/>
      </c>
      <c r="BS410" s="50" t="str">
        <f>Q802</f>
        <v/>
      </c>
      <c r="BT410" s="50" t="e">
        <f>#REF!</f>
        <v>#REF!</v>
      </c>
      <c r="BU410" s="39" t="str">
        <f t="shared" si="630"/>
        <v/>
      </c>
      <c r="BV410" s="39" t="str">
        <f t="shared" si="623"/>
        <v/>
      </c>
    </row>
    <row r="411" spans="1:74" ht="14.25" customHeight="1" x14ac:dyDescent="0.35">
      <c r="A411" s="294"/>
      <c r="B411" s="296"/>
      <c r="C411" s="298"/>
      <c r="D411" s="300"/>
      <c r="E411" s="302"/>
      <c r="F411" s="304"/>
      <c r="G411" s="276"/>
      <c r="H411" s="277"/>
      <c r="I411" s="290"/>
      <c r="J411" s="290"/>
      <c r="K411" s="291"/>
      <c r="L411" s="17"/>
      <c r="M411" s="286"/>
      <c r="N411" s="21"/>
      <c r="O411" s="286"/>
      <c r="P411" s="21"/>
      <c r="Q411" s="286"/>
      <c r="R411" s="248"/>
      <c r="S411" s="287"/>
      <c r="T411" s="248"/>
      <c r="U411" s="13"/>
      <c r="V411" s="282"/>
      <c r="W411" s="283"/>
      <c r="X411" s="284"/>
      <c r="Y411" s="245"/>
      <c r="Z411" s="245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BP411" s="391"/>
      <c r="BQ411" s="393"/>
      <c r="BS411" s="50" t="str">
        <f>Q804</f>
        <v/>
      </c>
      <c r="BT411" s="50" t="e">
        <f>#REF!</f>
        <v>#REF!</v>
      </c>
      <c r="BU411" s="39" t="str">
        <f t="shared" si="630"/>
        <v/>
      </c>
      <c r="BV411" s="39" t="str">
        <f t="shared" si="623"/>
        <v/>
      </c>
    </row>
    <row r="412" spans="1:74" ht="14.25" customHeight="1" x14ac:dyDescent="0.35">
      <c r="A412" s="293">
        <v>198</v>
      </c>
      <c r="B412" s="295"/>
      <c r="C412" s="297"/>
      <c r="D412" s="299"/>
      <c r="E412" s="301"/>
      <c r="F412" s="303"/>
      <c r="G412" s="288"/>
      <c r="H412" s="289"/>
      <c r="I412" s="290"/>
      <c r="J412" s="290"/>
      <c r="K412" s="291"/>
      <c r="L412" s="18"/>
      <c r="M412" s="285" t="str">
        <f t="shared" ref="M412" si="634">IF(COUNT(L412:L413)&lt;1,"",AVERAGE(L412:L413))</f>
        <v/>
      </c>
      <c r="N412" s="22"/>
      <c r="O412" s="285" t="str">
        <f t="shared" ref="O412" si="635">IF(COUNT(N412:N413)&lt;1,"",AVERAGE(N412:N413))</f>
        <v/>
      </c>
      <c r="P412" s="22"/>
      <c r="Q412" s="285" t="str">
        <f t="shared" ref="Q412" si="636">IF(COUNT(P412:P413)&lt;1,"",AVERAGE(P412:P413))</f>
        <v/>
      </c>
      <c r="R412" s="278" t="str">
        <f>IF($X$13="/28",IF(COUNT(P412:P413)&lt;=1,"",ABS(P412-P413)),IF($X$13="/90",IF(COUNT(#REF!)&lt;=1,"",ABS(#REF!-#REF!))))</f>
        <v/>
      </c>
      <c r="S412" s="278" t="str">
        <f>IF($X$13="/28",IF(Q412="","",IF(AVERAGE(Q408:Q413)&gt;=$W$13,ROUND(AVERAGE(Q408:Q413),1)&amp;" ≥ "&amp;$W$13&amp;" OK",ROUND(AVERAGE(Q408:Q413),1)&amp;" &lt; "&amp;$W$13&amp;" NC")),IF($X$13="/90",IF(#REF!="","",IF(AVERAGE(#REF!)&gt;=$W$13,ROUND(AVERAGE(#REF!),1)&amp;" ≥ "&amp;$W$13&amp;" OK",ROUND(AVERAGE(#REF!),1)&amp;" &lt; "&amp;$W$13&amp;" NC"))))</f>
        <v/>
      </c>
      <c r="T412" s="278" t="str">
        <f>IF($X$13="/28",IF(Q412="","",IF(Q412&gt;=$W$13-$S$12,ROUND((Q412),1)&amp;" ≥ "&amp;$W$13-$S$12&amp;" OK",ROUND((Q412),1)&amp;" &lt; "&amp;$W$13-$S$12&amp;" NC")),IF($X$13="/90",IF(#REF!="","",IF(#REF!&gt;=$W$13-$S$12,ROUND((#REF!),1)&amp;" ≥ "&amp;$W$13-$S$12&amp;" OK",ROUND((#REF!),1)&amp;" &lt; "&amp;$W$13-$S$12&amp;" NC"))))</f>
        <v/>
      </c>
      <c r="U412" s="14"/>
      <c r="V412" s="279"/>
      <c r="W412" s="280"/>
      <c r="X412" s="281"/>
      <c r="Y412" s="246"/>
      <c r="Z412" s="246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BP412" s="390" t="str">
        <f>IF($X$13="/28",IF(Q412="","",Q412),IF($X$13="/90",IF(#REF!="","",#REF!),"Falso"))</f>
        <v/>
      </c>
      <c r="BQ412" s="392" t="str">
        <f t="shared" si="562"/>
        <v/>
      </c>
      <c r="BS412" s="50" t="str">
        <f>Q806</f>
        <v/>
      </c>
      <c r="BT412" s="50" t="e">
        <f>#REF!</f>
        <v>#REF!</v>
      </c>
      <c r="BU412" s="39" t="str">
        <f t="shared" si="630"/>
        <v/>
      </c>
      <c r="BV412" s="39" t="str">
        <f t="shared" si="623"/>
        <v/>
      </c>
    </row>
    <row r="413" spans="1:74" ht="14.25" customHeight="1" x14ac:dyDescent="0.35">
      <c r="A413" s="294"/>
      <c r="B413" s="296"/>
      <c r="C413" s="298"/>
      <c r="D413" s="300"/>
      <c r="E413" s="302"/>
      <c r="F413" s="304"/>
      <c r="G413" s="276"/>
      <c r="H413" s="277"/>
      <c r="I413" s="290"/>
      <c r="J413" s="290"/>
      <c r="K413" s="291"/>
      <c r="L413" s="17"/>
      <c r="M413" s="286"/>
      <c r="N413" s="21"/>
      <c r="O413" s="286"/>
      <c r="P413" s="21"/>
      <c r="Q413" s="286"/>
      <c r="R413" s="248"/>
      <c r="S413" s="287"/>
      <c r="T413" s="248"/>
      <c r="U413" s="13"/>
      <c r="V413" s="282"/>
      <c r="W413" s="283"/>
      <c r="X413" s="284"/>
      <c r="Y413" s="245"/>
      <c r="Z413" s="245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BP413" s="391"/>
      <c r="BQ413" s="393"/>
      <c r="BS413" s="50" t="str">
        <f>Q808</f>
        <v/>
      </c>
      <c r="BT413" s="50" t="e">
        <f>#REF!</f>
        <v>#REF!</v>
      </c>
      <c r="BU413" s="39" t="str">
        <f t="shared" si="630"/>
        <v/>
      </c>
      <c r="BV413" s="39" t="str">
        <f t="shared" si="623"/>
        <v/>
      </c>
    </row>
    <row r="414" spans="1:74" ht="14.25" customHeight="1" x14ac:dyDescent="0.35">
      <c r="A414" s="293">
        <v>199</v>
      </c>
      <c r="B414" s="295"/>
      <c r="C414" s="297"/>
      <c r="D414" s="299"/>
      <c r="E414" s="301"/>
      <c r="F414" s="303"/>
      <c r="G414" s="288"/>
      <c r="H414" s="289"/>
      <c r="I414" s="290"/>
      <c r="J414" s="290"/>
      <c r="K414" s="291"/>
      <c r="L414" s="18"/>
      <c r="M414" s="285" t="str">
        <f t="shared" ref="M414" si="637">IF(COUNT(L414:L415)&lt;1,"",AVERAGE(L414:L415))</f>
        <v/>
      </c>
      <c r="N414" s="22"/>
      <c r="O414" s="285" t="str">
        <f t="shared" ref="O414" si="638">IF(COUNT(N414:N415)&lt;1,"",AVERAGE(N414:N415))</f>
        <v/>
      </c>
      <c r="P414" s="22"/>
      <c r="Q414" s="285" t="str">
        <f t="shared" ref="Q414" si="639">IF(COUNT(P414:P415)&lt;1,"",AVERAGE(P414:P415))</f>
        <v/>
      </c>
      <c r="R414" s="278" t="str">
        <f>IF($X$13="/28",IF(COUNT(P414:P415)&lt;=1,"",ABS(P414-P415)),IF($X$13="/90",IF(COUNT(#REF!)&lt;=1,"",ABS(#REF!-#REF!))))</f>
        <v/>
      </c>
      <c r="S414" s="278" t="str">
        <f>IF($X$13="/28",IF(Q414="","",IF(AVERAGE(Q410:Q415)&gt;=$W$13,ROUND(AVERAGE(Q410:Q415),1)&amp;" ≥ "&amp;$W$13&amp;" OK",ROUND(AVERAGE(Q410:Q415),1)&amp;" &lt; "&amp;$W$13&amp;" NC")),IF($X$13="/90",IF(#REF!="","",IF(AVERAGE(#REF!)&gt;=$W$13,ROUND(AVERAGE(#REF!),1)&amp;" ≥ "&amp;$W$13&amp;" OK",ROUND(AVERAGE(#REF!),1)&amp;" &lt; "&amp;$W$13&amp;" NC"))))</f>
        <v/>
      </c>
      <c r="T414" s="278" t="str">
        <f>IF($X$13="/28",IF(Q414="","",IF(Q414&gt;=$W$13-$S$12,ROUND((Q414),1)&amp;" ≥ "&amp;$W$13-$S$12&amp;" OK",ROUND((Q414),1)&amp;" &lt; "&amp;$W$13-$S$12&amp;" NC")),IF($X$13="/90",IF(#REF!="","",IF(#REF!&gt;=$W$13-$S$12,ROUND((#REF!),1)&amp;" ≥ "&amp;$W$13-$S$12&amp;" OK",ROUND((#REF!),1)&amp;" &lt; "&amp;$W$13-$S$12&amp;" NC"))))</f>
        <v/>
      </c>
      <c r="U414" s="14"/>
      <c r="V414" s="279"/>
      <c r="W414" s="280"/>
      <c r="X414" s="281"/>
      <c r="Y414" s="246"/>
      <c r="Z414" s="246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BP414" s="390" t="str">
        <f>IF($X$13="/28",IF(Q414="","",Q414),IF($X$13="/90",IF(#REF!="","",#REF!),"Falso"))</f>
        <v/>
      </c>
      <c r="BQ414" s="392" t="str">
        <f t="shared" si="554"/>
        <v/>
      </c>
      <c r="BS414" s="50" t="str">
        <f>Q810</f>
        <v/>
      </c>
      <c r="BT414" s="50" t="e">
        <f>#REF!</f>
        <v>#REF!</v>
      </c>
      <c r="BU414" s="39" t="str">
        <f t="shared" si="630"/>
        <v/>
      </c>
      <c r="BV414" s="39" t="str">
        <f t="shared" si="623"/>
        <v/>
      </c>
    </row>
    <row r="415" spans="1:74" ht="14.25" customHeight="1" x14ac:dyDescent="0.35">
      <c r="A415" s="294"/>
      <c r="B415" s="296"/>
      <c r="C415" s="298"/>
      <c r="D415" s="300"/>
      <c r="E415" s="302"/>
      <c r="F415" s="304"/>
      <c r="G415" s="276"/>
      <c r="H415" s="277"/>
      <c r="I415" s="290"/>
      <c r="J415" s="290"/>
      <c r="K415" s="291"/>
      <c r="L415" s="17"/>
      <c r="M415" s="286"/>
      <c r="N415" s="21"/>
      <c r="O415" s="286"/>
      <c r="P415" s="21"/>
      <c r="Q415" s="286"/>
      <c r="R415" s="248"/>
      <c r="S415" s="287"/>
      <c r="T415" s="248"/>
      <c r="U415" s="13"/>
      <c r="V415" s="282"/>
      <c r="W415" s="283"/>
      <c r="X415" s="284"/>
      <c r="Y415" s="245"/>
      <c r="Z415" s="245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BP415" s="391"/>
      <c r="BQ415" s="393"/>
      <c r="BS415" s="50" t="str">
        <f>Q812</f>
        <v/>
      </c>
      <c r="BT415" s="50" t="e">
        <f>#REF!</f>
        <v>#REF!</v>
      </c>
      <c r="BU415" s="39" t="str">
        <f t="shared" si="630"/>
        <v/>
      </c>
      <c r="BV415" s="39" t="str">
        <f t="shared" si="623"/>
        <v/>
      </c>
    </row>
    <row r="416" spans="1:74" ht="14.25" customHeight="1" x14ac:dyDescent="0.35">
      <c r="A416" s="293">
        <v>200</v>
      </c>
      <c r="B416" s="295"/>
      <c r="C416" s="297"/>
      <c r="D416" s="299"/>
      <c r="E416" s="301"/>
      <c r="F416" s="303"/>
      <c r="G416" s="288"/>
      <c r="H416" s="289"/>
      <c r="I416" s="290"/>
      <c r="J416" s="290"/>
      <c r="K416" s="291"/>
      <c r="L416" s="18"/>
      <c r="M416" s="285" t="str">
        <f t="shared" ref="M416" si="640">IF(COUNT(L416:L417)&lt;1,"",AVERAGE(L416:L417))</f>
        <v/>
      </c>
      <c r="N416" s="22"/>
      <c r="O416" s="285" t="str">
        <f t="shared" ref="O416" si="641">IF(COUNT(N416:N417)&lt;1,"",AVERAGE(N416:N417))</f>
        <v/>
      </c>
      <c r="P416" s="22"/>
      <c r="Q416" s="285" t="str">
        <f t="shared" ref="Q416" si="642">IF(COUNT(P416:P417)&lt;1,"",AVERAGE(P416:P417))</f>
        <v/>
      </c>
      <c r="R416" s="278" t="str">
        <f>IF($X$13="/28",IF(COUNT(P416:P417)&lt;=1,"",ABS(P416-P417)),IF($X$13="/90",IF(COUNT(#REF!)&lt;=1,"",ABS(#REF!-#REF!))))</f>
        <v/>
      </c>
      <c r="S416" s="278" t="str">
        <f>IF($X$13="/28",IF(Q416="","",IF(AVERAGE(Q412:Q417)&gt;=$W$13,ROUND(AVERAGE(Q412:Q417),1)&amp;" ≥ "&amp;$W$13&amp;" OK",ROUND(AVERAGE(Q412:Q417),1)&amp;" &lt; "&amp;$W$13&amp;" NC")),IF($X$13="/90",IF(#REF!="","",IF(AVERAGE(#REF!)&gt;=$W$13,ROUND(AVERAGE(#REF!),1)&amp;" ≥ "&amp;$W$13&amp;" OK",ROUND(AVERAGE(#REF!),1)&amp;" &lt; "&amp;$W$13&amp;" NC"))))</f>
        <v/>
      </c>
      <c r="T416" s="278" t="str">
        <f>IF($X$13="/28",IF(Q416="","",IF(Q416&gt;=$W$13-$S$12,ROUND((Q416),1)&amp;" ≥ "&amp;$W$13-$S$12&amp;" OK",ROUND((Q416),1)&amp;" &lt; "&amp;$W$13-$S$12&amp;" NC")),IF($X$13="/90",IF(#REF!="","",IF(#REF!&gt;=$W$13-$S$12,ROUND((#REF!),1)&amp;" ≥ "&amp;$W$13-$S$12&amp;" OK",ROUND((#REF!),1)&amp;" &lt; "&amp;$W$13-$S$12&amp;" NC"))))</f>
        <v/>
      </c>
      <c r="U416" s="14"/>
      <c r="V416" s="279"/>
      <c r="W416" s="280"/>
      <c r="X416" s="281"/>
      <c r="Y416" s="246"/>
      <c r="Z416" s="246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BP416" s="390" t="str">
        <f>IF($X$13="/28",IF(Q416="","",Q416),IF($X$13="/90",IF(#REF!="","",#REF!),"Falso"))</f>
        <v/>
      </c>
      <c r="BQ416" s="392" t="str">
        <f t="shared" si="558"/>
        <v/>
      </c>
      <c r="BS416" s="50" t="str">
        <f>Q814</f>
        <v/>
      </c>
      <c r="BT416" s="50" t="e">
        <f>#REF!</f>
        <v>#REF!</v>
      </c>
      <c r="BU416" s="39" t="str">
        <f t="shared" si="630"/>
        <v/>
      </c>
      <c r="BV416" s="39" t="str">
        <f t="shared" si="623"/>
        <v/>
      </c>
    </row>
    <row r="417" spans="1:74" ht="14.25" customHeight="1" x14ac:dyDescent="0.35">
      <c r="A417" s="294"/>
      <c r="B417" s="296"/>
      <c r="C417" s="298"/>
      <c r="D417" s="300"/>
      <c r="E417" s="302"/>
      <c r="F417" s="304"/>
      <c r="G417" s="276"/>
      <c r="H417" s="277"/>
      <c r="I417" s="290"/>
      <c r="J417" s="290"/>
      <c r="K417" s="291"/>
      <c r="L417" s="17"/>
      <c r="M417" s="286"/>
      <c r="N417" s="21"/>
      <c r="O417" s="286"/>
      <c r="P417" s="21"/>
      <c r="Q417" s="286"/>
      <c r="R417" s="248"/>
      <c r="S417" s="287"/>
      <c r="T417" s="248"/>
      <c r="U417" s="13"/>
      <c r="V417" s="282"/>
      <c r="W417" s="283"/>
      <c r="X417" s="284"/>
      <c r="Y417" s="245"/>
      <c r="Z417" s="245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BP417" s="391"/>
      <c r="BQ417" s="393"/>
      <c r="BS417" s="50" t="str">
        <f>Q816</f>
        <v/>
      </c>
      <c r="BT417" s="50" t="e">
        <f>#REF!</f>
        <v>#REF!</v>
      </c>
      <c r="BU417" s="39" t="str">
        <f t="shared" si="630"/>
        <v/>
      </c>
      <c r="BV417" s="39" t="str">
        <f t="shared" si="623"/>
        <v/>
      </c>
    </row>
    <row r="418" spans="1:74" ht="14.25" customHeight="1" x14ac:dyDescent="0.35">
      <c r="A418" s="293">
        <v>201</v>
      </c>
      <c r="B418" s="295"/>
      <c r="C418" s="297"/>
      <c r="D418" s="299"/>
      <c r="E418" s="301"/>
      <c r="F418" s="303"/>
      <c r="G418" s="288"/>
      <c r="H418" s="289"/>
      <c r="I418" s="290"/>
      <c r="J418" s="290"/>
      <c r="K418" s="291"/>
      <c r="L418" s="18"/>
      <c r="M418" s="285" t="str">
        <f t="shared" ref="M418" si="643">IF(COUNT(L418:L419)&lt;1,"",AVERAGE(L418:L419))</f>
        <v/>
      </c>
      <c r="N418" s="22"/>
      <c r="O418" s="285" t="str">
        <f t="shared" ref="O418" si="644">IF(COUNT(N418:N419)&lt;1,"",AVERAGE(N418:N419))</f>
        <v/>
      </c>
      <c r="P418" s="22"/>
      <c r="Q418" s="285" t="str">
        <f t="shared" ref="Q418" si="645">IF(COUNT(P418:P419)&lt;1,"",AVERAGE(P418:P419))</f>
        <v/>
      </c>
      <c r="R418" s="278" t="str">
        <f>IF($X$13="/28",IF(COUNT(P418:P419)&lt;=1,"",ABS(P418-P419)),IF($X$13="/90",IF(COUNT(#REF!)&lt;=1,"",ABS(#REF!-#REF!))))</f>
        <v/>
      </c>
      <c r="S418" s="278" t="str">
        <f>IF($X$13="/28",IF(Q418="","",IF(AVERAGE(Q414:Q419)&gt;=$W$13,ROUND(AVERAGE(Q414:Q419),1)&amp;" ≥ "&amp;$W$13&amp;" OK",ROUND(AVERAGE(Q414:Q419),1)&amp;" &lt; "&amp;$W$13&amp;" NC")),IF($X$13="/90",IF(#REF!="","",IF(AVERAGE(#REF!)&gt;=$W$13,ROUND(AVERAGE(#REF!),1)&amp;" ≥ "&amp;$W$13&amp;" OK",ROUND(AVERAGE(#REF!),1)&amp;" &lt; "&amp;$W$13&amp;" NC"))))</f>
        <v/>
      </c>
      <c r="T418" s="278" t="str">
        <f>IF($X$13="/28",IF(Q418="","",IF(Q418&gt;=$W$13-$S$12,ROUND((Q418),1)&amp;" ≥ "&amp;$W$13-$S$12&amp;" OK",ROUND((Q418),1)&amp;" &lt; "&amp;$W$13-$S$12&amp;" NC")),IF($X$13="/90",IF(#REF!="","",IF(#REF!&gt;=$W$13-$S$12,ROUND((#REF!),1)&amp;" ≥ "&amp;$W$13-$S$12&amp;" OK",ROUND((#REF!),1)&amp;" &lt; "&amp;$W$13-$S$12&amp;" NC"))))</f>
        <v/>
      </c>
      <c r="U418" s="14"/>
      <c r="V418" s="279"/>
      <c r="W418" s="280"/>
      <c r="X418" s="281"/>
      <c r="Y418" s="246"/>
      <c r="Z418" s="246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BP418" s="390" t="str">
        <f>IF($X$13="/28",IF(Q418="","",Q418),IF($X$13="/90",IF(#REF!="","",#REF!),"Falso"))</f>
        <v/>
      </c>
      <c r="BQ418" s="392" t="str">
        <f t="shared" si="562"/>
        <v/>
      </c>
      <c r="BS418" s="50" t="str">
        <f>Q818</f>
        <v/>
      </c>
      <c r="BT418" s="50" t="e">
        <f>#REF!</f>
        <v>#REF!</v>
      </c>
      <c r="BU418" s="39" t="str">
        <f t="shared" si="630"/>
        <v/>
      </c>
      <c r="BV418" s="39" t="str">
        <f t="shared" si="623"/>
        <v/>
      </c>
    </row>
    <row r="419" spans="1:74" ht="14.25" customHeight="1" x14ac:dyDescent="0.35">
      <c r="A419" s="294"/>
      <c r="B419" s="296"/>
      <c r="C419" s="298"/>
      <c r="D419" s="300"/>
      <c r="E419" s="302"/>
      <c r="F419" s="304"/>
      <c r="G419" s="276"/>
      <c r="H419" s="277"/>
      <c r="I419" s="290"/>
      <c r="J419" s="290"/>
      <c r="K419" s="291"/>
      <c r="L419" s="17"/>
      <c r="M419" s="286"/>
      <c r="N419" s="21"/>
      <c r="O419" s="286"/>
      <c r="P419" s="21"/>
      <c r="Q419" s="286"/>
      <c r="R419" s="248"/>
      <c r="S419" s="287"/>
      <c r="T419" s="248"/>
      <c r="U419" s="13"/>
      <c r="V419" s="282"/>
      <c r="W419" s="283"/>
      <c r="X419" s="284"/>
      <c r="Y419" s="245"/>
      <c r="Z419" s="245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BP419" s="391"/>
      <c r="BQ419" s="393"/>
      <c r="BS419" s="50" t="str">
        <f>Q820</f>
        <v/>
      </c>
      <c r="BT419" s="50" t="e">
        <f>#REF!</f>
        <v>#REF!</v>
      </c>
      <c r="BU419" s="39" t="str">
        <f t="shared" si="630"/>
        <v/>
      </c>
      <c r="BV419" s="39" t="str">
        <f t="shared" si="623"/>
        <v/>
      </c>
    </row>
    <row r="420" spans="1:74" ht="14.25" customHeight="1" x14ac:dyDescent="0.35">
      <c r="A420" s="293">
        <v>202</v>
      </c>
      <c r="B420" s="295"/>
      <c r="C420" s="297"/>
      <c r="D420" s="299"/>
      <c r="E420" s="301"/>
      <c r="F420" s="303"/>
      <c r="G420" s="288"/>
      <c r="H420" s="289"/>
      <c r="I420" s="290"/>
      <c r="J420" s="290"/>
      <c r="K420" s="291"/>
      <c r="L420" s="18"/>
      <c r="M420" s="285" t="str">
        <f t="shared" ref="M420" si="646">IF(COUNT(L420:L421)&lt;1,"",AVERAGE(L420:L421))</f>
        <v/>
      </c>
      <c r="N420" s="22"/>
      <c r="O420" s="285" t="str">
        <f t="shared" ref="O420" si="647">IF(COUNT(N420:N421)&lt;1,"",AVERAGE(N420:N421))</f>
        <v/>
      </c>
      <c r="P420" s="22"/>
      <c r="Q420" s="285" t="str">
        <f t="shared" ref="Q420" si="648">IF(COUNT(P420:P421)&lt;1,"",AVERAGE(P420:P421))</f>
        <v/>
      </c>
      <c r="R420" s="278" t="str">
        <f>IF($X$13="/28",IF(COUNT(P420:P421)&lt;=1,"",ABS(P420-P421)),IF($X$13="/90",IF(COUNT(#REF!)&lt;=1,"",ABS(#REF!-#REF!))))</f>
        <v/>
      </c>
      <c r="S420" s="278" t="str">
        <f>IF($X$13="/28",IF(Q420="","",IF(AVERAGE(Q416:Q421)&gt;=$W$13,ROUND(AVERAGE(Q416:Q421),1)&amp;" ≥ "&amp;$W$13&amp;" OK",ROUND(AVERAGE(Q416:Q421),1)&amp;" &lt; "&amp;$W$13&amp;" NC")),IF($X$13="/90",IF(#REF!="","",IF(AVERAGE(#REF!)&gt;=$W$13,ROUND(AVERAGE(#REF!),1)&amp;" ≥ "&amp;$W$13&amp;" OK",ROUND(AVERAGE(#REF!),1)&amp;" &lt; "&amp;$W$13&amp;" NC"))))</f>
        <v/>
      </c>
      <c r="T420" s="278" t="str">
        <f>IF($X$13="/28",IF(Q420="","",IF(Q420&gt;=$W$13-$S$12,ROUND((Q420),1)&amp;" ≥ "&amp;$W$13-$S$12&amp;" OK",ROUND((Q420),1)&amp;" &lt; "&amp;$W$13-$S$12&amp;" NC")),IF($X$13="/90",IF(#REF!="","",IF(#REF!&gt;=$W$13-$S$12,ROUND((#REF!),1)&amp;" ≥ "&amp;$W$13-$S$12&amp;" OK",ROUND((#REF!),1)&amp;" &lt; "&amp;$W$13-$S$12&amp;" NC"))))</f>
        <v/>
      </c>
      <c r="U420" s="14"/>
      <c r="V420" s="279"/>
      <c r="W420" s="280"/>
      <c r="X420" s="281"/>
      <c r="Y420" s="246"/>
      <c r="Z420" s="246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BP420" s="390" t="str">
        <f>IF($X$13="/28",IF(Q420="","",Q420),IF($X$13="/90",IF(#REF!="","",#REF!),"Falso"))</f>
        <v/>
      </c>
      <c r="BQ420" s="392" t="str">
        <f t="shared" si="554"/>
        <v/>
      </c>
      <c r="BS420" s="50" t="str">
        <f>Q822</f>
        <v/>
      </c>
      <c r="BT420" s="50" t="e">
        <f>#REF!</f>
        <v>#REF!</v>
      </c>
      <c r="BU420" s="39" t="str">
        <f t="shared" si="630"/>
        <v/>
      </c>
      <c r="BV420" s="39" t="str">
        <f t="shared" si="623"/>
        <v/>
      </c>
    </row>
    <row r="421" spans="1:74" ht="14.25" customHeight="1" x14ac:dyDescent="0.35">
      <c r="A421" s="294"/>
      <c r="B421" s="296"/>
      <c r="C421" s="298"/>
      <c r="D421" s="300"/>
      <c r="E421" s="302"/>
      <c r="F421" s="304"/>
      <c r="G421" s="276"/>
      <c r="H421" s="277"/>
      <c r="I421" s="290"/>
      <c r="J421" s="290"/>
      <c r="K421" s="291"/>
      <c r="L421" s="17"/>
      <c r="M421" s="286"/>
      <c r="N421" s="21"/>
      <c r="O421" s="286"/>
      <c r="P421" s="21"/>
      <c r="Q421" s="286"/>
      <c r="R421" s="248"/>
      <c r="S421" s="287"/>
      <c r="T421" s="248"/>
      <c r="U421" s="13"/>
      <c r="V421" s="282"/>
      <c r="W421" s="283"/>
      <c r="X421" s="284"/>
      <c r="Y421" s="245"/>
      <c r="Z421" s="245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BP421" s="391"/>
      <c r="BQ421" s="393"/>
      <c r="BS421" s="50" t="str">
        <f>Q824</f>
        <v/>
      </c>
      <c r="BT421" s="50" t="e">
        <f>#REF!</f>
        <v>#REF!</v>
      </c>
      <c r="BU421" s="39" t="str">
        <f t="shared" si="630"/>
        <v/>
      </c>
      <c r="BV421" s="39" t="str">
        <f t="shared" si="623"/>
        <v/>
      </c>
    </row>
    <row r="422" spans="1:74" ht="14.25" customHeight="1" x14ac:dyDescent="0.35">
      <c r="A422" s="293">
        <v>203</v>
      </c>
      <c r="B422" s="295"/>
      <c r="C422" s="297"/>
      <c r="D422" s="299"/>
      <c r="E422" s="301"/>
      <c r="F422" s="303"/>
      <c r="G422" s="288"/>
      <c r="H422" s="289"/>
      <c r="I422" s="290"/>
      <c r="J422" s="290"/>
      <c r="K422" s="291"/>
      <c r="L422" s="18"/>
      <c r="M422" s="285" t="str">
        <f t="shared" ref="M422" si="649">IF(COUNT(L422:L423)&lt;1,"",AVERAGE(L422:L423))</f>
        <v/>
      </c>
      <c r="N422" s="22"/>
      <c r="O422" s="285" t="str">
        <f t="shared" ref="O422" si="650">IF(COUNT(N422:N423)&lt;1,"",AVERAGE(N422:N423))</f>
        <v/>
      </c>
      <c r="P422" s="22"/>
      <c r="Q422" s="285" t="str">
        <f t="shared" ref="Q422" si="651">IF(COUNT(P422:P423)&lt;1,"",AVERAGE(P422:P423))</f>
        <v/>
      </c>
      <c r="R422" s="278" t="str">
        <f>IF($X$13="/28",IF(COUNT(P422:P423)&lt;=1,"",ABS(P422-P423)),IF($X$13="/90",IF(COUNT(#REF!)&lt;=1,"",ABS(#REF!-#REF!))))</f>
        <v/>
      </c>
      <c r="S422" s="278" t="str">
        <f>IF($X$13="/28",IF(Q422="","",IF(AVERAGE(Q418:Q423)&gt;=$W$13,ROUND(AVERAGE(Q418:Q423),1)&amp;" ≥ "&amp;$W$13&amp;" OK",ROUND(AVERAGE(Q418:Q423),1)&amp;" &lt; "&amp;$W$13&amp;" NC")),IF($X$13="/90",IF(#REF!="","",IF(AVERAGE(#REF!)&gt;=$W$13,ROUND(AVERAGE(#REF!),1)&amp;" ≥ "&amp;$W$13&amp;" OK",ROUND(AVERAGE(#REF!),1)&amp;" &lt; "&amp;$W$13&amp;" NC"))))</f>
        <v/>
      </c>
      <c r="T422" s="278" t="str">
        <f>IF($X$13="/28",IF(Q422="","",IF(Q422&gt;=$W$13-$S$12,ROUND((Q422),1)&amp;" ≥ "&amp;$W$13-$S$12&amp;" OK",ROUND((Q422),1)&amp;" &lt; "&amp;$W$13-$S$12&amp;" NC")),IF($X$13="/90",IF(#REF!="","",IF(#REF!&gt;=$W$13-$S$12,ROUND((#REF!),1)&amp;" ≥ "&amp;$W$13-$S$12&amp;" OK",ROUND((#REF!),1)&amp;" &lt; "&amp;$W$13-$S$12&amp;" NC"))))</f>
        <v/>
      </c>
      <c r="U422" s="14"/>
      <c r="V422" s="279"/>
      <c r="W422" s="280"/>
      <c r="X422" s="281"/>
      <c r="Y422" s="246"/>
      <c r="Z422" s="246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BP422" s="390" t="str">
        <f>IF($X$13="/28",IF(Q422="","",Q422),IF($X$13="/90",IF(#REF!="","",#REF!),"Falso"))</f>
        <v/>
      </c>
      <c r="BQ422" s="392" t="str">
        <f t="shared" si="558"/>
        <v/>
      </c>
      <c r="BS422" s="50" t="str">
        <f>Q826</f>
        <v/>
      </c>
      <c r="BT422" s="50" t="e">
        <f>#REF!</f>
        <v>#REF!</v>
      </c>
      <c r="BU422" s="39" t="str">
        <f t="shared" si="630"/>
        <v/>
      </c>
      <c r="BV422" s="39" t="str">
        <f t="shared" si="623"/>
        <v/>
      </c>
    </row>
    <row r="423" spans="1:74" ht="14.25" customHeight="1" x14ac:dyDescent="0.35">
      <c r="A423" s="294"/>
      <c r="B423" s="296"/>
      <c r="C423" s="298"/>
      <c r="D423" s="300"/>
      <c r="E423" s="302"/>
      <c r="F423" s="304"/>
      <c r="G423" s="276"/>
      <c r="H423" s="277"/>
      <c r="I423" s="290"/>
      <c r="J423" s="290"/>
      <c r="K423" s="291"/>
      <c r="L423" s="17"/>
      <c r="M423" s="286"/>
      <c r="N423" s="21"/>
      <c r="O423" s="286"/>
      <c r="P423" s="21"/>
      <c r="Q423" s="286"/>
      <c r="R423" s="248"/>
      <c r="S423" s="287"/>
      <c r="T423" s="248"/>
      <c r="U423" s="13"/>
      <c r="V423" s="282"/>
      <c r="W423" s="283"/>
      <c r="X423" s="284"/>
      <c r="Y423" s="245"/>
      <c r="Z423" s="245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BP423" s="391"/>
      <c r="BQ423" s="393"/>
      <c r="BS423" s="50" t="str">
        <f>Q828</f>
        <v/>
      </c>
      <c r="BT423" s="50" t="e">
        <f>#REF!</f>
        <v>#REF!</v>
      </c>
      <c r="BU423" s="39" t="str">
        <f t="shared" si="630"/>
        <v/>
      </c>
      <c r="BV423" s="39" t="str">
        <f t="shared" si="623"/>
        <v/>
      </c>
    </row>
    <row r="424" spans="1:74" ht="14.25" customHeight="1" x14ac:dyDescent="0.35">
      <c r="A424" s="293">
        <v>204</v>
      </c>
      <c r="B424" s="295"/>
      <c r="C424" s="297"/>
      <c r="D424" s="299"/>
      <c r="E424" s="301"/>
      <c r="F424" s="303"/>
      <c r="G424" s="288"/>
      <c r="H424" s="289"/>
      <c r="I424" s="290"/>
      <c r="J424" s="290"/>
      <c r="K424" s="291"/>
      <c r="L424" s="18"/>
      <c r="M424" s="285" t="str">
        <f t="shared" ref="M424" si="652">IF(COUNT(L424:L425)&lt;1,"",AVERAGE(L424:L425))</f>
        <v/>
      </c>
      <c r="N424" s="22"/>
      <c r="O424" s="285" t="str">
        <f t="shared" ref="O424" si="653">IF(COUNT(N424:N425)&lt;1,"",AVERAGE(N424:N425))</f>
        <v/>
      </c>
      <c r="P424" s="22"/>
      <c r="Q424" s="285" t="str">
        <f t="shared" ref="Q424" si="654">IF(COUNT(P424:P425)&lt;1,"",AVERAGE(P424:P425))</f>
        <v/>
      </c>
      <c r="R424" s="278" t="str">
        <f>IF($X$13="/28",IF(COUNT(P424:P425)&lt;=1,"",ABS(P424-P425)),IF($X$13="/90",IF(COUNT(#REF!)&lt;=1,"",ABS(#REF!-#REF!))))</f>
        <v/>
      </c>
      <c r="S424" s="278" t="str">
        <f>IF($X$13="/28",IF(Q424="","",IF(AVERAGE(Q420:Q425)&gt;=$W$13,ROUND(AVERAGE(Q420:Q425),1)&amp;" ≥ "&amp;$W$13&amp;" OK",ROUND(AVERAGE(Q420:Q425),1)&amp;" &lt; "&amp;$W$13&amp;" NC")),IF($X$13="/90",IF(#REF!="","",IF(AVERAGE(#REF!)&gt;=$W$13,ROUND(AVERAGE(#REF!),1)&amp;" ≥ "&amp;$W$13&amp;" OK",ROUND(AVERAGE(#REF!),1)&amp;" &lt; "&amp;$W$13&amp;" NC"))))</f>
        <v/>
      </c>
      <c r="T424" s="278" t="str">
        <f>IF($X$13="/28",IF(Q424="","",IF(Q424&gt;=$W$13-$S$12,ROUND((Q424),1)&amp;" ≥ "&amp;$W$13-$S$12&amp;" OK",ROUND((Q424),1)&amp;" &lt; "&amp;$W$13-$S$12&amp;" NC")),IF($X$13="/90",IF(#REF!="","",IF(#REF!&gt;=$W$13-$S$12,ROUND((#REF!),1)&amp;" ≥ "&amp;$W$13-$S$12&amp;" OK",ROUND((#REF!),1)&amp;" &lt; "&amp;$W$13-$S$12&amp;" NC"))))</f>
        <v/>
      </c>
      <c r="U424" s="14"/>
      <c r="V424" s="279"/>
      <c r="W424" s="280"/>
      <c r="X424" s="281"/>
      <c r="Y424" s="246"/>
      <c r="Z424" s="246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BP424" s="390" t="str">
        <f>IF($X$13="/28",IF(Q424="","",Q424),IF($X$13="/90",IF(#REF!="","",#REF!),"Falso"))</f>
        <v/>
      </c>
      <c r="BQ424" s="392" t="str">
        <f t="shared" si="562"/>
        <v/>
      </c>
      <c r="BS424" s="50" t="str">
        <f>Q830</f>
        <v/>
      </c>
      <c r="BT424" s="50" t="e">
        <f>#REF!</f>
        <v>#REF!</v>
      </c>
      <c r="BU424" s="39" t="str">
        <f t="shared" si="630"/>
        <v/>
      </c>
      <c r="BV424" s="39" t="str">
        <f t="shared" si="623"/>
        <v/>
      </c>
    </row>
    <row r="425" spans="1:74" ht="14.25" customHeight="1" x14ac:dyDescent="0.35">
      <c r="A425" s="294"/>
      <c r="B425" s="296"/>
      <c r="C425" s="298"/>
      <c r="D425" s="300"/>
      <c r="E425" s="302"/>
      <c r="F425" s="304"/>
      <c r="G425" s="276"/>
      <c r="H425" s="277"/>
      <c r="I425" s="290"/>
      <c r="J425" s="290"/>
      <c r="K425" s="291"/>
      <c r="L425" s="17"/>
      <c r="M425" s="286"/>
      <c r="N425" s="21"/>
      <c r="O425" s="286"/>
      <c r="P425" s="21"/>
      <c r="Q425" s="286"/>
      <c r="R425" s="248"/>
      <c r="S425" s="287"/>
      <c r="T425" s="248"/>
      <c r="U425" s="13"/>
      <c r="V425" s="282"/>
      <c r="W425" s="283"/>
      <c r="X425" s="284"/>
      <c r="Y425" s="245"/>
      <c r="Z425" s="245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BP425" s="391"/>
      <c r="BQ425" s="393"/>
      <c r="BS425" s="50" t="str">
        <f>Q832</f>
        <v/>
      </c>
      <c r="BT425" s="50" t="e">
        <f>#REF!</f>
        <v>#REF!</v>
      </c>
      <c r="BU425" s="39" t="str">
        <f t="shared" si="630"/>
        <v/>
      </c>
      <c r="BV425" s="39" t="str">
        <f t="shared" si="623"/>
        <v/>
      </c>
    </row>
    <row r="426" spans="1:74" ht="14.25" customHeight="1" x14ac:dyDescent="0.35">
      <c r="A426" s="293">
        <v>205</v>
      </c>
      <c r="B426" s="295"/>
      <c r="C426" s="297"/>
      <c r="D426" s="299"/>
      <c r="E426" s="301"/>
      <c r="F426" s="303"/>
      <c r="G426" s="288"/>
      <c r="H426" s="289"/>
      <c r="I426" s="290"/>
      <c r="J426" s="290"/>
      <c r="K426" s="291"/>
      <c r="L426" s="18"/>
      <c r="M426" s="285" t="str">
        <f t="shared" ref="M426" si="655">IF(COUNT(L426:L427)&lt;1,"",AVERAGE(L426:L427))</f>
        <v/>
      </c>
      <c r="N426" s="22"/>
      <c r="O426" s="285" t="str">
        <f t="shared" ref="O426" si="656">IF(COUNT(N426:N427)&lt;1,"",AVERAGE(N426:N427))</f>
        <v/>
      </c>
      <c r="P426" s="22"/>
      <c r="Q426" s="285" t="str">
        <f t="shared" ref="Q426" si="657">IF(COUNT(P426:P427)&lt;1,"",AVERAGE(P426:P427))</f>
        <v/>
      </c>
      <c r="R426" s="278" t="str">
        <f>IF($X$13="/28",IF(COUNT(P426:P427)&lt;=1,"",ABS(P426-P427)),IF($X$13="/90",IF(COUNT(#REF!)&lt;=1,"",ABS(#REF!-#REF!))))</f>
        <v/>
      </c>
      <c r="S426" s="278" t="str">
        <f>IF($X$13="/28",IF(Q426="","",IF(AVERAGE(Q422:Q427)&gt;=$W$13,ROUND(AVERAGE(Q422:Q427),1)&amp;" ≥ "&amp;$W$13&amp;" OK",ROUND(AVERAGE(Q422:Q427),1)&amp;" &lt; "&amp;$W$13&amp;" NC")),IF($X$13="/90",IF(#REF!="","",IF(AVERAGE(#REF!)&gt;=$W$13,ROUND(AVERAGE(#REF!),1)&amp;" ≥ "&amp;$W$13&amp;" OK",ROUND(AVERAGE(#REF!),1)&amp;" &lt; "&amp;$W$13&amp;" NC"))))</f>
        <v/>
      </c>
      <c r="T426" s="278" t="str">
        <f>IF($X$13="/28",IF(Q426="","",IF(Q426&gt;=$W$13-$S$12,ROUND((Q426),1)&amp;" ≥ "&amp;$W$13-$S$12&amp;" OK",ROUND((Q426),1)&amp;" &lt; "&amp;$W$13-$S$12&amp;" NC")),IF($X$13="/90",IF(#REF!="","",IF(#REF!&gt;=$W$13-$S$12,ROUND((#REF!),1)&amp;" ≥ "&amp;$W$13-$S$12&amp;" OK",ROUND((#REF!),1)&amp;" &lt; "&amp;$W$13-$S$12&amp;" NC"))))</f>
        <v/>
      </c>
      <c r="U426" s="14"/>
      <c r="V426" s="279"/>
      <c r="W426" s="280"/>
      <c r="X426" s="281"/>
      <c r="Y426" s="246"/>
      <c r="Z426" s="246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BP426" s="390" t="str">
        <f>IF($X$13="/28",IF(Q426="","",Q426),IF($X$13="/90",IF(#REF!="","",#REF!),"Falso"))</f>
        <v/>
      </c>
      <c r="BQ426" s="392" t="str">
        <f t="shared" ref="BQ426:BQ486" si="658">IF(BP426="","",BQ424+1)</f>
        <v/>
      </c>
      <c r="BS426" s="50" t="str">
        <f>Q834</f>
        <v/>
      </c>
      <c r="BT426" s="50" t="e">
        <f>#REF!</f>
        <v>#REF!</v>
      </c>
      <c r="BU426" s="39" t="str">
        <f t="shared" si="630"/>
        <v/>
      </c>
      <c r="BV426" s="39" t="str">
        <f t="shared" si="623"/>
        <v/>
      </c>
    </row>
    <row r="427" spans="1:74" ht="14.25" customHeight="1" x14ac:dyDescent="0.35">
      <c r="A427" s="294"/>
      <c r="B427" s="296"/>
      <c r="C427" s="298"/>
      <c r="D427" s="300"/>
      <c r="E427" s="302"/>
      <c r="F427" s="304"/>
      <c r="G427" s="276"/>
      <c r="H427" s="277"/>
      <c r="I427" s="290"/>
      <c r="J427" s="290"/>
      <c r="K427" s="291"/>
      <c r="L427" s="17"/>
      <c r="M427" s="286"/>
      <c r="N427" s="21"/>
      <c r="O427" s="286"/>
      <c r="P427" s="21"/>
      <c r="Q427" s="286"/>
      <c r="R427" s="248"/>
      <c r="S427" s="287"/>
      <c r="T427" s="248"/>
      <c r="U427" s="13"/>
      <c r="V427" s="282"/>
      <c r="W427" s="283"/>
      <c r="X427" s="284"/>
      <c r="Y427" s="245"/>
      <c r="Z427" s="245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BP427" s="391"/>
      <c r="BQ427" s="393"/>
      <c r="BS427" s="50" t="str">
        <f>Q836</f>
        <v/>
      </c>
      <c r="BT427" s="50" t="e">
        <f>#REF!</f>
        <v>#REF!</v>
      </c>
      <c r="BU427" s="39" t="str">
        <f t="shared" si="630"/>
        <v/>
      </c>
      <c r="BV427" s="39" t="str">
        <f t="shared" si="623"/>
        <v/>
      </c>
    </row>
    <row r="428" spans="1:74" ht="14.25" customHeight="1" x14ac:dyDescent="0.35">
      <c r="A428" s="293">
        <v>206</v>
      </c>
      <c r="B428" s="295"/>
      <c r="C428" s="297"/>
      <c r="D428" s="299"/>
      <c r="E428" s="301"/>
      <c r="F428" s="303"/>
      <c r="G428" s="288"/>
      <c r="H428" s="289"/>
      <c r="I428" s="290"/>
      <c r="J428" s="290"/>
      <c r="K428" s="291"/>
      <c r="L428" s="18"/>
      <c r="M428" s="285" t="str">
        <f t="shared" ref="M428" si="659">IF(COUNT(L428:L429)&lt;1,"",AVERAGE(L428:L429))</f>
        <v/>
      </c>
      <c r="N428" s="22"/>
      <c r="O428" s="285" t="str">
        <f t="shared" ref="O428" si="660">IF(COUNT(N428:N429)&lt;1,"",AVERAGE(N428:N429))</f>
        <v/>
      </c>
      <c r="P428" s="22"/>
      <c r="Q428" s="285" t="str">
        <f t="shared" ref="Q428" si="661">IF(COUNT(P428:P429)&lt;1,"",AVERAGE(P428:P429))</f>
        <v/>
      </c>
      <c r="R428" s="278" t="str">
        <f>IF($X$13="/28",IF(COUNT(P428:P429)&lt;=1,"",ABS(P428-P429)),IF($X$13="/90",IF(COUNT(#REF!)&lt;=1,"",ABS(#REF!-#REF!))))</f>
        <v/>
      </c>
      <c r="S428" s="278" t="str">
        <f>IF($X$13="/28",IF(Q428="","",IF(AVERAGE(Q424:Q429)&gt;=$W$13,ROUND(AVERAGE(Q424:Q429),1)&amp;" ≥ "&amp;$W$13&amp;" OK",ROUND(AVERAGE(Q424:Q429),1)&amp;" &lt; "&amp;$W$13&amp;" NC")),IF($X$13="/90",IF(#REF!="","",IF(AVERAGE(#REF!)&gt;=$W$13,ROUND(AVERAGE(#REF!),1)&amp;" ≥ "&amp;$W$13&amp;" OK",ROUND(AVERAGE(#REF!),1)&amp;" &lt; "&amp;$W$13&amp;" NC"))))</f>
        <v/>
      </c>
      <c r="T428" s="278" t="str">
        <f>IF($X$13="/28",IF(Q428="","",IF(Q428&gt;=$W$13-$S$12,ROUND((Q428),1)&amp;" ≥ "&amp;$W$13-$S$12&amp;" OK",ROUND((Q428),1)&amp;" &lt; "&amp;$W$13-$S$12&amp;" NC")),IF($X$13="/90",IF(#REF!="","",IF(#REF!&gt;=$W$13-$S$12,ROUND((#REF!),1)&amp;" ≥ "&amp;$W$13-$S$12&amp;" OK",ROUND((#REF!),1)&amp;" &lt; "&amp;$W$13-$S$12&amp;" NC"))))</f>
        <v/>
      </c>
      <c r="U428" s="14"/>
      <c r="V428" s="279"/>
      <c r="W428" s="280"/>
      <c r="X428" s="281"/>
      <c r="Y428" s="246"/>
      <c r="Z428" s="246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BP428" s="390" t="str">
        <f>IF($X$13="/28",IF(Q428="","",Q428),IF($X$13="/90",IF(#REF!="","",#REF!),"Falso"))</f>
        <v/>
      </c>
      <c r="BQ428" s="392" t="str">
        <f t="shared" ref="BQ428:BQ488" si="662">IF(BP428="","",BQ426+1)</f>
        <v/>
      </c>
      <c r="BS428" s="50" t="str">
        <f>Q838</f>
        <v/>
      </c>
      <c r="BT428" s="50" t="e">
        <f>#REF!</f>
        <v>#REF!</v>
      </c>
      <c r="BU428" s="39" t="str">
        <f t="shared" si="630"/>
        <v/>
      </c>
      <c r="BV428" s="39" t="str">
        <f t="shared" si="623"/>
        <v/>
      </c>
    </row>
    <row r="429" spans="1:74" ht="14.25" customHeight="1" x14ac:dyDescent="0.35">
      <c r="A429" s="294"/>
      <c r="B429" s="296"/>
      <c r="C429" s="298"/>
      <c r="D429" s="300"/>
      <c r="E429" s="302"/>
      <c r="F429" s="304"/>
      <c r="G429" s="276"/>
      <c r="H429" s="277"/>
      <c r="I429" s="290"/>
      <c r="J429" s="290"/>
      <c r="K429" s="291"/>
      <c r="L429" s="17"/>
      <c r="M429" s="286"/>
      <c r="N429" s="21"/>
      <c r="O429" s="286"/>
      <c r="P429" s="21"/>
      <c r="Q429" s="286"/>
      <c r="R429" s="248"/>
      <c r="S429" s="287"/>
      <c r="T429" s="248"/>
      <c r="U429" s="13"/>
      <c r="V429" s="282"/>
      <c r="W429" s="283"/>
      <c r="X429" s="284"/>
      <c r="Y429" s="245"/>
      <c r="Z429" s="245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BP429" s="391"/>
      <c r="BQ429" s="393"/>
      <c r="BS429" s="50" t="str">
        <f>Q840</f>
        <v/>
      </c>
      <c r="BT429" s="50" t="e">
        <f>#REF!</f>
        <v>#REF!</v>
      </c>
      <c r="BU429" s="39" t="str">
        <f t="shared" si="630"/>
        <v/>
      </c>
      <c r="BV429" s="39" t="str">
        <f t="shared" si="623"/>
        <v/>
      </c>
    </row>
    <row r="430" spans="1:74" ht="14.25" customHeight="1" x14ac:dyDescent="0.35">
      <c r="A430" s="293">
        <v>207</v>
      </c>
      <c r="B430" s="295"/>
      <c r="C430" s="297"/>
      <c r="D430" s="299"/>
      <c r="E430" s="301"/>
      <c r="F430" s="303"/>
      <c r="G430" s="288"/>
      <c r="H430" s="289"/>
      <c r="I430" s="290"/>
      <c r="J430" s="290"/>
      <c r="K430" s="291"/>
      <c r="L430" s="18"/>
      <c r="M430" s="285" t="str">
        <f t="shared" ref="M430" si="663">IF(COUNT(L430:L431)&lt;1,"",AVERAGE(L430:L431))</f>
        <v/>
      </c>
      <c r="N430" s="22"/>
      <c r="O430" s="285" t="str">
        <f t="shared" ref="O430" si="664">IF(COUNT(N430:N431)&lt;1,"",AVERAGE(N430:N431))</f>
        <v/>
      </c>
      <c r="P430" s="22"/>
      <c r="Q430" s="285" t="str">
        <f t="shared" ref="Q430" si="665">IF(COUNT(P430:P431)&lt;1,"",AVERAGE(P430:P431))</f>
        <v/>
      </c>
      <c r="R430" s="278" t="str">
        <f>IF($X$13="/28",IF(COUNT(P430:P431)&lt;=1,"",ABS(P430-P431)),IF($X$13="/90",IF(COUNT(#REF!)&lt;=1,"",ABS(#REF!-#REF!))))</f>
        <v/>
      </c>
      <c r="S430" s="278" t="str">
        <f>IF($X$13="/28",IF(Q430="","",IF(AVERAGE(Q426:Q431)&gt;=$W$13,ROUND(AVERAGE(Q426:Q431),1)&amp;" ≥ "&amp;$W$13&amp;" OK",ROUND(AVERAGE(Q426:Q431),1)&amp;" &lt; "&amp;$W$13&amp;" NC")),IF($X$13="/90",IF(#REF!="","",IF(AVERAGE(#REF!)&gt;=$W$13,ROUND(AVERAGE(#REF!),1)&amp;" ≥ "&amp;$W$13&amp;" OK",ROUND(AVERAGE(#REF!),1)&amp;" &lt; "&amp;$W$13&amp;" NC"))))</f>
        <v/>
      </c>
      <c r="T430" s="278" t="str">
        <f>IF($X$13="/28",IF(Q430="","",IF(Q430&gt;=$W$13-$S$12,ROUND((Q430),1)&amp;" ≥ "&amp;$W$13-$S$12&amp;" OK",ROUND((Q430),1)&amp;" &lt; "&amp;$W$13-$S$12&amp;" NC")),IF($X$13="/90",IF(#REF!="","",IF(#REF!&gt;=$W$13-$S$12,ROUND((#REF!),1)&amp;" ≥ "&amp;$W$13-$S$12&amp;" OK",ROUND((#REF!),1)&amp;" &lt; "&amp;$W$13-$S$12&amp;" NC"))))</f>
        <v/>
      </c>
      <c r="U430" s="14"/>
      <c r="V430" s="279"/>
      <c r="W430" s="280"/>
      <c r="X430" s="281"/>
      <c r="Y430" s="246"/>
      <c r="Z430" s="246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BP430" s="390" t="str">
        <f>IF($X$13="/28",IF(Q430="","",Q430),IF($X$13="/90",IF(#REF!="","",#REF!),"Falso"))</f>
        <v/>
      </c>
      <c r="BQ430" s="392" t="str">
        <f t="shared" ref="BQ430:BQ490" si="666">IF(BP430="","",BQ428+1)</f>
        <v/>
      </c>
      <c r="BS430" s="50" t="str">
        <f>Q842</f>
        <v/>
      </c>
      <c r="BT430" s="50" t="e">
        <f>#REF!</f>
        <v>#REF!</v>
      </c>
      <c r="BU430" s="39" t="str">
        <f t="shared" si="630"/>
        <v/>
      </c>
      <c r="BV430" s="39" t="str">
        <f t="shared" si="623"/>
        <v/>
      </c>
    </row>
    <row r="431" spans="1:74" ht="14.25" customHeight="1" x14ac:dyDescent="0.35">
      <c r="A431" s="294"/>
      <c r="B431" s="296"/>
      <c r="C431" s="298"/>
      <c r="D431" s="300"/>
      <c r="E431" s="302"/>
      <c r="F431" s="304"/>
      <c r="G431" s="276"/>
      <c r="H431" s="277"/>
      <c r="I431" s="290"/>
      <c r="J431" s="290"/>
      <c r="K431" s="291"/>
      <c r="L431" s="17"/>
      <c r="M431" s="286"/>
      <c r="N431" s="21"/>
      <c r="O431" s="286"/>
      <c r="P431" s="21"/>
      <c r="Q431" s="286"/>
      <c r="R431" s="248"/>
      <c r="S431" s="287"/>
      <c r="T431" s="248"/>
      <c r="U431" s="13"/>
      <c r="V431" s="282"/>
      <c r="W431" s="283"/>
      <c r="X431" s="284"/>
      <c r="Y431" s="245"/>
      <c r="Z431" s="245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BP431" s="391"/>
      <c r="BQ431" s="393"/>
      <c r="BS431" s="50" t="str">
        <f>Q844</f>
        <v/>
      </c>
      <c r="BT431" s="50" t="e">
        <f>#REF!</f>
        <v>#REF!</v>
      </c>
      <c r="BU431" s="39" t="str">
        <f t="shared" si="630"/>
        <v/>
      </c>
      <c r="BV431" s="39" t="str">
        <f t="shared" si="623"/>
        <v/>
      </c>
    </row>
    <row r="432" spans="1:74" ht="14.25" customHeight="1" x14ac:dyDescent="0.35">
      <c r="A432" s="293">
        <v>208</v>
      </c>
      <c r="B432" s="295"/>
      <c r="C432" s="297"/>
      <c r="D432" s="299"/>
      <c r="E432" s="301"/>
      <c r="F432" s="303"/>
      <c r="G432" s="288"/>
      <c r="H432" s="289"/>
      <c r="I432" s="290"/>
      <c r="J432" s="290"/>
      <c r="K432" s="291"/>
      <c r="L432" s="18"/>
      <c r="M432" s="285" t="str">
        <f t="shared" ref="M432" si="667">IF(COUNT(L432:L433)&lt;1,"",AVERAGE(L432:L433))</f>
        <v/>
      </c>
      <c r="N432" s="22"/>
      <c r="O432" s="285" t="str">
        <f t="shared" ref="O432" si="668">IF(COUNT(N432:N433)&lt;1,"",AVERAGE(N432:N433))</f>
        <v/>
      </c>
      <c r="P432" s="22"/>
      <c r="Q432" s="285" t="str">
        <f t="shared" ref="Q432" si="669">IF(COUNT(P432:P433)&lt;1,"",AVERAGE(P432:P433))</f>
        <v/>
      </c>
      <c r="R432" s="278" t="str">
        <f>IF($X$13="/28",IF(COUNT(P432:P433)&lt;=1,"",ABS(P432-P433)),IF($X$13="/90",IF(COUNT(#REF!)&lt;=1,"",ABS(#REF!-#REF!))))</f>
        <v/>
      </c>
      <c r="S432" s="278" t="str">
        <f>IF($X$13="/28",IF(Q432="","",IF(AVERAGE(Q428:Q433)&gt;=$W$13,ROUND(AVERAGE(Q428:Q433),1)&amp;" ≥ "&amp;$W$13&amp;" OK",ROUND(AVERAGE(Q428:Q433),1)&amp;" &lt; "&amp;$W$13&amp;" NC")),IF($X$13="/90",IF(#REF!="","",IF(AVERAGE(#REF!)&gt;=$W$13,ROUND(AVERAGE(#REF!),1)&amp;" ≥ "&amp;$W$13&amp;" OK",ROUND(AVERAGE(#REF!),1)&amp;" &lt; "&amp;$W$13&amp;" NC"))))</f>
        <v/>
      </c>
      <c r="T432" s="278" t="str">
        <f>IF($X$13="/28",IF(Q432="","",IF(Q432&gt;=$W$13-$S$12,ROUND((Q432),1)&amp;" ≥ "&amp;$W$13-$S$12&amp;" OK",ROUND((Q432),1)&amp;" &lt; "&amp;$W$13-$S$12&amp;" NC")),IF($X$13="/90",IF(#REF!="","",IF(#REF!&gt;=$W$13-$S$12,ROUND((#REF!),1)&amp;" ≥ "&amp;$W$13-$S$12&amp;" OK",ROUND((#REF!),1)&amp;" &lt; "&amp;$W$13-$S$12&amp;" NC"))))</f>
        <v/>
      </c>
      <c r="U432" s="14"/>
      <c r="V432" s="279"/>
      <c r="W432" s="280"/>
      <c r="X432" s="281"/>
      <c r="Y432" s="246"/>
      <c r="Z432" s="246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BP432" s="390" t="str">
        <f>IF($X$13="/28",IF(Q432="","",Q432),IF($X$13="/90",IF(#REF!="","",#REF!),"Falso"))</f>
        <v/>
      </c>
      <c r="BQ432" s="392" t="str">
        <f t="shared" si="658"/>
        <v/>
      </c>
      <c r="BS432" s="50" t="str">
        <f>Q846</f>
        <v/>
      </c>
      <c r="BT432" s="50" t="e">
        <f>#REF!</f>
        <v>#REF!</v>
      </c>
      <c r="BU432" s="39" t="str">
        <f t="shared" si="630"/>
        <v/>
      </c>
      <c r="BV432" s="39" t="str">
        <f t="shared" si="623"/>
        <v/>
      </c>
    </row>
    <row r="433" spans="1:74" ht="14.25" customHeight="1" x14ac:dyDescent="0.35">
      <c r="A433" s="294"/>
      <c r="B433" s="296"/>
      <c r="C433" s="298"/>
      <c r="D433" s="300"/>
      <c r="E433" s="302"/>
      <c r="F433" s="304"/>
      <c r="G433" s="276"/>
      <c r="H433" s="277"/>
      <c r="I433" s="290"/>
      <c r="J433" s="290"/>
      <c r="K433" s="291"/>
      <c r="L433" s="17"/>
      <c r="M433" s="286"/>
      <c r="N433" s="21"/>
      <c r="O433" s="286"/>
      <c r="P433" s="21"/>
      <c r="Q433" s="286"/>
      <c r="R433" s="248"/>
      <c r="S433" s="287"/>
      <c r="T433" s="248"/>
      <c r="U433" s="13"/>
      <c r="V433" s="282"/>
      <c r="W433" s="283"/>
      <c r="X433" s="284"/>
      <c r="Y433" s="245"/>
      <c r="Z433" s="245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BP433" s="391"/>
      <c r="BQ433" s="393"/>
      <c r="BS433" s="50" t="str">
        <f>Q848</f>
        <v/>
      </c>
      <c r="BT433" s="50" t="e">
        <f>#REF!</f>
        <v>#REF!</v>
      </c>
      <c r="BU433" s="39" t="str">
        <f t="shared" si="630"/>
        <v/>
      </c>
      <c r="BV433" s="39" t="str">
        <f t="shared" si="623"/>
        <v/>
      </c>
    </row>
    <row r="434" spans="1:74" ht="14.25" customHeight="1" x14ac:dyDescent="0.35">
      <c r="A434" s="293">
        <v>209</v>
      </c>
      <c r="B434" s="295"/>
      <c r="C434" s="297"/>
      <c r="D434" s="299"/>
      <c r="E434" s="301"/>
      <c r="F434" s="303"/>
      <c r="G434" s="288"/>
      <c r="H434" s="289"/>
      <c r="I434" s="290"/>
      <c r="J434" s="290"/>
      <c r="K434" s="291"/>
      <c r="L434" s="18"/>
      <c r="M434" s="285" t="str">
        <f t="shared" ref="M434" si="670">IF(COUNT(L434:L435)&lt;1,"",AVERAGE(L434:L435))</f>
        <v/>
      </c>
      <c r="N434" s="22"/>
      <c r="O434" s="285" t="str">
        <f t="shared" ref="O434" si="671">IF(COUNT(N434:N435)&lt;1,"",AVERAGE(N434:N435))</f>
        <v/>
      </c>
      <c r="P434" s="22"/>
      <c r="Q434" s="285" t="str">
        <f t="shared" ref="Q434" si="672">IF(COUNT(P434:P435)&lt;1,"",AVERAGE(P434:P435))</f>
        <v/>
      </c>
      <c r="R434" s="278" t="str">
        <f>IF($X$13="/28",IF(COUNT(P434:P435)&lt;=1,"",ABS(P434-P435)),IF($X$13="/90",IF(COUNT(#REF!)&lt;=1,"",ABS(#REF!-#REF!))))</f>
        <v/>
      </c>
      <c r="S434" s="278" t="str">
        <f>IF($X$13="/28",IF(Q434="","",IF(AVERAGE(Q430:Q435)&gt;=$W$13,ROUND(AVERAGE(Q430:Q435),1)&amp;" ≥ "&amp;$W$13&amp;" OK",ROUND(AVERAGE(Q430:Q435),1)&amp;" &lt; "&amp;$W$13&amp;" NC")),IF($X$13="/90",IF(#REF!="","",IF(AVERAGE(#REF!)&gt;=$W$13,ROUND(AVERAGE(#REF!),1)&amp;" ≥ "&amp;$W$13&amp;" OK",ROUND(AVERAGE(#REF!),1)&amp;" &lt; "&amp;$W$13&amp;" NC"))))</f>
        <v/>
      </c>
      <c r="T434" s="278" t="str">
        <f>IF($X$13="/28",IF(Q434="","",IF(Q434&gt;=$W$13-$S$12,ROUND((Q434),1)&amp;" ≥ "&amp;$W$13-$S$12&amp;" OK",ROUND((Q434),1)&amp;" &lt; "&amp;$W$13-$S$12&amp;" NC")),IF($X$13="/90",IF(#REF!="","",IF(#REF!&gt;=$W$13-$S$12,ROUND((#REF!),1)&amp;" ≥ "&amp;$W$13-$S$12&amp;" OK",ROUND((#REF!),1)&amp;" &lt; "&amp;$W$13-$S$12&amp;" NC"))))</f>
        <v/>
      </c>
      <c r="U434" s="14"/>
      <c r="V434" s="279"/>
      <c r="W434" s="280"/>
      <c r="X434" s="281"/>
      <c r="Y434" s="246"/>
      <c r="Z434" s="246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BP434" s="390" t="str">
        <f>IF($X$13="/28",IF(Q434="","",Q434),IF($X$13="/90",IF(#REF!="","",#REF!),"Falso"))</f>
        <v/>
      </c>
      <c r="BQ434" s="392" t="str">
        <f t="shared" si="662"/>
        <v/>
      </c>
      <c r="BS434" s="50" t="str">
        <f>Q850</f>
        <v/>
      </c>
      <c r="BT434" s="50" t="e">
        <f>#REF!</f>
        <v>#REF!</v>
      </c>
      <c r="BU434" s="39" t="str">
        <f t="shared" si="630"/>
        <v/>
      </c>
      <c r="BV434" s="39" t="str">
        <f t="shared" si="623"/>
        <v/>
      </c>
    </row>
    <row r="435" spans="1:74" ht="14.25" customHeight="1" x14ac:dyDescent="0.35">
      <c r="A435" s="294"/>
      <c r="B435" s="296"/>
      <c r="C435" s="298"/>
      <c r="D435" s="300"/>
      <c r="E435" s="302"/>
      <c r="F435" s="304"/>
      <c r="G435" s="276"/>
      <c r="H435" s="277"/>
      <c r="I435" s="290"/>
      <c r="J435" s="290"/>
      <c r="K435" s="291"/>
      <c r="L435" s="17"/>
      <c r="M435" s="286"/>
      <c r="N435" s="21"/>
      <c r="O435" s="286"/>
      <c r="P435" s="21"/>
      <c r="Q435" s="286"/>
      <c r="R435" s="248"/>
      <c r="S435" s="287"/>
      <c r="T435" s="248"/>
      <c r="U435" s="13"/>
      <c r="V435" s="282"/>
      <c r="W435" s="283"/>
      <c r="X435" s="284"/>
      <c r="Y435" s="245"/>
      <c r="Z435" s="245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BP435" s="391"/>
      <c r="BQ435" s="393"/>
      <c r="BS435" s="50" t="str">
        <f>Q852</f>
        <v/>
      </c>
      <c r="BT435" s="50" t="e">
        <f>#REF!</f>
        <v>#REF!</v>
      </c>
      <c r="BU435" s="39" t="str">
        <f t="shared" si="630"/>
        <v/>
      </c>
      <c r="BV435" s="39" t="str">
        <f t="shared" si="623"/>
        <v/>
      </c>
    </row>
    <row r="436" spans="1:74" ht="14.25" customHeight="1" x14ac:dyDescent="0.35">
      <c r="A436" s="293">
        <v>210</v>
      </c>
      <c r="B436" s="295"/>
      <c r="C436" s="297"/>
      <c r="D436" s="299"/>
      <c r="E436" s="301"/>
      <c r="F436" s="303"/>
      <c r="G436" s="288"/>
      <c r="H436" s="289"/>
      <c r="I436" s="290"/>
      <c r="J436" s="290"/>
      <c r="K436" s="291"/>
      <c r="L436" s="18"/>
      <c r="M436" s="285" t="str">
        <f t="shared" ref="M436" si="673">IF(COUNT(L436:L437)&lt;1,"",AVERAGE(L436:L437))</f>
        <v/>
      </c>
      <c r="N436" s="22"/>
      <c r="O436" s="285" t="str">
        <f t="shared" ref="O436" si="674">IF(COUNT(N436:N437)&lt;1,"",AVERAGE(N436:N437))</f>
        <v/>
      </c>
      <c r="P436" s="22"/>
      <c r="Q436" s="285" t="str">
        <f t="shared" ref="Q436" si="675">IF(COUNT(P436:P437)&lt;1,"",AVERAGE(P436:P437))</f>
        <v/>
      </c>
      <c r="R436" s="278" t="str">
        <f>IF($X$13="/28",IF(COUNT(P436:P437)&lt;=1,"",ABS(P436-P437)),IF($X$13="/90",IF(COUNT(#REF!)&lt;=1,"",ABS(#REF!-#REF!))))</f>
        <v/>
      </c>
      <c r="S436" s="278" t="str">
        <f>IF($X$13="/28",IF(Q436="","",IF(AVERAGE(Q432:Q437)&gt;=$W$13,ROUND(AVERAGE(Q432:Q437),1)&amp;" ≥ "&amp;$W$13&amp;" OK",ROUND(AVERAGE(Q432:Q437),1)&amp;" &lt; "&amp;$W$13&amp;" NC")),IF($X$13="/90",IF(#REF!="","",IF(AVERAGE(#REF!)&gt;=$W$13,ROUND(AVERAGE(#REF!),1)&amp;" ≥ "&amp;$W$13&amp;" OK",ROUND(AVERAGE(#REF!),1)&amp;" &lt; "&amp;$W$13&amp;" NC"))))</f>
        <v/>
      </c>
      <c r="T436" s="278" t="str">
        <f>IF($X$13="/28",IF(Q436="","",IF(Q436&gt;=$W$13-$S$12,ROUND((Q436),1)&amp;" ≥ "&amp;$W$13-$S$12&amp;" OK",ROUND((Q436),1)&amp;" &lt; "&amp;$W$13-$S$12&amp;" NC")),IF($X$13="/90",IF(#REF!="","",IF(#REF!&gt;=$W$13-$S$12,ROUND((#REF!),1)&amp;" ≥ "&amp;$W$13-$S$12&amp;" OK",ROUND((#REF!),1)&amp;" &lt; "&amp;$W$13-$S$12&amp;" NC"))))</f>
        <v/>
      </c>
      <c r="U436" s="14"/>
      <c r="V436" s="279"/>
      <c r="W436" s="280"/>
      <c r="X436" s="281"/>
      <c r="Y436" s="246"/>
      <c r="Z436" s="246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BP436" s="390" t="str">
        <f>IF($X$13="/28",IF(Q436="","",Q436),IF($X$13="/90",IF(#REF!="","",#REF!),"Falso"))</f>
        <v/>
      </c>
      <c r="BQ436" s="392" t="str">
        <f t="shared" si="666"/>
        <v/>
      </c>
      <c r="BS436" s="50" t="str">
        <f>Q854</f>
        <v/>
      </c>
      <c r="BT436" s="50" t="e">
        <f>#REF!</f>
        <v>#REF!</v>
      </c>
      <c r="BU436" s="39" t="str">
        <f t="shared" si="630"/>
        <v/>
      </c>
      <c r="BV436" s="39" t="str">
        <f t="shared" si="623"/>
        <v/>
      </c>
    </row>
    <row r="437" spans="1:74" ht="14.25" customHeight="1" thickBot="1" x14ac:dyDescent="0.4">
      <c r="A437" s="384"/>
      <c r="B437" s="385"/>
      <c r="C437" s="386"/>
      <c r="D437" s="387"/>
      <c r="E437" s="388"/>
      <c r="F437" s="389"/>
      <c r="G437" s="377"/>
      <c r="H437" s="378"/>
      <c r="I437" s="382"/>
      <c r="J437" s="382"/>
      <c r="K437" s="383"/>
      <c r="L437" s="19"/>
      <c r="M437" s="379"/>
      <c r="N437" s="23"/>
      <c r="O437" s="379"/>
      <c r="P437" s="23"/>
      <c r="Q437" s="379"/>
      <c r="R437" s="380"/>
      <c r="S437" s="381"/>
      <c r="T437" s="380"/>
      <c r="U437" s="15"/>
      <c r="V437" s="373"/>
      <c r="W437" s="374"/>
      <c r="X437" s="375"/>
      <c r="Y437" s="376"/>
      <c r="Z437" s="376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BP437" s="391"/>
      <c r="BQ437" s="393"/>
      <c r="BS437" s="50" t="str">
        <f>Q856</f>
        <v/>
      </c>
      <c r="BT437" s="50" t="e">
        <f>#REF!</f>
        <v>#REF!</v>
      </c>
      <c r="BU437" s="39" t="str">
        <f t="shared" si="630"/>
        <v/>
      </c>
      <c r="BV437" s="39" t="str">
        <f t="shared" si="623"/>
        <v/>
      </c>
    </row>
    <row r="438" spans="1:74" ht="14.25" customHeight="1" x14ac:dyDescent="0.35">
      <c r="A438" s="311">
        <v>211</v>
      </c>
      <c r="B438" s="312"/>
      <c r="C438" s="313"/>
      <c r="D438" s="314"/>
      <c r="E438" s="315"/>
      <c r="F438" s="353"/>
      <c r="G438" s="354"/>
      <c r="H438" s="355"/>
      <c r="I438" s="356"/>
      <c r="J438" s="356"/>
      <c r="K438" s="357"/>
      <c r="L438" s="16"/>
      <c r="M438" s="352" t="str">
        <f t="shared" ref="M438" si="676">IF(COUNT(L438:L439)&lt;1,"",AVERAGE(L438:L439))</f>
        <v/>
      </c>
      <c r="N438" s="20"/>
      <c r="O438" s="352" t="str">
        <f t="shared" ref="O438" si="677">IF(COUNT(N438:N439)&lt;1,"",AVERAGE(N438:N439))</f>
        <v/>
      </c>
      <c r="P438" s="20"/>
      <c r="Q438" s="352" t="str">
        <f t="shared" ref="Q438" si="678">IF(COUNT(P438:P439)&lt;1,"",AVERAGE(P438:P439))</f>
        <v/>
      </c>
      <c r="R438" s="247" t="str">
        <f>IF($X$13="/28",IF(COUNT(P438:P439)&lt;=1,"",ABS(P438-P439)),IF($X$13="/90",IF(COUNT(#REF!)&lt;=1,"",ABS(#REF!-#REF!))))</f>
        <v/>
      </c>
      <c r="S438" s="247" t="str">
        <f>IF($X$13="/28",IF(Q438="","",IF(AVERAGE(Q434:Q439)&gt;=$W$13,ROUND(AVERAGE(Q434:Q439),1)&amp;" ≥ "&amp;$W$13&amp;" OK",ROUND(AVERAGE(Q434:Q439),1)&amp;" &lt; "&amp;$W$13&amp;" NC")),IF($X$13="/90",IF(#REF!="","",IF(AVERAGE(#REF!)&gt;=$W$13,ROUND(AVERAGE(#REF!),1)&amp;" ≥ "&amp;$W$13&amp;" OK",ROUND(AVERAGE(#REF!),1)&amp;" &lt; "&amp;$W$13&amp;" NC"))))</f>
        <v/>
      </c>
      <c r="T438" s="247" t="str">
        <f>IF($X$13="/28",IF(Q438="","",IF(Q438&gt;=$W$13-$S$12,ROUND((Q438),1)&amp;" ≥ "&amp;$W$13-$S$12&amp;" OK",ROUND((Q438),1)&amp;" &lt; "&amp;$W$13-$S$12&amp;" NC")),IF($X$13="/90",IF(#REF!="","",IF(#REF!&gt;=$W$13-$S$12,ROUND((#REF!),1)&amp;" ≥ "&amp;$W$13-$S$12&amp;" OK",ROUND((#REF!),1)&amp;" &lt; "&amp;$W$13-$S$12&amp;" NC"))))</f>
        <v/>
      </c>
      <c r="U438" s="12"/>
      <c r="V438" s="349"/>
      <c r="W438" s="350"/>
      <c r="X438" s="351"/>
      <c r="Y438" s="244"/>
      <c r="Z438" s="244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BP438" s="390" t="str">
        <f>IF($X$13="/28",IF(Q438="","",Q438),IF($X$13="/90",IF(#REF!="","",#REF!),"Falso"))</f>
        <v/>
      </c>
      <c r="BQ438" s="392" t="str">
        <f t="shared" si="658"/>
        <v/>
      </c>
      <c r="BS438" s="50" t="str">
        <f>Q858</f>
        <v/>
      </c>
      <c r="BT438" s="50" t="e">
        <f>#REF!</f>
        <v>#REF!</v>
      </c>
      <c r="BU438" s="39" t="str">
        <f t="shared" si="630"/>
        <v/>
      </c>
      <c r="BV438" s="39" t="str">
        <f t="shared" si="623"/>
        <v/>
      </c>
    </row>
    <row r="439" spans="1:74" ht="14.25" customHeight="1" x14ac:dyDescent="0.35">
      <c r="A439" s="294"/>
      <c r="B439" s="296"/>
      <c r="C439" s="298"/>
      <c r="D439" s="300"/>
      <c r="E439" s="302"/>
      <c r="F439" s="304"/>
      <c r="G439" s="276"/>
      <c r="H439" s="277"/>
      <c r="I439" s="290"/>
      <c r="J439" s="290"/>
      <c r="K439" s="291"/>
      <c r="L439" s="17"/>
      <c r="M439" s="286"/>
      <c r="N439" s="21"/>
      <c r="O439" s="286"/>
      <c r="P439" s="21"/>
      <c r="Q439" s="286"/>
      <c r="R439" s="248"/>
      <c r="S439" s="248"/>
      <c r="T439" s="248"/>
      <c r="U439" s="13"/>
      <c r="V439" s="282"/>
      <c r="W439" s="283"/>
      <c r="X439" s="284"/>
      <c r="Y439" s="245"/>
      <c r="Z439" s="245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BP439" s="391"/>
      <c r="BQ439" s="393"/>
      <c r="BS439" s="50" t="str">
        <f>Q860</f>
        <v/>
      </c>
      <c r="BT439" s="50" t="e">
        <f>#REF!</f>
        <v>#REF!</v>
      </c>
      <c r="BU439" s="39" t="str">
        <f t="shared" si="630"/>
        <v/>
      </c>
      <c r="BV439" s="39" t="str">
        <f t="shared" si="623"/>
        <v/>
      </c>
    </row>
    <row r="440" spans="1:74" ht="14.25" customHeight="1" x14ac:dyDescent="0.35">
      <c r="A440" s="293">
        <v>212</v>
      </c>
      <c r="B440" s="295"/>
      <c r="C440" s="297"/>
      <c r="D440" s="299"/>
      <c r="E440" s="301"/>
      <c r="F440" s="303"/>
      <c r="G440" s="288"/>
      <c r="H440" s="289"/>
      <c r="I440" s="290"/>
      <c r="J440" s="290"/>
      <c r="K440" s="291"/>
      <c r="L440" s="18"/>
      <c r="M440" s="285" t="str">
        <f t="shared" ref="M440" si="679">IF(COUNT(L440:L441)&lt;1,"",AVERAGE(L440:L441))</f>
        <v/>
      </c>
      <c r="N440" s="22"/>
      <c r="O440" s="285" t="str">
        <f t="shared" ref="O440" si="680">IF(COUNT(N440:N441)&lt;1,"",AVERAGE(N440:N441))</f>
        <v/>
      </c>
      <c r="P440" s="22"/>
      <c r="Q440" s="285" t="str">
        <f t="shared" ref="Q440" si="681">IF(COUNT(P440:P441)&lt;1,"",AVERAGE(P440:P441))</f>
        <v/>
      </c>
      <c r="R440" s="278" t="str">
        <f>IF($X$13="/28",IF(COUNT(P440:P441)&lt;=1,"",ABS(P440-P441)),IF($X$13="/90",IF(COUNT(#REF!)&lt;=1,"",ABS(#REF!-#REF!))))</f>
        <v/>
      </c>
      <c r="S440" s="278" t="str">
        <f>IF($X$13="/28",IF(Q440="","",IF(AVERAGE(Q436:Q441)&gt;=$W$13,ROUND(AVERAGE(Q436:Q441),1)&amp;" ≥ "&amp;$W$13&amp;" OK",ROUND(AVERAGE(Q436:Q441),1)&amp;" &lt; "&amp;$W$13&amp;" NC")),IF($X$13="/90",IF(#REF!="","",IF(AVERAGE(#REF!)&gt;=$W$13,ROUND(AVERAGE(#REF!),1)&amp;" ≥ "&amp;$W$13&amp;" OK",ROUND(AVERAGE(#REF!),1)&amp;" &lt; "&amp;$W$13&amp;" NC"))))</f>
        <v/>
      </c>
      <c r="T440" s="278" t="str">
        <f>IF($X$13="/28",IF(Q440="","",IF(Q440&gt;=$W$13-$S$12,ROUND((Q440),1)&amp;" ≥ "&amp;$W$13-$S$12&amp;" OK",ROUND((Q440),1)&amp;" &lt; "&amp;$W$13-$S$12&amp;" NC")),IF($X$13="/90",IF(#REF!="","",IF(#REF!&gt;=$W$13-$S$12,ROUND((#REF!),1)&amp;" ≥ "&amp;$W$13-$S$12&amp;" OK",ROUND((#REF!),1)&amp;" &lt; "&amp;$W$13-$S$12&amp;" NC"))))</f>
        <v/>
      </c>
      <c r="U440" s="14"/>
      <c r="V440" s="279"/>
      <c r="W440" s="280"/>
      <c r="X440" s="281"/>
      <c r="Y440" s="246"/>
      <c r="Z440" s="246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BP440" s="390" t="str">
        <f>IF($X$13="/28",IF(Q440="","",Q440),IF($X$13="/90",IF(#REF!="","",#REF!),"Falso"))</f>
        <v/>
      </c>
      <c r="BQ440" s="392" t="str">
        <f t="shared" si="662"/>
        <v/>
      </c>
      <c r="BS440" s="50" t="str">
        <f>Q862</f>
        <v/>
      </c>
      <c r="BT440" s="50" t="e">
        <f>#REF!</f>
        <v>#REF!</v>
      </c>
      <c r="BU440" s="39" t="str">
        <f t="shared" si="630"/>
        <v/>
      </c>
      <c r="BV440" s="39" t="str">
        <f t="shared" si="623"/>
        <v/>
      </c>
    </row>
    <row r="441" spans="1:74" ht="14.25" customHeight="1" x14ac:dyDescent="0.35">
      <c r="A441" s="294"/>
      <c r="B441" s="296"/>
      <c r="C441" s="298"/>
      <c r="D441" s="300"/>
      <c r="E441" s="302"/>
      <c r="F441" s="304"/>
      <c r="G441" s="276"/>
      <c r="H441" s="277"/>
      <c r="I441" s="290"/>
      <c r="J441" s="290"/>
      <c r="K441" s="291"/>
      <c r="L441" s="17"/>
      <c r="M441" s="286"/>
      <c r="N441" s="21"/>
      <c r="O441" s="286"/>
      <c r="P441" s="21"/>
      <c r="Q441" s="286"/>
      <c r="R441" s="248"/>
      <c r="S441" s="248"/>
      <c r="T441" s="248"/>
      <c r="U441" s="13"/>
      <c r="V441" s="282"/>
      <c r="W441" s="283"/>
      <c r="X441" s="284"/>
      <c r="Y441" s="245"/>
      <c r="Z441" s="245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BP441" s="391"/>
      <c r="BQ441" s="393"/>
      <c r="BS441" s="50" t="str">
        <f>Q864</f>
        <v/>
      </c>
      <c r="BT441" s="50" t="e">
        <f>#REF!</f>
        <v>#REF!</v>
      </c>
      <c r="BU441" s="39" t="str">
        <f t="shared" si="630"/>
        <v/>
      </c>
      <c r="BV441" s="39" t="str">
        <f t="shared" si="623"/>
        <v/>
      </c>
    </row>
    <row r="442" spans="1:74" ht="14.25" customHeight="1" x14ac:dyDescent="0.35">
      <c r="A442" s="293">
        <v>213</v>
      </c>
      <c r="B442" s="295"/>
      <c r="C442" s="297"/>
      <c r="D442" s="299"/>
      <c r="E442" s="301"/>
      <c r="F442" s="303"/>
      <c r="G442" s="288"/>
      <c r="H442" s="289"/>
      <c r="I442" s="290"/>
      <c r="J442" s="290"/>
      <c r="K442" s="291"/>
      <c r="L442" s="18"/>
      <c r="M442" s="285" t="str">
        <f t="shared" ref="M442" si="682">IF(COUNT(L442:L443)&lt;1,"",AVERAGE(L442:L443))</f>
        <v/>
      </c>
      <c r="N442" s="22"/>
      <c r="O442" s="285" t="str">
        <f t="shared" ref="O442" si="683">IF(COUNT(N442:N443)&lt;1,"",AVERAGE(N442:N443))</f>
        <v/>
      </c>
      <c r="P442" s="22"/>
      <c r="Q442" s="285" t="str">
        <f t="shared" ref="Q442" si="684">IF(COUNT(P442:P443)&lt;1,"",AVERAGE(P442:P443))</f>
        <v/>
      </c>
      <c r="R442" s="278" t="str">
        <f>IF($X$13="/28",IF(COUNT(P442:P443)&lt;=1,"",ABS(P442-P443)),IF($X$13="/90",IF(COUNT(#REF!)&lt;=1,"",ABS(#REF!-#REF!))))</f>
        <v/>
      </c>
      <c r="S442" s="278" t="str">
        <f>IF($X$13="/28",IF(Q442="","",IF(AVERAGE(Q438:Q443)&gt;=$W$13,ROUND(AVERAGE(Q438:Q443),1)&amp;" ≥ "&amp;$W$13&amp;" OK",ROUND(AVERAGE(Q438:Q443),1)&amp;" &lt; "&amp;$W$13&amp;" NC")),IF($X$13="/90",IF(#REF!="","",IF(AVERAGE(#REF!)&gt;=$W$13,ROUND(AVERAGE(#REF!),1)&amp;" ≥ "&amp;$W$13&amp;" OK",ROUND(AVERAGE(#REF!),1)&amp;" &lt; "&amp;$W$13&amp;" NC"))))</f>
        <v/>
      </c>
      <c r="T442" s="278" t="str">
        <f>IF($X$13="/28",IF(Q442="","",IF(Q442&gt;=$W$13-$S$12,ROUND((Q442),1)&amp;" ≥ "&amp;$W$13-$S$12&amp;" OK",ROUND((Q442),1)&amp;" &lt; "&amp;$W$13-$S$12&amp;" NC")),IF($X$13="/90",IF(#REF!="","",IF(#REF!&gt;=$W$13-$S$12,ROUND((#REF!),1)&amp;" ≥ "&amp;$W$13-$S$12&amp;" OK",ROUND((#REF!),1)&amp;" &lt; "&amp;$W$13-$S$12&amp;" NC"))))</f>
        <v/>
      </c>
      <c r="U442" s="14"/>
      <c r="V442" s="279"/>
      <c r="W442" s="280"/>
      <c r="X442" s="281"/>
      <c r="Y442" s="246"/>
      <c r="Z442" s="246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BP442" s="390" t="str">
        <f>IF($X$13="/28",IF(Q442="","",Q442),IF($X$13="/90",IF(#REF!="","",#REF!),"Falso"))</f>
        <v/>
      </c>
      <c r="BQ442" s="392" t="str">
        <f t="shared" si="666"/>
        <v/>
      </c>
      <c r="BS442" s="50" t="str">
        <f>Q866</f>
        <v/>
      </c>
      <c r="BT442" s="50" t="e">
        <f>#REF!</f>
        <v>#REF!</v>
      </c>
      <c r="BU442" s="39" t="str">
        <f t="shared" si="630"/>
        <v/>
      </c>
      <c r="BV442" s="39" t="str">
        <f t="shared" si="623"/>
        <v/>
      </c>
    </row>
    <row r="443" spans="1:74" ht="14.25" customHeight="1" x14ac:dyDescent="0.35">
      <c r="A443" s="294"/>
      <c r="B443" s="296"/>
      <c r="C443" s="298"/>
      <c r="D443" s="300"/>
      <c r="E443" s="302"/>
      <c r="F443" s="304"/>
      <c r="G443" s="276"/>
      <c r="H443" s="277"/>
      <c r="I443" s="290"/>
      <c r="J443" s="290"/>
      <c r="K443" s="291"/>
      <c r="L443" s="17"/>
      <c r="M443" s="286"/>
      <c r="N443" s="21"/>
      <c r="O443" s="286"/>
      <c r="P443" s="21"/>
      <c r="Q443" s="286"/>
      <c r="R443" s="248"/>
      <c r="S443" s="287"/>
      <c r="T443" s="248"/>
      <c r="U443" s="13"/>
      <c r="V443" s="282"/>
      <c r="W443" s="283"/>
      <c r="X443" s="284"/>
      <c r="Y443" s="245"/>
      <c r="Z443" s="245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BP443" s="391"/>
      <c r="BQ443" s="393"/>
      <c r="BS443" s="50" t="str">
        <f>Q868</f>
        <v/>
      </c>
      <c r="BT443" s="50" t="e">
        <f>#REF!</f>
        <v>#REF!</v>
      </c>
      <c r="BU443" s="39" t="str">
        <f t="shared" si="630"/>
        <v/>
      </c>
      <c r="BV443" s="39" t="str">
        <f t="shared" si="623"/>
        <v/>
      </c>
    </row>
    <row r="444" spans="1:74" ht="14.25" customHeight="1" x14ac:dyDescent="0.35">
      <c r="A444" s="293">
        <v>214</v>
      </c>
      <c r="B444" s="295"/>
      <c r="C444" s="297"/>
      <c r="D444" s="299"/>
      <c r="E444" s="301"/>
      <c r="F444" s="303"/>
      <c r="G444" s="288"/>
      <c r="H444" s="289"/>
      <c r="I444" s="290"/>
      <c r="J444" s="290"/>
      <c r="K444" s="291"/>
      <c r="L444" s="18"/>
      <c r="M444" s="285" t="str">
        <f t="shared" ref="M444" si="685">IF(COUNT(L444:L445)&lt;1,"",AVERAGE(L444:L445))</f>
        <v/>
      </c>
      <c r="N444" s="22"/>
      <c r="O444" s="285" t="str">
        <f t="shared" ref="O444" si="686">IF(COUNT(N444:N445)&lt;1,"",AVERAGE(N444:N445))</f>
        <v/>
      </c>
      <c r="P444" s="22"/>
      <c r="Q444" s="285" t="str">
        <f t="shared" ref="Q444" si="687">IF(COUNT(P444:P445)&lt;1,"",AVERAGE(P444:P445))</f>
        <v/>
      </c>
      <c r="R444" s="278" t="str">
        <f>IF($X$13="/28",IF(COUNT(P444:P445)&lt;=1,"",ABS(P444-P445)),IF($X$13="/90",IF(COUNT(#REF!)&lt;=1,"",ABS(#REF!-#REF!))))</f>
        <v/>
      </c>
      <c r="S444" s="278" t="str">
        <f>IF($X$13="/28",IF(Q444="","",IF(AVERAGE(Q440:Q445)&gt;=$W$13,ROUND(AVERAGE(Q440:Q445),1)&amp;" ≥ "&amp;$W$13&amp;" OK",ROUND(AVERAGE(Q440:Q445),1)&amp;" &lt; "&amp;$W$13&amp;" NC")),IF($X$13="/90",IF(#REF!="","",IF(AVERAGE(#REF!)&gt;=$W$13,ROUND(AVERAGE(#REF!),1)&amp;" ≥ "&amp;$W$13&amp;" OK",ROUND(AVERAGE(#REF!),1)&amp;" &lt; "&amp;$W$13&amp;" NC"))))</f>
        <v/>
      </c>
      <c r="T444" s="278" t="str">
        <f>IF($X$13="/28",IF(Q444="","",IF(Q444&gt;=$W$13-$S$12,ROUND((Q444),1)&amp;" ≥ "&amp;$W$13-$S$12&amp;" OK",ROUND((Q444),1)&amp;" &lt; "&amp;$W$13-$S$12&amp;" NC")),IF($X$13="/90",IF(#REF!="","",IF(#REF!&gt;=$W$13-$S$12,ROUND((#REF!),1)&amp;" ≥ "&amp;$W$13-$S$12&amp;" OK",ROUND((#REF!),1)&amp;" &lt; "&amp;$W$13-$S$12&amp;" NC"))))</f>
        <v/>
      </c>
      <c r="U444" s="14"/>
      <c r="V444" s="279"/>
      <c r="W444" s="280"/>
      <c r="X444" s="281"/>
      <c r="Y444" s="246"/>
      <c r="Z444" s="246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BP444" s="390" t="str">
        <f>IF($X$13="/28",IF(Q444="","",Q444),IF($X$13="/90",IF(#REF!="","",#REF!),"Falso"))</f>
        <v/>
      </c>
      <c r="BQ444" s="392" t="str">
        <f t="shared" si="658"/>
        <v/>
      </c>
      <c r="BS444" s="50" t="str">
        <f>Q870</f>
        <v/>
      </c>
      <c r="BT444" s="50" t="e">
        <f>#REF!</f>
        <v>#REF!</v>
      </c>
      <c r="BU444" s="39" t="str">
        <f t="shared" si="630"/>
        <v/>
      </c>
      <c r="BV444" s="39" t="str">
        <f t="shared" si="623"/>
        <v/>
      </c>
    </row>
    <row r="445" spans="1:74" ht="14.25" customHeight="1" x14ac:dyDescent="0.35">
      <c r="A445" s="294"/>
      <c r="B445" s="296"/>
      <c r="C445" s="298"/>
      <c r="D445" s="300"/>
      <c r="E445" s="302"/>
      <c r="F445" s="304"/>
      <c r="G445" s="276"/>
      <c r="H445" s="277"/>
      <c r="I445" s="290"/>
      <c r="J445" s="290"/>
      <c r="K445" s="291"/>
      <c r="L445" s="17"/>
      <c r="M445" s="286"/>
      <c r="N445" s="21"/>
      <c r="O445" s="286"/>
      <c r="P445" s="21"/>
      <c r="Q445" s="286"/>
      <c r="R445" s="248"/>
      <c r="S445" s="287"/>
      <c r="T445" s="248"/>
      <c r="U445" s="13"/>
      <c r="V445" s="282"/>
      <c r="W445" s="283"/>
      <c r="X445" s="284"/>
      <c r="Y445" s="245"/>
      <c r="Z445" s="245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BP445" s="391"/>
      <c r="BQ445" s="393"/>
      <c r="BS445" s="50" t="str">
        <f>Q872</f>
        <v/>
      </c>
      <c r="BT445" s="50" t="e">
        <f>#REF!</f>
        <v>#REF!</v>
      </c>
      <c r="BU445" s="39" t="str">
        <f t="shared" si="630"/>
        <v/>
      </c>
      <c r="BV445" s="39" t="str">
        <f t="shared" si="623"/>
        <v/>
      </c>
    </row>
    <row r="446" spans="1:74" ht="14.25" customHeight="1" x14ac:dyDescent="0.35">
      <c r="A446" s="293">
        <v>215</v>
      </c>
      <c r="B446" s="295"/>
      <c r="C446" s="297"/>
      <c r="D446" s="299"/>
      <c r="E446" s="301"/>
      <c r="F446" s="303"/>
      <c r="G446" s="288"/>
      <c r="H446" s="289"/>
      <c r="I446" s="290"/>
      <c r="J446" s="290"/>
      <c r="K446" s="291"/>
      <c r="L446" s="18"/>
      <c r="M446" s="285" t="str">
        <f t="shared" ref="M446" si="688">IF(COUNT(L446:L447)&lt;1,"",AVERAGE(L446:L447))</f>
        <v/>
      </c>
      <c r="N446" s="22"/>
      <c r="O446" s="285" t="str">
        <f t="shared" ref="O446" si="689">IF(COUNT(N446:N447)&lt;1,"",AVERAGE(N446:N447))</f>
        <v/>
      </c>
      <c r="P446" s="22"/>
      <c r="Q446" s="285" t="str">
        <f t="shared" ref="Q446" si="690">IF(COUNT(P446:P447)&lt;1,"",AVERAGE(P446:P447))</f>
        <v/>
      </c>
      <c r="R446" s="278" t="str">
        <f>IF($X$13="/28",IF(COUNT(P446:P447)&lt;=1,"",ABS(P446-P447)),IF($X$13="/90",IF(COUNT(#REF!)&lt;=1,"",ABS(#REF!-#REF!))))</f>
        <v/>
      </c>
      <c r="S446" s="278" t="str">
        <f>IF($X$13="/28",IF(Q446="","",IF(AVERAGE(Q442:Q447)&gt;=$W$13,ROUND(AVERAGE(Q442:Q447),1)&amp;" ≥ "&amp;$W$13&amp;" OK",ROUND(AVERAGE(Q442:Q447),1)&amp;" &lt; "&amp;$W$13&amp;" NC")),IF($X$13="/90",IF(#REF!="","",IF(AVERAGE(#REF!)&gt;=$W$13,ROUND(AVERAGE(#REF!),1)&amp;" ≥ "&amp;$W$13&amp;" OK",ROUND(AVERAGE(#REF!),1)&amp;" &lt; "&amp;$W$13&amp;" NC"))))</f>
        <v/>
      </c>
      <c r="T446" s="278" t="str">
        <f>IF($X$13="/28",IF(Q446="","",IF(Q446&gt;=$W$13-$S$12,ROUND((Q446),1)&amp;" ≥ "&amp;$W$13-$S$12&amp;" OK",ROUND((Q446),1)&amp;" &lt; "&amp;$W$13-$S$12&amp;" NC")),IF($X$13="/90",IF(#REF!="","",IF(#REF!&gt;=$W$13-$S$12,ROUND((#REF!),1)&amp;" ≥ "&amp;$W$13-$S$12&amp;" OK",ROUND((#REF!),1)&amp;" &lt; "&amp;$W$13-$S$12&amp;" NC"))))</f>
        <v/>
      </c>
      <c r="U446" s="14"/>
      <c r="V446" s="279"/>
      <c r="W446" s="280"/>
      <c r="X446" s="281"/>
      <c r="Y446" s="246"/>
      <c r="Z446" s="246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BP446" s="390" t="str">
        <f>IF($X$13="/28",IF(Q446="","",Q446),IF($X$13="/90",IF(#REF!="","",#REF!),"Falso"))</f>
        <v/>
      </c>
      <c r="BQ446" s="392" t="str">
        <f t="shared" si="662"/>
        <v/>
      </c>
      <c r="BS446" s="50" t="str">
        <f>Q874</f>
        <v/>
      </c>
      <c r="BT446" s="50" t="e">
        <f>#REF!</f>
        <v>#REF!</v>
      </c>
      <c r="BU446" s="39" t="str">
        <f t="shared" si="630"/>
        <v/>
      </c>
      <c r="BV446" s="39" t="str">
        <f t="shared" si="623"/>
        <v/>
      </c>
    </row>
    <row r="447" spans="1:74" ht="14.25" customHeight="1" x14ac:dyDescent="0.35">
      <c r="A447" s="294"/>
      <c r="B447" s="296"/>
      <c r="C447" s="298"/>
      <c r="D447" s="300"/>
      <c r="E447" s="302"/>
      <c r="F447" s="304"/>
      <c r="G447" s="276"/>
      <c r="H447" s="277"/>
      <c r="I447" s="290"/>
      <c r="J447" s="290"/>
      <c r="K447" s="291"/>
      <c r="L447" s="17"/>
      <c r="M447" s="286"/>
      <c r="N447" s="21"/>
      <c r="O447" s="286"/>
      <c r="P447" s="21"/>
      <c r="Q447" s="286"/>
      <c r="R447" s="248"/>
      <c r="S447" s="287"/>
      <c r="T447" s="248"/>
      <c r="U447" s="13"/>
      <c r="V447" s="282"/>
      <c r="W447" s="283"/>
      <c r="X447" s="284"/>
      <c r="Y447" s="245"/>
      <c r="Z447" s="245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BP447" s="391"/>
      <c r="BQ447" s="393"/>
      <c r="BS447" s="50" t="str">
        <f>Q876</f>
        <v/>
      </c>
      <c r="BT447" s="50" t="e">
        <f>#REF!</f>
        <v>#REF!</v>
      </c>
      <c r="BU447" s="39" t="str">
        <f t="shared" si="630"/>
        <v/>
      </c>
      <c r="BV447" s="39" t="str">
        <f t="shared" si="623"/>
        <v/>
      </c>
    </row>
    <row r="448" spans="1:74" ht="14.25" customHeight="1" x14ac:dyDescent="0.35">
      <c r="A448" s="293">
        <v>216</v>
      </c>
      <c r="B448" s="295"/>
      <c r="C448" s="297"/>
      <c r="D448" s="299"/>
      <c r="E448" s="301"/>
      <c r="F448" s="303"/>
      <c r="G448" s="288"/>
      <c r="H448" s="289"/>
      <c r="I448" s="290"/>
      <c r="J448" s="290"/>
      <c r="K448" s="291"/>
      <c r="L448" s="18"/>
      <c r="M448" s="285" t="str">
        <f t="shared" ref="M448" si="691">IF(COUNT(L448:L449)&lt;1,"",AVERAGE(L448:L449))</f>
        <v/>
      </c>
      <c r="N448" s="22"/>
      <c r="O448" s="285" t="str">
        <f t="shared" ref="O448" si="692">IF(COUNT(N448:N449)&lt;1,"",AVERAGE(N448:N449))</f>
        <v/>
      </c>
      <c r="P448" s="22"/>
      <c r="Q448" s="285" t="str">
        <f t="shared" ref="Q448" si="693">IF(COUNT(P448:P449)&lt;1,"",AVERAGE(P448:P449))</f>
        <v/>
      </c>
      <c r="R448" s="278" t="str">
        <f>IF($X$13="/28",IF(COUNT(P448:P449)&lt;=1,"",ABS(P448-P449)),IF($X$13="/90",IF(COUNT(#REF!)&lt;=1,"",ABS(#REF!-#REF!))))</f>
        <v/>
      </c>
      <c r="S448" s="278" t="str">
        <f>IF($X$13="/28",IF(Q448="","",IF(AVERAGE(Q444:Q449)&gt;=$W$13,ROUND(AVERAGE(Q444:Q449),1)&amp;" ≥ "&amp;$W$13&amp;" OK",ROUND(AVERAGE(Q444:Q449),1)&amp;" &lt; "&amp;$W$13&amp;" NC")),IF($X$13="/90",IF(#REF!="","",IF(AVERAGE(#REF!)&gt;=$W$13,ROUND(AVERAGE(#REF!),1)&amp;" ≥ "&amp;$W$13&amp;" OK",ROUND(AVERAGE(#REF!),1)&amp;" &lt; "&amp;$W$13&amp;" NC"))))</f>
        <v/>
      </c>
      <c r="T448" s="278" t="str">
        <f>IF($X$13="/28",IF(Q448="","",IF(Q448&gt;=$W$13-$S$12,ROUND((Q448),1)&amp;" ≥ "&amp;$W$13-$S$12&amp;" OK",ROUND((Q448),1)&amp;" &lt; "&amp;$W$13-$S$12&amp;" NC")),IF($X$13="/90",IF(#REF!="","",IF(#REF!&gt;=$W$13-$S$12,ROUND((#REF!),1)&amp;" ≥ "&amp;$W$13-$S$12&amp;" OK",ROUND((#REF!),1)&amp;" &lt; "&amp;$W$13-$S$12&amp;" NC"))))</f>
        <v/>
      </c>
      <c r="U448" s="14"/>
      <c r="V448" s="279"/>
      <c r="W448" s="280"/>
      <c r="X448" s="281"/>
      <c r="Y448" s="246"/>
      <c r="Z448" s="246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BP448" s="390" t="str">
        <f>IF($X$13="/28",IF(Q448="","",Q448),IF($X$13="/90",IF(#REF!="","",#REF!),"Falso"))</f>
        <v/>
      </c>
      <c r="BQ448" s="392" t="str">
        <f t="shared" si="666"/>
        <v/>
      </c>
      <c r="BS448" s="50" t="str">
        <f>Q878</f>
        <v/>
      </c>
      <c r="BT448" s="50" t="e">
        <f>#REF!</f>
        <v>#REF!</v>
      </c>
      <c r="BU448" s="39" t="str">
        <f t="shared" si="630"/>
        <v/>
      </c>
      <c r="BV448" s="39" t="str">
        <f t="shared" si="623"/>
        <v/>
      </c>
    </row>
    <row r="449" spans="1:74" ht="14.25" customHeight="1" x14ac:dyDescent="0.35">
      <c r="A449" s="294"/>
      <c r="B449" s="296"/>
      <c r="C449" s="298"/>
      <c r="D449" s="300"/>
      <c r="E449" s="302"/>
      <c r="F449" s="304"/>
      <c r="G449" s="276"/>
      <c r="H449" s="277"/>
      <c r="I449" s="290"/>
      <c r="J449" s="290"/>
      <c r="K449" s="291"/>
      <c r="L449" s="17"/>
      <c r="M449" s="286"/>
      <c r="N449" s="21"/>
      <c r="O449" s="286"/>
      <c r="P449" s="21"/>
      <c r="Q449" s="286"/>
      <c r="R449" s="248"/>
      <c r="S449" s="287"/>
      <c r="T449" s="248"/>
      <c r="U449" s="13"/>
      <c r="V449" s="282"/>
      <c r="W449" s="283"/>
      <c r="X449" s="284"/>
      <c r="Y449" s="245"/>
      <c r="Z449" s="245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BP449" s="391"/>
      <c r="BQ449" s="393"/>
      <c r="BS449" s="50" t="str">
        <f>Q880</f>
        <v/>
      </c>
      <c r="BT449" s="50" t="e">
        <f>#REF!</f>
        <v>#REF!</v>
      </c>
      <c r="BU449" s="39" t="str">
        <f t="shared" si="630"/>
        <v/>
      </c>
      <c r="BV449" s="39" t="str">
        <f t="shared" si="623"/>
        <v/>
      </c>
    </row>
    <row r="450" spans="1:74" ht="14.25" customHeight="1" x14ac:dyDescent="0.35">
      <c r="A450" s="293">
        <v>217</v>
      </c>
      <c r="B450" s="295"/>
      <c r="C450" s="297"/>
      <c r="D450" s="299"/>
      <c r="E450" s="301"/>
      <c r="F450" s="303"/>
      <c r="G450" s="288"/>
      <c r="H450" s="289"/>
      <c r="I450" s="290"/>
      <c r="J450" s="290"/>
      <c r="K450" s="291"/>
      <c r="L450" s="18"/>
      <c r="M450" s="285" t="str">
        <f t="shared" ref="M450" si="694">IF(COUNT(L450:L451)&lt;1,"",AVERAGE(L450:L451))</f>
        <v/>
      </c>
      <c r="N450" s="22"/>
      <c r="O450" s="285" t="str">
        <f t="shared" ref="O450" si="695">IF(COUNT(N450:N451)&lt;1,"",AVERAGE(N450:N451))</f>
        <v/>
      </c>
      <c r="P450" s="22"/>
      <c r="Q450" s="285" t="str">
        <f t="shared" ref="Q450" si="696">IF(COUNT(P450:P451)&lt;1,"",AVERAGE(P450:P451))</f>
        <v/>
      </c>
      <c r="R450" s="278" t="str">
        <f>IF($X$13="/28",IF(COUNT(P450:P451)&lt;=1,"",ABS(P450-P451)),IF($X$13="/90",IF(COUNT(#REF!)&lt;=1,"",ABS(#REF!-#REF!))))</f>
        <v/>
      </c>
      <c r="S450" s="278" t="str">
        <f>IF($X$13="/28",IF(Q450="","",IF(AVERAGE(Q446:Q451)&gt;=$W$13,ROUND(AVERAGE(Q446:Q451),1)&amp;" ≥ "&amp;$W$13&amp;" OK",ROUND(AVERAGE(Q446:Q451),1)&amp;" &lt; "&amp;$W$13&amp;" NC")),IF($X$13="/90",IF(#REF!="","",IF(AVERAGE(#REF!)&gt;=$W$13,ROUND(AVERAGE(#REF!),1)&amp;" ≥ "&amp;$W$13&amp;" OK",ROUND(AVERAGE(#REF!),1)&amp;" &lt; "&amp;$W$13&amp;" NC"))))</f>
        <v/>
      </c>
      <c r="T450" s="278" t="str">
        <f>IF($X$13="/28",IF(Q450="","",IF(Q450&gt;=$W$13-$S$12,ROUND((Q450),1)&amp;" ≥ "&amp;$W$13-$S$12&amp;" OK",ROUND((Q450),1)&amp;" &lt; "&amp;$W$13-$S$12&amp;" NC")),IF($X$13="/90",IF(#REF!="","",IF(#REF!&gt;=$W$13-$S$12,ROUND((#REF!),1)&amp;" ≥ "&amp;$W$13-$S$12&amp;" OK",ROUND((#REF!),1)&amp;" &lt; "&amp;$W$13-$S$12&amp;" NC"))))</f>
        <v/>
      </c>
      <c r="U450" s="14"/>
      <c r="V450" s="279"/>
      <c r="W450" s="280"/>
      <c r="X450" s="281"/>
      <c r="Y450" s="246"/>
      <c r="Z450" s="246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BP450" s="390" t="str">
        <f>IF($X$13="/28",IF(Q450="","",Q450),IF($X$13="/90",IF(#REF!="","",#REF!),"Falso"))</f>
        <v/>
      </c>
      <c r="BQ450" s="392" t="str">
        <f t="shared" si="658"/>
        <v/>
      </c>
      <c r="BS450" s="50" t="str">
        <f>Q882</f>
        <v/>
      </c>
      <c r="BT450" s="50" t="e">
        <f>#REF!</f>
        <v>#REF!</v>
      </c>
      <c r="BU450" s="39" t="str">
        <f t="shared" si="630"/>
        <v/>
      </c>
      <c r="BV450" s="39" t="str">
        <f t="shared" si="623"/>
        <v/>
      </c>
    </row>
    <row r="451" spans="1:74" ht="14.25" customHeight="1" x14ac:dyDescent="0.35">
      <c r="A451" s="294"/>
      <c r="B451" s="296"/>
      <c r="C451" s="298"/>
      <c r="D451" s="300"/>
      <c r="E451" s="302"/>
      <c r="F451" s="304"/>
      <c r="G451" s="276"/>
      <c r="H451" s="277"/>
      <c r="I451" s="290"/>
      <c r="J451" s="290"/>
      <c r="K451" s="291"/>
      <c r="L451" s="17"/>
      <c r="M451" s="286"/>
      <c r="N451" s="21"/>
      <c r="O451" s="286"/>
      <c r="P451" s="21"/>
      <c r="Q451" s="286"/>
      <c r="R451" s="248"/>
      <c r="S451" s="287"/>
      <c r="T451" s="248"/>
      <c r="U451" s="13"/>
      <c r="V451" s="282"/>
      <c r="W451" s="283"/>
      <c r="X451" s="284"/>
      <c r="Y451" s="245"/>
      <c r="Z451" s="245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BP451" s="391"/>
      <c r="BQ451" s="393"/>
      <c r="BS451" s="50" t="str">
        <f>Q884</f>
        <v/>
      </c>
      <c r="BT451" s="50" t="e">
        <f>#REF!</f>
        <v>#REF!</v>
      </c>
      <c r="BU451" s="39" t="str">
        <f t="shared" si="630"/>
        <v/>
      </c>
      <c r="BV451" s="39" t="str">
        <f t="shared" si="623"/>
        <v/>
      </c>
    </row>
    <row r="452" spans="1:74" ht="14.25" customHeight="1" x14ac:dyDescent="0.35">
      <c r="A452" s="293">
        <v>218</v>
      </c>
      <c r="B452" s="295"/>
      <c r="C452" s="297"/>
      <c r="D452" s="299"/>
      <c r="E452" s="301"/>
      <c r="F452" s="303"/>
      <c r="G452" s="288"/>
      <c r="H452" s="289"/>
      <c r="I452" s="290"/>
      <c r="J452" s="290"/>
      <c r="K452" s="291"/>
      <c r="L452" s="18"/>
      <c r="M452" s="285" t="str">
        <f t="shared" ref="M452" si="697">IF(COUNT(L452:L453)&lt;1,"",AVERAGE(L452:L453))</f>
        <v/>
      </c>
      <c r="N452" s="22"/>
      <c r="O452" s="285" t="str">
        <f t="shared" ref="O452" si="698">IF(COUNT(N452:N453)&lt;1,"",AVERAGE(N452:N453))</f>
        <v/>
      </c>
      <c r="P452" s="22"/>
      <c r="Q452" s="285" t="str">
        <f t="shared" ref="Q452" si="699">IF(COUNT(P452:P453)&lt;1,"",AVERAGE(P452:P453))</f>
        <v/>
      </c>
      <c r="R452" s="278" t="str">
        <f>IF($X$13="/28",IF(COUNT(P452:P453)&lt;=1,"",ABS(P452-P453)),IF($X$13="/90",IF(COUNT(#REF!)&lt;=1,"",ABS(#REF!-#REF!))))</f>
        <v/>
      </c>
      <c r="S452" s="278" t="str">
        <f>IF($X$13="/28",IF(Q452="","",IF(AVERAGE(Q448:Q453)&gt;=$W$13,ROUND(AVERAGE(Q448:Q453),1)&amp;" ≥ "&amp;$W$13&amp;" OK",ROUND(AVERAGE(Q448:Q453),1)&amp;" &lt; "&amp;$W$13&amp;" NC")),IF($X$13="/90",IF(#REF!="","",IF(AVERAGE(#REF!)&gt;=$W$13,ROUND(AVERAGE(#REF!),1)&amp;" ≥ "&amp;$W$13&amp;" OK",ROUND(AVERAGE(#REF!),1)&amp;" &lt; "&amp;$W$13&amp;" NC"))))</f>
        <v/>
      </c>
      <c r="T452" s="278" t="str">
        <f>IF($X$13="/28",IF(Q452="","",IF(Q452&gt;=$W$13-$S$12,ROUND((Q452),1)&amp;" ≥ "&amp;$W$13-$S$12&amp;" OK",ROUND((Q452),1)&amp;" &lt; "&amp;$W$13-$S$12&amp;" NC")),IF($X$13="/90",IF(#REF!="","",IF(#REF!&gt;=$W$13-$S$12,ROUND((#REF!),1)&amp;" ≥ "&amp;$W$13-$S$12&amp;" OK",ROUND((#REF!),1)&amp;" &lt; "&amp;$W$13-$S$12&amp;" NC"))))</f>
        <v/>
      </c>
      <c r="U452" s="14"/>
      <c r="V452" s="279"/>
      <c r="W452" s="280"/>
      <c r="X452" s="281"/>
      <c r="Y452" s="246"/>
      <c r="Z452" s="246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BP452" s="390" t="str">
        <f>IF($X$13="/28",IF(Q452="","",Q452),IF($X$13="/90",IF(#REF!="","",#REF!),"Falso"))</f>
        <v/>
      </c>
      <c r="BQ452" s="392" t="str">
        <f t="shared" si="662"/>
        <v/>
      </c>
      <c r="BS452" s="50" t="str">
        <f>Q886</f>
        <v/>
      </c>
      <c r="BT452" s="50" t="e">
        <f>#REF!</f>
        <v>#REF!</v>
      </c>
      <c r="BU452" s="39" t="str">
        <f t="shared" si="630"/>
        <v/>
      </c>
      <c r="BV452" s="39" t="str">
        <f t="shared" si="623"/>
        <v/>
      </c>
    </row>
    <row r="453" spans="1:74" ht="14.25" customHeight="1" x14ac:dyDescent="0.35">
      <c r="A453" s="294"/>
      <c r="B453" s="296"/>
      <c r="C453" s="298"/>
      <c r="D453" s="300"/>
      <c r="E453" s="302"/>
      <c r="F453" s="304"/>
      <c r="G453" s="276"/>
      <c r="H453" s="277"/>
      <c r="I453" s="290"/>
      <c r="J453" s="290"/>
      <c r="K453" s="291"/>
      <c r="L453" s="17"/>
      <c r="M453" s="286"/>
      <c r="N453" s="21"/>
      <c r="O453" s="286"/>
      <c r="P453" s="21"/>
      <c r="Q453" s="286"/>
      <c r="R453" s="248"/>
      <c r="S453" s="287"/>
      <c r="T453" s="248"/>
      <c r="U453" s="13"/>
      <c r="V453" s="282"/>
      <c r="W453" s="283"/>
      <c r="X453" s="284"/>
      <c r="Y453" s="245"/>
      <c r="Z453" s="245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BP453" s="391"/>
      <c r="BQ453" s="393"/>
      <c r="BS453" s="50" t="str">
        <f>Q888</f>
        <v/>
      </c>
      <c r="BT453" s="50" t="e">
        <f>#REF!</f>
        <v>#REF!</v>
      </c>
      <c r="BU453" s="39" t="str">
        <f t="shared" si="630"/>
        <v/>
      </c>
      <c r="BV453" s="39" t="str">
        <f t="shared" si="623"/>
        <v/>
      </c>
    </row>
    <row r="454" spans="1:74" ht="14.25" customHeight="1" x14ac:dyDescent="0.35">
      <c r="A454" s="293">
        <v>219</v>
      </c>
      <c r="B454" s="295"/>
      <c r="C454" s="297"/>
      <c r="D454" s="299"/>
      <c r="E454" s="301"/>
      <c r="F454" s="303"/>
      <c r="G454" s="288"/>
      <c r="H454" s="289"/>
      <c r="I454" s="290"/>
      <c r="J454" s="290"/>
      <c r="K454" s="291"/>
      <c r="L454" s="18"/>
      <c r="M454" s="285" t="str">
        <f t="shared" ref="M454" si="700">IF(COUNT(L454:L455)&lt;1,"",AVERAGE(L454:L455))</f>
        <v/>
      </c>
      <c r="N454" s="22"/>
      <c r="O454" s="285" t="str">
        <f t="shared" ref="O454" si="701">IF(COUNT(N454:N455)&lt;1,"",AVERAGE(N454:N455))</f>
        <v/>
      </c>
      <c r="P454" s="22"/>
      <c r="Q454" s="285" t="str">
        <f t="shared" ref="Q454" si="702">IF(COUNT(P454:P455)&lt;1,"",AVERAGE(P454:P455))</f>
        <v/>
      </c>
      <c r="R454" s="278" t="str">
        <f>IF($X$13="/28",IF(COUNT(P454:P455)&lt;=1,"",ABS(P454-P455)),IF($X$13="/90",IF(COUNT(#REF!)&lt;=1,"",ABS(#REF!-#REF!))))</f>
        <v/>
      </c>
      <c r="S454" s="278" t="str">
        <f>IF($X$13="/28",IF(Q454="","",IF(AVERAGE(Q450:Q455)&gt;=$W$13,ROUND(AVERAGE(Q450:Q455),1)&amp;" ≥ "&amp;$W$13&amp;" OK",ROUND(AVERAGE(Q450:Q455),1)&amp;" &lt; "&amp;$W$13&amp;" NC")),IF($X$13="/90",IF(#REF!="","",IF(AVERAGE(#REF!)&gt;=$W$13,ROUND(AVERAGE(#REF!),1)&amp;" ≥ "&amp;$W$13&amp;" OK",ROUND(AVERAGE(#REF!),1)&amp;" &lt; "&amp;$W$13&amp;" NC"))))</f>
        <v/>
      </c>
      <c r="T454" s="278" t="str">
        <f>IF($X$13="/28",IF(Q454="","",IF(Q454&gt;=$W$13-$S$12,ROUND((Q454),1)&amp;" ≥ "&amp;$W$13-$S$12&amp;" OK",ROUND((Q454),1)&amp;" &lt; "&amp;$W$13-$S$12&amp;" NC")),IF($X$13="/90",IF(#REF!="","",IF(#REF!&gt;=$W$13-$S$12,ROUND((#REF!),1)&amp;" ≥ "&amp;$W$13-$S$12&amp;" OK",ROUND((#REF!),1)&amp;" &lt; "&amp;$W$13-$S$12&amp;" NC"))))</f>
        <v/>
      </c>
      <c r="U454" s="14"/>
      <c r="V454" s="279"/>
      <c r="W454" s="280"/>
      <c r="X454" s="281"/>
      <c r="Y454" s="246"/>
      <c r="Z454" s="246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BP454" s="390" t="str">
        <f>IF($X$13="/28",IF(Q454="","",Q454),IF($X$13="/90",IF(#REF!="","",#REF!),"Falso"))</f>
        <v/>
      </c>
      <c r="BQ454" s="392" t="str">
        <f t="shared" si="666"/>
        <v/>
      </c>
      <c r="BS454" s="50" t="str">
        <f>Q890</f>
        <v/>
      </c>
      <c r="BT454" s="50" t="e">
        <f>#REF!</f>
        <v>#REF!</v>
      </c>
      <c r="BU454" s="39" t="str">
        <f t="shared" si="630"/>
        <v/>
      </c>
      <c r="BV454" s="39" t="str">
        <f t="shared" si="623"/>
        <v/>
      </c>
    </row>
    <row r="455" spans="1:74" ht="14.25" customHeight="1" x14ac:dyDescent="0.35">
      <c r="A455" s="294"/>
      <c r="B455" s="296"/>
      <c r="C455" s="298"/>
      <c r="D455" s="300"/>
      <c r="E455" s="302"/>
      <c r="F455" s="304"/>
      <c r="G455" s="276"/>
      <c r="H455" s="277"/>
      <c r="I455" s="290"/>
      <c r="J455" s="290"/>
      <c r="K455" s="291"/>
      <c r="L455" s="17"/>
      <c r="M455" s="286"/>
      <c r="N455" s="21"/>
      <c r="O455" s="286"/>
      <c r="P455" s="21"/>
      <c r="Q455" s="286"/>
      <c r="R455" s="248"/>
      <c r="S455" s="287"/>
      <c r="T455" s="248"/>
      <c r="U455" s="13"/>
      <c r="V455" s="282"/>
      <c r="W455" s="283"/>
      <c r="X455" s="284"/>
      <c r="Y455" s="245"/>
      <c r="Z455" s="245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BP455" s="391"/>
      <c r="BQ455" s="393"/>
      <c r="BS455" s="50" t="str">
        <f>Q892</f>
        <v/>
      </c>
      <c r="BT455" s="50" t="e">
        <f>#REF!</f>
        <v>#REF!</v>
      </c>
      <c r="BU455" s="39" t="str">
        <f t="shared" si="630"/>
        <v/>
      </c>
      <c r="BV455" s="39" t="str">
        <f t="shared" si="623"/>
        <v/>
      </c>
    </row>
    <row r="456" spans="1:74" ht="14.25" customHeight="1" x14ac:dyDescent="0.35">
      <c r="A456" s="293">
        <v>220</v>
      </c>
      <c r="B456" s="295"/>
      <c r="C456" s="297"/>
      <c r="D456" s="299"/>
      <c r="E456" s="301"/>
      <c r="F456" s="303"/>
      <c r="G456" s="288"/>
      <c r="H456" s="289"/>
      <c r="I456" s="290"/>
      <c r="J456" s="290"/>
      <c r="K456" s="291"/>
      <c r="L456" s="18"/>
      <c r="M456" s="285" t="str">
        <f t="shared" ref="M456" si="703">IF(COUNT(L456:L457)&lt;1,"",AVERAGE(L456:L457))</f>
        <v/>
      </c>
      <c r="N456" s="22"/>
      <c r="O456" s="285" t="str">
        <f t="shared" ref="O456" si="704">IF(COUNT(N456:N457)&lt;1,"",AVERAGE(N456:N457))</f>
        <v/>
      </c>
      <c r="P456" s="22"/>
      <c r="Q456" s="285" t="str">
        <f t="shared" ref="Q456" si="705">IF(COUNT(P456:P457)&lt;1,"",AVERAGE(P456:P457))</f>
        <v/>
      </c>
      <c r="R456" s="278" t="str">
        <f>IF($X$13="/28",IF(COUNT(P456:P457)&lt;=1,"",ABS(P456-P457)),IF($X$13="/90",IF(COUNT(#REF!)&lt;=1,"",ABS(#REF!-#REF!))))</f>
        <v/>
      </c>
      <c r="S456" s="278" t="str">
        <f>IF($X$13="/28",IF(Q456="","",IF(AVERAGE(Q452:Q457)&gt;=$W$13,ROUND(AVERAGE(Q452:Q457),1)&amp;" ≥ "&amp;$W$13&amp;" OK",ROUND(AVERAGE(Q452:Q457),1)&amp;" &lt; "&amp;$W$13&amp;" NC")),IF($X$13="/90",IF(#REF!="","",IF(AVERAGE(#REF!)&gt;=$W$13,ROUND(AVERAGE(#REF!),1)&amp;" ≥ "&amp;$W$13&amp;" OK",ROUND(AVERAGE(#REF!),1)&amp;" &lt; "&amp;$W$13&amp;" NC"))))</f>
        <v/>
      </c>
      <c r="T456" s="278" t="str">
        <f>IF($X$13="/28",IF(Q456="","",IF(Q456&gt;=$W$13-$S$12,ROUND((Q456),1)&amp;" ≥ "&amp;$W$13-$S$12&amp;" OK",ROUND((Q456),1)&amp;" &lt; "&amp;$W$13-$S$12&amp;" NC")),IF($X$13="/90",IF(#REF!="","",IF(#REF!&gt;=$W$13-$S$12,ROUND((#REF!),1)&amp;" ≥ "&amp;$W$13-$S$12&amp;" OK",ROUND((#REF!),1)&amp;" &lt; "&amp;$W$13-$S$12&amp;" NC"))))</f>
        <v/>
      </c>
      <c r="U456" s="14"/>
      <c r="V456" s="279"/>
      <c r="W456" s="280"/>
      <c r="X456" s="281"/>
      <c r="Y456" s="246"/>
      <c r="Z456" s="246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BP456" s="390" t="str">
        <f>IF($X$13="/28",IF(Q456="","",Q456),IF($X$13="/90",IF(#REF!="","",#REF!),"Falso"))</f>
        <v/>
      </c>
      <c r="BQ456" s="392" t="str">
        <f t="shared" si="658"/>
        <v/>
      </c>
      <c r="BS456" s="50" t="str">
        <f>Q894</f>
        <v/>
      </c>
      <c r="BT456" s="50" t="e">
        <f>#REF!</f>
        <v>#REF!</v>
      </c>
      <c r="BU456" s="39" t="str">
        <f t="shared" si="630"/>
        <v/>
      </c>
      <c r="BV456" s="39" t="str">
        <f t="shared" si="623"/>
        <v/>
      </c>
    </row>
    <row r="457" spans="1:74" ht="14.25" customHeight="1" x14ac:dyDescent="0.35">
      <c r="A457" s="294"/>
      <c r="B457" s="296"/>
      <c r="C457" s="298"/>
      <c r="D457" s="300"/>
      <c r="E457" s="302"/>
      <c r="F457" s="304"/>
      <c r="G457" s="276"/>
      <c r="H457" s="277"/>
      <c r="I457" s="290"/>
      <c r="J457" s="290"/>
      <c r="K457" s="291"/>
      <c r="L457" s="17"/>
      <c r="M457" s="286"/>
      <c r="N457" s="21"/>
      <c r="O457" s="286"/>
      <c r="P457" s="21"/>
      <c r="Q457" s="286"/>
      <c r="R457" s="248"/>
      <c r="S457" s="287"/>
      <c r="T457" s="248"/>
      <c r="U457" s="13"/>
      <c r="V457" s="282"/>
      <c r="W457" s="283"/>
      <c r="X457" s="284"/>
      <c r="Y457" s="245"/>
      <c r="Z457" s="245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BP457" s="391"/>
      <c r="BQ457" s="393"/>
      <c r="BS457" s="50" t="str">
        <f>Q896</f>
        <v/>
      </c>
      <c r="BT457" s="50" t="e">
        <f>#REF!</f>
        <v>#REF!</v>
      </c>
      <c r="BU457" s="39" t="str">
        <f t="shared" si="630"/>
        <v/>
      </c>
      <c r="BV457" s="39" t="str">
        <f t="shared" si="623"/>
        <v/>
      </c>
    </row>
    <row r="458" spans="1:74" ht="14.25" customHeight="1" x14ac:dyDescent="0.35">
      <c r="A458" s="293">
        <v>221</v>
      </c>
      <c r="B458" s="295"/>
      <c r="C458" s="297"/>
      <c r="D458" s="299"/>
      <c r="E458" s="301"/>
      <c r="F458" s="303"/>
      <c r="G458" s="288"/>
      <c r="H458" s="289"/>
      <c r="I458" s="290"/>
      <c r="J458" s="290"/>
      <c r="K458" s="291"/>
      <c r="L458" s="18"/>
      <c r="M458" s="285" t="str">
        <f t="shared" ref="M458" si="706">IF(COUNT(L458:L459)&lt;1,"",AVERAGE(L458:L459))</f>
        <v/>
      </c>
      <c r="N458" s="22"/>
      <c r="O458" s="285" t="str">
        <f t="shared" ref="O458" si="707">IF(COUNT(N458:N459)&lt;1,"",AVERAGE(N458:N459))</f>
        <v/>
      </c>
      <c r="P458" s="22"/>
      <c r="Q458" s="285" t="str">
        <f t="shared" ref="Q458" si="708">IF(COUNT(P458:P459)&lt;1,"",AVERAGE(P458:P459))</f>
        <v/>
      </c>
      <c r="R458" s="278" t="str">
        <f>IF($X$13="/28",IF(COUNT(P458:P459)&lt;=1,"",ABS(P458-P459)),IF($X$13="/90",IF(COUNT(#REF!)&lt;=1,"",ABS(#REF!-#REF!))))</f>
        <v/>
      </c>
      <c r="S458" s="278" t="str">
        <f>IF($X$13="/28",IF(Q458="","",IF(AVERAGE(Q454:Q459)&gt;=$W$13,ROUND(AVERAGE(Q454:Q459),1)&amp;" ≥ "&amp;$W$13&amp;" OK",ROUND(AVERAGE(Q454:Q459),1)&amp;" &lt; "&amp;$W$13&amp;" NC")),IF($X$13="/90",IF(#REF!="","",IF(AVERAGE(#REF!)&gt;=$W$13,ROUND(AVERAGE(#REF!),1)&amp;" ≥ "&amp;$W$13&amp;" OK",ROUND(AVERAGE(#REF!),1)&amp;" &lt; "&amp;$W$13&amp;" NC"))))</f>
        <v/>
      </c>
      <c r="T458" s="278" t="str">
        <f>IF($X$13="/28",IF(Q458="","",IF(Q458&gt;=$W$13-$S$12,ROUND((Q458),1)&amp;" ≥ "&amp;$W$13-$S$12&amp;" OK",ROUND((Q458),1)&amp;" &lt; "&amp;$W$13-$S$12&amp;" NC")),IF($X$13="/90",IF(#REF!="","",IF(#REF!&gt;=$W$13-$S$12,ROUND((#REF!),1)&amp;" ≥ "&amp;$W$13-$S$12&amp;" OK",ROUND((#REF!),1)&amp;" &lt; "&amp;$W$13-$S$12&amp;" NC"))))</f>
        <v/>
      </c>
      <c r="U458" s="14"/>
      <c r="V458" s="279"/>
      <c r="W458" s="280"/>
      <c r="X458" s="281"/>
      <c r="Y458" s="246"/>
      <c r="Z458" s="246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BP458" s="390" t="str">
        <f>IF($X$13="/28",IF(Q458="","",Q458),IF($X$13="/90",IF(#REF!="","",#REF!),"Falso"))</f>
        <v/>
      </c>
      <c r="BQ458" s="392" t="str">
        <f t="shared" si="662"/>
        <v/>
      </c>
      <c r="BS458" s="50" t="str">
        <f>Q898</f>
        <v/>
      </c>
      <c r="BT458" s="50" t="e">
        <f>#REF!</f>
        <v>#REF!</v>
      </c>
      <c r="BU458" s="39" t="str">
        <f t="shared" si="630"/>
        <v/>
      </c>
      <c r="BV458" s="39" t="str">
        <f t="shared" si="623"/>
        <v/>
      </c>
    </row>
    <row r="459" spans="1:74" ht="14.25" customHeight="1" x14ac:dyDescent="0.35">
      <c r="A459" s="294"/>
      <c r="B459" s="296"/>
      <c r="C459" s="298"/>
      <c r="D459" s="300"/>
      <c r="E459" s="302"/>
      <c r="F459" s="304"/>
      <c r="G459" s="276"/>
      <c r="H459" s="277"/>
      <c r="I459" s="290"/>
      <c r="J459" s="290"/>
      <c r="K459" s="291"/>
      <c r="L459" s="17"/>
      <c r="M459" s="286"/>
      <c r="N459" s="21"/>
      <c r="O459" s="286"/>
      <c r="P459" s="21"/>
      <c r="Q459" s="286"/>
      <c r="R459" s="248"/>
      <c r="S459" s="287"/>
      <c r="T459" s="248"/>
      <c r="U459" s="13"/>
      <c r="V459" s="282"/>
      <c r="W459" s="283"/>
      <c r="X459" s="284"/>
      <c r="Y459" s="245"/>
      <c r="Z459" s="245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BP459" s="391"/>
      <c r="BQ459" s="393"/>
      <c r="BS459" s="50" t="str">
        <f>Q900</f>
        <v/>
      </c>
      <c r="BT459" s="50" t="e">
        <f>#REF!</f>
        <v>#REF!</v>
      </c>
      <c r="BU459" s="39" t="str">
        <f t="shared" si="630"/>
        <v/>
      </c>
      <c r="BV459" s="39" t="str">
        <f t="shared" si="623"/>
        <v/>
      </c>
    </row>
    <row r="460" spans="1:74" ht="14.25" customHeight="1" x14ac:dyDescent="0.35">
      <c r="A460" s="293">
        <v>222</v>
      </c>
      <c r="B460" s="295"/>
      <c r="C460" s="297"/>
      <c r="D460" s="299"/>
      <c r="E460" s="301"/>
      <c r="F460" s="303"/>
      <c r="G460" s="288"/>
      <c r="H460" s="289"/>
      <c r="I460" s="290"/>
      <c r="J460" s="290"/>
      <c r="K460" s="291"/>
      <c r="L460" s="18"/>
      <c r="M460" s="285" t="str">
        <f t="shared" ref="M460" si="709">IF(COUNT(L460:L461)&lt;1,"",AVERAGE(L460:L461))</f>
        <v/>
      </c>
      <c r="N460" s="22"/>
      <c r="O460" s="285" t="str">
        <f t="shared" ref="O460" si="710">IF(COUNT(N460:N461)&lt;1,"",AVERAGE(N460:N461))</f>
        <v/>
      </c>
      <c r="P460" s="22"/>
      <c r="Q460" s="285" t="str">
        <f t="shared" ref="Q460" si="711">IF(COUNT(P460:P461)&lt;1,"",AVERAGE(P460:P461))</f>
        <v/>
      </c>
      <c r="R460" s="278" t="str">
        <f>IF($X$13="/28",IF(COUNT(P460:P461)&lt;=1,"",ABS(P460-P461)),IF($X$13="/90",IF(COUNT(#REF!)&lt;=1,"",ABS(#REF!-#REF!))))</f>
        <v/>
      </c>
      <c r="S460" s="278" t="str">
        <f>IF($X$13="/28",IF(Q460="","",IF(AVERAGE(Q456:Q461)&gt;=$W$13,ROUND(AVERAGE(Q456:Q461),1)&amp;" ≥ "&amp;$W$13&amp;" OK",ROUND(AVERAGE(Q456:Q461),1)&amp;" &lt; "&amp;$W$13&amp;" NC")),IF($X$13="/90",IF(#REF!="","",IF(AVERAGE(#REF!)&gt;=$W$13,ROUND(AVERAGE(#REF!),1)&amp;" ≥ "&amp;$W$13&amp;" OK",ROUND(AVERAGE(#REF!),1)&amp;" &lt; "&amp;$W$13&amp;" NC"))))</f>
        <v/>
      </c>
      <c r="T460" s="278" t="str">
        <f>IF($X$13="/28",IF(Q460="","",IF(Q460&gt;=$W$13-$S$12,ROUND((Q460),1)&amp;" ≥ "&amp;$W$13-$S$12&amp;" OK",ROUND((Q460),1)&amp;" &lt; "&amp;$W$13-$S$12&amp;" NC")),IF($X$13="/90",IF(#REF!="","",IF(#REF!&gt;=$W$13-$S$12,ROUND((#REF!),1)&amp;" ≥ "&amp;$W$13-$S$12&amp;" OK",ROUND((#REF!),1)&amp;" &lt; "&amp;$W$13-$S$12&amp;" NC"))))</f>
        <v/>
      </c>
      <c r="U460" s="14"/>
      <c r="V460" s="279"/>
      <c r="W460" s="280"/>
      <c r="X460" s="281"/>
      <c r="Y460" s="246"/>
      <c r="Z460" s="246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BP460" s="390" t="str">
        <f>IF($X$13="/28",IF(Q460="","",Q460),IF($X$13="/90",IF(#REF!="","",#REF!),"Falso"))</f>
        <v/>
      </c>
      <c r="BQ460" s="392" t="str">
        <f t="shared" si="666"/>
        <v/>
      </c>
      <c r="BS460" s="50" t="str">
        <f>Q902</f>
        <v/>
      </c>
      <c r="BT460" s="50" t="e">
        <f>#REF!</f>
        <v>#REF!</v>
      </c>
      <c r="BU460" s="39" t="str">
        <f t="shared" si="630"/>
        <v/>
      </c>
      <c r="BV460" s="39" t="str">
        <f t="shared" si="623"/>
        <v/>
      </c>
    </row>
    <row r="461" spans="1:74" ht="14.25" customHeight="1" x14ac:dyDescent="0.35">
      <c r="A461" s="294"/>
      <c r="B461" s="296"/>
      <c r="C461" s="298"/>
      <c r="D461" s="300"/>
      <c r="E461" s="302"/>
      <c r="F461" s="304"/>
      <c r="G461" s="276"/>
      <c r="H461" s="277"/>
      <c r="I461" s="290"/>
      <c r="J461" s="290"/>
      <c r="K461" s="291"/>
      <c r="L461" s="17"/>
      <c r="M461" s="286"/>
      <c r="N461" s="21"/>
      <c r="O461" s="286"/>
      <c r="P461" s="21"/>
      <c r="Q461" s="286"/>
      <c r="R461" s="248"/>
      <c r="S461" s="287"/>
      <c r="T461" s="248"/>
      <c r="U461" s="13"/>
      <c r="V461" s="282"/>
      <c r="W461" s="283"/>
      <c r="X461" s="284"/>
      <c r="Y461" s="245"/>
      <c r="Z461" s="245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BP461" s="391"/>
      <c r="BQ461" s="393"/>
      <c r="BS461" s="50" t="str">
        <f>Q904</f>
        <v/>
      </c>
      <c r="BT461" s="50" t="e">
        <f>#REF!</f>
        <v>#REF!</v>
      </c>
      <c r="BU461" s="39" t="str">
        <f t="shared" si="630"/>
        <v/>
      </c>
      <c r="BV461" s="39" t="str">
        <f t="shared" si="623"/>
        <v/>
      </c>
    </row>
    <row r="462" spans="1:74" ht="14.25" customHeight="1" x14ac:dyDescent="0.35">
      <c r="A462" s="293">
        <v>223</v>
      </c>
      <c r="B462" s="295"/>
      <c r="C462" s="297"/>
      <c r="D462" s="299"/>
      <c r="E462" s="301"/>
      <c r="F462" s="303"/>
      <c r="G462" s="288"/>
      <c r="H462" s="289"/>
      <c r="I462" s="290"/>
      <c r="J462" s="290"/>
      <c r="K462" s="291"/>
      <c r="L462" s="18"/>
      <c r="M462" s="285" t="str">
        <f t="shared" ref="M462" si="712">IF(COUNT(L462:L463)&lt;1,"",AVERAGE(L462:L463))</f>
        <v/>
      </c>
      <c r="N462" s="22"/>
      <c r="O462" s="285" t="str">
        <f t="shared" ref="O462" si="713">IF(COUNT(N462:N463)&lt;1,"",AVERAGE(N462:N463))</f>
        <v/>
      </c>
      <c r="P462" s="22"/>
      <c r="Q462" s="285" t="str">
        <f t="shared" ref="Q462" si="714">IF(COUNT(P462:P463)&lt;1,"",AVERAGE(P462:P463))</f>
        <v/>
      </c>
      <c r="R462" s="278" t="str">
        <f>IF($X$13="/28",IF(COUNT(P462:P463)&lt;=1,"",ABS(P462-P463)),IF($X$13="/90",IF(COUNT(#REF!)&lt;=1,"",ABS(#REF!-#REF!))))</f>
        <v/>
      </c>
      <c r="S462" s="278" t="str">
        <f>IF($X$13="/28",IF(Q462="","",IF(AVERAGE(Q458:Q463)&gt;=$W$13,ROUND(AVERAGE(Q458:Q463),1)&amp;" ≥ "&amp;$W$13&amp;" OK",ROUND(AVERAGE(Q458:Q463),1)&amp;" &lt; "&amp;$W$13&amp;" NC")),IF($X$13="/90",IF(#REF!="","",IF(AVERAGE(#REF!)&gt;=$W$13,ROUND(AVERAGE(#REF!),1)&amp;" ≥ "&amp;$W$13&amp;" OK",ROUND(AVERAGE(#REF!),1)&amp;" &lt; "&amp;$W$13&amp;" NC"))))</f>
        <v/>
      </c>
      <c r="T462" s="278" t="str">
        <f>IF($X$13="/28",IF(Q462="","",IF(Q462&gt;=$W$13-$S$12,ROUND((Q462),1)&amp;" ≥ "&amp;$W$13-$S$12&amp;" OK",ROUND((Q462),1)&amp;" &lt; "&amp;$W$13-$S$12&amp;" NC")),IF($X$13="/90",IF(#REF!="","",IF(#REF!&gt;=$W$13-$S$12,ROUND((#REF!),1)&amp;" ≥ "&amp;$W$13-$S$12&amp;" OK",ROUND((#REF!),1)&amp;" &lt; "&amp;$W$13-$S$12&amp;" NC"))))</f>
        <v/>
      </c>
      <c r="U462" s="14"/>
      <c r="V462" s="279"/>
      <c r="W462" s="280"/>
      <c r="X462" s="281"/>
      <c r="Y462" s="246"/>
      <c r="Z462" s="246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BP462" s="390" t="str">
        <f>IF($X$13="/28",IF(Q462="","",Q462),IF($X$13="/90",IF(#REF!="","",#REF!),"Falso"))</f>
        <v/>
      </c>
      <c r="BQ462" s="392" t="str">
        <f t="shared" si="658"/>
        <v/>
      </c>
      <c r="BS462" s="50" t="str">
        <f>Q906</f>
        <v/>
      </c>
      <c r="BT462" s="50" t="e">
        <f>#REF!</f>
        <v>#REF!</v>
      </c>
      <c r="BU462" s="39" t="str">
        <f t="shared" si="630"/>
        <v/>
      </c>
      <c r="BV462" s="39" t="str">
        <f t="shared" si="623"/>
        <v/>
      </c>
    </row>
    <row r="463" spans="1:74" ht="14.25" customHeight="1" x14ac:dyDescent="0.35">
      <c r="A463" s="294"/>
      <c r="B463" s="296"/>
      <c r="C463" s="298"/>
      <c r="D463" s="300"/>
      <c r="E463" s="302"/>
      <c r="F463" s="304"/>
      <c r="G463" s="276"/>
      <c r="H463" s="277"/>
      <c r="I463" s="290"/>
      <c r="J463" s="290"/>
      <c r="K463" s="291"/>
      <c r="L463" s="17"/>
      <c r="M463" s="286"/>
      <c r="N463" s="21"/>
      <c r="O463" s="286"/>
      <c r="P463" s="21"/>
      <c r="Q463" s="286"/>
      <c r="R463" s="248"/>
      <c r="S463" s="287"/>
      <c r="T463" s="248"/>
      <c r="U463" s="13"/>
      <c r="V463" s="282"/>
      <c r="W463" s="283"/>
      <c r="X463" s="284"/>
      <c r="Y463" s="245"/>
      <c r="Z463" s="245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BP463" s="391"/>
      <c r="BQ463" s="393"/>
      <c r="BS463" s="50" t="str">
        <f>Q908</f>
        <v/>
      </c>
      <c r="BT463" s="50" t="e">
        <f>#REF!</f>
        <v>#REF!</v>
      </c>
      <c r="BU463" s="39" t="str">
        <f t="shared" si="630"/>
        <v/>
      </c>
      <c r="BV463" s="39" t="str">
        <f t="shared" si="623"/>
        <v/>
      </c>
    </row>
    <row r="464" spans="1:74" ht="14.25" customHeight="1" x14ac:dyDescent="0.35">
      <c r="A464" s="293">
        <v>224</v>
      </c>
      <c r="B464" s="295"/>
      <c r="C464" s="297"/>
      <c r="D464" s="299"/>
      <c r="E464" s="301"/>
      <c r="F464" s="303"/>
      <c r="G464" s="288"/>
      <c r="H464" s="289"/>
      <c r="I464" s="290"/>
      <c r="J464" s="290"/>
      <c r="K464" s="291"/>
      <c r="L464" s="18"/>
      <c r="M464" s="285" t="str">
        <f t="shared" ref="M464" si="715">IF(COUNT(L464:L465)&lt;1,"",AVERAGE(L464:L465))</f>
        <v/>
      </c>
      <c r="N464" s="22"/>
      <c r="O464" s="285" t="str">
        <f t="shared" ref="O464" si="716">IF(COUNT(N464:N465)&lt;1,"",AVERAGE(N464:N465))</f>
        <v/>
      </c>
      <c r="P464" s="22"/>
      <c r="Q464" s="285" t="str">
        <f t="shared" ref="Q464" si="717">IF(COUNT(P464:P465)&lt;1,"",AVERAGE(P464:P465))</f>
        <v/>
      </c>
      <c r="R464" s="278" t="str">
        <f>IF($X$13="/28",IF(COUNT(P464:P465)&lt;=1,"",ABS(P464-P465)),IF($X$13="/90",IF(COUNT(#REF!)&lt;=1,"",ABS(#REF!-#REF!))))</f>
        <v/>
      </c>
      <c r="S464" s="278" t="str">
        <f>IF($X$13="/28",IF(Q464="","",IF(AVERAGE(Q460:Q465)&gt;=$W$13,ROUND(AVERAGE(Q460:Q465),1)&amp;" ≥ "&amp;$W$13&amp;" OK",ROUND(AVERAGE(Q460:Q465),1)&amp;" &lt; "&amp;$W$13&amp;" NC")),IF($X$13="/90",IF(#REF!="","",IF(AVERAGE(#REF!)&gt;=$W$13,ROUND(AVERAGE(#REF!),1)&amp;" ≥ "&amp;$W$13&amp;" OK",ROUND(AVERAGE(#REF!),1)&amp;" &lt; "&amp;$W$13&amp;" NC"))))</f>
        <v/>
      </c>
      <c r="T464" s="278" t="str">
        <f>IF($X$13="/28",IF(Q464="","",IF(Q464&gt;=$W$13-$S$12,ROUND((Q464),1)&amp;" ≥ "&amp;$W$13-$S$12&amp;" OK",ROUND((Q464),1)&amp;" &lt; "&amp;$W$13-$S$12&amp;" NC")),IF($X$13="/90",IF(#REF!="","",IF(#REF!&gt;=$W$13-$S$12,ROUND((#REF!),1)&amp;" ≥ "&amp;$W$13-$S$12&amp;" OK",ROUND((#REF!),1)&amp;" &lt; "&amp;$W$13-$S$12&amp;" NC"))))</f>
        <v/>
      </c>
      <c r="U464" s="14"/>
      <c r="V464" s="279"/>
      <c r="W464" s="280"/>
      <c r="X464" s="281"/>
      <c r="Y464" s="246"/>
      <c r="Z464" s="246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BP464" s="390" t="str">
        <f>IF($X$13="/28",IF(Q464="","",Q464),IF($X$13="/90",IF(#REF!="","",#REF!),"Falso"))</f>
        <v/>
      </c>
      <c r="BQ464" s="392" t="str">
        <f t="shared" si="662"/>
        <v/>
      </c>
      <c r="BS464" s="50" t="str">
        <f>Q910</f>
        <v/>
      </c>
      <c r="BT464" s="50" t="e">
        <f>#REF!</f>
        <v>#REF!</v>
      </c>
      <c r="BU464" s="39" t="str">
        <f t="shared" si="630"/>
        <v/>
      </c>
      <c r="BV464" s="39" t="str">
        <f t="shared" si="623"/>
        <v/>
      </c>
    </row>
    <row r="465" spans="1:74" ht="14.25" customHeight="1" x14ac:dyDescent="0.35">
      <c r="A465" s="294"/>
      <c r="B465" s="296"/>
      <c r="C465" s="298"/>
      <c r="D465" s="300"/>
      <c r="E465" s="302"/>
      <c r="F465" s="304"/>
      <c r="G465" s="276"/>
      <c r="H465" s="277"/>
      <c r="I465" s="290"/>
      <c r="J465" s="290"/>
      <c r="K465" s="291"/>
      <c r="L465" s="17"/>
      <c r="M465" s="286"/>
      <c r="N465" s="21"/>
      <c r="O465" s="286"/>
      <c r="P465" s="21"/>
      <c r="Q465" s="286"/>
      <c r="R465" s="248"/>
      <c r="S465" s="287"/>
      <c r="T465" s="248"/>
      <c r="U465" s="13"/>
      <c r="V465" s="282"/>
      <c r="W465" s="283"/>
      <c r="X465" s="284"/>
      <c r="Y465" s="245"/>
      <c r="Z465" s="245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BP465" s="391"/>
      <c r="BQ465" s="393"/>
      <c r="BS465" s="50" t="str">
        <f>Q912</f>
        <v/>
      </c>
      <c r="BT465" s="50" t="e">
        <f>#REF!</f>
        <v>#REF!</v>
      </c>
      <c r="BU465" s="39" t="str">
        <f t="shared" si="630"/>
        <v/>
      </c>
      <c r="BV465" s="39" t="str">
        <f t="shared" si="623"/>
        <v/>
      </c>
    </row>
    <row r="466" spans="1:74" ht="14.25" customHeight="1" x14ac:dyDescent="0.35">
      <c r="A466" s="293">
        <v>225</v>
      </c>
      <c r="B466" s="295"/>
      <c r="C466" s="297"/>
      <c r="D466" s="299"/>
      <c r="E466" s="301"/>
      <c r="F466" s="303"/>
      <c r="G466" s="288"/>
      <c r="H466" s="289"/>
      <c r="I466" s="290"/>
      <c r="J466" s="290"/>
      <c r="K466" s="291"/>
      <c r="L466" s="18"/>
      <c r="M466" s="285" t="str">
        <f t="shared" ref="M466" si="718">IF(COUNT(L466:L467)&lt;1,"",AVERAGE(L466:L467))</f>
        <v/>
      </c>
      <c r="N466" s="22"/>
      <c r="O466" s="285" t="str">
        <f t="shared" ref="O466" si="719">IF(COUNT(N466:N467)&lt;1,"",AVERAGE(N466:N467))</f>
        <v/>
      </c>
      <c r="P466" s="22"/>
      <c r="Q466" s="285" t="str">
        <f t="shared" ref="Q466" si="720">IF(COUNT(P466:P467)&lt;1,"",AVERAGE(P466:P467))</f>
        <v/>
      </c>
      <c r="R466" s="278" t="str">
        <f>IF($X$13="/28",IF(COUNT(P466:P467)&lt;=1,"",ABS(P466-P467)),IF($X$13="/90",IF(COUNT(#REF!)&lt;=1,"",ABS(#REF!-#REF!))))</f>
        <v/>
      </c>
      <c r="S466" s="278" t="str">
        <f>IF($X$13="/28",IF(Q466="","",IF(AVERAGE(Q462:Q467)&gt;=$W$13,ROUND(AVERAGE(Q462:Q467),1)&amp;" ≥ "&amp;$W$13&amp;" OK",ROUND(AVERAGE(Q462:Q467),1)&amp;" &lt; "&amp;$W$13&amp;" NC")),IF($X$13="/90",IF(#REF!="","",IF(AVERAGE(#REF!)&gt;=$W$13,ROUND(AVERAGE(#REF!),1)&amp;" ≥ "&amp;$W$13&amp;" OK",ROUND(AVERAGE(#REF!),1)&amp;" &lt; "&amp;$W$13&amp;" NC"))))</f>
        <v/>
      </c>
      <c r="T466" s="278" t="str">
        <f>IF($X$13="/28",IF(Q466="","",IF(Q466&gt;=$W$13-$S$12,ROUND((Q466),1)&amp;" ≥ "&amp;$W$13-$S$12&amp;" OK",ROUND((Q466),1)&amp;" &lt; "&amp;$W$13-$S$12&amp;" NC")),IF($X$13="/90",IF(#REF!="","",IF(#REF!&gt;=$W$13-$S$12,ROUND((#REF!),1)&amp;" ≥ "&amp;$W$13-$S$12&amp;" OK",ROUND((#REF!),1)&amp;" &lt; "&amp;$W$13-$S$12&amp;" NC"))))</f>
        <v/>
      </c>
      <c r="U466" s="14"/>
      <c r="V466" s="279"/>
      <c r="W466" s="280"/>
      <c r="X466" s="281"/>
      <c r="Y466" s="246"/>
      <c r="Z466" s="246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BP466" s="390" t="str">
        <f>IF($X$13="/28",IF(Q466="","",Q466),IF($X$13="/90",IF(#REF!="","",#REF!),"Falso"))</f>
        <v/>
      </c>
      <c r="BQ466" s="392" t="str">
        <f t="shared" si="666"/>
        <v/>
      </c>
      <c r="BS466" s="50" t="str">
        <f>Q914</f>
        <v/>
      </c>
      <c r="BT466" s="50" t="e">
        <f>#REF!</f>
        <v>#REF!</v>
      </c>
      <c r="BU466" s="39" t="str">
        <f t="shared" si="630"/>
        <v/>
      </c>
      <c r="BV466" s="39" t="str">
        <f t="shared" si="623"/>
        <v/>
      </c>
    </row>
    <row r="467" spans="1:74" ht="14.25" customHeight="1" x14ac:dyDescent="0.35">
      <c r="A467" s="294"/>
      <c r="B467" s="296"/>
      <c r="C467" s="298"/>
      <c r="D467" s="300"/>
      <c r="E467" s="302"/>
      <c r="F467" s="304"/>
      <c r="G467" s="276"/>
      <c r="H467" s="277"/>
      <c r="I467" s="290"/>
      <c r="J467" s="290"/>
      <c r="K467" s="291"/>
      <c r="L467" s="17"/>
      <c r="M467" s="286"/>
      <c r="N467" s="21"/>
      <c r="O467" s="286"/>
      <c r="P467" s="21"/>
      <c r="Q467" s="286"/>
      <c r="R467" s="248"/>
      <c r="S467" s="287"/>
      <c r="T467" s="248"/>
      <c r="U467" s="13"/>
      <c r="V467" s="282"/>
      <c r="W467" s="283"/>
      <c r="X467" s="284"/>
      <c r="Y467" s="245"/>
      <c r="Z467" s="245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BP467" s="391"/>
      <c r="BQ467" s="393"/>
      <c r="BS467" s="50" t="str">
        <f>Q916</f>
        <v/>
      </c>
      <c r="BT467" s="50" t="e">
        <f>#REF!</f>
        <v>#REF!</v>
      </c>
      <c r="BU467" s="39" t="str">
        <f t="shared" si="630"/>
        <v/>
      </c>
      <c r="BV467" s="39" t="str">
        <f t="shared" si="623"/>
        <v/>
      </c>
    </row>
    <row r="468" spans="1:74" ht="14.25" customHeight="1" x14ac:dyDescent="0.35">
      <c r="A468" s="293">
        <v>226</v>
      </c>
      <c r="B468" s="295"/>
      <c r="C468" s="297"/>
      <c r="D468" s="299"/>
      <c r="E468" s="301"/>
      <c r="F468" s="303"/>
      <c r="G468" s="288"/>
      <c r="H468" s="289"/>
      <c r="I468" s="290"/>
      <c r="J468" s="290"/>
      <c r="K468" s="291"/>
      <c r="L468" s="18"/>
      <c r="M468" s="285" t="str">
        <f t="shared" ref="M468" si="721">IF(COUNT(L468:L469)&lt;1,"",AVERAGE(L468:L469))</f>
        <v/>
      </c>
      <c r="N468" s="22"/>
      <c r="O468" s="285" t="str">
        <f t="shared" ref="O468" si="722">IF(COUNT(N468:N469)&lt;1,"",AVERAGE(N468:N469))</f>
        <v/>
      </c>
      <c r="P468" s="22"/>
      <c r="Q468" s="285" t="str">
        <f t="shared" ref="Q468" si="723">IF(COUNT(P468:P469)&lt;1,"",AVERAGE(P468:P469))</f>
        <v/>
      </c>
      <c r="R468" s="278" t="str">
        <f>IF($X$13="/28",IF(COUNT(P468:P469)&lt;=1,"",ABS(P468-P469)),IF($X$13="/90",IF(COUNT(#REF!)&lt;=1,"",ABS(#REF!-#REF!))))</f>
        <v/>
      </c>
      <c r="S468" s="278" t="str">
        <f>IF($X$13="/28",IF(Q468="","",IF(AVERAGE(Q464:Q469)&gt;=$W$13,ROUND(AVERAGE(Q464:Q469),1)&amp;" ≥ "&amp;$W$13&amp;" OK",ROUND(AVERAGE(Q464:Q469),1)&amp;" &lt; "&amp;$W$13&amp;" NC")),IF($X$13="/90",IF(#REF!="","",IF(AVERAGE(#REF!)&gt;=$W$13,ROUND(AVERAGE(#REF!),1)&amp;" ≥ "&amp;$W$13&amp;" OK",ROUND(AVERAGE(#REF!),1)&amp;" &lt; "&amp;$W$13&amp;" NC"))))</f>
        <v/>
      </c>
      <c r="T468" s="278" t="str">
        <f>IF($X$13="/28",IF(Q468="","",IF(Q468&gt;=$W$13-$S$12,ROUND((Q468),1)&amp;" ≥ "&amp;$W$13-$S$12&amp;" OK",ROUND((Q468),1)&amp;" &lt; "&amp;$W$13-$S$12&amp;" NC")),IF($X$13="/90",IF(#REF!="","",IF(#REF!&gt;=$W$13-$S$12,ROUND((#REF!),1)&amp;" ≥ "&amp;$W$13-$S$12&amp;" OK",ROUND((#REF!),1)&amp;" &lt; "&amp;$W$13-$S$12&amp;" NC"))))</f>
        <v/>
      </c>
      <c r="U468" s="14"/>
      <c r="V468" s="279"/>
      <c r="W468" s="280"/>
      <c r="X468" s="281"/>
      <c r="Y468" s="246"/>
      <c r="Z468" s="246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BP468" s="390" t="str">
        <f>IF($X$13="/28",IF(Q468="","",Q468),IF($X$13="/90",IF(#REF!="","",#REF!),"Falso"))</f>
        <v/>
      </c>
      <c r="BQ468" s="392" t="str">
        <f t="shared" si="658"/>
        <v/>
      </c>
      <c r="BS468" s="50" t="str">
        <f>Q918</f>
        <v/>
      </c>
      <c r="BT468" s="50" t="e">
        <f>#REF!</f>
        <v>#REF!</v>
      </c>
      <c r="BU468" s="39" t="str">
        <f t="shared" si="630"/>
        <v/>
      </c>
      <c r="BV468" s="39" t="str">
        <f t="shared" ref="BV468:BV531" si="724">IF(BU468="","",BV467+1)</f>
        <v/>
      </c>
    </row>
    <row r="469" spans="1:74" ht="14.25" customHeight="1" x14ac:dyDescent="0.35">
      <c r="A469" s="294"/>
      <c r="B469" s="296"/>
      <c r="C469" s="298"/>
      <c r="D469" s="300"/>
      <c r="E469" s="302"/>
      <c r="F469" s="304"/>
      <c r="G469" s="276"/>
      <c r="H469" s="277"/>
      <c r="I469" s="290"/>
      <c r="J469" s="290"/>
      <c r="K469" s="291"/>
      <c r="L469" s="17"/>
      <c r="M469" s="286"/>
      <c r="N469" s="21"/>
      <c r="O469" s="286"/>
      <c r="P469" s="21"/>
      <c r="Q469" s="286"/>
      <c r="R469" s="248"/>
      <c r="S469" s="287"/>
      <c r="T469" s="248"/>
      <c r="U469" s="13"/>
      <c r="V469" s="282"/>
      <c r="W469" s="283"/>
      <c r="X469" s="284"/>
      <c r="Y469" s="245"/>
      <c r="Z469" s="245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BP469" s="391"/>
      <c r="BQ469" s="393"/>
      <c r="BS469" s="50" t="str">
        <f>Q920</f>
        <v/>
      </c>
      <c r="BT469" s="50" t="e">
        <f>#REF!</f>
        <v>#REF!</v>
      </c>
      <c r="BU469" s="39" t="str">
        <f t="shared" si="630"/>
        <v/>
      </c>
      <c r="BV469" s="39" t="str">
        <f t="shared" si="724"/>
        <v/>
      </c>
    </row>
    <row r="470" spans="1:74" ht="14.25" customHeight="1" x14ac:dyDescent="0.35">
      <c r="A470" s="293">
        <v>227</v>
      </c>
      <c r="B470" s="295"/>
      <c r="C470" s="297"/>
      <c r="D470" s="299"/>
      <c r="E470" s="301"/>
      <c r="F470" s="303"/>
      <c r="G470" s="288"/>
      <c r="H470" s="289"/>
      <c r="I470" s="290"/>
      <c r="J470" s="290"/>
      <c r="K470" s="291"/>
      <c r="L470" s="18"/>
      <c r="M470" s="285" t="str">
        <f t="shared" ref="M470" si="725">IF(COUNT(L470:L471)&lt;1,"",AVERAGE(L470:L471))</f>
        <v/>
      </c>
      <c r="N470" s="22"/>
      <c r="O470" s="285" t="str">
        <f t="shared" ref="O470" si="726">IF(COUNT(N470:N471)&lt;1,"",AVERAGE(N470:N471))</f>
        <v/>
      </c>
      <c r="P470" s="22"/>
      <c r="Q470" s="285" t="str">
        <f t="shared" ref="Q470" si="727">IF(COUNT(P470:P471)&lt;1,"",AVERAGE(P470:P471))</f>
        <v/>
      </c>
      <c r="R470" s="278" t="str">
        <f>IF($X$13="/28",IF(COUNT(P470:P471)&lt;=1,"",ABS(P470-P471)),IF($X$13="/90",IF(COUNT(#REF!)&lt;=1,"",ABS(#REF!-#REF!))))</f>
        <v/>
      </c>
      <c r="S470" s="278" t="str">
        <f>IF($X$13="/28",IF(Q470="","",IF(AVERAGE(Q466:Q471)&gt;=$W$13,ROUND(AVERAGE(Q466:Q471),1)&amp;" ≥ "&amp;$W$13&amp;" OK",ROUND(AVERAGE(Q466:Q471),1)&amp;" &lt; "&amp;$W$13&amp;" NC")),IF($X$13="/90",IF(#REF!="","",IF(AVERAGE(#REF!)&gt;=$W$13,ROUND(AVERAGE(#REF!),1)&amp;" ≥ "&amp;$W$13&amp;" OK",ROUND(AVERAGE(#REF!),1)&amp;" &lt; "&amp;$W$13&amp;" NC"))))</f>
        <v/>
      </c>
      <c r="T470" s="278" t="str">
        <f>IF($X$13="/28",IF(Q470="","",IF(Q470&gt;=$W$13-$S$12,ROUND((Q470),1)&amp;" ≥ "&amp;$W$13-$S$12&amp;" OK",ROUND((Q470),1)&amp;" &lt; "&amp;$W$13-$S$12&amp;" NC")),IF($X$13="/90",IF(#REF!="","",IF(#REF!&gt;=$W$13-$S$12,ROUND((#REF!),1)&amp;" ≥ "&amp;$W$13-$S$12&amp;" OK",ROUND((#REF!),1)&amp;" &lt; "&amp;$W$13-$S$12&amp;" NC"))))</f>
        <v/>
      </c>
      <c r="U470" s="14"/>
      <c r="V470" s="279"/>
      <c r="W470" s="280"/>
      <c r="X470" s="281"/>
      <c r="Y470" s="246"/>
      <c r="Z470" s="246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BP470" s="390" t="str">
        <f>IF($X$13="/28",IF(Q470="","",Q470),IF($X$13="/90",IF(#REF!="","",#REF!),"Falso"))</f>
        <v/>
      </c>
      <c r="BQ470" s="392" t="str">
        <f t="shared" si="662"/>
        <v/>
      </c>
      <c r="BS470" s="50" t="str">
        <f>Q922</f>
        <v/>
      </c>
      <c r="BT470" s="50" t="e">
        <f>#REF!</f>
        <v>#REF!</v>
      </c>
      <c r="BU470" s="39" t="str">
        <f t="shared" si="630"/>
        <v/>
      </c>
      <c r="BV470" s="39" t="str">
        <f t="shared" si="724"/>
        <v/>
      </c>
    </row>
    <row r="471" spans="1:74" ht="14.25" customHeight="1" x14ac:dyDescent="0.35">
      <c r="A471" s="294"/>
      <c r="B471" s="296"/>
      <c r="C471" s="298"/>
      <c r="D471" s="300"/>
      <c r="E471" s="302"/>
      <c r="F471" s="304"/>
      <c r="G471" s="276"/>
      <c r="H471" s="277"/>
      <c r="I471" s="290"/>
      <c r="J471" s="290"/>
      <c r="K471" s="291"/>
      <c r="L471" s="17"/>
      <c r="M471" s="286"/>
      <c r="N471" s="21"/>
      <c r="O471" s="286"/>
      <c r="P471" s="21"/>
      <c r="Q471" s="286"/>
      <c r="R471" s="248"/>
      <c r="S471" s="287"/>
      <c r="T471" s="248"/>
      <c r="U471" s="13"/>
      <c r="V471" s="282"/>
      <c r="W471" s="283"/>
      <c r="X471" s="284"/>
      <c r="Y471" s="245"/>
      <c r="Z471" s="245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BP471" s="391"/>
      <c r="BQ471" s="393"/>
      <c r="BS471" s="50" t="str">
        <f>Q924</f>
        <v/>
      </c>
      <c r="BT471" s="50" t="e">
        <f>#REF!</f>
        <v>#REF!</v>
      </c>
      <c r="BU471" s="39" t="str">
        <f t="shared" si="630"/>
        <v/>
      </c>
      <c r="BV471" s="39" t="str">
        <f t="shared" si="724"/>
        <v/>
      </c>
    </row>
    <row r="472" spans="1:74" ht="14.25" customHeight="1" x14ac:dyDescent="0.35">
      <c r="A472" s="293">
        <v>228</v>
      </c>
      <c r="B472" s="295"/>
      <c r="C472" s="297"/>
      <c r="D472" s="299"/>
      <c r="E472" s="301"/>
      <c r="F472" s="303"/>
      <c r="G472" s="288"/>
      <c r="H472" s="289"/>
      <c r="I472" s="290"/>
      <c r="J472" s="290"/>
      <c r="K472" s="291"/>
      <c r="L472" s="18"/>
      <c r="M472" s="285" t="str">
        <f t="shared" ref="M472" si="728">IF(COUNT(L472:L473)&lt;1,"",AVERAGE(L472:L473))</f>
        <v/>
      </c>
      <c r="N472" s="22"/>
      <c r="O472" s="285" t="str">
        <f t="shared" ref="O472" si="729">IF(COUNT(N472:N473)&lt;1,"",AVERAGE(N472:N473))</f>
        <v/>
      </c>
      <c r="P472" s="22"/>
      <c r="Q472" s="285" t="str">
        <f t="shared" ref="Q472" si="730">IF(COUNT(P472:P473)&lt;1,"",AVERAGE(P472:P473))</f>
        <v/>
      </c>
      <c r="R472" s="278" t="str">
        <f>IF($X$13="/28",IF(COUNT(P472:P473)&lt;=1,"",ABS(P472-P473)),IF($X$13="/90",IF(COUNT(#REF!)&lt;=1,"",ABS(#REF!-#REF!))))</f>
        <v/>
      </c>
      <c r="S472" s="278" t="str">
        <f>IF($X$13="/28",IF(Q472="","",IF(AVERAGE(Q468:Q473)&gt;=$W$13,ROUND(AVERAGE(Q468:Q473),1)&amp;" ≥ "&amp;$W$13&amp;" OK",ROUND(AVERAGE(Q468:Q473),1)&amp;" &lt; "&amp;$W$13&amp;" NC")),IF($X$13="/90",IF(#REF!="","",IF(AVERAGE(#REF!)&gt;=$W$13,ROUND(AVERAGE(#REF!),1)&amp;" ≥ "&amp;$W$13&amp;" OK",ROUND(AVERAGE(#REF!),1)&amp;" &lt; "&amp;$W$13&amp;" NC"))))</f>
        <v/>
      </c>
      <c r="T472" s="278" t="str">
        <f>IF($X$13="/28",IF(Q472="","",IF(Q472&gt;=$W$13-$S$12,ROUND((Q472),1)&amp;" ≥ "&amp;$W$13-$S$12&amp;" OK",ROUND((Q472),1)&amp;" &lt; "&amp;$W$13-$S$12&amp;" NC")),IF($X$13="/90",IF(#REF!="","",IF(#REF!&gt;=$W$13-$S$12,ROUND((#REF!),1)&amp;" ≥ "&amp;$W$13-$S$12&amp;" OK",ROUND((#REF!),1)&amp;" &lt; "&amp;$W$13-$S$12&amp;" NC"))))</f>
        <v/>
      </c>
      <c r="U472" s="14"/>
      <c r="V472" s="279"/>
      <c r="W472" s="280"/>
      <c r="X472" s="281"/>
      <c r="Y472" s="246"/>
      <c r="Z472" s="246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BP472" s="390" t="str">
        <f>IF($X$13="/28",IF(Q472="","",Q472),IF($X$13="/90",IF(#REF!="","",#REF!),"Falso"))</f>
        <v/>
      </c>
      <c r="BQ472" s="392" t="str">
        <f t="shared" si="666"/>
        <v/>
      </c>
      <c r="BS472" s="50" t="str">
        <f>Q926</f>
        <v/>
      </c>
      <c r="BT472" s="50" t="e">
        <f>#REF!</f>
        <v>#REF!</v>
      </c>
      <c r="BU472" s="39" t="str">
        <f t="shared" ref="BU472:BU535" si="731">IF($X$13="/28",IF(BS472="","",BS472),IF($X$13="/90",IF(BT472="","",BT472),"Falso"))</f>
        <v/>
      </c>
      <c r="BV472" s="39" t="str">
        <f t="shared" si="724"/>
        <v/>
      </c>
    </row>
    <row r="473" spans="1:74" ht="14.25" customHeight="1" x14ac:dyDescent="0.35">
      <c r="A473" s="294"/>
      <c r="B473" s="296"/>
      <c r="C473" s="298"/>
      <c r="D473" s="300"/>
      <c r="E473" s="302"/>
      <c r="F473" s="304"/>
      <c r="G473" s="276"/>
      <c r="H473" s="277"/>
      <c r="I473" s="290"/>
      <c r="J473" s="290"/>
      <c r="K473" s="291"/>
      <c r="L473" s="17"/>
      <c r="M473" s="286"/>
      <c r="N473" s="21"/>
      <c r="O473" s="286"/>
      <c r="P473" s="21"/>
      <c r="Q473" s="286"/>
      <c r="R473" s="248"/>
      <c r="S473" s="287"/>
      <c r="T473" s="248"/>
      <c r="U473" s="13"/>
      <c r="V473" s="282"/>
      <c r="W473" s="283"/>
      <c r="X473" s="284"/>
      <c r="Y473" s="245"/>
      <c r="Z473" s="245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BP473" s="391"/>
      <c r="BQ473" s="393"/>
      <c r="BS473" s="50" t="str">
        <f>Q928</f>
        <v/>
      </c>
      <c r="BT473" s="50" t="e">
        <f>#REF!</f>
        <v>#REF!</v>
      </c>
      <c r="BU473" s="39" t="str">
        <f t="shared" si="731"/>
        <v/>
      </c>
      <c r="BV473" s="39" t="str">
        <f t="shared" si="724"/>
        <v/>
      </c>
    </row>
    <row r="474" spans="1:74" ht="14.25" customHeight="1" x14ac:dyDescent="0.35">
      <c r="A474" s="293">
        <v>229</v>
      </c>
      <c r="B474" s="295"/>
      <c r="C474" s="297"/>
      <c r="D474" s="299"/>
      <c r="E474" s="301"/>
      <c r="F474" s="303"/>
      <c r="G474" s="288"/>
      <c r="H474" s="289"/>
      <c r="I474" s="290"/>
      <c r="J474" s="290"/>
      <c r="K474" s="291"/>
      <c r="L474" s="18"/>
      <c r="M474" s="285" t="str">
        <f t="shared" ref="M474" si="732">IF(COUNT(L474:L475)&lt;1,"",AVERAGE(L474:L475))</f>
        <v/>
      </c>
      <c r="N474" s="22"/>
      <c r="O474" s="285" t="str">
        <f t="shared" ref="O474" si="733">IF(COUNT(N474:N475)&lt;1,"",AVERAGE(N474:N475))</f>
        <v/>
      </c>
      <c r="P474" s="22"/>
      <c r="Q474" s="285" t="str">
        <f t="shared" ref="Q474" si="734">IF(COUNT(P474:P475)&lt;1,"",AVERAGE(P474:P475))</f>
        <v/>
      </c>
      <c r="R474" s="278" t="str">
        <f>IF($X$13="/28",IF(COUNT(P474:P475)&lt;=1,"",ABS(P474-P475)),IF($X$13="/90",IF(COUNT(#REF!)&lt;=1,"",ABS(#REF!-#REF!))))</f>
        <v/>
      </c>
      <c r="S474" s="278" t="str">
        <f>IF($X$13="/28",IF(Q474="","",IF(AVERAGE(Q470:Q475)&gt;=$W$13,ROUND(AVERAGE(Q470:Q475),1)&amp;" ≥ "&amp;$W$13&amp;" OK",ROUND(AVERAGE(Q470:Q475),1)&amp;" &lt; "&amp;$W$13&amp;" NC")),IF($X$13="/90",IF(#REF!="","",IF(AVERAGE(#REF!)&gt;=$W$13,ROUND(AVERAGE(#REF!),1)&amp;" ≥ "&amp;$W$13&amp;" OK",ROUND(AVERAGE(#REF!),1)&amp;" &lt; "&amp;$W$13&amp;" NC"))))</f>
        <v/>
      </c>
      <c r="T474" s="278" t="str">
        <f>IF($X$13="/28",IF(Q474="","",IF(Q474&gt;=$W$13-$S$12,ROUND((Q474),1)&amp;" ≥ "&amp;$W$13-$S$12&amp;" OK",ROUND((Q474),1)&amp;" &lt; "&amp;$W$13-$S$12&amp;" NC")),IF($X$13="/90",IF(#REF!="","",IF(#REF!&gt;=$W$13-$S$12,ROUND((#REF!),1)&amp;" ≥ "&amp;$W$13-$S$12&amp;" OK",ROUND((#REF!),1)&amp;" &lt; "&amp;$W$13-$S$12&amp;" NC"))))</f>
        <v/>
      </c>
      <c r="U474" s="14"/>
      <c r="V474" s="279"/>
      <c r="W474" s="280"/>
      <c r="X474" s="281"/>
      <c r="Y474" s="246"/>
      <c r="Z474" s="246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BP474" s="390" t="str">
        <f>IF($X$13="/28",IF(Q474="","",Q474),IF($X$13="/90",IF(#REF!="","",#REF!),"Falso"))</f>
        <v/>
      </c>
      <c r="BQ474" s="392" t="str">
        <f t="shared" si="658"/>
        <v/>
      </c>
      <c r="BS474" s="50" t="str">
        <f>Q930</f>
        <v/>
      </c>
      <c r="BT474" s="50" t="e">
        <f>#REF!</f>
        <v>#REF!</v>
      </c>
      <c r="BU474" s="39" t="str">
        <f t="shared" si="731"/>
        <v/>
      </c>
      <c r="BV474" s="39" t="str">
        <f t="shared" si="724"/>
        <v/>
      </c>
    </row>
    <row r="475" spans="1:74" ht="14.25" customHeight="1" x14ac:dyDescent="0.35">
      <c r="A475" s="294"/>
      <c r="B475" s="296"/>
      <c r="C475" s="298"/>
      <c r="D475" s="300"/>
      <c r="E475" s="302"/>
      <c r="F475" s="304"/>
      <c r="G475" s="276"/>
      <c r="H475" s="277"/>
      <c r="I475" s="290"/>
      <c r="J475" s="290"/>
      <c r="K475" s="291"/>
      <c r="L475" s="17"/>
      <c r="M475" s="286"/>
      <c r="N475" s="21"/>
      <c r="O475" s="286"/>
      <c r="P475" s="21"/>
      <c r="Q475" s="286"/>
      <c r="R475" s="248"/>
      <c r="S475" s="287"/>
      <c r="T475" s="248"/>
      <c r="U475" s="13"/>
      <c r="V475" s="282"/>
      <c r="W475" s="283"/>
      <c r="X475" s="284"/>
      <c r="Y475" s="245"/>
      <c r="Z475" s="245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BP475" s="391"/>
      <c r="BQ475" s="393"/>
      <c r="BS475" s="50" t="str">
        <f>Q932</f>
        <v/>
      </c>
      <c r="BT475" s="50" t="e">
        <f>#REF!</f>
        <v>#REF!</v>
      </c>
      <c r="BU475" s="39" t="str">
        <f t="shared" si="731"/>
        <v/>
      </c>
      <c r="BV475" s="39" t="str">
        <f t="shared" si="724"/>
        <v/>
      </c>
    </row>
    <row r="476" spans="1:74" ht="14.25" customHeight="1" x14ac:dyDescent="0.35">
      <c r="A476" s="293">
        <v>230</v>
      </c>
      <c r="B476" s="295"/>
      <c r="C476" s="297"/>
      <c r="D476" s="299"/>
      <c r="E476" s="301"/>
      <c r="F476" s="303"/>
      <c r="G476" s="288"/>
      <c r="H476" s="289"/>
      <c r="I476" s="290"/>
      <c r="J476" s="290"/>
      <c r="K476" s="291"/>
      <c r="L476" s="18"/>
      <c r="M476" s="285" t="str">
        <f t="shared" ref="M476" si="735">IF(COUNT(L476:L477)&lt;1,"",AVERAGE(L476:L477))</f>
        <v/>
      </c>
      <c r="N476" s="22"/>
      <c r="O476" s="285" t="str">
        <f t="shared" ref="O476" si="736">IF(COUNT(N476:N477)&lt;1,"",AVERAGE(N476:N477))</f>
        <v/>
      </c>
      <c r="P476" s="22"/>
      <c r="Q476" s="285" t="str">
        <f t="shared" ref="Q476" si="737">IF(COUNT(P476:P477)&lt;1,"",AVERAGE(P476:P477))</f>
        <v/>
      </c>
      <c r="R476" s="278" t="str">
        <f>IF($X$13="/28",IF(COUNT(P476:P477)&lt;=1,"",ABS(P476-P477)),IF($X$13="/90",IF(COUNT(#REF!)&lt;=1,"",ABS(#REF!-#REF!))))</f>
        <v/>
      </c>
      <c r="S476" s="278" t="str">
        <f>IF($X$13="/28",IF(Q476="","",IF(AVERAGE(Q472:Q477)&gt;=$W$13,ROUND(AVERAGE(Q472:Q477),1)&amp;" ≥ "&amp;$W$13&amp;" OK",ROUND(AVERAGE(Q472:Q477),1)&amp;" &lt; "&amp;$W$13&amp;" NC")),IF($X$13="/90",IF(#REF!="","",IF(AVERAGE(#REF!)&gt;=$W$13,ROUND(AVERAGE(#REF!),1)&amp;" ≥ "&amp;$W$13&amp;" OK",ROUND(AVERAGE(#REF!),1)&amp;" &lt; "&amp;$W$13&amp;" NC"))))</f>
        <v/>
      </c>
      <c r="T476" s="278" t="str">
        <f>IF($X$13="/28",IF(Q476="","",IF(Q476&gt;=$W$13-$S$12,ROUND((Q476),1)&amp;" ≥ "&amp;$W$13-$S$12&amp;" OK",ROUND((Q476),1)&amp;" &lt; "&amp;$W$13-$S$12&amp;" NC")),IF($X$13="/90",IF(#REF!="","",IF(#REF!&gt;=$W$13-$S$12,ROUND((#REF!),1)&amp;" ≥ "&amp;$W$13-$S$12&amp;" OK",ROUND((#REF!),1)&amp;" &lt; "&amp;$W$13-$S$12&amp;" NC"))))</f>
        <v/>
      </c>
      <c r="U476" s="14"/>
      <c r="V476" s="279"/>
      <c r="W476" s="280"/>
      <c r="X476" s="281"/>
      <c r="Y476" s="246"/>
      <c r="Z476" s="246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BP476" s="390" t="str">
        <f>IF($X$13="/28",IF(Q476="","",Q476),IF($X$13="/90",IF(#REF!="","",#REF!),"Falso"))</f>
        <v/>
      </c>
      <c r="BQ476" s="392" t="str">
        <f t="shared" si="662"/>
        <v/>
      </c>
      <c r="BS476" s="50" t="str">
        <f>Q934</f>
        <v/>
      </c>
      <c r="BT476" s="50" t="e">
        <f>#REF!</f>
        <v>#REF!</v>
      </c>
      <c r="BU476" s="39" t="str">
        <f t="shared" si="731"/>
        <v/>
      </c>
      <c r="BV476" s="39" t="str">
        <f t="shared" si="724"/>
        <v/>
      </c>
    </row>
    <row r="477" spans="1:74" ht="14.25" customHeight="1" x14ac:dyDescent="0.35">
      <c r="A477" s="294"/>
      <c r="B477" s="296"/>
      <c r="C477" s="298"/>
      <c r="D477" s="300"/>
      <c r="E477" s="302"/>
      <c r="F477" s="304"/>
      <c r="G477" s="276"/>
      <c r="H477" s="277"/>
      <c r="I477" s="290"/>
      <c r="J477" s="290"/>
      <c r="K477" s="291"/>
      <c r="L477" s="17"/>
      <c r="M477" s="286"/>
      <c r="N477" s="21"/>
      <c r="O477" s="286"/>
      <c r="P477" s="21"/>
      <c r="Q477" s="286"/>
      <c r="R477" s="248"/>
      <c r="S477" s="287"/>
      <c r="T477" s="248"/>
      <c r="U477" s="13"/>
      <c r="V477" s="282"/>
      <c r="W477" s="283"/>
      <c r="X477" s="284"/>
      <c r="Y477" s="245"/>
      <c r="Z477" s="245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BP477" s="391"/>
      <c r="BQ477" s="393"/>
      <c r="BS477" s="50" t="str">
        <f>Q936</f>
        <v/>
      </c>
      <c r="BT477" s="50" t="e">
        <f>#REF!</f>
        <v>#REF!</v>
      </c>
      <c r="BU477" s="39" t="str">
        <f t="shared" si="731"/>
        <v/>
      </c>
      <c r="BV477" s="39" t="str">
        <f t="shared" si="724"/>
        <v/>
      </c>
    </row>
    <row r="478" spans="1:74" ht="14.25" customHeight="1" x14ac:dyDescent="0.35">
      <c r="A478" s="293">
        <v>231</v>
      </c>
      <c r="B478" s="295"/>
      <c r="C478" s="297"/>
      <c r="D478" s="299"/>
      <c r="E478" s="301"/>
      <c r="F478" s="303"/>
      <c r="G478" s="288"/>
      <c r="H478" s="289"/>
      <c r="I478" s="290"/>
      <c r="J478" s="290"/>
      <c r="K478" s="291"/>
      <c r="L478" s="18"/>
      <c r="M478" s="285" t="str">
        <f t="shared" ref="M478" si="738">IF(COUNT(L478:L479)&lt;1,"",AVERAGE(L478:L479))</f>
        <v/>
      </c>
      <c r="N478" s="22"/>
      <c r="O478" s="285" t="str">
        <f t="shared" ref="O478" si="739">IF(COUNT(N478:N479)&lt;1,"",AVERAGE(N478:N479))</f>
        <v/>
      </c>
      <c r="P478" s="22"/>
      <c r="Q478" s="285" t="str">
        <f t="shared" ref="Q478" si="740">IF(COUNT(P478:P479)&lt;1,"",AVERAGE(P478:P479))</f>
        <v/>
      </c>
      <c r="R478" s="278" t="str">
        <f>IF($X$13="/28",IF(COUNT(P478:P479)&lt;=1,"",ABS(P478-P479)),IF($X$13="/90",IF(COUNT(#REF!)&lt;=1,"",ABS(#REF!-#REF!))))</f>
        <v/>
      </c>
      <c r="S478" s="278" t="str">
        <f>IF($X$13="/28",IF(Q478="","",IF(AVERAGE(Q474:Q479)&gt;=$W$13,ROUND(AVERAGE(Q474:Q479),1)&amp;" ≥ "&amp;$W$13&amp;" OK",ROUND(AVERAGE(Q474:Q479),1)&amp;" &lt; "&amp;$W$13&amp;" NC")),IF($X$13="/90",IF(#REF!="","",IF(AVERAGE(#REF!)&gt;=$W$13,ROUND(AVERAGE(#REF!),1)&amp;" ≥ "&amp;$W$13&amp;" OK",ROUND(AVERAGE(#REF!),1)&amp;" &lt; "&amp;$W$13&amp;" NC"))))</f>
        <v/>
      </c>
      <c r="T478" s="278" t="str">
        <f>IF($X$13="/28",IF(Q478="","",IF(Q478&gt;=$W$13-$S$12,ROUND((Q478),1)&amp;" ≥ "&amp;$W$13-$S$12&amp;" OK",ROUND((Q478),1)&amp;" &lt; "&amp;$W$13-$S$12&amp;" NC")),IF($X$13="/90",IF(#REF!="","",IF(#REF!&gt;=$W$13-$S$12,ROUND((#REF!),1)&amp;" ≥ "&amp;$W$13-$S$12&amp;" OK",ROUND((#REF!),1)&amp;" &lt; "&amp;$W$13-$S$12&amp;" NC"))))</f>
        <v/>
      </c>
      <c r="U478" s="14"/>
      <c r="V478" s="279"/>
      <c r="W478" s="280"/>
      <c r="X478" s="281"/>
      <c r="Y478" s="246"/>
      <c r="Z478" s="246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BP478" s="390" t="str">
        <f>IF($X$13="/28",IF(Q478="","",Q478),IF($X$13="/90",IF(#REF!="","",#REF!),"Falso"))</f>
        <v/>
      </c>
      <c r="BQ478" s="392" t="str">
        <f t="shared" si="666"/>
        <v/>
      </c>
      <c r="BS478" s="50" t="str">
        <f>Q938</f>
        <v/>
      </c>
      <c r="BT478" s="50" t="e">
        <f>#REF!</f>
        <v>#REF!</v>
      </c>
      <c r="BU478" s="39" t="str">
        <f t="shared" si="731"/>
        <v/>
      </c>
      <c r="BV478" s="39" t="str">
        <f t="shared" si="724"/>
        <v/>
      </c>
    </row>
    <row r="479" spans="1:74" ht="14.25" customHeight="1" x14ac:dyDescent="0.35">
      <c r="A479" s="294"/>
      <c r="B479" s="296"/>
      <c r="C479" s="298"/>
      <c r="D479" s="300"/>
      <c r="E479" s="302"/>
      <c r="F479" s="304"/>
      <c r="G479" s="276"/>
      <c r="H479" s="277"/>
      <c r="I479" s="290"/>
      <c r="J479" s="290"/>
      <c r="K479" s="291"/>
      <c r="L479" s="17"/>
      <c r="M479" s="286"/>
      <c r="N479" s="21"/>
      <c r="O479" s="286"/>
      <c r="P479" s="21"/>
      <c r="Q479" s="286"/>
      <c r="R479" s="248"/>
      <c r="S479" s="287"/>
      <c r="T479" s="248"/>
      <c r="U479" s="13"/>
      <c r="V479" s="282"/>
      <c r="W479" s="283"/>
      <c r="X479" s="284"/>
      <c r="Y479" s="245"/>
      <c r="Z479" s="245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BP479" s="391"/>
      <c r="BQ479" s="393"/>
      <c r="BS479" s="50" t="str">
        <f>Q940</f>
        <v/>
      </c>
      <c r="BT479" s="50" t="e">
        <f>#REF!</f>
        <v>#REF!</v>
      </c>
      <c r="BU479" s="39" t="str">
        <f t="shared" si="731"/>
        <v/>
      </c>
      <c r="BV479" s="39" t="str">
        <f t="shared" si="724"/>
        <v/>
      </c>
    </row>
    <row r="480" spans="1:74" ht="14.25" customHeight="1" x14ac:dyDescent="0.35">
      <c r="A480" s="293">
        <v>232</v>
      </c>
      <c r="B480" s="295"/>
      <c r="C480" s="297"/>
      <c r="D480" s="299"/>
      <c r="E480" s="301"/>
      <c r="F480" s="303"/>
      <c r="G480" s="288"/>
      <c r="H480" s="289"/>
      <c r="I480" s="290"/>
      <c r="J480" s="290"/>
      <c r="K480" s="291"/>
      <c r="L480" s="18"/>
      <c r="M480" s="285" t="str">
        <f t="shared" ref="M480" si="741">IF(COUNT(L480:L481)&lt;1,"",AVERAGE(L480:L481))</f>
        <v/>
      </c>
      <c r="N480" s="22"/>
      <c r="O480" s="285" t="str">
        <f t="shared" ref="O480" si="742">IF(COUNT(N480:N481)&lt;1,"",AVERAGE(N480:N481))</f>
        <v/>
      </c>
      <c r="P480" s="22"/>
      <c r="Q480" s="285" t="str">
        <f t="shared" ref="Q480" si="743">IF(COUNT(P480:P481)&lt;1,"",AVERAGE(P480:P481))</f>
        <v/>
      </c>
      <c r="R480" s="278" t="str">
        <f>IF($X$13="/28",IF(COUNT(P480:P481)&lt;=1,"",ABS(P480-P481)),IF($X$13="/90",IF(COUNT(#REF!)&lt;=1,"",ABS(#REF!-#REF!))))</f>
        <v/>
      </c>
      <c r="S480" s="278" t="str">
        <f>IF($X$13="/28",IF(Q480="","",IF(AVERAGE(Q476:Q481)&gt;=$W$13,ROUND(AVERAGE(Q476:Q481),1)&amp;" ≥ "&amp;$W$13&amp;" OK",ROUND(AVERAGE(Q476:Q481),1)&amp;" &lt; "&amp;$W$13&amp;" NC")),IF($X$13="/90",IF(#REF!="","",IF(AVERAGE(#REF!)&gt;=$W$13,ROUND(AVERAGE(#REF!),1)&amp;" ≥ "&amp;$W$13&amp;" OK",ROUND(AVERAGE(#REF!),1)&amp;" &lt; "&amp;$W$13&amp;" NC"))))</f>
        <v/>
      </c>
      <c r="T480" s="278" t="str">
        <f>IF($X$13="/28",IF(Q480="","",IF(Q480&gt;=$W$13-$S$12,ROUND((Q480),1)&amp;" ≥ "&amp;$W$13-$S$12&amp;" OK",ROUND((Q480),1)&amp;" &lt; "&amp;$W$13-$S$12&amp;" NC")),IF($X$13="/90",IF(#REF!="","",IF(#REF!&gt;=$W$13-$S$12,ROUND((#REF!),1)&amp;" ≥ "&amp;$W$13-$S$12&amp;" OK",ROUND((#REF!),1)&amp;" &lt; "&amp;$W$13-$S$12&amp;" NC"))))</f>
        <v/>
      </c>
      <c r="U480" s="14"/>
      <c r="V480" s="279"/>
      <c r="W480" s="280"/>
      <c r="X480" s="281"/>
      <c r="Y480" s="246"/>
      <c r="Z480" s="246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BP480" s="390" t="str">
        <f>IF($X$13="/28",IF(Q480="","",Q480),IF($X$13="/90",IF(#REF!="","",#REF!),"Falso"))</f>
        <v/>
      </c>
      <c r="BQ480" s="392" t="str">
        <f t="shared" si="658"/>
        <v/>
      </c>
      <c r="BS480" s="50" t="str">
        <f>Q942</f>
        <v/>
      </c>
      <c r="BT480" s="50" t="e">
        <f>#REF!</f>
        <v>#REF!</v>
      </c>
      <c r="BU480" s="39" t="str">
        <f t="shared" si="731"/>
        <v/>
      </c>
      <c r="BV480" s="39" t="str">
        <f t="shared" si="724"/>
        <v/>
      </c>
    </row>
    <row r="481" spans="1:74" ht="14.25" customHeight="1" x14ac:dyDescent="0.35">
      <c r="A481" s="294"/>
      <c r="B481" s="296"/>
      <c r="C481" s="298"/>
      <c r="D481" s="300"/>
      <c r="E481" s="302"/>
      <c r="F481" s="304"/>
      <c r="G481" s="276"/>
      <c r="H481" s="277"/>
      <c r="I481" s="290"/>
      <c r="J481" s="290"/>
      <c r="K481" s="291"/>
      <c r="L481" s="17"/>
      <c r="M481" s="286"/>
      <c r="N481" s="21"/>
      <c r="O481" s="286"/>
      <c r="P481" s="21"/>
      <c r="Q481" s="286"/>
      <c r="R481" s="248"/>
      <c r="S481" s="287"/>
      <c r="T481" s="248"/>
      <c r="U481" s="13"/>
      <c r="V481" s="282"/>
      <c r="W481" s="283"/>
      <c r="X481" s="284"/>
      <c r="Y481" s="245"/>
      <c r="Z481" s="245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BP481" s="391"/>
      <c r="BQ481" s="393"/>
      <c r="BS481" s="50" t="str">
        <f>Q944</f>
        <v/>
      </c>
      <c r="BT481" s="50" t="e">
        <f>#REF!</f>
        <v>#REF!</v>
      </c>
      <c r="BU481" s="39" t="str">
        <f t="shared" si="731"/>
        <v/>
      </c>
      <c r="BV481" s="39" t="str">
        <f t="shared" si="724"/>
        <v/>
      </c>
    </row>
    <row r="482" spans="1:74" ht="14.25" customHeight="1" x14ac:dyDescent="0.35">
      <c r="A482" s="293">
        <v>233</v>
      </c>
      <c r="B482" s="295"/>
      <c r="C482" s="297"/>
      <c r="D482" s="299"/>
      <c r="E482" s="301"/>
      <c r="F482" s="303"/>
      <c r="G482" s="288"/>
      <c r="H482" s="289"/>
      <c r="I482" s="290"/>
      <c r="J482" s="290"/>
      <c r="K482" s="291"/>
      <c r="L482" s="18"/>
      <c r="M482" s="285" t="str">
        <f t="shared" ref="M482" si="744">IF(COUNT(L482:L483)&lt;1,"",AVERAGE(L482:L483))</f>
        <v/>
      </c>
      <c r="N482" s="22"/>
      <c r="O482" s="285" t="str">
        <f t="shared" ref="O482" si="745">IF(COUNT(N482:N483)&lt;1,"",AVERAGE(N482:N483))</f>
        <v/>
      </c>
      <c r="P482" s="22"/>
      <c r="Q482" s="285" t="str">
        <f t="shared" ref="Q482" si="746">IF(COUNT(P482:P483)&lt;1,"",AVERAGE(P482:P483))</f>
        <v/>
      </c>
      <c r="R482" s="278" t="str">
        <f>IF($X$13="/28",IF(COUNT(P482:P483)&lt;=1,"",ABS(P482-P483)),IF($X$13="/90",IF(COUNT(#REF!)&lt;=1,"",ABS(#REF!-#REF!))))</f>
        <v/>
      </c>
      <c r="S482" s="278" t="str">
        <f>IF($X$13="/28",IF(Q482="","",IF(AVERAGE(Q478:Q483)&gt;=$W$13,ROUND(AVERAGE(Q478:Q483),1)&amp;" ≥ "&amp;$W$13&amp;" OK",ROUND(AVERAGE(Q478:Q483),1)&amp;" &lt; "&amp;$W$13&amp;" NC")),IF($X$13="/90",IF(#REF!="","",IF(AVERAGE(#REF!)&gt;=$W$13,ROUND(AVERAGE(#REF!),1)&amp;" ≥ "&amp;$W$13&amp;" OK",ROUND(AVERAGE(#REF!),1)&amp;" &lt; "&amp;$W$13&amp;" NC"))))</f>
        <v/>
      </c>
      <c r="T482" s="278" t="str">
        <f>IF($X$13="/28",IF(Q482="","",IF(Q482&gt;=$W$13-$S$12,ROUND((Q482),1)&amp;" ≥ "&amp;$W$13-$S$12&amp;" OK",ROUND((Q482),1)&amp;" &lt; "&amp;$W$13-$S$12&amp;" NC")),IF($X$13="/90",IF(#REF!="","",IF(#REF!&gt;=$W$13-$S$12,ROUND((#REF!),1)&amp;" ≥ "&amp;$W$13-$S$12&amp;" OK",ROUND((#REF!),1)&amp;" &lt; "&amp;$W$13-$S$12&amp;" NC"))))</f>
        <v/>
      </c>
      <c r="U482" s="14"/>
      <c r="V482" s="279"/>
      <c r="W482" s="280"/>
      <c r="X482" s="281"/>
      <c r="Y482" s="246"/>
      <c r="Z482" s="246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BP482" s="390" t="str">
        <f>IF($X$13="/28",IF(Q482="","",Q482),IF($X$13="/90",IF(#REF!="","",#REF!),"Falso"))</f>
        <v/>
      </c>
      <c r="BQ482" s="392" t="str">
        <f t="shared" si="662"/>
        <v/>
      </c>
      <c r="BS482" s="50" t="str">
        <f>Q946</f>
        <v/>
      </c>
      <c r="BT482" s="50" t="e">
        <f>#REF!</f>
        <v>#REF!</v>
      </c>
      <c r="BU482" s="39" t="str">
        <f t="shared" si="731"/>
        <v/>
      </c>
      <c r="BV482" s="39" t="str">
        <f t="shared" si="724"/>
        <v/>
      </c>
    </row>
    <row r="483" spans="1:74" ht="14.25" customHeight="1" x14ac:dyDescent="0.35">
      <c r="A483" s="294"/>
      <c r="B483" s="296"/>
      <c r="C483" s="298"/>
      <c r="D483" s="300"/>
      <c r="E483" s="302"/>
      <c r="F483" s="304"/>
      <c r="G483" s="276"/>
      <c r="H483" s="277"/>
      <c r="I483" s="290"/>
      <c r="J483" s="290"/>
      <c r="K483" s="291"/>
      <c r="L483" s="17"/>
      <c r="M483" s="286"/>
      <c r="N483" s="21"/>
      <c r="O483" s="286"/>
      <c r="P483" s="21"/>
      <c r="Q483" s="286"/>
      <c r="R483" s="248"/>
      <c r="S483" s="287"/>
      <c r="T483" s="248"/>
      <c r="U483" s="13"/>
      <c r="V483" s="282"/>
      <c r="W483" s="283"/>
      <c r="X483" s="284"/>
      <c r="Y483" s="245"/>
      <c r="Z483" s="245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BP483" s="391"/>
      <c r="BQ483" s="393"/>
      <c r="BS483" s="50" t="str">
        <f>Q948</f>
        <v/>
      </c>
      <c r="BT483" s="50" t="e">
        <f>#REF!</f>
        <v>#REF!</v>
      </c>
      <c r="BU483" s="39" t="str">
        <f t="shared" si="731"/>
        <v/>
      </c>
      <c r="BV483" s="39" t="str">
        <f t="shared" si="724"/>
        <v/>
      </c>
    </row>
    <row r="484" spans="1:74" ht="14.25" customHeight="1" x14ac:dyDescent="0.35">
      <c r="A484" s="293">
        <v>234</v>
      </c>
      <c r="B484" s="295"/>
      <c r="C484" s="297"/>
      <c r="D484" s="299"/>
      <c r="E484" s="301"/>
      <c r="F484" s="303"/>
      <c r="G484" s="288"/>
      <c r="H484" s="289"/>
      <c r="I484" s="290"/>
      <c r="J484" s="290"/>
      <c r="K484" s="291"/>
      <c r="L484" s="18"/>
      <c r="M484" s="285" t="str">
        <f t="shared" ref="M484" si="747">IF(COUNT(L484:L485)&lt;1,"",AVERAGE(L484:L485))</f>
        <v/>
      </c>
      <c r="N484" s="22"/>
      <c r="O484" s="285" t="str">
        <f t="shared" ref="O484" si="748">IF(COUNT(N484:N485)&lt;1,"",AVERAGE(N484:N485))</f>
        <v/>
      </c>
      <c r="P484" s="22"/>
      <c r="Q484" s="285" t="str">
        <f t="shared" ref="Q484" si="749">IF(COUNT(P484:P485)&lt;1,"",AVERAGE(P484:P485))</f>
        <v/>
      </c>
      <c r="R484" s="278" t="str">
        <f>IF($X$13="/28",IF(COUNT(P484:P485)&lt;=1,"",ABS(P484-P485)),IF($X$13="/90",IF(COUNT(#REF!)&lt;=1,"",ABS(#REF!-#REF!))))</f>
        <v/>
      </c>
      <c r="S484" s="278" t="str">
        <f>IF($X$13="/28",IF(Q484="","",IF(AVERAGE(Q480:Q485)&gt;=$W$13,ROUND(AVERAGE(Q480:Q485),1)&amp;" ≥ "&amp;$W$13&amp;" OK",ROUND(AVERAGE(Q480:Q485),1)&amp;" &lt; "&amp;$W$13&amp;" NC")),IF($X$13="/90",IF(#REF!="","",IF(AVERAGE(#REF!)&gt;=$W$13,ROUND(AVERAGE(#REF!),1)&amp;" ≥ "&amp;$W$13&amp;" OK",ROUND(AVERAGE(#REF!),1)&amp;" &lt; "&amp;$W$13&amp;" NC"))))</f>
        <v/>
      </c>
      <c r="T484" s="278" t="str">
        <f>IF($X$13="/28",IF(Q484="","",IF(Q484&gt;=$W$13-$S$12,ROUND((Q484),1)&amp;" ≥ "&amp;$W$13-$S$12&amp;" OK",ROUND((Q484),1)&amp;" &lt; "&amp;$W$13-$S$12&amp;" NC")),IF($X$13="/90",IF(#REF!="","",IF(#REF!&gt;=$W$13-$S$12,ROUND((#REF!),1)&amp;" ≥ "&amp;$W$13-$S$12&amp;" OK",ROUND((#REF!),1)&amp;" &lt; "&amp;$W$13-$S$12&amp;" NC"))))</f>
        <v/>
      </c>
      <c r="U484" s="14"/>
      <c r="V484" s="279"/>
      <c r="W484" s="280"/>
      <c r="X484" s="281"/>
      <c r="Y484" s="246"/>
      <c r="Z484" s="246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BP484" s="390" t="str">
        <f>IF($X$13="/28",IF(Q484="","",Q484),IF($X$13="/90",IF(#REF!="","",#REF!),"Falso"))</f>
        <v/>
      </c>
      <c r="BQ484" s="392" t="str">
        <f t="shared" si="666"/>
        <v/>
      </c>
      <c r="BS484" s="50" t="str">
        <f>Q950</f>
        <v/>
      </c>
      <c r="BT484" s="50" t="e">
        <f>#REF!</f>
        <v>#REF!</v>
      </c>
      <c r="BU484" s="39" t="str">
        <f t="shared" si="731"/>
        <v/>
      </c>
      <c r="BV484" s="39" t="str">
        <f t="shared" si="724"/>
        <v/>
      </c>
    </row>
    <row r="485" spans="1:74" ht="14.25" customHeight="1" x14ac:dyDescent="0.35">
      <c r="A485" s="294"/>
      <c r="B485" s="296"/>
      <c r="C485" s="298"/>
      <c r="D485" s="300"/>
      <c r="E485" s="302"/>
      <c r="F485" s="304"/>
      <c r="G485" s="276"/>
      <c r="H485" s="277"/>
      <c r="I485" s="290"/>
      <c r="J485" s="290"/>
      <c r="K485" s="291"/>
      <c r="L485" s="17"/>
      <c r="M485" s="286"/>
      <c r="N485" s="21"/>
      <c r="O485" s="286"/>
      <c r="P485" s="21"/>
      <c r="Q485" s="286"/>
      <c r="R485" s="248"/>
      <c r="S485" s="287"/>
      <c r="T485" s="248"/>
      <c r="U485" s="13"/>
      <c r="V485" s="282"/>
      <c r="W485" s="283"/>
      <c r="X485" s="284"/>
      <c r="Y485" s="245"/>
      <c r="Z485" s="245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BP485" s="391"/>
      <c r="BQ485" s="393"/>
      <c r="BS485" s="50" t="str">
        <f>Q952</f>
        <v/>
      </c>
      <c r="BT485" s="50" t="e">
        <f>#REF!</f>
        <v>#REF!</v>
      </c>
      <c r="BU485" s="39" t="str">
        <f t="shared" si="731"/>
        <v/>
      </c>
      <c r="BV485" s="39" t="str">
        <f t="shared" si="724"/>
        <v/>
      </c>
    </row>
    <row r="486" spans="1:74" ht="14.25" customHeight="1" x14ac:dyDescent="0.35">
      <c r="A486" s="293">
        <v>235</v>
      </c>
      <c r="B486" s="295"/>
      <c r="C486" s="297"/>
      <c r="D486" s="299"/>
      <c r="E486" s="301"/>
      <c r="F486" s="303"/>
      <c r="G486" s="288"/>
      <c r="H486" s="289"/>
      <c r="I486" s="290"/>
      <c r="J486" s="290"/>
      <c r="K486" s="291"/>
      <c r="L486" s="18"/>
      <c r="M486" s="285" t="str">
        <f t="shared" ref="M486" si="750">IF(COUNT(L486:L487)&lt;1,"",AVERAGE(L486:L487))</f>
        <v/>
      </c>
      <c r="N486" s="22"/>
      <c r="O486" s="285" t="str">
        <f t="shared" ref="O486" si="751">IF(COUNT(N486:N487)&lt;1,"",AVERAGE(N486:N487))</f>
        <v/>
      </c>
      <c r="P486" s="22"/>
      <c r="Q486" s="285" t="str">
        <f t="shared" ref="Q486" si="752">IF(COUNT(P486:P487)&lt;1,"",AVERAGE(P486:P487))</f>
        <v/>
      </c>
      <c r="R486" s="278" t="str">
        <f>IF($X$13="/28",IF(COUNT(P486:P487)&lt;=1,"",ABS(P486-P487)),IF($X$13="/90",IF(COUNT(#REF!)&lt;=1,"",ABS(#REF!-#REF!))))</f>
        <v/>
      </c>
      <c r="S486" s="278" t="str">
        <f>IF($X$13="/28",IF(Q486="","",IF(AVERAGE(Q482:Q487)&gt;=$W$13,ROUND(AVERAGE(Q482:Q487),1)&amp;" ≥ "&amp;$W$13&amp;" OK",ROUND(AVERAGE(Q482:Q487),1)&amp;" &lt; "&amp;$W$13&amp;" NC")),IF($X$13="/90",IF(#REF!="","",IF(AVERAGE(#REF!)&gt;=$W$13,ROUND(AVERAGE(#REF!),1)&amp;" ≥ "&amp;$W$13&amp;" OK",ROUND(AVERAGE(#REF!),1)&amp;" &lt; "&amp;$W$13&amp;" NC"))))</f>
        <v/>
      </c>
      <c r="T486" s="278" t="str">
        <f>IF($X$13="/28",IF(Q486="","",IF(Q486&gt;=$W$13-$S$12,ROUND((Q486),1)&amp;" ≥ "&amp;$W$13-$S$12&amp;" OK",ROUND((Q486),1)&amp;" &lt; "&amp;$W$13-$S$12&amp;" NC")),IF($X$13="/90",IF(#REF!="","",IF(#REF!&gt;=$W$13-$S$12,ROUND((#REF!),1)&amp;" ≥ "&amp;$W$13-$S$12&amp;" OK",ROUND((#REF!),1)&amp;" &lt; "&amp;$W$13-$S$12&amp;" NC"))))</f>
        <v/>
      </c>
      <c r="U486" s="14"/>
      <c r="V486" s="279"/>
      <c r="W486" s="280"/>
      <c r="X486" s="281"/>
      <c r="Y486" s="246"/>
      <c r="Z486" s="246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BP486" s="390" t="str">
        <f>IF($X$13="/28",IF(Q486="","",Q486),IF($X$13="/90",IF(#REF!="","",#REF!),"Falso"))</f>
        <v/>
      </c>
      <c r="BQ486" s="392" t="str">
        <f t="shared" si="658"/>
        <v/>
      </c>
      <c r="BS486" s="50" t="str">
        <f>Q954</f>
        <v/>
      </c>
      <c r="BT486" s="50" t="e">
        <f>#REF!</f>
        <v>#REF!</v>
      </c>
      <c r="BU486" s="39" t="str">
        <f t="shared" si="731"/>
        <v/>
      </c>
      <c r="BV486" s="39" t="str">
        <f t="shared" si="724"/>
        <v/>
      </c>
    </row>
    <row r="487" spans="1:74" ht="14.25" customHeight="1" x14ac:dyDescent="0.35">
      <c r="A487" s="294"/>
      <c r="B487" s="296"/>
      <c r="C487" s="298"/>
      <c r="D487" s="300"/>
      <c r="E487" s="302"/>
      <c r="F487" s="304"/>
      <c r="G487" s="276"/>
      <c r="H487" s="277"/>
      <c r="I487" s="290"/>
      <c r="J487" s="290"/>
      <c r="K487" s="291"/>
      <c r="L487" s="17"/>
      <c r="M487" s="286"/>
      <c r="N487" s="21"/>
      <c r="O487" s="286"/>
      <c r="P487" s="21"/>
      <c r="Q487" s="286"/>
      <c r="R487" s="248"/>
      <c r="S487" s="287"/>
      <c r="T487" s="248"/>
      <c r="U487" s="13"/>
      <c r="V487" s="282"/>
      <c r="W487" s="283"/>
      <c r="X487" s="284"/>
      <c r="Y487" s="245"/>
      <c r="Z487" s="245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BP487" s="391"/>
      <c r="BQ487" s="393"/>
      <c r="BS487" s="50" t="str">
        <f>Q956</f>
        <v/>
      </c>
      <c r="BT487" s="50" t="e">
        <f>#REF!</f>
        <v>#REF!</v>
      </c>
      <c r="BU487" s="39" t="str">
        <f t="shared" si="731"/>
        <v/>
      </c>
      <c r="BV487" s="39" t="str">
        <f t="shared" si="724"/>
        <v/>
      </c>
    </row>
    <row r="488" spans="1:74" ht="14.25" customHeight="1" x14ac:dyDescent="0.35">
      <c r="A488" s="293">
        <v>236</v>
      </c>
      <c r="B488" s="295"/>
      <c r="C488" s="297"/>
      <c r="D488" s="299"/>
      <c r="E488" s="301"/>
      <c r="F488" s="303"/>
      <c r="G488" s="288"/>
      <c r="H488" s="289"/>
      <c r="I488" s="290"/>
      <c r="J488" s="290"/>
      <c r="K488" s="291"/>
      <c r="L488" s="18"/>
      <c r="M488" s="285" t="str">
        <f t="shared" ref="M488" si="753">IF(COUNT(L488:L489)&lt;1,"",AVERAGE(L488:L489))</f>
        <v/>
      </c>
      <c r="N488" s="22"/>
      <c r="O488" s="285" t="str">
        <f t="shared" ref="O488" si="754">IF(COUNT(N488:N489)&lt;1,"",AVERAGE(N488:N489))</f>
        <v/>
      </c>
      <c r="P488" s="22"/>
      <c r="Q488" s="285" t="str">
        <f t="shared" ref="Q488" si="755">IF(COUNT(P488:P489)&lt;1,"",AVERAGE(P488:P489))</f>
        <v/>
      </c>
      <c r="R488" s="278" t="str">
        <f>IF($X$13="/28",IF(COUNT(P488:P489)&lt;=1,"",ABS(P488-P489)),IF($X$13="/90",IF(COUNT(#REF!)&lt;=1,"",ABS(#REF!-#REF!))))</f>
        <v/>
      </c>
      <c r="S488" s="278" t="str">
        <f>IF($X$13="/28",IF(Q488="","",IF(AVERAGE(Q484:Q489)&gt;=$W$13,ROUND(AVERAGE(Q484:Q489),1)&amp;" ≥ "&amp;$W$13&amp;" OK",ROUND(AVERAGE(Q484:Q489),1)&amp;" &lt; "&amp;$W$13&amp;" NC")),IF($X$13="/90",IF(#REF!="","",IF(AVERAGE(#REF!)&gt;=$W$13,ROUND(AVERAGE(#REF!),1)&amp;" ≥ "&amp;$W$13&amp;" OK",ROUND(AVERAGE(#REF!),1)&amp;" &lt; "&amp;$W$13&amp;" NC"))))</f>
        <v/>
      </c>
      <c r="T488" s="278" t="str">
        <f>IF($X$13="/28",IF(Q488="","",IF(Q488&gt;=$W$13-$S$12,ROUND((Q488),1)&amp;" ≥ "&amp;$W$13-$S$12&amp;" OK",ROUND((Q488),1)&amp;" &lt; "&amp;$W$13-$S$12&amp;" NC")),IF($X$13="/90",IF(#REF!="","",IF(#REF!&gt;=$W$13-$S$12,ROUND((#REF!),1)&amp;" ≥ "&amp;$W$13-$S$12&amp;" OK",ROUND((#REF!),1)&amp;" &lt; "&amp;$W$13-$S$12&amp;" NC"))))</f>
        <v/>
      </c>
      <c r="U488" s="14"/>
      <c r="V488" s="279"/>
      <c r="W488" s="280"/>
      <c r="X488" s="281"/>
      <c r="Y488" s="246"/>
      <c r="Z488" s="246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BP488" s="390" t="str">
        <f>IF($X$13="/28",IF(Q488="","",Q488),IF($X$13="/90",IF(#REF!="","",#REF!),"Falso"))</f>
        <v/>
      </c>
      <c r="BQ488" s="392" t="str">
        <f t="shared" si="662"/>
        <v/>
      </c>
      <c r="BS488" s="50" t="str">
        <f>Q958</f>
        <v/>
      </c>
      <c r="BT488" s="50" t="e">
        <f>#REF!</f>
        <v>#REF!</v>
      </c>
      <c r="BU488" s="39" t="str">
        <f t="shared" si="731"/>
        <v/>
      </c>
      <c r="BV488" s="39" t="str">
        <f t="shared" si="724"/>
        <v/>
      </c>
    </row>
    <row r="489" spans="1:74" ht="14.25" customHeight="1" x14ac:dyDescent="0.35">
      <c r="A489" s="294"/>
      <c r="B489" s="296"/>
      <c r="C489" s="298"/>
      <c r="D489" s="300"/>
      <c r="E489" s="302"/>
      <c r="F489" s="304"/>
      <c r="G489" s="276"/>
      <c r="H489" s="277"/>
      <c r="I489" s="290"/>
      <c r="J489" s="290"/>
      <c r="K489" s="291"/>
      <c r="L489" s="17"/>
      <c r="M489" s="286"/>
      <c r="N489" s="21"/>
      <c r="O489" s="286"/>
      <c r="P489" s="21"/>
      <c r="Q489" s="286"/>
      <c r="R489" s="248"/>
      <c r="S489" s="287"/>
      <c r="T489" s="248"/>
      <c r="U489" s="13"/>
      <c r="V489" s="282"/>
      <c r="W489" s="283"/>
      <c r="X489" s="284"/>
      <c r="Y489" s="245"/>
      <c r="Z489" s="245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BP489" s="391"/>
      <c r="BQ489" s="393"/>
      <c r="BS489" s="50" t="str">
        <f>Q960</f>
        <v/>
      </c>
      <c r="BT489" s="50" t="e">
        <f>#REF!</f>
        <v>#REF!</v>
      </c>
      <c r="BU489" s="39" t="str">
        <f t="shared" si="731"/>
        <v/>
      </c>
      <c r="BV489" s="39" t="str">
        <f t="shared" si="724"/>
        <v/>
      </c>
    </row>
    <row r="490" spans="1:74" ht="14.25" customHeight="1" x14ac:dyDescent="0.35">
      <c r="A490" s="293">
        <v>237</v>
      </c>
      <c r="B490" s="295"/>
      <c r="C490" s="297"/>
      <c r="D490" s="299"/>
      <c r="E490" s="301"/>
      <c r="F490" s="303"/>
      <c r="G490" s="288"/>
      <c r="H490" s="289"/>
      <c r="I490" s="290"/>
      <c r="J490" s="290"/>
      <c r="K490" s="291"/>
      <c r="L490" s="18"/>
      <c r="M490" s="285" t="str">
        <f t="shared" ref="M490" si="756">IF(COUNT(L490:L491)&lt;1,"",AVERAGE(L490:L491))</f>
        <v/>
      </c>
      <c r="N490" s="22"/>
      <c r="O490" s="285" t="str">
        <f t="shared" ref="O490" si="757">IF(COUNT(N490:N491)&lt;1,"",AVERAGE(N490:N491))</f>
        <v/>
      </c>
      <c r="P490" s="22"/>
      <c r="Q490" s="285" t="str">
        <f t="shared" ref="Q490" si="758">IF(COUNT(P490:P491)&lt;1,"",AVERAGE(P490:P491))</f>
        <v/>
      </c>
      <c r="R490" s="278" t="str">
        <f>IF($X$13="/28",IF(COUNT(P490:P491)&lt;=1,"",ABS(P490-P491)),IF($X$13="/90",IF(COUNT(#REF!)&lt;=1,"",ABS(#REF!-#REF!))))</f>
        <v/>
      </c>
      <c r="S490" s="278" t="str">
        <f>IF($X$13="/28",IF(Q490="","",IF(AVERAGE(Q486:Q491)&gt;=$W$13,ROUND(AVERAGE(Q486:Q491),1)&amp;" ≥ "&amp;$W$13&amp;" OK",ROUND(AVERAGE(Q486:Q491),1)&amp;" &lt; "&amp;$W$13&amp;" NC")),IF($X$13="/90",IF(#REF!="","",IF(AVERAGE(#REF!)&gt;=$W$13,ROUND(AVERAGE(#REF!),1)&amp;" ≥ "&amp;$W$13&amp;" OK",ROUND(AVERAGE(#REF!),1)&amp;" &lt; "&amp;$W$13&amp;" NC"))))</f>
        <v/>
      </c>
      <c r="T490" s="278" t="str">
        <f>IF($X$13="/28",IF(Q490="","",IF(Q490&gt;=$W$13-$S$12,ROUND((Q490),1)&amp;" ≥ "&amp;$W$13-$S$12&amp;" OK",ROUND((Q490),1)&amp;" &lt; "&amp;$W$13-$S$12&amp;" NC")),IF($X$13="/90",IF(#REF!="","",IF(#REF!&gt;=$W$13-$S$12,ROUND((#REF!),1)&amp;" ≥ "&amp;$W$13-$S$12&amp;" OK",ROUND((#REF!),1)&amp;" &lt; "&amp;$W$13-$S$12&amp;" NC"))))</f>
        <v/>
      </c>
      <c r="U490" s="14"/>
      <c r="V490" s="279"/>
      <c r="W490" s="280"/>
      <c r="X490" s="281"/>
      <c r="Y490" s="246"/>
      <c r="Z490" s="246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BP490" s="390" t="str">
        <f>IF($X$13="/28",IF(Q490="","",Q490),IF($X$13="/90",IF(#REF!="","",#REF!),"Falso"))</f>
        <v/>
      </c>
      <c r="BQ490" s="392" t="str">
        <f t="shared" si="666"/>
        <v/>
      </c>
      <c r="BS490" s="50" t="str">
        <f>Q962</f>
        <v/>
      </c>
      <c r="BT490" s="50" t="e">
        <f>#REF!</f>
        <v>#REF!</v>
      </c>
      <c r="BU490" s="39" t="str">
        <f t="shared" si="731"/>
        <v/>
      </c>
      <c r="BV490" s="39" t="str">
        <f t="shared" si="724"/>
        <v/>
      </c>
    </row>
    <row r="491" spans="1:74" ht="14.25" customHeight="1" x14ac:dyDescent="0.35">
      <c r="A491" s="294"/>
      <c r="B491" s="296"/>
      <c r="C491" s="298"/>
      <c r="D491" s="300"/>
      <c r="E491" s="302"/>
      <c r="F491" s="304"/>
      <c r="G491" s="276"/>
      <c r="H491" s="277"/>
      <c r="I491" s="290"/>
      <c r="J491" s="290"/>
      <c r="K491" s="291"/>
      <c r="L491" s="17"/>
      <c r="M491" s="286"/>
      <c r="N491" s="21"/>
      <c r="O491" s="286"/>
      <c r="P491" s="21"/>
      <c r="Q491" s="286"/>
      <c r="R491" s="248"/>
      <c r="S491" s="287"/>
      <c r="T491" s="248"/>
      <c r="U491" s="13"/>
      <c r="V491" s="282"/>
      <c r="W491" s="283"/>
      <c r="X491" s="284"/>
      <c r="Y491" s="245"/>
      <c r="Z491" s="245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BP491" s="391"/>
      <c r="BQ491" s="393"/>
      <c r="BS491" s="50" t="str">
        <f>Q964</f>
        <v/>
      </c>
      <c r="BT491" s="50" t="e">
        <f>#REF!</f>
        <v>#REF!</v>
      </c>
      <c r="BU491" s="39" t="str">
        <f t="shared" si="731"/>
        <v/>
      </c>
      <c r="BV491" s="39" t="str">
        <f t="shared" si="724"/>
        <v/>
      </c>
    </row>
    <row r="492" spans="1:74" ht="14.25" customHeight="1" x14ac:dyDescent="0.35">
      <c r="A492" s="293">
        <v>238</v>
      </c>
      <c r="B492" s="295"/>
      <c r="C492" s="297"/>
      <c r="D492" s="299"/>
      <c r="E492" s="301"/>
      <c r="F492" s="303"/>
      <c r="G492" s="288"/>
      <c r="H492" s="289"/>
      <c r="I492" s="290"/>
      <c r="J492" s="290"/>
      <c r="K492" s="291"/>
      <c r="L492" s="18"/>
      <c r="M492" s="285" t="str">
        <f t="shared" ref="M492" si="759">IF(COUNT(L492:L493)&lt;1,"",AVERAGE(L492:L493))</f>
        <v/>
      </c>
      <c r="N492" s="22"/>
      <c r="O492" s="285" t="str">
        <f t="shared" ref="O492" si="760">IF(COUNT(N492:N493)&lt;1,"",AVERAGE(N492:N493))</f>
        <v/>
      </c>
      <c r="P492" s="22"/>
      <c r="Q492" s="285" t="str">
        <f t="shared" ref="Q492" si="761">IF(COUNT(P492:P493)&lt;1,"",AVERAGE(P492:P493))</f>
        <v/>
      </c>
      <c r="R492" s="278" t="str">
        <f>IF($X$13="/28",IF(COUNT(P492:P493)&lt;=1,"",ABS(P492-P493)),IF($X$13="/90",IF(COUNT(#REF!)&lt;=1,"",ABS(#REF!-#REF!))))</f>
        <v/>
      </c>
      <c r="S492" s="278" t="str">
        <f>IF($X$13="/28",IF(Q492="","",IF(AVERAGE(Q488:Q493)&gt;=$W$13,ROUND(AVERAGE(Q488:Q493),1)&amp;" ≥ "&amp;$W$13&amp;" OK",ROUND(AVERAGE(Q488:Q493),1)&amp;" &lt; "&amp;$W$13&amp;" NC")),IF($X$13="/90",IF(#REF!="","",IF(AVERAGE(#REF!)&gt;=$W$13,ROUND(AVERAGE(#REF!),1)&amp;" ≥ "&amp;$W$13&amp;" OK",ROUND(AVERAGE(#REF!),1)&amp;" &lt; "&amp;$W$13&amp;" NC"))))</f>
        <v/>
      </c>
      <c r="T492" s="278" t="str">
        <f>IF($X$13="/28",IF(Q492="","",IF(Q492&gt;=$W$13-$S$12,ROUND((Q492),1)&amp;" ≥ "&amp;$W$13-$S$12&amp;" OK",ROUND((Q492),1)&amp;" &lt; "&amp;$W$13-$S$12&amp;" NC")),IF($X$13="/90",IF(#REF!="","",IF(#REF!&gt;=$W$13-$S$12,ROUND((#REF!),1)&amp;" ≥ "&amp;$W$13-$S$12&amp;" OK",ROUND((#REF!),1)&amp;" &lt; "&amp;$W$13-$S$12&amp;" NC"))))</f>
        <v/>
      </c>
      <c r="U492" s="14"/>
      <c r="V492" s="279"/>
      <c r="W492" s="280"/>
      <c r="X492" s="281"/>
      <c r="Y492" s="246"/>
      <c r="Z492" s="246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BP492" s="390" t="str">
        <f>IF($X$13="/28",IF(Q492="","",Q492),IF($X$13="/90",IF(#REF!="","",#REF!),"Falso"))</f>
        <v/>
      </c>
      <c r="BQ492" s="392" t="str">
        <f t="shared" ref="BQ492:BQ552" si="762">IF(BP492="","",BQ490+1)</f>
        <v/>
      </c>
      <c r="BS492" s="50" t="str">
        <f>Q966</f>
        <v/>
      </c>
      <c r="BT492" s="50" t="e">
        <f>#REF!</f>
        <v>#REF!</v>
      </c>
      <c r="BU492" s="39" t="str">
        <f t="shared" si="731"/>
        <v/>
      </c>
      <c r="BV492" s="39" t="str">
        <f t="shared" si="724"/>
        <v/>
      </c>
    </row>
    <row r="493" spans="1:74" ht="14.25" customHeight="1" x14ac:dyDescent="0.35">
      <c r="A493" s="294"/>
      <c r="B493" s="296"/>
      <c r="C493" s="298"/>
      <c r="D493" s="300"/>
      <c r="E493" s="302"/>
      <c r="F493" s="304"/>
      <c r="G493" s="276"/>
      <c r="H493" s="277"/>
      <c r="I493" s="290"/>
      <c r="J493" s="290"/>
      <c r="K493" s="291"/>
      <c r="L493" s="17"/>
      <c r="M493" s="286"/>
      <c r="N493" s="21"/>
      <c r="O493" s="286"/>
      <c r="P493" s="21"/>
      <c r="Q493" s="286"/>
      <c r="R493" s="248"/>
      <c r="S493" s="287"/>
      <c r="T493" s="248"/>
      <c r="U493" s="13"/>
      <c r="V493" s="282"/>
      <c r="W493" s="283"/>
      <c r="X493" s="284"/>
      <c r="Y493" s="245"/>
      <c r="Z493" s="245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BP493" s="391"/>
      <c r="BQ493" s="393"/>
      <c r="BS493" s="50" t="str">
        <f>Q968</f>
        <v/>
      </c>
      <c r="BT493" s="50" t="e">
        <f>#REF!</f>
        <v>#REF!</v>
      </c>
      <c r="BU493" s="39" t="str">
        <f t="shared" si="731"/>
        <v/>
      </c>
      <c r="BV493" s="39" t="str">
        <f t="shared" si="724"/>
        <v/>
      </c>
    </row>
    <row r="494" spans="1:74" ht="14.25" customHeight="1" x14ac:dyDescent="0.35">
      <c r="A494" s="293">
        <v>239</v>
      </c>
      <c r="B494" s="295"/>
      <c r="C494" s="297"/>
      <c r="D494" s="299"/>
      <c r="E494" s="301"/>
      <c r="F494" s="303"/>
      <c r="G494" s="288"/>
      <c r="H494" s="289"/>
      <c r="I494" s="290"/>
      <c r="J494" s="290"/>
      <c r="K494" s="291"/>
      <c r="L494" s="18"/>
      <c r="M494" s="285" t="str">
        <f t="shared" ref="M494" si="763">IF(COUNT(L494:L495)&lt;1,"",AVERAGE(L494:L495))</f>
        <v/>
      </c>
      <c r="N494" s="22"/>
      <c r="O494" s="285" t="str">
        <f t="shared" ref="O494" si="764">IF(COUNT(N494:N495)&lt;1,"",AVERAGE(N494:N495))</f>
        <v/>
      </c>
      <c r="P494" s="22"/>
      <c r="Q494" s="285" t="str">
        <f t="shared" ref="Q494" si="765">IF(COUNT(P494:P495)&lt;1,"",AVERAGE(P494:P495))</f>
        <v/>
      </c>
      <c r="R494" s="278" t="str">
        <f>IF($X$13="/28",IF(COUNT(P494:P495)&lt;=1,"",ABS(P494-P495)),IF($X$13="/90",IF(COUNT(#REF!)&lt;=1,"",ABS(#REF!-#REF!))))</f>
        <v/>
      </c>
      <c r="S494" s="278" t="str">
        <f>IF($X$13="/28",IF(Q494="","",IF(AVERAGE(Q490:Q495)&gt;=$W$13,ROUND(AVERAGE(Q490:Q495),1)&amp;" ≥ "&amp;$W$13&amp;" OK",ROUND(AVERAGE(Q490:Q495),1)&amp;" &lt; "&amp;$W$13&amp;" NC")),IF($X$13="/90",IF(#REF!="","",IF(AVERAGE(#REF!)&gt;=$W$13,ROUND(AVERAGE(#REF!),1)&amp;" ≥ "&amp;$W$13&amp;" OK",ROUND(AVERAGE(#REF!),1)&amp;" &lt; "&amp;$W$13&amp;" NC"))))</f>
        <v/>
      </c>
      <c r="T494" s="278" t="str">
        <f>IF($X$13="/28",IF(Q494="","",IF(Q494&gt;=$W$13-$S$12,ROUND((Q494),1)&amp;" ≥ "&amp;$W$13-$S$12&amp;" OK",ROUND((Q494),1)&amp;" &lt; "&amp;$W$13-$S$12&amp;" NC")),IF($X$13="/90",IF(#REF!="","",IF(#REF!&gt;=$W$13-$S$12,ROUND((#REF!),1)&amp;" ≥ "&amp;$W$13-$S$12&amp;" OK",ROUND((#REF!),1)&amp;" &lt; "&amp;$W$13-$S$12&amp;" NC"))))</f>
        <v/>
      </c>
      <c r="U494" s="14"/>
      <c r="V494" s="279"/>
      <c r="W494" s="280"/>
      <c r="X494" s="281"/>
      <c r="Y494" s="246"/>
      <c r="Z494" s="246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BP494" s="390" t="str">
        <f>IF($X$13="/28",IF(Q494="","",Q494),IF($X$13="/90",IF(#REF!="","",#REF!),"Falso"))</f>
        <v/>
      </c>
      <c r="BQ494" s="392" t="str">
        <f t="shared" ref="BQ494:BQ554" si="766">IF(BP494="","",BQ492+1)</f>
        <v/>
      </c>
      <c r="BS494" s="50" t="str">
        <f>Q970</f>
        <v/>
      </c>
      <c r="BT494" s="50" t="e">
        <f>#REF!</f>
        <v>#REF!</v>
      </c>
      <c r="BU494" s="39" t="str">
        <f t="shared" si="731"/>
        <v/>
      </c>
      <c r="BV494" s="39" t="str">
        <f t="shared" si="724"/>
        <v/>
      </c>
    </row>
    <row r="495" spans="1:74" ht="14.25" customHeight="1" x14ac:dyDescent="0.35">
      <c r="A495" s="294"/>
      <c r="B495" s="296"/>
      <c r="C495" s="298"/>
      <c r="D495" s="300"/>
      <c r="E495" s="302"/>
      <c r="F495" s="304"/>
      <c r="G495" s="276"/>
      <c r="H495" s="277"/>
      <c r="I495" s="290"/>
      <c r="J495" s="290"/>
      <c r="K495" s="291"/>
      <c r="L495" s="17"/>
      <c r="M495" s="286"/>
      <c r="N495" s="21"/>
      <c r="O495" s="286"/>
      <c r="P495" s="21"/>
      <c r="Q495" s="286"/>
      <c r="R495" s="248"/>
      <c r="S495" s="287"/>
      <c r="T495" s="248"/>
      <c r="U495" s="13"/>
      <c r="V495" s="282"/>
      <c r="W495" s="283"/>
      <c r="X495" s="284"/>
      <c r="Y495" s="245"/>
      <c r="Z495" s="245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BP495" s="391"/>
      <c r="BQ495" s="393"/>
      <c r="BS495" s="50" t="str">
        <f>Q972</f>
        <v/>
      </c>
      <c r="BT495" s="50" t="e">
        <f>#REF!</f>
        <v>#REF!</v>
      </c>
      <c r="BU495" s="39" t="str">
        <f t="shared" si="731"/>
        <v/>
      </c>
      <c r="BV495" s="39" t="str">
        <f t="shared" si="724"/>
        <v/>
      </c>
    </row>
    <row r="496" spans="1:74" ht="14.25" customHeight="1" x14ac:dyDescent="0.35">
      <c r="A496" s="293">
        <v>240</v>
      </c>
      <c r="B496" s="295"/>
      <c r="C496" s="297"/>
      <c r="D496" s="299"/>
      <c r="E496" s="301"/>
      <c r="F496" s="303"/>
      <c r="G496" s="288"/>
      <c r="H496" s="289"/>
      <c r="I496" s="290"/>
      <c r="J496" s="290"/>
      <c r="K496" s="291"/>
      <c r="L496" s="18"/>
      <c r="M496" s="285" t="str">
        <f t="shared" ref="M496" si="767">IF(COUNT(L496:L497)&lt;1,"",AVERAGE(L496:L497))</f>
        <v/>
      </c>
      <c r="N496" s="22"/>
      <c r="O496" s="285" t="str">
        <f t="shared" ref="O496" si="768">IF(COUNT(N496:N497)&lt;1,"",AVERAGE(N496:N497))</f>
        <v/>
      </c>
      <c r="P496" s="22"/>
      <c r="Q496" s="285" t="str">
        <f t="shared" ref="Q496" si="769">IF(COUNT(P496:P497)&lt;1,"",AVERAGE(P496:P497))</f>
        <v/>
      </c>
      <c r="R496" s="278" t="str">
        <f>IF($X$13="/28",IF(COUNT(P496:P497)&lt;=1,"",ABS(P496-P497)),IF($X$13="/90",IF(COUNT(#REF!)&lt;=1,"",ABS(#REF!-#REF!))))</f>
        <v/>
      </c>
      <c r="S496" s="278" t="str">
        <f>IF($X$13="/28",IF(Q496="","",IF(AVERAGE(Q492:Q497)&gt;=$W$13,ROUND(AVERAGE(Q492:Q497),1)&amp;" ≥ "&amp;$W$13&amp;" OK",ROUND(AVERAGE(Q492:Q497),1)&amp;" &lt; "&amp;$W$13&amp;" NC")),IF($X$13="/90",IF(#REF!="","",IF(AVERAGE(#REF!)&gt;=$W$13,ROUND(AVERAGE(#REF!),1)&amp;" ≥ "&amp;$W$13&amp;" OK",ROUND(AVERAGE(#REF!),1)&amp;" &lt; "&amp;$W$13&amp;" NC"))))</f>
        <v/>
      </c>
      <c r="T496" s="278" t="str">
        <f>IF($X$13="/28",IF(Q496="","",IF(Q496&gt;=$W$13-$S$12,ROUND((Q496),1)&amp;" ≥ "&amp;$W$13-$S$12&amp;" OK",ROUND((Q496),1)&amp;" &lt; "&amp;$W$13-$S$12&amp;" NC")),IF($X$13="/90",IF(#REF!="","",IF(#REF!&gt;=$W$13-$S$12,ROUND((#REF!),1)&amp;" ≥ "&amp;$W$13-$S$12&amp;" OK",ROUND((#REF!),1)&amp;" &lt; "&amp;$W$13-$S$12&amp;" NC"))))</f>
        <v/>
      </c>
      <c r="U496" s="14"/>
      <c r="V496" s="279"/>
      <c r="W496" s="280"/>
      <c r="X496" s="281"/>
      <c r="Y496" s="246"/>
      <c r="Z496" s="246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BP496" s="390" t="str">
        <f>IF($X$13="/28",IF(Q496="","",Q496),IF($X$13="/90",IF(#REF!="","",#REF!),"Falso"))</f>
        <v/>
      </c>
      <c r="BQ496" s="392" t="str">
        <f t="shared" ref="BQ496:BQ556" si="770">IF(BP496="","",BQ494+1)</f>
        <v/>
      </c>
      <c r="BS496" s="50" t="str">
        <f>Q974</f>
        <v/>
      </c>
      <c r="BT496" s="50" t="e">
        <f>#REF!</f>
        <v>#REF!</v>
      </c>
      <c r="BU496" s="39" t="str">
        <f t="shared" si="731"/>
        <v/>
      </c>
      <c r="BV496" s="39" t="str">
        <f t="shared" si="724"/>
        <v/>
      </c>
    </row>
    <row r="497" spans="1:74" ht="14.25" customHeight="1" thickBot="1" x14ac:dyDescent="0.4">
      <c r="A497" s="384"/>
      <c r="B497" s="385"/>
      <c r="C497" s="386"/>
      <c r="D497" s="387"/>
      <c r="E497" s="388"/>
      <c r="F497" s="389"/>
      <c r="G497" s="377"/>
      <c r="H497" s="378"/>
      <c r="I497" s="382"/>
      <c r="J497" s="382"/>
      <c r="K497" s="383"/>
      <c r="L497" s="19"/>
      <c r="M497" s="379"/>
      <c r="N497" s="23"/>
      <c r="O497" s="379"/>
      <c r="P497" s="23"/>
      <c r="Q497" s="379"/>
      <c r="R497" s="380"/>
      <c r="S497" s="381"/>
      <c r="T497" s="380"/>
      <c r="U497" s="15"/>
      <c r="V497" s="373"/>
      <c r="W497" s="374"/>
      <c r="X497" s="375"/>
      <c r="Y497" s="376"/>
      <c r="Z497" s="376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BP497" s="391"/>
      <c r="BQ497" s="393"/>
      <c r="BS497" s="50" t="str">
        <f>Q976</f>
        <v/>
      </c>
      <c r="BT497" s="50" t="e">
        <f>#REF!</f>
        <v>#REF!</v>
      </c>
      <c r="BU497" s="39" t="str">
        <f t="shared" si="731"/>
        <v/>
      </c>
      <c r="BV497" s="39" t="str">
        <f t="shared" si="724"/>
        <v/>
      </c>
    </row>
    <row r="498" spans="1:74" ht="14.25" customHeight="1" x14ac:dyDescent="0.35">
      <c r="A498" s="311">
        <v>241</v>
      </c>
      <c r="B498" s="312"/>
      <c r="C498" s="313"/>
      <c r="D498" s="314"/>
      <c r="E498" s="315"/>
      <c r="F498" s="353"/>
      <c r="G498" s="354"/>
      <c r="H498" s="355"/>
      <c r="I498" s="356"/>
      <c r="J498" s="356"/>
      <c r="K498" s="357"/>
      <c r="L498" s="16"/>
      <c r="M498" s="352" t="str">
        <f t="shared" ref="M498" si="771">IF(COUNT(L498:L499)&lt;1,"",AVERAGE(L498:L499))</f>
        <v/>
      </c>
      <c r="N498" s="20"/>
      <c r="O498" s="352" t="str">
        <f t="shared" ref="O498" si="772">IF(COUNT(N498:N499)&lt;1,"",AVERAGE(N498:N499))</f>
        <v/>
      </c>
      <c r="P498" s="20"/>
      <c r="Q498" s="352" t="str">
        <f t="shared" ref="Q498" si="773">IF(COUNT(P498:P499)&lt;1,"",AVERAGE(P498:P499))</f>
        <v/>
      </c>
      <c r="R498" s="247" t="str">
        <f>IF($X$13="/28",IF(COUNT(P498:P499)&lt;=1,"",ABS(P498-P499)),IF($X$13="/90",IF(COUNT(#REF!)&lt;=1,"",ABS(#REF!-#REF!))))</f>
        <v/>
      </c>
      <c r="S498" s="247" t="str">
        <f>IF($X$13="/28",IF(Q498="","",IF(AVERAGE(Q494:Q499)&gt;=$W$13,ROUND(AVERAGE(Q494:Q499),1)&amp;" ≥ "&amp;$W$13&amp;" OK",ROUND(AVERAGE(Q494:Q499),1)&amp;" &lt; "&amp;$W$13&amp;" NC")),IF($X$13="/90",IF(#REF!="","",IF(AVERAGE(#REF!)&gt;=$W$13,ROUND(AVERAGE(#REF!),1)&amp;" ≥ "&amp;$W$13&amp;" OK",ROUND(AVERAGE(#REF!),1)&amp;" &lt; "&amp;$W$13&amp;" NC"))))</f>
        <v/>
      </c>
      <c r="T498" s="247" t="str">
        <f>IF($X$13="/28",IF(Q498="","",IF(Q498&gt;=$W$13-$S$12,ROUND((Q498),1)&amp;" ≥ "&amp;$W$13-$S$12&amp;" OK",ROUND((Q498),1)&amp;" &lt; "&amp;$W$13-$S$12&amp;" NC")),IF($X$13="/90",IF(#REF!="","",IF(#REF!&gt;=$W$13-$S$12,ROUND((#REF!),1)&amp;" ≥ "&amp;$W$13-$S$12&amp;" OK",ROUND((#REF!),1)&amp;" &lt; "&amp;$W$13-$S$12&amp;" NC"))))</f>
        <v/>
      </c>
      <c r="U498" s="12"/>
      <c r="V498" s="349"/>
      <c r="W498" s="350"/>
      <c r="X498" s="351"/>
      <c r="Y498" s="244"/>
      <c r="Z498" s="244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BP498" s="390" t="str">
        <f>IF($X$13="/28",IF(Q498="","",Q498),IF($X$13="/90",IF(#REF!="","",#REF!),"Falso"))</f>
        <v/>
      </c>
      <c r="BQ498" s="392" t="str">
        <f t="shared" si="762"/>
        <v/>
      </c>
      <c r="BS498" s="50" t="str">
        <f>Q978</f>
        <v/>
      </c>
      <c r="BT498" s="50" t="e">
        <f>#REF!</f>
        <v>#REF!</v>
      </c>
      <c r="BU498" s="39" t="str">
        <f t="shared" si="731"/>
        <v/>
      </c>
      <c r="BV498" s="39" t="str">
        <f t="shared" si="724"/>
        <v/>
      </c>
    </row>
    <row r="499" spans="1:74" ht="14.25" customHeight="1" x14ac:dyDescent="0.35">
      <c r="A499" s="294"/>
      <c r="B499" s="296"/>
      <c r="C499" s="298"/>
      <c r="D499" s="300"/>
      <c r="E499" s="302"/>
      <c r="F499" s="304"/>
      <c r="G499" s="276"/>
      <c r="H499" s="277"/>
      <c r="I499" s="290"/>
      <c r="J499" s="290"/>
      <c r="K499" s="291"/>
      <c r="L499" s="17"/>
      <c r="M499" s="286"/>
      <c r="N499" s="21"/>
      <c r="O499" s="286"/>
      <c r="P499" s="21"/>
      <c r="Q499" s="286"/>
      <c r="R499" s="248"/>
      <c r="S499" s="248"/>
      <c r="T499" s="248"/>
      <c r="U499" s="13"/>
      <c r="V499" s="282"/>
      <c r="W499" s="283"/>
      <c r="X499" s="284"/>
      <c r="Y499" s="245"/>
      <c r="Z499" s="245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BP499" s="391"/>
      <c r="BQ499" s="393"/>
      <c r="BS499" s="50" t="str">
        <f>Q980</f>
        <v/>
      </c>
      <c r="BT499" s="50" t="e">
        <f>#REF!</f>
        <v>#REF!</v>
      </c>
      <c r="BU499" s="39" t="str">
        <f t="shared" si="731"/>
        <v/>
      </c>
      <c r="BV499" s="39" t="str">
        <f t="shared" si="724"/>
        <v/>
      </c>
    </row>
    <row r="500" spans="1:74" ht="14.25" customHeight="1" x14ac:dyDescent="0.35">
      <c r="A500" s="293">
        <v>242</v>
      </c>
      <c r="B500" s="295"/>
      <c r="C500" s="297"/>
      <c r="D500" s="299"/>
      <c r="E500" s="301"/>
      <c r="F500" s="303"/>
      <c r="G500" s="288"/>
      <c r="H500" s="289"/>
      <c r="I500" s="290"/>
      <c r="J500" s="290"/>
      <c r="K500" s="291"/>
      <c r="L500" s="18"/>
      <c r="M500" s="285" t="str">
        <f t="shared" ref="M500" si="774">IF(COUNT(L500:L501)&lt;1,"",AVERAGE(L500:L501))</f>
        <v/>
      </c>
      <c r="N500" s="22"/>
      <c r="O500" s="285" t="str">
        <f t="shared" ref="O500" si="775">IF(COUNT(N500:N501)&lt;1,"",AVERAGE(N500:N501))</f>
        <v/>
      </c>
      <c r="P500" s="22"/>
      <c r="Q500" s="285" t="str">
        <f t="shared" ref="Q500" si="776">IF(COUNT(P500:P501)&lt;1,"",AVERAGE(P500:P501))</f>
        <v/>
      </c>
      <c r="R500" s="278" t="str">
        <f>IF($X$13="/28",IF(COUNT(P500:P501)&lt;=1,"",ABS(P500-P501)),IF($X$13="/90",IF(COUNT(#REF!)&lt;=1,"",ABS(#REF!-#REF!))))</f>
        <v/>
      </c>
      <c r="S500" s="278" t="str">
        <f>IF($X$13="/28",IF(Q500="","",IF(AVERAGE(Q496:Q501)&gt;=$W$13,ROUND(AVERAGE(Q496:Q501),1)&amp;" ≥ "&amp;$W$13&amp;" OK",ROUND(AVERAGE(Q496:Q501),1)&amp;" &lt; "&amp;$W$13&amp;" NC")),IF($X$13="/90",IF(#REF!="","",IF(AVERAGE(#REF!)&gt;=$W$13,ROUND(AVERAGE(#REF!),1)&amp;" ≥ "&amp;$W$13&amp;" OK",ROUND(AVERAGE(#REF!),1)&amp;" &lt; "&amp;$W$13&amp;" NC"))))</f>
        <v/>
      </c>
      <c r="T500" s="278" t="str">
        <f>IF($X$13="/28",IF(Q500="","",IF(Q500&gt;=$W$13-$S$12,ROUND((Q500),1)&amp;" ≥ "&amp;$W$13-$S$12&amp;" OK",ROUND((Q500),1)&amp;" &lt; "&amp;$W$13-$S$12&amp;" NC")),IF($X$13="/90",IF(#REF!="","",IF(#REF!&gt;=$W$13-$S$12,ROUND((#REF!),1)&amp;" ≥ "&amp;$W$13-$S$12&amp;" OK",ROUND((#REF!),1)&amp;" &lt; "&amp;$W$13-$S$12&amp;" NC"))))</f>
        <v/>
      </c>
      <c r="U500" s="14"/>
      <c r="V500" s="279"/>
      <c r="W500" s="280"/>
      <c r="X500" s="281"/>
      <c r="Y500" s="246"/>
      <c r="Z500" s="246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BP500" s="390" t="str">
        <f>IF($X$13="/28",IF(Q500="","",Q500),IF($X$13="/90",IF(#REF!="","",#REF!),"Falso"))</f>
        <v/>
      </c>
      <c r="BQ500" s="392" t="str">
        <f t="shared" si="766"/>
        <v/>
      </c>
      <c r="BS500" s="50" t="str">
        <f>Q982</f>
        <v/>
      </c>
      <c r="BT500" s="50" t="e">
        <f>#REF!</f>
        <v>#REF!</v>
      </c>
      <c r="BU500" s="39" t="str">
        <f t="shared" si="731"/>
        <v/>
      </c>
      <c r="BV500" s="39" t="str">
        <f t="shared" si="724"/>
        <v/>
      </c>
    </row>
    <row r="501" spans="1:74" ht="14.25" customHeight="1" x14ac:dyDescent="0.35">
      <c r="A501" s="294"/>
      <c r="B501" s="296"/>
      <c r="C501" s="298"/>
      <c r="D501" s="300"/>
      <c r="E501" s="302"/>
      <c r="F501" s="304"/>
      <c r="G501" s="276"/>
      <c r="H501" s="277"/>
      <c r="I501" s="290"/>
      <c r="J501" s="290"/>
      <c r="K501" s="291"/>
      <c r="L501" s="17"/>
      <c r="M501" s="286"/>
      <c r="N501" s="21"/>
      <c r="O501" s="286"/>
      <c r="P501" s="21"/>
      <c r="Q501" s="286"/>
      <c r="R501" s="248"/>
      <c r="S501" s="248"/>
      <c r="T501" s="248"/>
      <c r="U501" s="13"/>
      <c r="V501" s="282"/>
      <c r="W501" s="283"/>
      <c r="X501" s="284"/>
      <c r="Y501" s="245"/>
      <c r="Z501" s="245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BP501" s="391"/>
      <c r="BQ501" s="393"/>
      <c r="BS501" s="50" t="str">
        <f>Q984</f>
        <v/>
      </c>
      <c r="BT501" s="50" t="e">
        <f>#REF!</f>
        <v>#REF!</v>
      </c>
      <c r="BU501" s="39" t="str">
        <f t="shared" si="731"/>
        <v/>
      </c>
      <c r="BV501" s="39" t="str">
        <f t="shared" si="724"/>
        <v/>
      </c>
    </row>
    <row r="502" spans="1:74" ht="14.25" customHeight="1" x14ac:dyDescent="0.35">
      <c r="A502" s="293">
        <v>243</v>
      </c>
      <c r="B502" s="295"/>
      <c r="C502" s="297"/>
      <c r="D502" s="299"/>
      <c r="E502" s="301"/>
      <c r="F502" s="303"/>
      <c r="G502" s="288"/>
      <c r="H502" s="289"/>
      <c r="I502" s="290"/>
      <c r="J502" s="290"/>
      <c r="K502" s="291"/>
      <c r="L502" s="18"/>
      <c r="M502" s="285" t="str">
        <f t="shared" ref="M502" si="777">IF(COUNT(L502:L503)&lt;1,"",AVERAGE(L502:L503))</f>
        <v/>
      </c>
      <c r="N502" s="22"/>
      <c r="O502" s="285" t="str">
        <f t="shared" ref="O502" si="778">IF(COUNT(N502:N503)&lt;1,"",AVERAGE(N502:N503))</f>
        <v/>
      </c>
      <c r="P502" s="22"/>
      <c r="Q502" s="285" t="str">
        <f t="shared" ref="Q502" si="779">IF(COUNT(P502:P503)&lt;1,"",AVERAGE(P502:P503))</f>
        <v/>
      </c>
      <c r="R502" s="278" t="str">
        <f>IF($X$13="/28",IF(COUNT(P502:P503)&lt;=1,"",ABS(P502-P503)),IF($X$13="/90",IF(COUNT(#REF!)&lt;=1,"",ABS(#REF!-#REF!))))</f>
        <v/>
      </c>
      <c r="S502" s="278" t="str">
        <f>IF($X$13="/28",IF(Q502="","",IF(AVERAGE(Q498:Q503)&gt;=$W$13,ROUND(AVERAGE(Q498:Q503),1)&amp;" ≥ "&amp;$W$13&amp;" OK",ROUND(AVERAGE(Q498:Q503),1)&amp;" &lt; "&amp;$W$13&amp;" NC")),IF($X$13="/90",IF(#REF!="","",IF(AVERAGE(#REF!)&gt;=$W$13,ROUND(AVERAGE(#REF!),1)&amp;" ≥ "&amp;$W$13&amp;" OK",ROUND(AVERAGE(#REF!),1)&amp;" &lt; "&amp;$W$13&amp;" NC"))))</f>
        <v/>
      </c>
      <c r="T502" s="278" t="str">
        <f>IF($X$13="/28",IF(Q502="","",IF(Q502&gt;=$W$13-$S$12,ROUND((Q502),1)&amp;" ≥ "&amp;$W$13-$S$12&amp;" OK",ROUND((Q502),1)&amp;" &lt; "&amp;$W$13-$S$12&amp;" NC")),IF($X$13="/90",IF(#REF!="","",IF(#REF!&gt;=$W$13-$S$12,ROUND((#REF!),1)&amp;" ≥ "&amp;$W$13-$S$12&amp;" OK",ROUND((#REF!),1)&amp;" &lt; "&amp;$W$13-$S$12&amp;" NC"))))</f>
        <v/>
      </c>
      <c r="U502" s="14"/>
      <c r="V502" s="279"/>
      <c r="W502" s="280"/>
      <c r="X502" s="281"/>
      <c r="Y502" s="246"/>
      <c r="Z502" s="246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BP502" s="390" t="str">
        <f>IF($X$13="/28",IF(Q502="","",Q502),IF($X$13="/90",IF(#REF!="","",#REF!),"Falso"))</f>
        <v/>
      </c>
      <c r="BQ502" s="392" t="str">
        <f t="shared" si="770"/>
        <v/>
      </c>
      <c r="BS502" s="50" t="str">
        <f>Q986</f>
        <v/>
      </c>
      <c r="BT502" s="50" t="e">
        <f>#REF!</f>
        <v>#REF!</v>
      </c>
      <c r="BU502" s="39" t="str">
        <f t="shared" si="731"/>
        <v/>
      </c>
      <c r="BV502" s="39" t="str">
        <f t="shared" si="724"/>
        <v/>
      </c>
    </row>
    <row r="503" spans="1:74" ht="14.25" customHeight="1" x14ac:dyDescent="0.35">
      <c r="A503" s="294"/>
      <c r="B503" s="296"/>
      <c r="C503" s="298"/>
      <c r="D503" s="300"/>
      <c r="E503" s="302"/>
      <c r="F503" s="304"/>
      <c r="G503" s="276"/>
      <c r="H503" s="277"/>
      <c r="I503" s="290"/>
      <c r="J503" s="290"/>
      <c r="K503" s="291"/>
      <c r="L503" s="17"/>
      <c r="M503" s="286"/>
      <c r="N503" s="21"/>
      <c r="O503" s="286"/>
      <c r="P503" s="21"/>
      <c r="Q503" s="286"/>
      <c r="R503" s="248"/>
      <c r="S503" s="287"/>
      <c r="T503" s="248"/>
      <c r="U503" s="13"/>
      <c r="V503" s="282"/>
      <c r="W503" s="283"/>
      <c r="X503" s="284"/>
      <c r="Y503" s="245"/>
      <c r="Z503" s="245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BP503" s="391"/>
      <c r="BQ503" s="393"/>
      <c r="BS503" s="50" t="str">
        <f>Q988</f>
        <v/>
      </c>
      <c r="BT503" s="50" t="e">
        <f>#REF!</f>
        <v>#REF!</v>
      </c>
      <c r="BU503" s="39" t="str">
        <f t="shared" si="731"/>
        <v/>
      </c>
      <c r="BV503" s="39" t="str">
        <f t="shared" si="724"/>
        <v/>
      </c>
    </row>
    <row r="504" spans="1:74" ht="14.25" customHeight="1" x14ac:dyDescent="0.35">
      <c r="A504" s="293">
        <v>244</v>
      </c>
      <c r="B504" s="295"/>
      <c r="C504" s="297"/>
      <c r="D504" s="299"/>
      <c r="E504" s="301"/>
      <c r="F504" s="303"/>
      <c r="G504" s="288"/>
      <c r="H504" s="289"/>
      <c r="I504" s="290"/>
      <c r="J504" s="290"/>
      <c r="K504" s="291"/>
      <c r="L504" s="18"/>
      <c r="M504" s="285" t="str">
        <f t="shared" ref="M504" si="780">IF(COUNT(L504:L505)&lt;1,"",AVERAGE(L504:L505))</f>
        <v/>
      </c>
      <c r="N504" s="22"/>
      <c r="O504" s="285" t="str">
        <f t="shared" ref="O504" si="781">IF(COUNT(N504:N505)&lt;1,"",AVERAGE(N504:N505))</f>
        <v/>
      </c>
      <c r="P504" s="22"/>
      <c r="Q504" s="285" t="str">
        <f t="shared" ref="Q504" si="782">IF(COUNT(P504:P505)&lt;1,"",AVERAGE(P504:P505))</f>
        <v/>
      </c>
      <c r="R504" s="278" t="str">
        <f>IF($X$13="/28",IF(COUNT(P504:P505)&lt;=1,"",ABS(P504-P505)),IF($X$13="/90",IF(COUNT(#REF!)&lt;=1,"",ABS(#REF!-#REF!))))</f>
        <v/>
      </c>
      <c r="S504" s="278" t="str">
        <f>IF($X$13="/28",IF(Q504="","",IF(AVERAGE(Q500:Q505)&gt;=$W$13,ROUND(AVERAGE(Q500:Q505),1)&amp;" ≥ "&amp;$W$13&amp;" OK",ROUND(AVERAGE(Q500:Q505),1)&amp;" &lt; "&amp;$W$13&amp;" NC")),IF($X$13="/90",IF(#REF!="","",IF(AVERAGE(#REF!)&gt;=$W$13,ROUND(AVERAGE(#REF!),1)&amp;" ≥ "&amp;$W$13&amp;" OK",ROUND(AVERAGE(#REF!),1)&amp;" &lt; "&amp;$W$13&amp;" NC"))))</f>
        <v/>
      </c>
      <c r="T504" s="278" t="str">
        <f>IF($X$13="/28",IF(Q504="","",IF(Q504&gt;=$W$13-$S$12,ROUND((Q504),1)&amp;" ≥ "&amp;$W$13-$S$12&amp;" OK",ROUND((Q504),1)&amp;" &lt; "&amp;$W$13-$S$12&amp;" NC")),IF($X$13="/90",IF(#REF!="","",IF(#REF!&gt;=$W$13-$S$12,ROUND((#REF!),1)&amp;" ≥ "&amp;$W$13-$S$12&amp;" OK",ROUND((#REF!),1)&amp;" &lt; "&amp;$W$13-$S$12&amp;" NC"))))</f>
        <v/>
      </c>
      <c r="U504" s="14"/>
      <c r="V504" s="279"/>
      <c r="W504" s="280"/>
      <c r="X504" s="281"/>
      <c r="Y504" s="246"/>
      <c r="Z504" s="246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BP504" s="390" t="str">
        <f>IF($X$13="/28",IF(Q504="","",Q504),IF($X$13="/90",IF(#REF!="","",#REF!),"Falso"))</f>
        <v/>
      </c>
      <c r="BQ504" s="392" t="str">
        <f t="shared" si="762"/>
        <v/>
      </c>
      <c r="BS504" s="50" t="str">
        <f>Q990</f>
        <v/>
      </c>
      <c r="BT504" s="50" t="e">
        <f>#REF!</f>
        <v>#REF!</v>
      </c>
      <c r="BU504" s="39" t="str">
        <f t="shared" si="731"/>
        <v/>
      </c>
      <c r="BV504" s="39" t="str">
        <f t="shared" si="724"/>
        <v/>
      </c>
    </row>
    <row r="505" spans="1:74" ht="14.25" customHeight="1" x14ac:dyDescent="0.35">
      <c r="A505" s="294"/>
      <c r="B505" s="296"/>
      <c r="C505" s="298"/>
      <c r="D505" s="300"/>
      <c r="E505" s="302"/>
      <c r="F505" s="304"/>
      <c r="G505" s="276"/>
      <c r="H505" s="277"/>
      <c r="I505" s="290"/>
      <c r="J505" s="290"/>
      <c r="K505" s="291"/>
      <c r="L505" s="17"/>
      <c r="M505" s="286"/>
      <c r="N505" s="21"/>
      <c r="O505" s="286"/>
      <c r="P505" s="21"/>
      <c r="Q505" s="286"/>
      <c r="R505" s="248"/>
      <c r="S505" s="287"/>
      <c r="T505" s="248"/>
      <c r="U505" s="13"/>
      <c r="V505" s="282"/>
      <c r="W505" s="283"/>
      <c r="X505" s="284"/>
      <c r="Y505" s="245"/>
      <c r="Z505" s="245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BP505" s="391"/>
      <c r="BQ505" s="393"/>
      <c r="BS505" s="50" t="str">
        <f>Q992</f>
        <v/>
      </c>
      <c r="BT505" s="50" t="e">
        <f>#REF!</f>
        <v>#REF!</v>
      </c>
      <c r="BU505" s="39" t="str">
        <f t="shared" si="731"/>
        <v/>
      </c>
      <c r="BV505" s="39" t="str">
        <f t="shared" si="724"/>
        <v/>
      </c>
    </row>
    <row r="506" spans="1:74" ht="14.25" customHeight="1" x14ac:dyDescent="0.35">
      <c r="A506" s="293">
        <v>245</v>
      </c>
      <c r="B506" s="295"/>
      <c r="C506" s="297"/>
      <c r="D506" s="299"/>
      <c r="E506" s="301"/>
      <c r="F506" s="303"/>
      <c r="G506" s="288"/>
      <c r="H506" s="289"/>
      <c r="I506" s="290"/>
      <c r="J506" s="290"/>
      <c r="K506" s="291"/>
      <c r="L506" s="18"/>
      <c r="M506" s="285" t="str">
        <f t="shared" ref="M506" si="783">IF(COUNT(L506:L507)&lt;1,"",AVERAGE(L506:L507))</f>
        <v/>
      </c>
      <c r="N506" s="22"/>
      <c r="O506" s="285" t="str">
        <f t="shared" ref="O506" si="784">IF(COUNT(N506:N507)&lt;1,"",AVERAGE(N506:N507))</f>
        <v/>
      </c>
      <c r="P506" s="22"/>
      <c r="Q506" s="285" t="str">
        <f t="shared" ref="Q506" si="785">IF(COUNT(P506:P507)&lt;1,"",AVERAGE(P506:P507))</f>
        <v/>
      </c>
      <c r="R506" s="278" t="str">
        <f>IF($X$13="/28",IF(COUNT(P506:P507)&lt;=1,"",ABS(P506-P507)),IF($X$13="/90",IF(COUNT(#REF!)&lt;=1,"",ABS(#REF!-#REF!))))</f>
        <v/>
      </c>
      <c r="S506" s="278" t="str">
        <f>IF($X$13="/28",IF(Q506="","",IF(AVERAGE(Q502:Q507)&gt;=$W$13,ROUND(AVERAGE(Q502:Q507),1)&amp;" ≥ "&amp;$W$13&amp;" OK",ROUND(AVERAGE(Q502:Q507),1)&amp;" &lt; "&amp;$W$13&amp;" NC")),IF($X$13="/90",IF(#REF!="","",IF(AVERAGE(#REF!)&gt;=$W$13,ROUND(AVERAGE(#REF!),1)&amp;" ≥ "&amp;$W$13&amp;" OK",ROUND(AVERAGE(#REF!),1)&amp;" &lt; "&amp;$W$13&amp;" NC"))))</f>
        <v/>
      </c>
      <c r="T506" s="278" t="str">
        <f>IF($X$13="/28",IF(Q506="","",IF(Q506&gt;=$W$13-$S$12,ROUND((Q506),1)&amp;" ≥ "&amp;$W$13-$S$12&amp;" OK",ROUND((Q506),1)&amp;" &lt; "&amp;$W$13-$S$12&amp;" NC")),IF($X$13="/90",IF(#REF!="","",IF(#REF!&gt;=$W$13-$S$12,ROUND((#REF!),1)&amp;" ≥ "&amp;$W$13-$S$12&amp;" OK",ROUND((#REF!),1)&amp;" &lt; "&amp;$W$13-$S$12&amp;" NC"))))</f>
        <v/>
      </c>
      <c r="U506" s="14"/>
      <c r="V506" s="279"/>
      <c r="W506" s="280"/>
      <c r="X506" s="281"/>
      <c r="Y506" s="246"/>
      <c r="Z506" s="246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BP506" s="390" t="str">
        <f>IF($X$13="/28",IF(Q506="","",Q506),IF($X$13="/90",IF(#REF!="","",#REF!),"Falso"))</f>
        <v/>
      </c>
      <c r="BQ506" s="392" t="str">
        <f t="shared" si="766"/>
        <v/>
      </c>
      <c r="BS506" s="50" t="str">
        <f>Q994</f>
        <v/>
      </c>
      <c r="BT506" s="50" t="e">
        <f>#REF!</f>
        <v>#REF!</v>
      </c>
      <c r="BU506" s="39" t="str">
        <f t="shared" si="731"/>
        <v/>
      </c>
      <c r="BV506" s="39" t="str">
        <f t="shared" si="724"/>
        <v/>
      </c>
    </row>
    <row r="507" spans="1:74" ht="14.25" customHeight="1" x14ac:dyDescent="0.35">
      <c r="A507" s="294"/>
      <c r="B507" s="296"/>
      <c r="C507" s="298"/>
      <c r="D507" s="300"/>
      <c r="E507" s="302"/>
      <c r="F507" s="304"/>
      <c r="G507" s="276"/>
      <c r="H507" s="277"/>
      <c r="I507" s="290"/>
      <c r="J507" s="290"/>
      <c r="K507" s="291"/>
      <c r="L507" s="17"/>
      <c r="M507" s="286"/>
      <c r="N507" s="21"/>
      <c r="O507" s="286"/>
      <c r="P507" s="21"/>
      <c r="Q507" s="286"/>
      <c r="R507" s="248"/>
      <c r="S507" s="287"/>
      <c r="T507" s="248"/>
      <c r="U507" s="13"/>
      <c r="V507" s="282"/>
      <c r="W507" s="283"/>
      <c r="X507" s="284"/>
      <c r="Y507" s="245"/>
      <c r="Z507" s="245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BP507" s="391"/>
      <c r="BQ507" s="393"/>
      <c r="BS507" s="50" t="str">
        <f>Q996</f>
        <v/>
      </c>
      <c r="BT507" s="50" t="e">
        <f>#REF!</f>
        <v>#REF!</v>
      </c>
      <c r="BU507" s="39" t="str">
        <f t="shared" si="731"/>
        <v/>
      </c>
      <c r="BV507" s="39" t="str">
        <f t="shared" si="724"/>
        <v/>
      </c>
    </row>
    <row r="508" spans="1:74" ht="14.25" customHeight="1" x14ac:dyDescent="0.35">
      <c r="A508" s="293">
        <v>246</v>
      </c>
      <c r="B508" s="295"/>
      <c r="C508" s="297"/>
      <c r="D508" s="299"/>
      <c r="E508" s="301"/>
      <c r="F508" s="303"/>
      <c r="G508" s="288"/>
      <c r="H508" s="289"/>
      <c r="I508" s="290"/>
      <c r="J508" s="290"/>
      <c r="K508" s="291"/>
      <c r="L508" s="18"/>
      <c r="M508" s="285" t="str">
        <f t="shared" ref="M508" si="786">IF(COUNT(L508:L509)&lt;1,"",AVERAGE(L508:L509))</f>
        <v/>
      </c>
      <c r="N508" s="22"/>
      <c r="O508" s="285" t="str">
        <f t="shared" ref="O508" si="787">IF(COUNT(N508:N509)&lt;1,"",AVERAGE(N508:N509))</f>
        <v/>
      </c>
      <c r="P508" s="22"/>
      <c r="Q508" s="285" t="str">
        <f t="shared" ref="Q508" si="788">IF(COUNT(P508:P509)&lt;1,"",AVERAGE(P508:P509))</f>
        <v/>
      </c>
      <c r="R508" s="278" t="str">
        <f>IF($X$13="/28",IF(COUNT(P508:P509)&lt;=1,"",ABS(P508-P509)),IF($X$13="/90",IF(COUNT(#REF!)&lt;=1,"",ABS(#REF!-#REF!))))</f>
        <v/>
      </c>
      <c r="S508" s="278" t="str">
        <f>IF($X$13="/28",IF(Q508="","",IF(AVERAGE(Q504:Q509)&gt;=$W$13,ROUND(AVERAGE(Q504:Q509),1)&amp;" ≥ "&amp;$W$13&amp;" OK",ROUND(AVERAGE(Q504:Q509),1)&amp;" &lt; "&amp;$W$13&amp;" NC")),IF($X$13="/90",IF(#REF!="","",IF(AVERAGE(#REF!)&gt;=$W$13,ROUND(AVERAGE(#REF!),1)&amp;" ≥ "&amp;$W$13&amp;" OK",ROUND(AVERAGE(#REF!),1)&amp;" &lt; "&amp;$W$13&amp;" NC"))))</f>
        <v/>
      </c>
      <c r="T508" s="278" t="str">
        <f>IF($X$13="/28",IF(Q508="","",IF(Q508&gt;=$W$13-$S$12,ROUND((Q508),1)&amp;" ≥ "&amp;$W$13-$S$12&amp;" OK",ROUND((Q508),1)&amp;" &lt; "&amp;$W$13-$S$12&amp;" NC")),IF($X$13="/90",IF(#REF!="","",IF(#REF!&gt;=$W$13-$S$12,ROUND((#REF!),1)&amp;" ≥ "&amp;$W$13-$S$12&amp;" OK",ROUND((#REF!),1)&amp;" &lt; "&amp;$W$13-$S$12&amp;" NC"))))</f>
        <v/>
      </c>
      <c r="U508" s="14"/>
      <c r="V508" s="279"/>
      <c r="W508" s="280"/>
      <c r="X508" s="281"/>
      <c r="Y508" s="246"/>
      <c r="Z508" s="246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BP508" s="390" t="str">
        <f>IF($X$13="/28",IF(Q508="","",Q508),IF($X$13="/90",IF(#REF!="","",#REF!),"Falso"))</f>
        <v/>
      </c>
      <c r="BQ508" s="392" t="str">
        <f t="shared" si="770"/>
        <v/>
      </c>
      <c r="BS508" s="50" t="str">
        <f>Q998</f>
        <v/>
      </c>
      <c r="BT508" s="50" t="e">
        <f>#REF!</f>
        <v>#REF!</v>
      </c>
      <c r="BU508" s="39" t="str">
        <f t="shared" si="731"/>
        <v/>
      </c>
      <c r="BV508" s="39" t="str">
        <f t="shared" si="724"/>
        <v/>
      </c>
    </row>
    <row r="509" spans="1:74" ht="14.25" customHeight="1" x14ac:dyDescent="0.35">
      <c r="A509" s="294"/>
      <c r="B509" s="296"/>
      <c r="C509" s="298"/>
      <c r="D509" s="300"/>
      <c r="E509" s="302"/>
      <c r="F509" s="304"/>
      <c r="G509" s="276"/>
      <c r="H509" s="277"/>
      <c r="I509" s="290"/>
      <c r="J509" s="290"/>
      <c r="K509" s="291"/>
      <c r="L509" s="17"/>
      <c r="M509" s="286"/>
      <c r="N509" s="21"/>
      <c r="O509" s="286"/>
      <c r="P509" s="21"/>
      <c r="Q509" s="286"/>
      <c r="R509" s="248"/>
      <c r="S509" s="287"/>
      <c r="T509" s="248"/>
      <c r="U509" s="13"/>
      <c r="V509" s="282"/>
      <c r="W509" s="283"/>
      <c r="X509" s="284"/>
      <c r="Y509" s="245"/>
      <c r="Z509" s="245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BP509" s="391"/>
      <c r="BQ509" s="393"/>
      <c r="BS509" s="50" t="str">
        <f>Q1000</f>
        <v/>
      </c>
      <c r="BT509" s="50" t="e">
        <f>#REF!</f>
        <v>#REF!</v>
      </c>
      <c r="BU509" s="39" t="str">
        <f t="shared" si="731"/>
        <v/>
      </c>
      <c r="BV509" s="39" t="str">
        <f t="shared" si="724"/>
        <v/>
      </c>
    </row>
    <row r="510" spans="1:74" ht="14.25" customHeight="1" x14ac:dyDescent="0.35">
      <c r="A510" s="293">
        <v>247</v>
      </c>
      <c r="B510" s="295"/>
      <c r="C510" s="297"/>
      <c r="D510" s="299"/>
      <c r="E510" s="301"/>
      <c r="F510" s="303"/>
      <c r="G510" s="288"/>
      <c r="H510" s="289"/>
      <c r="I510" s="290"/>
      <c r="J510" s="290"/>
      <c r="K510" s="291"/>
      <c r="L510" s="18"/>
      <c r="M510" s="285" t="str">
        <f t="shared" ref="M510" si="789">IF(COUNT(L510:L511)&lt;1,"",AVERAGE(L510:L511))</f>
        <v/>
      </c>
      <c r="N510" s="22"/>
      <c r="O510" s="285" t="str">
        <f t="shared" ref="O510" si="790">IF(COUNT(N510:N511)&lt;1,"",AVERAGE(N510:N511))</f>
        <v/>
      </c>
      <c r="P510" s="22"/>
      <c r="Q510" s="285" t="str">
        <f t="shared" ref="Q510" si="791">IF(COUNT(P510:P511)&lt;1,"",AVERAGE(P510:P511))</f>
        <v/>
      </c>
      <c r="R510" s="278" t="str">
        <f>IF($X$13="/28",IF(COUNT(P510:P511)&lt;=1,"",ABS(P510-P511)),IF($X$13="/90",IF(COUNT(#REF!)&lt;=1,"",ABS(#REF!-#REF!))))</f>
        <v/>
      </c>
      <c r="S510" s="278" t="str">
        <f>IF($X$13="/28",IF(Q510="","",IF(AVERAGE(Q506:Q511)&gt;=$W$13,ROUND(AVERAGE(Q506:Q511),1)&amp;" ≥ "&amp;$W$13&amp;" OK",ROUND(AVERAGE(Q506:Q511),1)&amp;" &lt; "&amp;$W$13&amp;" NC")),IF($X$13="/90",IF(#REF!="","",IF(AVERAGE(#REF!)&gt;=$W$13,ROUND(AVERAGE(#REF!),1)&amp;" ≥ "&amp;$W$13&amp;" OK",ROUND(AVERAGE(#REF!),1)&amp;" &lt; "&amp;$W$13&amp;" NC"))))</f>
        <v/>
      </c>
      <c r="T510" s="278" t="str">
        <f>IF($X$13="/28",IF(Q510="","",IF(Q510&gt;=$W$13-$S$12,ROUND((Q510),1)&amp;" ≥ "&amp;$W$13-$S$12&amp;" OK",ROUND((Q510),1)&amp;" &lt; "&amp;$W$13-$S$12&amp;" NC")),IF($X$13="/90",IF(#REF!="","",IF(#REF!&gt;=$W$13-$S$12,ROUND((#REF!),1)&amp;" ≥ "&amp;$W$13-$S$12&amp;" OK",ROUND((#REF!),1)&amp;" &lt; "&amp;$W$13-$S$12&amp;" NC"))))</f>
        <v/>
      </c>
      <c r="U510" s="14"/>
      <c r="V510" s="279"/>
      <c r="W510" s="280"/>
      <c r="X510" s="281"/>
      <c r="Y510" s="246"/>
      <c r="Z510" s="246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BP510" s="390" t="str">
        <f>IF($X$13="/28",IF(Q510="","",Q510),IF($X$13="/90",IF(#REF!="","",#REF!),"Falso"))</f>
        <v/>
      </c>
      <c r="BQ510" s="392" t="str">
        <f t="shared" si="762"/>
        <v/>
      </c>
      <c r="BS510" s="50" t="str">
        <f>Q1002</f>
        <v/>
      </c>
      <c r="BT510" s="50" t="e">
        <f>#REF!</f>
        <v>#REF!</v>
      </c>
      <c r="BU510" s="39" t="str">
        <f t="shared" si="731"/>
        <v/>
      </c>
      <c r="BV510" s="39" t="str">
        <f t="shared" si="724"/>
        <v/>
      </c>
    </row>
    <row r="511" spans="1:74" ht="14.25" customHeight="1" x14ac:dyDescent="0.35">
      <c r="A511" s="294"/>
      <c r="B511" s="296"/>
      <c r="C511" s="298"/>
      <c r="D511" s="300"/>
      <c r="E511" s="302"/>
      <c r="F511" s="304"/>
      <c r="G511" s="276"/>
      <c r="H511" s="277"/>
      <c r="I511" s="290"/>
      <c r="J511" s="290"/>
      <c r="K511" s="291"/>
      <c r="L511" s="17"/>
      <c r="M511" s="286"/>
      <c r="N511" s="21"/>
      <c r="O511" s="286"/>
      <c r="P511" s="21"/>
      <c r="Q511" s="286"/>
      <c r="R511" s="248"/>
      <c r="S511" s="287"/>
      <c r="T511" s="248"/>
      <c r="U511" s="13"/>
      <c r="V511" s="282"/>
      <c r="W511" s="283"/>
      <c r="X511" s="284"/>
      <c r="Y511" s="245"/>
      <c r="Z511" s="245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BP511" s="391"/>
      <c r="BQ511" s="393"/>
      <c r="BS511" s="50" t="str">
        <f>Q1004</f>
        <v/>
      </c>
      <c r="BT511" s="50" t="e">
        <f>#REF!</f>
        <v>#REF!</v>
      </c>
      <c r="BU511" s="39" t="str">
        <f t="shared" si="731"/>
        <v/>
      </c>
      <c r="BV511" s="39" t="str">
        <f t="shared" si="724"/>
        <v/>
      </c>
    </row>
    <row r="512" spans="1:74" ht="14.25" customHeight="1" x14ac:dyDescent="0.35">
      <c r="A512" s="293">
        <v>248</v>
      </c>
      <c r="B512" s="295"/>
      <c r="C512" s="297"/>
      <c r="D512" s="299"/>
      <c r="E512" s="301"/>
      <c r="F512" s="303"/>
      <c r="G512" s="288"/>
      <c r="H512" s="289"/>
      <c r="I512" s="290"/>
      <c r="J512" s="290"/>
      <c r="K512" s="291"/>
      <c r="L512" s="18"/>
      <c r="M512" s="285" t="str">
        <f t="shared" ref="M512" si="792">IF(COUNT(L512:L513)&lt;1,"",AVERAGE(L512:L513))</f>
        <v/>
      </c>
      <c r="N512" s="22"/>
      <c r="O512" s="285" t="str">
        <f t="shared" ref="O512" si="793">IF(COUNT(N512:N513)&lt;1,"",AVERAGE(N512:N513))</f>
        <v/>
      </c>
      <c r="P512" s="22"/>
      <c r="Q512" s="285" t="str">
        <f t="shared" ref="Q512" si="794">IF(COUNT(P512:P513)&lt;1,"",AVERAGE(P512:P513))</f>
        <v/>
      </c>
      <c r="R512" s="278" t="str">
        <f>IF($X$13="/28",IF(COUNT(P512:P513)&lt;=1,"",ABS(P512-P513)),IF($X$13="/90",IF(COUNT(#REF!)&lt;=1,"",ABS(#REF!-#REF!))))</f>
        <v/>
      </c>
      <c r="S512" s="278" t="str">
        <f>IF($X$13="/28",IF(Q512="","",IF(AVERAGE(Q508:Q513)&gt;=$W$13,ROUND(AVERAGE(Q508:Q513),1)&amp;" ≥ "&amp;$W$13&amp;" OK",ROUND(AVERAGE(Q508:Q513),1)&amp;" &lt; "&amp;$W$13&amp;" NC")),IF($X$13="/90",IF(#REF!="","",IF(AVERAGE(#REF!)&gt;=$W$13,ROUND(AVERAGE(#REF!),1)&amp;" ≥ "&amp;$W$13&amp;" OK",ROUND(AVERAGE(#REF!),1)&amp;" &lt; "&amp;$W$13&amp;" NC"))))</f>
        <v/>
      </c>
      <c r="T512" s="278" t="str">
        <f>IF($X$13="/28",IF(Q512="","",IF(Q512&gt;=$W$13-$S$12,ROUND((Q512),1)&amp;" ≥ "&amp;$W$13-$S$12&amp;" OK",ROUND((Q512),1)&amp;" &lt; "&amp;$W$13-$S$12&amp;" NC")),IF($X$13="/90",IF(#REF!="","",IF(#REF!&gt;=$W$13-$S$12,ROUND((#REF!),1)&amp;" ≥ "&amp;$W$13-$S$12&amp;" OK",ROUND((#REF!),1)&amp;" &lt; "&amp;$W$13-$S$12&amp;" NC"))))</f>
        <v/>
      </c>
      <c r="U512" s="14"/>
      <c r="V512" s="279"/>
      <c r="W512" s="280"/>
      <c r="X512" s="281"/>
      <c r="Y512" s="246"/>
      <c r="Z512" s="246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BP512" s="390" t="str">
        <f>IF($X$13="/28",IF(Q512="","",Q512),IF($X$13="/90",IF(#REF!="","",#REF!),"Falso"))</f>
        <v/>
      </c>
      <c r="BQ512" s="392" t="str">
        <f t="shared" si="766"/>
        <v/>
      </c>
      <c r="BS512" s="50" t="str">
        <f>Q1006</f>
        <v/>
      </c>
      <c r="BT512" s="50" t="e">
        <f>#REF!</f>
        <v>#REF!</v>
      </c>
      <c r="BU512" s="39" t="str">
        <f t="shared" si="731"/>
        <v/>
      </c>
      <c r="BV512" s="39" t="str">
        <f t="shared" si="724"/>
        <v/>
      </c>
    </row>
    <row r="513" spans="1:74" ht="14.25" customHeight="1" x14ac:dyDescent="0.35">
      <c r="A513" s="294"/>
      <c r="B513" s="296"/>
      <c r="C513" s="298"/>
      <c r="D513" s="300"/>
      <c r="E513" s="302"/>
      <c r="F513" s="304"/>
      <c r="G513" s="276"/>
      <c r="H513" s="277"/>
      <c r="I513" s="290"/>
      <c r="J513" s="290"/>
      <c r="K513" s="291"/>
      <c r="L513" s="17"/>
      <c r="M513" s="286"/>
      <c r="N513" s="21"/>
      <c r="O513" s="286"/>
      <c r="P513" s="21"/>
      <c r="Q513" s="286"/>
      <c r="R513" s="248"/>
      <c r="S513" s="287"/>
      <c r="T513" s="248"/>
      <c r="U513" s="13"/>
      <c r="V513" s="282"/>
      <c r="W513" s="283"/>
      <c r="X513" s="284"/>
      <c r="Y513" s="245"/>
      <c r="Z513" s="245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BP513" s="391"/>
      <c r="BQ513" s="393"/>
      <c r="BS513" s="50" t="str">
        <f>Q1008</f>
        <v/>
      </c>
      <c r="BT513" s="50" t="e">
        <f>#REF!</f>
        <v>#REF!</v>
      </c>
      <c r="BU513" s="39" t="str">
        <f t="shared" si="731"/>
        <v/>
      </c>
      <c r="BV513" s="39" t="str">
        <f t="shared" si="724"/>
        <v/>
      </c>
    </row>
    <row r="514" spans="1:74" ht="14.25" customHeight="1" x14ac:dyDescent="0.35">
      <c r="A514" s="293">
        <v>249</v>
      </c>
      <c r="B514" s="295"/>
      <c r="C514" s="297"/>
      <c r="D514" s="299"/>
      <c r="E514" s="301"/>
      <c r="F514" s="303"/>
      <c r="G514" s="288"/>
      <c r="H514" s="289"/>
      <c r="I514" s="290"/>
      <c r="J514" s="290"/>
      <c r="K514" s="291"/>
      <c r="L514" s="18"/>
      <c r="M514" s="285" t="str">
        <f t="shared" ref="M514" si="795">IF(COUNT(L514:L515)&lt;1,"",AVERAGE(L514:L515))</f>
        <v/>
      </c>
      <c r="N514" s="22"/>
      <c r="O514" s="285" t="str">
        <f t="shared" ref="O514" si="796">IF(COUNT(N514:N515)&lt;1,"",AVERAGE(N514:N515))</f>
        <v/>
      </c>
      <c r="P514" s="22"/>
      <c r="Q514" s="285" t="str">
        <f t="shared" ref="Q514" si="797">IF(COUNT(P514:P515)&lt;1,"",AVERAGE(P514:P515))</f>
        <v/>
      </c>
      <c r="R514" s="278" t="str">
        <f>IF($X$13="/28",IF(COUNT(P514:P515)&lt;=1,"",ABS(P514-P515)),IF($X$13="/90",IF(COUNT(#REF!)&lt;=1,"",ABS(#REF!-#REF!))))</f>
        <v/>
      </c>
      <c r="S514" s="278" t="str">
        <f>IF($X$13="/28",IF(Q514="","",IF(AVERAGE(Q510:Q515)&gt;=$W$13,ROUND(AVERAGE(Q510:Q515),1)&amp;" ≥ "&amp;$W$13&amp;" OK",ROUND(AVERAGE(Q510:Q515),1)&amp;" &lt; "&amp;$W$13&amp;" NC")),IF($X$13="/90",IF(#REF!="","",IF(AVERAGE(#REF!)&gt;=$W$13,ROUND(AVERAGE(#REF!),1)&amp;" ≥ "&amp;$W$13&amp;" OK",ROUND(AVERAGE(#REF!),1)&amp;" &lt; "&amp;$W$13&amp;" NC"))))</f>
        <v/>
      </c>
      <c r="T514" s="278" t="str">
        <f>IF($X$13="/28",IF(Q514="","",IF(Q514&gt;=$W$13-$S$12,ROUND((Q514),1)&amp;" ≥ "&amp;$W$13-$S$12&amp;" OK",ROUND((Q514),1)&amp;" &lt; "&amp;$W$13-$S$12&amp;" NC")),IF($X$13="/90",IF(#REF!="","",IF(#REF!&gt;=$W$13-$S$12,ROUND((#REF!),1)&amp;" ≥ "&amp;$W$13-$S$12&amp;" OK",ROUND((#REF!),1)&amp;" &lt; "&amp;$W$13-$S$12&amp;" NC"))))</f>
        <v/>
      </c>
      <c r="U514" s="14"/>
      <c r="V514" s="279"/>
      <c r="W514" s="280"/>
      <c r="X514" s="281"/>
      <c r="Y514" s="246"/>
      <c r="Z514" s="246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BP514" s="390" t="str">
        <f>IF($X$13="/28",IF(Q514="","",Q514),IF($X$13="/90",IF(#REF!="","",#REF!),"Falso"))</f>
        <v/>
      </c>
      <c r="BQ514" s="392" t="str">
        <f t="shared" si="770"/>
        <v/>
      </c>
      <c r="BS514" s="50" t="str">
        <f>Q1010</f>
        <v/>
      </c>
      <c r="BT514" s="50" t="e">
        <f>#REF!</f>
        <v>#REF!</v>
      </c>
      <c r="BU514" s="39" t="str">
        <f t="shared" si="731"/>
        <v/>
      </c>
      <c r="BV514" s="39" t="str">
        <f t="shared" si="724"/>
        <v/>
      </c>
    </row>
    <row r="515" spans="1:74" ht="14.25" customHeight="1" x14ac:dyDescent="0.35">
      <c r="A515" s="294"/>
      <c r="B515" s="296"/>
      <c r="C515" s="298"/>
      <c r="D515" s="300"/>
      <c r="E515" s="302"/>
      <c r="F515" s="304"/>
      <c r="G515" s="276"/>
      <c r="H515" s="277"/>
      <c r="I515" s="290"/>
      <c r="J515" s="290"/>
      <c r="K515" s="291"/>
      <c r="L515" s="17"/>
      <c r="M515" s="286"/>
      <c r="N515" s="21"/>
      <c r="O515" s="286"/>
      <c r="P515" s="21"/>
      <c r="Q515" s="286"/>
      <c r="R515" s="248"/>
      <c r="S515" s="287"/>
      <c r="T515" s="248"/>
      <c r="U515" s="13"/>
      <c r="V515" s="282"/>
      <c r="W515" s="283"/>
      <c r="X515" s="284"/>
      <c r="Y515" s="245"/>
      <c r="Z515" s="245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BP515" s="391"/>
      <c r="BQ515" s="393"/>
      <c r="BS515" s="50" t="str">
        <f>Q1012</f>
        <v/>
      </c>
      <c r="BT515" s="50" t="e">
        <f>#REF!</f>
        <v>#REF!</v>
      </c>
      <c r="BU515" s="39" t="str">
        <f t="shared" si="731"/>
        <v/>
      </c>
      <c r="BV515" s="39" t="str">
        <f t="shared" si="724"/>
        <v/>
      </c>
    </row>
    <row r="516" spans="1:74" ht="14.25" customHeight="1" x14ac:dyDescent="0.35">
      <c r="A516" s="293">
        <v>250</v>
      </c>
      <c r="B516" s="295"/>
      <c r="C516" s="297"/>
      <c r="D516" s="299"/>
      <c r="E516" s="301"/>
      <c r="F516" s="303"/>
      <c r="G516" s="288"/>
      <c r="H516" s="289"/>
      <c r="I516" s="290"/>
      <c r="J516" s="290"/>
      <c r="K516" s="291"/>
      <c r="L516" s="18"/>
      <c r="M516" s="285" t="str">
        <f t="shared" ref="M516" si="798">IF(COUNT(L516:L517)&lt;1,"",AVERAGE(L516:L517))</f>
        <v/>
      </c>
      <c r="N516" s="22"/>
      <c r="O516" s="285" t="str">
        <f t="shared" ref="O516" si="799">IF(COUNT(N516:N517)&lt;1,"",AVERAGE(N516:N517))</f>
        <v/>
      </c>
      <c r="P516" s="22"/>
      <c r="Q516" s="285" t="str">
        <f t="shared" ref="Q516" si="800">IF(COUNT(P516:P517)&lt;1,"",AVERAGE(P516:P517))</f>
        <v/>
      </c>
      <c r="R516" s="278" t="str">
        <f>IF($X$13="/28",IF(COUNT(P516:P517)&lt;=1,"",ABS(P516-P517)),IF($X$13="/90",IF(COUNT(#REF!)&lt;=1,"",ABS(#REF!-#REF!))))</f>
        <v/>
      </c>
      <c r="S516" s="278" t="str">
        <f>IF($X$13="/28",IF(Q516="","",IF(AVERAGE(Q512:Q517)&gt;=$W$13,ROUND(AVERAGE(Q512:Q517),1)&amp;" ≥ "&amp;$W$13&amp;" OK",ROUND(AVERAGE(Q512:Q517),1)&amp;" &lt; "&amp;$W$13&amp;" NC")),IF($X$13="/90",IF(#REF!="","",IF(AVERAGE(#REF!)&gt;=$W$13,ROUND(AVERAGE(#REF!),1)&amp;" ≥ "&amp;$W$13&amp;" OK",ROUND(AVERAGE(#REF!),1)&amp;" &lt; "&amp;$W$13&amp;" NC"))))</f>
        <v/>
      </c>
      <c r="T516" s="278" t="str">
        <f>IF($X$13="/28",IF(Q516="","",IF(Q516&gt;=$W$13-$S$12,ROUND((Q516),1)&amp;" ≥ "&amp;$W$13-$S$12&amp;" OK",ROUND((Q516),1)&amp;" &lt; "&amp;$W$13-$S$12&amp;" NC")),IF($X$13="/90",IF(#REF!="","",IF(#REF!&gt;=$W$13-$S$12,ROUND((#REF!),1)&amp;" ≥ "&amp;$W$13-$S$12&amp;" OK",ROUND((#REF!),1)&amp;" &lt; "&amp;$W$13-$S$12&amp;" NC"))))</f>
        <v/>
      </c>
      <c r="U516" s="14"/>
      <c r="V516" s="279"/>
      <c r="W516" s="280"/>
      <c r="X516" s="281"/>
      <c r="Y516" s="246"/>
      <c r="Z516" s="246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BP516" s="390" t="str">
        <f>IF($X$13="/28",IF(Q516="","",Q516),IF($X$13="/90",IF(#REF!="","",#REF!),"Falso"))</f>
        <v/>
      </c>
      <c r="BQ516" s="392" t="str">
        <f t="shared" si="762"/>
        <v/>
      </c>
      <c r="BS516" s="50" t="str">
        <f>Q1014</f>
        <v/>
      </c>
      <c r="BT516" s="50" t="e">
        <f>#REF!</f>
        <v>#REF!</v>
      </c>
      <c r="BU516" s="39" t="str">
        <f t="shared" si="731"/>
        <v/>
      </c>
      <c r="BV516" s="39" t="str">
        <f t="shared" si="724"/>
        <v/>
      </c>
    </row>
    <row r="517" spans="1:74" ht="14.25" customHeight="1" x14ac:dyDescent="0.35">
      <c r="A517" s="294"/>
      <c r="B517" s="296"/>
      <c r="C517" s="298"/>
      <c r="D517" s="300"/>
      <c r="E517" s="302"/>
      <c r="F517" s="304"/>
      <c r="G517" s="276"/>
      <c r="H517" s="277"/>
      <c r="I517" s="290"/>
      <c r="J517" s="290"/>
      <c r="K517" s="291"/>
      <c r="L517" s="17"/>
      <c r="M517" s="286"/>
      <c r="N517" s="21"/>
      <c r="O517" s="286"/>
      <c r="P517" s="21"/>
      <c r="Q517" s="286"/>
      <c r="R517" s="248"/>
      <c r="S517" s="287"/>
      <c r="T517" s="248"/>
      <c r="U517" s="13"/>
      <c r="V517" s="282"/>
      <c r="W517" s="283"/>
      <c r="X517" s="284"/>
      <c r="Y517" s="245"/>
      <c r="Z517" s="245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BP517" s="391"/>
      <c r="BQ517" s="393"/>
      <c r="BS517" s="50" t="str">
        <f>Q1016</f>
        <v/>
      </c>
      <c r="BT517" s="50" t="e">
        <f>#REF!</f>
        <v>#REF!</v>
      </c>
      <c r="BU517" s="39" t="str">
        <f t="shared" si="731"/>
        <v/>
      </c>
      <c r="BV517" s="39" t="str">
        <f t="shared" si="724"/>
        <v/>
      </c>
    </row>
    <row r="518" spans="1:74" ht="14.25" customHeight="1" x14ac:dyDescent="0.35">
      <c r="A518" s="293">
        <v>251</v>
      </c>
      <c r="B518" s="295"/>
      <c r="C518" s="297"/>
      <c r="D518" s="299"/>
      <c r="E518" s="301"/>
      <c r="F518" s="303"/>
      <c r="G518" s="288"/>
      <c r="H518" s="289"/>
      <c r="I518" s="290"/>
      <c r="J518" s="290"/>
      <c r="K518" s="291"/>
      <c r="L518" s="18"/>
      <c r="M518" s="285" t="str">
        <f t="shared" ref="M518" si="801">IF(COUNT(L518:L519)&lt;1,"",AVERAGE(L518:L519))</f>
        <v/>
      </c>
      <c r="N518" s="22"/>
      <c r="O518" s="285" t="str">
        <f t="shared" ref="O518" si="802">IF(COUNT(N518:N519)&lt;1,"",AVERAGE(N518:N519))</f>
        <v/>
      </c>
      <c r="P518" s="22"/>
      <c r="Q518" s="285" t="str">
        <f t="shared" ref="Q518" si="803">IF(COUNT(P518:P519)&lt;1,"",AVERAGE(P518:P519))</f>
        <v/>
      </c>
      <c r="R518" s="278" t="str">
        <f>IF($X$13="/28",IF(COUNT(P518:P519)&lt;=1,"",ABS(P518-P519)),IF($X$13="/90",IF(COUNT(#REF!)&lt;=1,"",ABS(#REF!-#REF!))))</f>
        <v/>
      </c>
      <c r="S518" s="278" t="str">
        <f>IF($X$13="/28",IF(Q518="","",IF(AVERAGE(Q514:Q519)&gt;=$W$13,ROUND(AVERAGE(Q514:Q519),1)&amp;" ≥ "&amp;$W$13&amp;" OK",ROUND(AVERAGE(Q514:Q519),1)&amp;" &lt; "&amp;$W$13&amp;" NC")),IF($X$13="/90",IF(#REF!="","",IF(AVERAGE(#REF!)&gt;=$W$13,ROUND(AVERAGE(#REF!),1)&amp;" ≥ "&amp;$W$13&amp;" OK",ROUND(AVERAGE(#REF!),1)&amp;" &lt; "&amp;$W$13&amp;" NC"))))</f>
        <v/>
      </c>
      <c r="T518" s="278" t="str">
        <f>IF($X$13="/28",IF(Q518="","",IF(Q518&gt;=$W$13-$S$12,ROUND((Q518),1)&amp;" ≥ "&amp;$W$13-$S$12&amp;" OK",ROUND((Q518),1)&amp;" &lt; "&amp;$W$13-$S$12&amp;" NC")),IF($X$13="/90",IF(#REF!="","",IF(#REF!&gt;=$W$13-$S$12,ROUND((#REF!),1)&amp;" ≥ "&amp;$W$13-$S$12&amp;" OK",ROUND((#REF!),1)&amp;" &lt; "&amp;$W$13-$S$12&amp;" NC"))))</f>
        <v/>
      </c>
      <c r="U518" s="14"/>
      <c r="V518" s="279"/>
      <c r="W518" s="280"/>
      <c r="X518" s="281"/>
      <c r="Y518" s="246"/>
      <c r="Z518" s="246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BP518" s="390" t="str">
        <f>IF($X$13="/28",IF(Q518="","",Q518),IF($X$13="/90",IF(#REF!="","",#REF!),"Falso"))</f>
        <v/>
      </c>
      <c r="BQ518" s="392" t="str">
        <f t="shared" si="766"/>
        <v/>
      </c>
      <c r="BS518" s="50" t="str">
        <f>Q1018</f>
        <v/>
      </c>
      <c r="BT518" s="50" t="e">
        <f>#REF!</f>
        <v>#REF!</v>
      </c>
      <c r="BU518" s="39" t="str">
        <f t="shared" si="731"/>
        <v/>
      </c>
      <c r="BV518" s="39" t="str">
        <f t="shared" si="724"/>
        <v/>
      </c>
    </row>
    <row r="519" spans="1:74" ht="14.25" customHeight="1" x14ac:dyDescent="0.35">
      <c r="A519" s="294"/>
      <c r="B519" s="296"/>
      <c r="C519" s="298"/>
      <c r="D519" s="300"/>
      <c r="E519" s="302"/>
      <c r="F519" s="304"/>
      <c r="G519" s="276"/>
      <c r="H519" s="277"/>
      <c r="I519" s="290"/>
      <c r="J519" s="290"/>
      <c r="K519" s="291"/>
      <c r="L519" s="17"/>
      <c r="M519" s="286"/>
      <c r="N519" s="21"/>
      <c r="O519" s="286"/>
      <c r="P519" s="21"/>
      <c r="Q519" s="286"/>
      <c r="R519" s="248"/>
      <c r="S519" s="287"/>
      <c r="T519" s="248"/>
      <c r="U519" s="13"/>
      <c r="V519" s="282"/>
      <c r="W519" s="283"/>
      <c r="X519" s="284"/>
      <c r="Y519" s="245"/>
      <c r="Z519" s="245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BP519" s="391"/>
      <c r="BQ519" s="393"/>
      <c r="BS519" s="50" t="str">
        <f>Q1020</f>
        <v/>
      </c>
      <c r="BT519" s="50" t="e">
        <f>#REF!</f>
        <v>#REF!</v>
      </c>
      <c r="BU519" s="39" t="str">
        <f t="shared" si="731"/>
        <v/>
      </c>
      <c r="BV519" s="39" t="str">
        <f t="shared" si="724"/>
        <v/>
      </c>
    </row>
    <row r="520" spans="1:74" ht="14.25" customHeight="1" x14ac:dyDescent="0.35">
      <c r="A520" s="293">
        <v>252</v>
      </c>
      <c r="B520" s="295"/>
      <c r="C520" s="297"/>
      <c r="D520" s="299"/>
      <c r="E520" s="301"/>
      <c r="F520" s="303"/>
      <c r="G520" s="288"/>
      <c r="H520" s="289"/>
      <c r="I520" s="290"/>
      <c r="J520" s="290"/>
      <c r="K520" s="291"/>
      <c r="L520" s="18"/>
      <c r="M520" s="285" t="str">
        <f t="shared" ref="M520" si="804">IF(COUNT(L520:L521)&lt;1,"",AVERAGE(L520:L521))</f>
        <v/>
      </c>
      <c r="N520" s="22"/>
      <c r="O520" s="285" t="str">
        <f t="shared" ref="O520" si="805">IF(COUNT(N520:N521)&lt;1,"",AVERAGE(N520:N521))</f>
        <v/>
      </c>
      <c r="P520" s="22"/>
      <c r="Q520" s="285" t="str">
        <f t="shared" ref="Q520" si="806">IF(COUNT(P520:P521)&lt;1,"",AVERAGE(P520:P521))</f>
        <v/>
      </c>
      <c r="R520" s="278" t="str">
        <f>IF($X$13="/28",IF(COUNT(P520:P521)&lt;=1,"",ABS(P520-P521)),IF($X$13="/90",IF(COUNT(#REF!)&lt;=1,"",ABS(#REF!-#REF!))))</f>
        <v/>
      </c>
      <c r="S520" s="278" t="str">
        <f>IF($X$13="/28",IF(Q520="","",IF(AVERAGE(Q516:Q521)&gt;=$W$13,ROUND(AVERAGE(Q516:Q521),1)&amp;" ≥ "&amp;$W$13&amp;" OK",ROUND(AVERAGE(Q516:Q521),1)&amp;" &lt; "&amp;$W$13&amp;" NC")),IF($X$13="/90",IF(#REF!="","",IF(AVERAGE(#REF!)&gt;=$W$13,ROUND(AVERAGE(#REF!),1)&amp;" ≥ "&amp;$W$13&amp;" OK",ROUND(AVERAGE(#REF!),1)&amp;" &lt; "&amp;$W$13&amp;" NC"))))</f>
        <v/>
      </c>
      <c r="T520" s="278" t="str">
        <f>IF($X$13="/28",IF(Q520="","",IF(Q520&gt;=$W$13-$S$12,ROUND((Q520),1)&amp;" ≥ "&amp;$W$13-$S$12&amp;" OK",ROUND((Q520),1)&amp;" &lt; "&amp;$W$13-$S$12&amp;" NC")),IF($X$13="/90",IF(#REF!="","",IF(#REF!&gt;=$W$13-$S$12,ROUND((#REF!),1)&amp;" ≥ "&amp;$W$13-$S$12&amp;" OK",ROUND((#REF!),1)&amp;" &lt; "&amp;$W$13-$S$12&amp;" NC"))))</f>
        <v/>
      </c>
      <c r="U520" s="14"/>
      <c r="V520" s="279"/>
      <c r="W520" s="280"/>
      <c r="X520" s="281"/>
      <c r="Y520" s="246"/>
      <c r="Z520" s="246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BP520" s="390" t="str">
        <f>IF($X$13="/28",IF(Q520="","",Q520),IF($X$13="/90",IF(#REF!="","",#REF!),"Falso"))</f>
        <v/>
      </c>
      <c r="BQ520" s="392" t="str">
        <f t="shared" si="770"/>
        <v/>
      </c>
      <c r="BS520" s="50" t="str">
        <f>Q1022</f>
        <v/>
      </c>
      <c r="BT520" s="50" t="e">
        <f>#REF!</f>
        <v>#REF!</v>
      </c>
      <c r="BU520" s="39" t="str">
        <f t="shared" si="731"/>
        <v/>
      </c>
      <c r="BV520" s="39" t="str">
        <f t="shared" si="724"/>
        <v/>
      </c>
    </row>
    <row r="521" spans="1:74" ht="14.25" customHeight="1" x14ac:dyDescent="0.35">
      <c r="A521" s="294"/>
      <c r="B521" s="296"/>
      <c r="C521" s="298"/>
      <c r="D521" s="300"/>
      <c r="E521" s="302"/>
      <c r="F521" s="304"/>
      <c r="G521" s="276"/>
      <c r="H521" s="277"/>
      <c r="I521" s="290"/>
      <c r="J521" s="290"/>
      <c r="K521" s="291"/>
      <c r="L521" s="17"/>
      <c r="M521" s="286"/>
      <c r="N521" s="21"/>
      <c r="O521" s="286"/>
      <c r="P521" s="21"/>
      <c r="Q521" s="286"/>
      <c r="R521" s="248"/>
      <c r="S521" s="287"/>
      <c r="T521" s="248"/>
      <c r="U521" s="13"/>
      <c r="V521" s="282"/>
      <c r="W521" s="283"/>
      <c r="X521" s="284"/>
      <c r="Y521" s="245"/>
      <c r="Z521" s="245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BP521" s="391"/>
      <c r="BQ521" s="393"/>
      <c r="BS521" s="50" t="str">
        <f>Q1024</f>
        <v/>
      </c>
      <c r="BT521" s="50" t="e">
        <f>#REF!</f>
        <v>#REF!</v>
      </c>
      <c r="BU521" s="39" t="str">
        <f t="shared" si="731"/>
        <v/>
      </c>
      <c r="BV521" s="39" t="str">
        <f t="shared" si="724"/>
        <v/>
      </c>
    </row>
    <row r="522" spans="1:74" ht="14.25" customHeight="1" x14ac:dyDescent="0.35">
      <c r="A522" s="293">
        <v>253</v>
      </c>
      <c r="B522" s="295"/>
      <c r="C522" s="297"/>
      <c r="D522" s="299"/>
      <c r="E522" s="301"/>
      <c r="F522" s="303"/>
      <c r="G522" s="288"/>
      <c r="H522" s="289"/>
      <c r="I522" s="290"/>
      <c r="J522" s="290"/>
      <c r="K522" s="291"/>
      <c r="L522" s="18"/>
      <c r="M522" s="285" t="str">
        <f t="shared" ref="M522" si="807">IF(COUNT(L522:L523)&lt;1,"",AVERAGE(L522:L523))</f>
        <v/>
      </c>
      <c r="N522" s="22"/>
      <c r="O522" s="285" t="str">
        <f t="shared" ref="O522" si="808">IF(COUNT(N522:N523)&lt;1,"",AVERAGE(N522:N523))</f>
        <v/>
      </c>
      <c r="P522" s="22"/>
      <c r="Q522" s="285" t="str">
        <f t="shared" ref="Q522" si="809">IF(COUNT(P522:P523)&lt;1,"",AVERAGE(P522:P523))</f>
        <v/>
      </c>
      <c r="R522" s="278" t="str">
        <f>IF($X$13="/28",IF(COUNT(P522:P523)&lt;=1,"",ABS(P522-P523)),IF($X$13="/90",IF(COUNT(#REF!)&lt;=1,"",ABS(#REF!-#REF!))))</f>
        <v/>
      </c>
      <c r="S522" s="278" t="str">
        <f>IF($X$13="/28",IF(Q522="","",IF(AVERAGE(Q518:Q523)&gt;=$W$13,ROUND(AVERAGE(Q518:Q523),1)&amp;" ≥ "&amp;$W$13&amp;" OK",ROUND(AVERAGE(Q518:Q523),1)&amp;" &lt; "&amp;$W$13&amp;" NC")),IF($X$13="/90",IF(#REF!="","",IF(AVERAGE(#REF!)&gt;=$W$13,ROUND(AVERAGE(#REF!),1)&amp;" ≥ "&amp;$W$13&amp;" OK",ROUND(AVERAGE(#REF!),1)&amp;" &lt; "&amp;$W$13&amp;" NC"))))</f>
        <v/>
      </c>
      <c r="T522" s="278" t="str">
        <f>IF($X$13="/28",IF(Q522="","",IF(Q522&gt;=$W$13-$S$12,ROUND((Q522),1)&amp;" ≥ "&amp;$W$13-$S$12&amp;" OK",ROUND((Q522),1)&amp;" &lt; "&amp;$W$13-$S$12&amp;" NC")),IF($X$13="/90",IF(#REF!="","",IF(#REF!&gt;=$W$13-$S$12,ROUND((#REF!),1)&amp;" ≥ "&amp;$W$13-$S$12&amp;" OK",ROUND((#REF!),1)&amp;" &lt; "&amp;$W$13-$S$12&amp;" NC"))))</f>
        <v/>
      </c>
      <c r="U522" s="14"/>
      <c r="V522" s="279"/>
      <c r="W522" s="280"/>
      <c r="X522" s="281"/>
      <c r="Y522" s="246"/>
      <c r="Z522" s="246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BP522" s="390" t="str">
        <f>IF($X$13="/28",IF(Q522="","",Q522),IF($X$13="/90",IF(#REF!="","",#REF!),"Falso"))</f>
        <v/>
      </c>
      <c r="BQ522" s="392" t="str">
        <f t="shared" si="762"/>
        <v/>
      </c>
      <c r="BS522" s="50" t="str">
        <f>Q1026</f>
        <v/>
      </c>
      <c r="BT522" s="50" t="e">
        <f>#REF!</f>
        <v>#REF!</v>
      </c>
      <c r="BU522" s="39" t="str">
        <f t="shared" si="731"/>
        <v/>
      </c>
      <c r="BV522" s="39" t="str">
        <f t="shared" si="724"/>
        <v/>
      </c>
    </row>
    <row r="523" spans="1:74" ht="14.25" customHeight="1" x14ac:dyDescent="0.35">
      <c r="A523" s="294"/>
      <c r="B523" s="296"/>
      <c r="C523" s="298"/>
      <c r="D523" s="300"/>
      <c r="E523" s="302"/>
      <c r="F523" s="304"/>
      <c r="G523" s="276"/>
      <c r="H523" s="277"/>
      <c r="I523" s="290"/>
      <c r="J523" s="290"/>
      <c r="K523" s="291"/>
      <c r="L523" s="17"/>
      <c r="M523" s="286"/>
      <c r="N523" s="21"/>
      <c r="O523" s="286"/>
      <c r="P523" s="21"/>
      <c r="Q523" s="286"/>
      <c r="R523" s="248"/>
      <c r="S523" s="287"/>
      <c r="T523" s="248"/>
      <c r="U523" s="13"/>
      <c r="V523" s="282"/>
      <c r="W523" s="283"/>
      <c r="X523" s="284"/>
      <c r="Y523" s="245"/>
      <c r="Z523" s="245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BP523" s="391"/>
      <c r="BQ523" s="393"/>
      <c r="BS523" s="50" t="str">
        <f>Q1028</f>
        <v/>
      </c>
      <c r="BT523" s="50" t="e">
        <f>#REF!</f>
        <v>#REF!</v>
      </c>
      <c r="BU523" s="39" t="str">
        <f t="shared" si="731"/>
        <v/>
      </c>
      <c r="BV523" s="39" t="str">
        <f t="shared" si="724"/>
        <v/>
      </c>
    </row>
    <row r="524" spans="1:74" ht="14.25" customHeight="1" x14ac:dyDescent="0.35">
      <c r="A524" s="293">
        <v>254</v>
      </c>
      <c r="B524" s="295"/>
      <c r="C524" s="297"/>
      <c r="D524" s="299"/>
      <c r="E524" s="301"/>
      <c r="F524" s="303"/>
      <c r="G524" s="288"/>
      <c r="H524" s="289"/>
      <c r="I524" s="290"/>
      <c r="J524" s="290"/>
      <c r="K524" s="291"/>
      <c r="L524" s="18"/>
      <c r="M524" s="285" t="str">
        <f t="shared" ref="M524" si="810">IF(COUNT(L524:L525)&lt;1,"",AVERAGE(L524:L525))</f>
        <v/>
      </c>
      <c r="N524" s="22"/>
      <c r="O524" s="285" t="str">
        <f t="shared" ref="O524" si="811">IF(COUNT(N524:N525)&lt;1,"",AVERAGE(N524:N525))</f>
        <v/>
      </c>
      <c r="P524" s="22"/>
      <c r="Q524" s="285" t="str">
        <f t="shared" ref="Q524" si="812">IF(COUNT(P524:P525)&lt;1,"",AVERAGE(P524:P525))</f>
        <v/>
      </c>
      <c r="R524" s="278" t="str">
        <f>IF($X$13="/28",IF(COUNT(P524:P525)&lt;=1,"",ABS(P524-P525)),IF($X$13="/90",IF(COUNT(#REF!)&lt;=1,"",ABS(#REF!-#REF!))))</f>
        <v/>
      </c>
      <c r="S524" s="278" t="str">
        <f>IF($X$13="/28",IF(Q524="","",IF(AVERAGE(Q520:Q525)&gt;=$W$13,ROUND(AVERAGE(Q520:Q525),1)&amp;" ≥ "&amp;$W$13&amp;" OK",ROUND(AVERAGE(Q520:Q525),1)&amp;" &lt; "&amp;$W$13&amp;" NC")),IF($X$13="/90",IF(#REF!="","",IF(AVERAGE(#REF!)&gt;=$W$13,ROUND(AVERAGE(#REF!),1)&amp;" ≥ "&amp;$W$13&amp;" OK",ROUND(AVERAGE(#REF!),1)&amp;" &lt; "&amp;$W$13&amp;" NC"))))</f>
        <v/>
      </c>
      <c r="T524" s="278" t="str">
        <f>IF($X$13="/28",IF(Q524="","",IF(Q524&gt;=$W$13-$S$12,ROUND((Q524),1)&amp;" ≥ "&amp;$W$13-$S$12&amp;" OK",ROUND((Q524),1)&amp;" &lt; "&amp;$W$13-$S$12&amp;" NC")),IF($X$13="/90",IF(#REF!="","",IF(#REF!&gt;=$W$13-$S$12,ROUND((#REF!),1)&amp;" ≥ "&amp;$W$13-$S$12&amp;" OK",ROUND((#REF!),1)&amp;" &lt; "&amp;$W$13-$S$12&amp;" NC"))))</f>
        <v/>
      </c>
      <c r="U524" s="14"/>
      <c r="V524" s="279"/>
      <c r="W524" s="280"/>
      <c r="X524" s="281"/>
      <c r="Y524" s="246"/>
      <c r="Z524" s="246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BP524" s="390" t="str">
        <f>IF($X$13="/28",IF(Q524="","",Q524),IF($X$13="/90",IF(#REF!="","",#REF!),"Falso"))</f>
        <v/>
      </c>
      <c r="BQ524" s="392" t="str">
        <f t="shared" si="766"/>
        <v/>
      </c>
      <c r="BS524" s="50" t="str">
        <f>Q1030</f>
        <v/>
      </c>
      <c r="BT524" s="50" t="e">
        <f>#REF!</f>
        <v>#REF!</v>
      </c>
      <c r="BU524" s="39" t="str">
        <f t="shared" si="731"/>
        <v/>
      </c>
      <c r="BV524" s="39" t="str">
        <f t="shared" si="724"/>
        <v/>
      </c>
    </row>
    <row r="525" spans="1:74" ht="14.25" customHeight="1" x14ac:dyDescent="0.35">
      <c r="A525" s="294"/>
      <c r="B525" s="296"/>
      <c r="C525" s="298"/>
      <c r="D525" s="300"/>
      <c r="E525" s="302"/>
      <c r="F525" s="304"/>
      <c r="G525" s="276"/>
      <c r="H525" s="277"/>
      <c r="I525" s="290"/>
      <c r="J525" s="290"/>
      <c r="K525" s="291"/>
      <c r="L525" s="17"/>
      <c r="M525" s="286"/>
      <c r="N525" s="21"/>
      <c r="O525" s="286"/>
      <c r="P525" s="21"/>
      <c r="Q525" s="286"/>
      <c r="R525" s="248"/>
      <c r="S525" s="287"/>
      <c r="T525" s="248"/>
      <c r="U525" s="13"/>
      <c r="V525" s="282"/>
      <c r="W525" s="283"/>
      <c r="X525" s="284"/>
      <c r="Y525" s="245"/>
      <c r="Z525" s="245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BP525" s="391"/>
      <c r="BQ525" s="393"/>
      <c r="BS525" s="50" t="str">
        <f>Q1032</f>
        <v/>
      </c>
      <c r="BT525" s="50" t="e">
        <f>#REF!</f>
        <v>#REF!</v>
      </c>
      <c r="BU525" s="39" t="str">
        <f t="shared" si="731"/>
        <v/>
      </c>
      <c r="BV525" s="39" t="str">
        <f t="shared" si="724"/>
        <v/>
      </c>
    </row>
    <row r="526" spans="1:74" ht="14.25" customHeight="1" x14ac:dyDescent="0.35">
      <c r="A526" s="293">
        <v>255</v>
      </c>
      <c r="B526" s="295"/>
      <c r="C526" s="297"/>
      <c r="D526" s="299"/>
      <c r="E526" s="301"/>
      <c r="F526" s="303"/>
      <c r="G526" s="288"/>
      <c r="H526" s="289"/>
      <c r="I526" s="290"/>
      <c r="J526" s="290"/>
      <c r="K526" s="291"/>
      <c r="L526" s="18"/>
      <c r="M526" s="285" t="str">
        <f t="shared" ref="M526" si="813">IF(COUNT(L526:L527)&lt;1,"",AVERAGE(L526:L527))</f>
        <v/>
      </c>
      <c r="N526" s="22"/>
      <c r="O526" s="285" t="str">
        <f t="shared" ref="O526" si="814">IF(COUNT(N526:N527)&lt;1,"",AVERAGE(N526:N527))</f>
        <v/>
      </c>
      <c r="P526" s="22"/>
      <c r="Q526" s="285" t="str">
        <f t="shared" ref="Q526" si="815">IF(COUNT(P526:P527)&lt;1,"",AVERAGE(P526:P527))</f>
        <v/>
      </c>
      <c r="R526" s="278" t="str">
        <f>IF($X$13="/28",IF(COUNT(P526:P527)&lt;=1,"",ABS(P526-P527)),IF($X$13="/90",IF(COUNT(#REF!)&lt;=1,"",ABS(#REF!-#REF!))))</f>
        <v/>
      </c>
      <c r="S526" s="278" t="str">
        <f>IF($X$13="/28",IF(Q526="","",IF(AVERAGE(Q522:Q527)&gt;=$W$13,ROUND(AVERAGE(Q522:Q527),1)&amp;" ≥ "&amp;$W$13&amp;" OK",ROUND(AVERAGE(Q522:Q527),1)&amp;" &lt; "&amp;$W$13&amp;" NC")),IF($X$13="/90",IF(#REF!="","",IF(AVERAGE(#REF!)&gt;=$W$13,ROUND(AVERAGE(#REF!),1)&amp;" ≥ "&amp;$W$13&amp;" OK",ROUND(AVERAGE(#REF!),1)&amp;" &lt; "&amp;$W$13&amp;" NC"))))</f>
        <v/>
      </c>
      <c r="T526" s="278" t="str">
        <f>IF($X$13="/28",IF(Q526="","",IF(Q526&gt;=$W$13-$S$12,ROUND((Q526),1)&amp;" ≥ "&amp;$W$13-$S$12&amp;" OK",ROUND((Q526),1)&amp;" &lt; "&amp;$W$13-$S$12&amp;" NC")),IF($X$13="/90",IF(#REF!="","",IF(#REF!&gt;=$W$13-$S$12,ROUND((#REF!),1)&amp;" ≥ "&amp;$W$13-$S$12&amp;" OK",ROUND((#REF!),1)&amp;" &lt; "&amp;$W$13-$S$12&amp;" NC"))))</f>
        <v/>
      </c>
      <c r="U526" s="14"/>
      <c r="V526" s="279"/>
      <c r="W526" s="280"/>
      <c r="X526" s="281"/>
      <c r="Y526" s="246"/>
      <c r="Z526" s="246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BP526" s="390" t="str">
        <f>IF($X$13="/28",IF(Q526="","",Q526),IF($X$13="/90",IF(#REF!="","",#REF!),"Falso"))</f>
        <v/>
      </c>
      <c r="BQ526" s="392" t="str">
        <f t="shared" si="770"/>
        <v/>
      </c>
      <c r="BS526" s="50" t="str">
        <f>Q1034</f>
        <v/>
      </c>
      <c r="BT526" s="50" t="e">
        <f>#REF!</f>
        <v>#REF!</v>
      </c>
      <c r="BU526" s="39" t="str">
        <f t="shared" si="731"/>
        <v/>
      </c>
      <c r="BV526" s="39" t="str">
        <f t="shared" si="724"/>
        <v/>
      </c>
    </row>
    <row r="527" spans="1:74" ht="14.25" customHeight="1" x14ac:dyDescent="0.35">
      <c r="A527" s="294"/>
      <c r="B527" s="296"/>
      <c r="C527" s="298"/>
      <c r="D527" s="300"/>
      <c r="E527" s="302"/>
      <c r="F527" s="304"/>
      <c r="G527" s="276"/>
      <c r="H527" s="277"/>
      <c r="I527" s="290"/>
      <c r="J527" s="290"/>
      <c r="K527" s="291"/>
      <c r="L527" s="17"/>
      <c r="M527" s="286"/>
      <c r="N527" s="21"/>
      <c r="O527" s="286"/>
      <c r="P527" s="21"/>
      <c r="Q527" s="286"/>
      <c r="R527" s="248"/>
      <c r="S527" s="287"/>
      <c r="T527" s="248"/>
      <c r="U527" s="13"/>
      <c r="V527" s="282"/>
      <c r="W527" s="283"/>
      <c r="X527" s="284"/>
      <c r="Y527" s="245"/>
      <c r="Z527" s="245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BP527" s="391"/>
      <c r="BQ527" s="393"/>
      <c r="BS527" s="50" t="str">
        <f>Q1036</f>
        <v/>
      </c>
      <c r="BT527" s="50" t="e">
        <f>#REF!</f>
        <v>#REF!</v>
      </c>
      <c r="BU527" s="39" t="str">
        <f t="shared" si="731"/>
        <v/>
      </c>
      <c r="BV527" s="39" t="str">
        <f t="shared" si="724"/>
        <v/>
      </c>
    </row>
    <row r="528" spans="1:74" ht="14.25" customHeight="1" x14ac:dyDescent="0.35">
      <c r="A528" s="293">
        <v>256</v>
      </c>
      <c r="B528" s="295"/>
      <c r="C528" s="297"/>
      <c r="D528" s="299"/>
      <c r="E528" s="301"/>
      <c r="F528" s="303"/>
      <c r="G528" s="288"/>
      <c r="H528" s="289"/>
      <c r="I528" s="290"/>
      <c r="J528" s="290"/>
      <c r="K528" s="291"/>
      <c r="L528" s="18"/>
      <c r="M528" s="285" t="str">
        <f t="shared" ref="M528" si="816">IF(COUNT(L528:L529)&lt;1,"",AVERAGE(L528:L529))</f>
        <v/>
      </c>
      <c r="N528" s="22"/>
      <c r="O528" s="285" t="str">
        <f t="shared" ref="O528" si="817">IF(COUNT(N528:N529)&lt;1,"",AVERAGE(N528:N529))</f>
        <v/>
      </c>
      <c r="P528" s="22"/>
      <c r="Q528" s="285" t="str">
        <f t="shared" ref="Q528" si="818">IF(COUNT(P528:P529)&lt;1,"",AVERAGE(P528:P529))</f>
        <v/>
      </c>
      <c r="R528" s="278" t="str">
        <f>IF($X$13="/28",IF(COUNT(P528:P529)&lt;=1,"",ABS(P528-P529)),IF($X$13="/90",IF(COUNT(#REF!)&lt;=1,"",ABS(#REF!-#REF!))))</f>
        <v/>
      </c>
      <c r="S528" s="278" t="str">
        <f>IF($X$13="/28",IF(Q528="","",IF(AVERAGE(Q524:Q529)&gt;=$W$13,ROUND(AVERAGE(Q524:Q529),1)&amp;" ≥ "&amp;$W$13&amp;" OK",ROUND(AVERAGE(Q524:Q529),1)&amp;" &lt; "&amp;$W$13&amp;" NC")),IF($X$13="/90",IF(#REF!="","",IF(AVERAGE(#REF!)&gt;=$W$13,ROUND(AVERAGE(#REF!),1)&amp;" ≥ "&amp;$W$13&amp;" OK",ROUND(AVERAGE(#REF!),1)&amp;" &lt; "&amp;$W$13&amp;" NC"))))</f>
        <v/>
      </c>
      <c r="T528" s="278" t="str">
        <f>IF($X$13="/28",IF(Q528="","",IF(Q528&gt;=$W$13-$S$12,ROUND((Q528),1)&amp;" ≥ "&amp;$W$13-$S$12&amp;" OK",ROUND((Q528),1)&amp;" &lt; "&amp;$W$13-$S$12&amp;" NC")),IF($X$13="/90",IF(#REF!="","",IF(#REF!&gt;=$W$13-$S$12,ROUND((#REF!),1)&amp;" ≥ "&amp;$W$13-$S$12&amp;" OK",ROUND((#REF!),1)&amp;" &lt; "&amp;$W$13-$S$12&amp;" NC"))))</f>
        <v/>
      </c>
      <c r="U528" s="14"/>
      <c r="V528" s="279"/>
      <c r="W528" s="280"/>
      <c r="X528" s="281"/>
      <c r="Y528" s="246"/>
      <c r="Z528" s="246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BP528" s="390" t="str">
        <f>IF($X$13="/28",IF(Q528="","",Q528),IF($X$13="/90",IF(#REF!="","",#REF!),"Falso"))</f>
        <v/>
      </c>
      <c r="BQ528" s="392" t="str">
        <f t="shared" si="762"/>
        <v/>
      </c>
      <c r="BS528" s="50" t="str">
        <f>Q1038</f>
        <v/>
      </c>
      <c r="BT528" s="50" t="e">
        <f>#REF!</f>
        <v>#REF!</v>
      </c>
      <c r="BU528" s="39" t="str">
        <f t="shared" si="731"/>
        <v/>
      </c>
      <c r="BV528" s="39" t="str">
        <f t="shared" si="724"/>
        <v/>
      </c>
    </row>
    <row r="529" spans="1:74" ht="14.25" customHeight="1" x14ac:dyDescent="0.35">
      <c r="A529" s="294"/>
      <c r="B529" s="296"/>
      <c r="C529" s="298"/>
      <c r="D529" s="300"/>
      <c r="E529" s="302"/>
      <c r="F529" s="304"/>
      <c r="G529" s="276"/>
      <c r="H529" s="277"/>
      <c r="I529" s="290"/>
      <c r="J529" s="290"/>
      <c r="K529" s="291"/>
      <c r="L529" s="17"/>
      <c r="M529" s="286"/>
      <c r="N529" s="21"/>
      <c r="O529" s="286"/>
      <c r="P529" s="21"/>
      <c r="Q529" s="286"/>
      <c r="R529" s="248"/>
      <c r="S529" s="287"/>
      <c r="T529" s="248"/>
      <c r="U529" s="13"/>
      <c r="V529" s="282"/>
      <c r="W529" s="283"/>
      <c r="X529" s="284"/>
      <c r="Y529" s="245"/>
      <c r="Z529" s="245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BP529" s="391"/>
      <c r="BQ529" s="393"/>
      <c r="BS529" s="50" t="str">
        <f>Q1040</f>
        <v/>
      </c>
      <c r="BT529" s="50" t="e">
        <f>#REF!</f>
        <v>#REF!</v>
      </c>
      <c r="BU529" s="39" t="str">
        <f t="shared" si="731"/>
        <v/>
      </c>
      <c r="BV529" s="39" t="str">
        <f t="shared" si="724"/>
        <v/>
      </c>
    </row>
    <row r="530" spans="1:74" ht="14.25" customHeight="1" x14ac:dyDescent="0.35">
      <c r="A530" s="293">
        <v>257</v>
      </c>
      <c r="B530" s="295"/>
      <c r="C530" s="297"/>
      <c r="D530" s="299"/>
      <c r="E530" s="301"/>
      <c r="F530" s="303"/>
      <c r="G530" s="288"/>
      <c r="H530" s="289"/>
      <c r="I530" s="290"/>
      <c r="J530" s="290"/>
      <c r="K530" s="291"/>
      <c r="L530" s="18"/>
      <c r="M530" s="285" t="str">
        <f t="shared" ref="M530" si="819">IF(COUNT(L530:L531)&lt;1,"",AVERAGE(L530:L531))</f>
        <v/>
      </c>
      <c r="N530" s="22"/>
      <c r="O530" s="285" t="str">
        <f t="shared" ref="O530" si="820">IF(COUNT(N530:N531)&lt;1,"",AVERAGE(N530:N531))</f>
        <v/>
      </c>
      <c r="P530" s="22"/>
      <c r="Q530" s="285" t="str">
        <f t="shared" ref="Q530" si="821">IF(COUNT(P530:P531)&lt;1,"",AVERAGE(P530:P531))</f>
        <v/>
      </c>
      <c r="R530" s="278" t="str">
        <f>IF($X$13="/28",IF(COUNT(P530:P531)&lt;=1,"",ABS(P530-P531)),IF($X$13="/90",IF(COUNT(#REF!)&lt;=1,"",ABS(#REF!-#REF!))))</f>
        <v/>
      </c>
      <c r="S530" s="278" t="str">
        <f>IF($X$13="/28",IF(Q530="","",IF(AVERAGE(Q526:Q531)&gt;=$W$13,ROUND(AVERAGE(Q526:Q531),1)&amp;" ≥ "&amp;$W$13&amp;" OK",ROUND(AVERAGE(Q526:Q531),1)&amp;" &lt; "&amp;$W$13&amp;" NC")),IF($X$13="/90",IF(#REF!="","",IF(AVERAGE(#REF!)&gt;=$W$13,ROUND(AVERAGE(#REF!),1)&amp;" ≥ "&amp;$W$13&amp;" OK",ROUND(AVERAGE(#REF!),1)&amp;" &lt; "&amp;$W$13&amp;" NC"))))</f>
        <v/>
      </c>
      <c r="T530" s="278" t="str">
        <f>IF($X$13="/28",IF(Q530="","",IF(Q530&gt;=$W$13-$S$12,ROUND((Q530),1)&amp;" ≥ "&amp;$W$13-$S$12&amp;" OK",ROUND((Q530),1)&amp;" &lt; "&amp;$W$13-$S$12&amp;" NC")),IF($X$13="/90",IF(#REF!="","",IF(#REF!&gt;=$W$13-$S$12,ROUND((#REF!),1)&amp;" ≥ "&amp;$W$13-$S$12&amp;" OK",ROUND((#REF!),1)&amp;" &lt; "&amp;$W$13-$S$12&amp;" NC"))))</f>
        <v/>
      </c>
      <c r="U530" s="14"/>
      <c r="V530" s="279"/>
      <c r="W530" s="280"/>
      <c r="X530" s="281"/>
      <c r="Y530" s="246"/>
      <c r="Z530" s="246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BP530" s="390" t="str">
        <f>IF($X$13="/28",IF(Q530="","",Q530),IF($X$13="/90",IF(#REF!="","",#REF!),"Falso"))</f>
        <v/>
      </c>
      <c r="BQ530" s="392" t="str">
        <f t="shared" si="766"/>
        <v/>
      </c>
      <c r="BS530" s="50" t="str">
        <f>Q1042</f>
        <v/>
      </c>
      <c r="BT530" s="50" t="e">
        <f>#REF!</f>
        <v>#REF!</v>
      </c>
      <c r="BU530" s="39" t="str">
        <f t="shared" si="731"/>
        <v/>
      </c>
      <c r="BV530" s="39" t="str">
        <f t="shared" si="724"/>
        <v/>
      </c>
    </row>
    <row r="531" spans="1:74" ht="14.25" customHeight="1" x14ac:dyDescent="0.35">
      <c r="A531" s="294"/>
      <c r="B531" s="296"/>
      <c r="C531" s="298"/>
      <c r="D531" s="300"/>
      <c r="E531" s="302"/>
      <c r="F531" s="304"/>
      <c r="G531" s="276"/>
      <c r="H531" s="277"/>
      <c r="I531" s="290"/>
      <c r="J531" s="290"/>
      <c r="K531" s="291"/>
      <c r="L531" s="17"/>
      <c r="M531" s="286"/>
      <c r="N531" s="21"/>
      <c r="O531" s="286"/>
      <c r="P531" s="21"/>
      <c r="Q531" s="286"/>
      <c r="R531" s="248"/>
      <c r="S531" s="287"/>
      <c r="T531" s="248"/>
      <c r="U531" s="13"/>
      <c r="V531" s="282"/>
      <c r="W531" s="283"/>
      <c r="X531" s="284"/>
      <c r="Y531" s="245"/>
      <c r="Z531" s="245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BP531" s="391"/>
      <c r="BQ531" s="393"/>
      <c r="BS531" s="50" t="str">
        <f>Q1044</f>
        <v/>
      </c>
      <c r="BT531" s="50" t="e">
        <f>#REF!</f>
        <v>#REF!</v>
      </c>
      <c r="BU531" s="39" t="str">
        <f t="shared" si="731"/>
        <v/>
      </c>
      <c r="BV531" s="39" t="str">
        <f t="shared" si="724"/>
        <v/>
      </c>
    </row>
    <row r="532" spans="1:74" ht="14.25" customHeight="1" x14ac:dyDescent="0.35">
      <c r="A532" s="293">
        <v>258</v>
      </c>
      <c r="B532" s="295"/>
      <c r="C532" s="297"/>
      <c r="D532" s="299"/>
      <c r="E532" s="301"/>
      <c r="F532" s="303"/>
      <c r="G532" s="288"/>
      <c r="H532" s="289"/>
      <c r="I532" s="290"/>
      <c r="J532" s="290"/>
      <c r="K532" s="291"/>
      <c r="L532" s="18"/>
      <c r="M532" s="285" t="str">
        <f t="shared" ref="M532" si="822">IF(COUNT(L532:L533)&lt;1,"",AVERAGE(L532:L533))</f>
        <v/>
      </c>
      <c r="N532" s="22"/>
      <c r="O532" s="285" t="str">
        <f t="shared" ref="O532" si="823">IF(COUNT(N532:N533)&lt;1,"",AVERAGE(N532:N533))</f>
        <v/>
      </c>
      <c r="P532" s="22"/>
      <c r="Q532" s="285" t="str">
        <f t="shared" ref="Q532" si="824">IF(COUNT(P532:P533)&lt;1,"",AVERAGE(P532:P533))</f>
        <v/>
      </c>
      <c r="R532" s="278" t="str">
        <f>IF($X$13="/28",IF(COUNT(P532:P533)&lt;=1,"",ABS(P532-P533)),IF($X$13="/90",IF(COUNT(#REF!)&lt;=1,"",ABS(#REF!-#REF!))))</f>
        <v/>
      </c>
      <c r="S532" s="278" t="str">
        <f>IF($X$13="/28",IF(Q532="","",IF(AVERAGE(Q528:Q533)&gt;=$W$13,ROUND(AVERAGE(Q528:Q533),1)&amp;" ≥ "&amp;$W$13&amp;" OK",ROUND(AVERAGE(Q528:Q533),1)&amp;" &lt; "&amp;$W$13&amp;" NC")),IF($X$13="/90",IF(#REF!="","",IF(AVERAGE(#REF!)&gt;=$W$13,ROUND(AVERAGE(#REF!),1)&amp;" ≥ "&amp;$W$13&amp;" OK",ROUND(AVERAGE(#REF!),1)&amp;" &lt; "&amp;$W$13&amp;" NC"))))</f>
        <v/>
      </c>
      <c r="T532" s="278" t="str">
        <f>IF($X$13="/28",IF(Q532="","",IF(Q532&gt;=$W$13-$S$12,ROUND((Q532),1)&amp;" ≥ "&amp;$W$13-$S$12&amp;" OK",ROUND((Q532),1)&amp;" &lt; "&amp;$W$13-$S$12&amp;" NC")),IF($X$13="/90",IF(#REF!="","",IF(#REF!&gt;=$W$13-$S$12,ROUND((#REF!),1)&amp;" ≥ "&amp;$W$13-$S$12&amp;" OK",ROUND((#REF!),1)&amp;" &lt; "&amp;$W$13-$S$12&amp;" NC"))))</f>
        <v/>
      </c>
      <c r="U532" s="14"/>
      <c r="V532" s="279"/>
      <c r="W532" s="280"/>
      <c r="X532" s="281"/>
      <c r="Y532" s="246"/>
      <c r="Z532" s="246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BP532" s="390" t="str">
        <f>IF($X$13="/28",IF(Q532="","",Q532),IF($X$13="/90",IF(#REF!="","",#REF!),"Falso"))</f>
        <v/>
      </c>
      <c r="BQ532" s="392" t="str">
        <f t="shared" si="770"/>
        <v/>
      </c>
      <c r="BS532" s="50" t="str">
        <f>Q1046</f>
        <v/>
      </c>
      <c r="BT532" s="50" t="e">
        <f>#REF!</f>
        <v>#REF!</v>
      </c>
      <c r="BU532" s="39" t="str">
        <f t="shared" si="731"/>
        <v/>
      </c>
      <c r="BV532" s="39" t="str">
        <f t="shared" ref="BV532:BV595" si="825">IF(BU532="","",BV531+1)</f>
        <v/>
      </c>
    </row>
    <row r="533" spans="1:74" ht="14.25" customHeight="1" x14ac:dyDescent="0.35">
      <c r="A533" s="294"/>
      <c r="B533" s="296"/>
      <c r="C533" s="298"/>
      <c r="D533" s="300"/>
      <c r="E533" s="302"/>
      <c r="F533" s="304"/>
      <c r="G533" s="276"/>
      <c r="H533" s="277"/>
      <c r="I533" s="290"/>
      <c r="J533" s="290"/>
      <c r="K533" s="291"/>
      <c r="L533" s="17"/>
      <c r="M533" s="286"/>
      <c r="N533" s="21"/>
      <c r="O533" s="286"/>
      <c r="P533" s="21"/>
      <c r="Q533" s="286"/>
      <c r="R533" s="248"/>
      <c r="S533" s="287"/>
      <c r="T533" s="248"/>
      <c r="U533" s="13"/>
      <c r="V533" s="282"/>
      <c r="W533" s="283"/>
      <c r="X533" s="284"/>
      <c r="Y533" s="245"/>
      <c r="Z533" s="245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BP533" s="391"/>
      <c r="BQ533" s="393"/>
      <c r="BS533" s="50" t="str">
        <f>Q1048</f>
        <v/>
      </c>
      <c r="BT533" s="50" t="e">
        <f>#REF!</f>
        <v>#REF!</v>
      </c>
      <c r="BU533" s="39" t="str">
        <f t="shared" si="731"/>
        <v/>
      </c>
      <c r="BV533" s="39" t="str">
        <f t="shared" si="825"/>
        <v/>
      </c>
    </row>
    <row r="534" spans="1:74" ht="14.25" customHeight="1" x14ac:dyDescent="0.35">
      <c r="A534" s="293">
        <v>259</v>
      </c>
      <c r="B534" s="295"/>
      <c r="C534" s="297"/>
      <c r="D534" s="299"/>
      <c r="E534" s="301"/>
      <c r="F534" s="303"/>
      <c r="G534" s="288"/>
      <c r="H534" s="289"/>
      <c r="I534" s="290"/>
      <c r="J534" s="290"/>
      <c r="K534" s="291"/>
      <c r="L534" s="18"/>
      <c r="M534" s="285" t="str">
        <f t="shared" ref="M534" si="826">IF(COUNT(L534:L535)&lt;1,"",AVERAGE(L534:L535))</f>
        <v/>
      </c>
      <c r="N534" s="22"/>
      <c r="O534" s="285" t="str">
        <f t="shared" ref="O534" si="827">IF(COUNT(N534:N535)&lt;1,"",AVERAGE(N534:N535))</f>
        <v/>
      </c>
      <c r="P534" s="22"/>
      <c r="Q534" s="285" t="str">
        <f t="shared" ref="Q534" si="828">IF(COUNT(P534:P535)&lt;1,"",AVERAGE(P534:P535))</f>
        <v/>
      </c>
      <c r="R534" s="278" t="str">
        <f>IF($X$13="/28",IF(COUNT(P534:P535)&lt;=1,"",ABS(P534-P535)),IF($X$13="/90",IF(COUNT(#REF!)&lt;=1,"",ABS(#REF!-#REF!))))</f>
        <v/>
      </c>
      <c r="S534" s="278" t="str">
        <f>IF($X$13="/28",IF(Q534="","",IF(AVERAGE(Q530:Q535)&gt;=$W$13,ROUND(AVERAGE(Q530:Q535),1)&amp;" ≥ "&amp;$W$13&amp;" OK",ROUND(AVERAGE(Q530:Q535),1)&amp;" &lt; "&amp;$W$13&amp;" NC")),IF($X$13="/90",IF(#REF!="","",IF(AVERAGE(#REF!)&gt;=$W$13,ROUND(AVERAGE(#REF!),1)&amp;" ≥ "&amp;$W$13&amp;" OK",ROUND(AVERAGE(#REF!),1)&amp;" &lt; "&amp;$W$13&amp;" NC"))))</f>
        <v/>
      </c>
      <c r="T534" s="278" t="str">
        <f>IF($X$13="/28",IF(Q534="","",IF(Q534&gt;=$W$13-$S$12,ROUND((Q534),1)&amp;" ≥ "&amp;$W$13-$S$12&amp;" OK",ROUND((Q534),1)&amp;" &lt; "&amp;$W$13-$S$12&amp;" NC")),IF($X$13="/90",IF(#REF!="","",IF(#REF!&gt;=$W$13-$S$12,ROUND((#REF!),1)&amp;" ≥ "&amp;$W$13-$S$12&amp;" OK",ROUND((#REF!),1)&amp;" &lt; "&amp;$W$13-$S$12&amp;" NC"))))</f>
        <v/>
      </c>
      <c r="U534" s="14"/>
      <c r="V534" s="279"/>
      <c r="W534" s="280"/>
      <c r="X534" s="281"/>
      <c r="Y534" s="246"/>
      <c r="Z534" s="246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BP534" s="390" t="str">
        <f>IF($X$13="/28",IF(Q534="","",Q534),IF($X$13="/90",IF(#REF!="","",#REF!),"Falso"))</f>
        <v/>
      </c>
      <c r="BQ534" s="392" t="str">
        <f t="shared" si="762"/>
        <v/>
      </c>
      <c r="BS534" s="50" t="str">
        <f>Q1050</f>
        <v/>
      </c>
      <c r="BT534" s="50" t="e">
        <f>#REF!</f>
        <v>#REF!</v>
      </c>
      <c r="BU534" s="39" t="str">
        <f t="shared" si="731"/>
        <v/>
      </c>
      <c r="BV534" s="39" t="str">
        <f t="shared" si="825"/>
        <v/>
      </c>
    </row>
    <row r="535" spans="1:74" ht="14.25" customHeight="1" x14ac:dyDescent="0.35">
      <c r="A535" s="294"/>
      <c r="B535" s="296"/>
      <c r="C535" s="298"/>
      <c r="D535" s="300"/>
      <c r="E535" s="302"/>
      <c r="F535" s="304"/>
      <c r="G535" s="276"/>
      <c r="H535" s="277"/>
      <c r="I535" s="290"/>
      <c r="J535" s="290"/>
      <c r="K535" s="291"/>
      <c r="L535" s="17"/>
      <c r="M535" s="286"/>
      <c r="N535" s="21"/>
      <c r="O535" s="286"/>
      <c r="P535" s="21"/>
      <c r="Q535" s="286"/>
      <c r="R535" s="248"/>
      <c r="S535" s="287"/>
      <c r="T535" s="248"/>
      <c r="U535" s="13"/>
      <c r="V535" s="282"/>
      <c r="W535" s="283"/>
      <c r="X535" s="284"/>
      <c r="Y535" s="245"/>
      <c r="Z535" s="245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BP535" s="391"/>
      <c r="BQ535" s="393"/>
      <c r="BS535" s="50" t="str">
        <f>Q1052</f>
        <v/>
      </c>
      <c r="BT535" s="50" t="e">
        <f>#REF!</f>
        <v>#REF!</v>
      </c>
      <c r="BU535" s="39" t="str">
        <f t="shared" si="731"/>
        <v/>
      </c>
      <c r="BV535" s="39" t="str">
        <f t="shared" si="825"/>
        <v/>
      </c>
    </row>
    <row r="536" spans="1:74" ht="14.25" customHeight="1" x14ac:dyDescent="0.35">
      <c r="A536" s="293">
        <v>260</v>
      </c>
      <c r="B536" s="295"/>
      <c r="C536" s="297"/>
      <c r="D536" s="299"/>
      <c r="E536" s="301"/>
      <c r="F536" s="303"/>
      <c r="G536" s="288"/>
      <c r="H536" s="289"/>
      <c r="I536" s="290"/>
      <c r="J536" s="290"/>
      <c r="K536" s="291"/>
      <c r="L536" s="18"/>
      <c r="M536" s="285" t="str">
        <f t="shared" ref="M536" si="829">IF(COUNT(L536:L537)&lt;1,"",AVERAGE(L536:L537))</f>
        <v/>
      </c>
      <c r="N536" s="22"/>
      <c r="O536" s="285" t="str">
        <f t="shared" ref="O536" si="830">IF(COUNT(N536:N537)&lt;1,"",AVERAGE(N536:N537))</f>
        <v/>
      </c>
      <c r="P536" s="22"/>
      <c r="Q536" s="285" t="str">
        <f t="shared" ref="Q536" si="831">IF(COUNT(P536:P537)&lt;1,"",AVERAGE(P536:P537))</f>
        <v/>
      </c>
      <c r="R536" s="278" t="str">
        <f>IF($X$13="/28",IF(COUNT(P536:P537)&lt;=1,"",ABS(P536-P537)),IF($X$13="/90",IF(COUNT(#REF!)&lt;=1,"",ABS(#REF!-#REF!))))</f>
        <v/>
      </c>
      <c r="S536" s="278" t="str">
        <f>IF($X$13="/28",IF(Q536="","",IF(AVERAGE(Q532:Q537)&gt;=$W$13,ROUND(AVERAGE(Q532:Q537),1)&amp;" ≥ "&amp;$W$13&amp;" OK",ROUND(AVERAGE(Q532:Q537),1)&amp;" &lt; "&amp;$W$13&amp;" NC")),IF($X$13="/90",IF(#REF!="","",IF(AVERAGE(#REF!)&gt;=$W$13,ROUND(AVERAGE(#REF!),1)&amp;" ≥ "&amp;$W$13&amp;" OK",ROUND(AVERAGE(#REF!),1)&amp;" &lt; "&amp;$W$13&amp;" NC"))))</f>
        <v/>
      </c>
      <c r="T536" s="278" t="str">
        <f>IF($X$13="/28",IF(Q536="","",IF(Q536&gt;=$W$13-$S$12,ROUND((Q536),1)&amp;" ≥ "&amp;$W$13-$S$12&amp;" OK",ROUND((Q536),1)&amp;" &lt; "&amp;$W$13-$S$12&amp;" NC")),IF($X$13="/90",IF(#REF!="","",IF(#REF!&gt;=$W$13-$S$12,ROUND((#REF!),1)&amp;" ≥ "&amp;$W$13-$S$12&amp;" OK",ROUND((#REF!),1)&amp;" &lt; "&amp;$W$13-$S$12&amp;" NC"))))</f>
        <v/>
      </c>
      <c r="U536" s="14"/>
      <c r="V536" s="279"/>
      <c r="W536" s="280"/>
      <c r="X536" s="281"/>
      <c r="Y536" s="246"/>
      <c r="Z536" s="246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BP536" s="390" t="str">
        <f>IF($X$13="/28",IF(Q536="","",Q536),IF($X$13="/90",IF(#REF!="","",#REF!),"Falso"))</f>
        <v/>
      </c>
      <c r="BQ536" s="392" t="str">
        <f t="shared" si="766"/>
        <v/>
      </c>
      <c r="BS536" s="50" t="str">
        <f>Q1054</f>
        <v/>
      </c>
      <c r="BT536" s="50" t="e">
        <f>#REF!</f>
        <v>#REF!</v>
      </c>
      <c r="BU536" s="39" t="str">
        <f t="shared" ref="BU536:BU599" si="832">IF($X$13="/28",IF(BS536="","",BS536),IF($X$13="/90",IF(BT536="","",BT536),"Falso"))</f>
        <v/>
      </c>
      <c r="BV536" s="39" t="str">
        <f t="shared" si="825"/>
        <v/>
      </c>
    </row>
    <row r="537" spans="1:74" ht="14.25" customHeight="1" x14ac:dyDescent="0.35">
      <c r="A537" s="294"/>
      <c r="B537" s="296"/>
      <c r="C537" s="298"/>
      <c r="D537" s="300"/>
      <c r="E537" s="302"/>
      <c r="F537" s="304"/>
      <c r="G537" s="276"/>
      <c r="H537" s="277"/>
      <c r="I537" s="290"/>
      <c r="J537" s="290"/>
      <c r="K537" s="291"/>
      <c r="L537" s="17"/>
      <c r="M537" s="286"/>
      <c r="N537" s="21"/>
      <c r="O537" s="286"/>
      <c r="P537" s="21"/>
      <c r="Q537" s="286"/>
      <c r="R537" s="248"/>
      <c r="S537" s="287"/>
      <c r="T537" s="248"/>
      <c r="U537" s="13"/>
      <c r="V537" s="282"/>
      <c r="W537" s="283"/>
      <c r="X537" s="284"/>
      <c r="Y537" s="245"/>
      <c r="Z537" s="245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BP537" s="391"/>
      <c r="BQ537" s="393"/>
      <c r="BS537" s="50" t="str">
        <f>Q1056</f>
        <v/>
      </c>
      <c r="BT537" s="50" t="e">
        <f>#REF!</f>
        <v>#REF!</v>
      </c>
      <c r="BU537" s="39" t="str">
        <f t="shared" si="832"/>
        <v/>
      </c>
      <c r="BV537" s="39" t="str">
        <f t="shared" si="825"/>
        <v/>
      </c>
    </row>
    <row r="538" spans="1:74" ht="14.25" customHeight="1" x14ac:dyDescent="0.35">
      <c r="A538" s="293">
        <v>261</v>
      </c>
      <c r="B538" s="295"/>
      <c r="C538" s="297"/>
      <c r="D538" s="299"/>
      <c r="E538" s="301"/>
      <c r="F538" s="303"/>
      <c r="G538" s="288"/>
      <c r="H538" s="289"/>
      <c r="I538" s="290"/>
      <c r="J538" s="290"/>
      <c r="K538" s="291"/>
      <c r="L538" s="18"/>
      <c r="M538" s="285" t="str">
        <f t="shared" ref="M538" si="833">IF(COUNT(L538:L539)&lt;1,"",AVERAGE(L538:L539))</f>
        <v/>
      </c>
      <c r="N538" s="22"/>
      <c r="O538" s="285" t="str">
        <f t="shared" ref="O538" si="834">IF(COUNT(N538:N539)&lt;1,"",AVERAGE(N538:N539))</f>
        <v/>
      </c>
      <c r="P538" s="22"/>
      <c r="Q538" s="285" t="str">
        <f t="shared" ref="Q538" si="835">IF(COUNT(P538:P539)&lt;1,"",AVERAGE(P538:P539))</f>
        <v/>
      </c>
      <c r="R538" s="278" t="str">
        <f>IF($X$13="/28",IF(COUNT(P538:P539)&lt;=1,"",ABS(P538-P539)),IF($X$13="/90",IF(COUNT(#REF!)&lt;=1,"",ABS(#REF!-#REF!))))</f>
        <v/>
      </c>
      <c r="S538" s="278" t="str">
        <f>IF($X$13="/28",IF(Q538="","",IF(AVERAGE(Q534:Q539)&gt;=$W$13,ROUND(AVERAGE(Q534:Q539),1)&amp;" ≥ "&amp;$W$13&amp;" OK",ROUND(AVERAGE(Q534:Q539),1)&amp;" &lt; "&amp;$W$13&amp;" NC")),IF($X$13="/90",IF(#REF!="","",IF(AVERAGE(#REF!)&gt;=$W$13,ROUND(AVERAGE(#REF!),1)&amp;" ≥ "&amp;$W$13&amp;" OK",ROUND(AVERAGE(#REF!),1)&amp;" &lt; "&amp;$W$13&amp;" NC"))))</f>
        <v/>
      </c>
      <c r="T538" s="278" t="str">
        <f>IF($X$13="/28",IF(Q538="","",IF(Q538&gt;=$W$13-$S$12,ROUND((Q538),1)&amp;" ≥ "&amp;$W$13-$S$12&amp;" OK",ROUND((Q538),1)&amp;" &lt; "&amp;$W$13-$S$12&amp;" NC")),IF($X$13="/90",IF(#REF!="","",IF(#REF!&gt;=$W$13-$S$12,ROUND((#REF!),1)&amp;" ≥ "&amp;$W$13-$S$12&amp;" OK",ROUND((#REF!),1)&amp;" &lt; "&amp;$W$13-$S$12&amp;" NC"))))</f>
        <v/>
      </c>
      <c r="U538" s="14"/>
      <c r="V538" s="279"/>
      <c r="W538" s="280"/>
      <c r="X538" s="281"/>
      <c r="Y538" s="246"/>
      <c r="Z538" s="246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BP538" s="390" t="str">
        <f>IF($X$13="/28",IF(Q538="","",Q538),IF($X$13="/90",IF(#REF!="","",#REF!),"Falso"))</f>
        <v/>
      </c>
      <c r="BQ538" s="392" t="str">
        <f t="shared" si="770"/>
        <v/>
      </c>
      <c r="BS538" s="50" t="str">
        <f>Q1058</f>
        <v/>
      </c>
      <c r="BT538" s="50" t="e">
        <f>#REF!</f>
        <v>#REF!</v>
      </c>
      <c r="BU538" s="39" t="str">
        <f t="shared" si="832"/>
        <v/>
      </c>
      <c r="BV538" s="39" t="str">
        <f t="shared" si="825"/>
        <v/>
      </c>
    </row>
    <row r="539" spans="1:74" ht="14.25" customHeight="1" x14ac:dyDescent="0.35">
      <c r="A539" s="294"/>
      <c r="B539" s="296"/>
      <c r="C539" s="298"/>
      <c r="D539" s="300"/>
      <c r="E539" s="302"/>
      <c r="F539" s="304"/>
      <c r="G539" s="276"/>
      <c r="H539" s="277"/>
      <c r="I539" s="290"/>
      <c r="J539" s="290"/>
      <c r="K539" s="291"/>
      <c r="L539" s="17"/>
      <c r="M539" s="286"/>
      <c r="N539" s="21"/>
      <c r="O539" s="286"/>
      <c r="P539" s="21"/>
      <c r="Q539" s="286"/>
      <c r="R539" s="248"/>
      <c r="S539" s="287"/>
      <c r="T539" s="248"/>
      <c r="U539" s="13"/>
      <c r="V539" s="282"/>
      <c r="W539" s="283"/>
      <c r="X539" s="284"/>
      <c r="Y539" s="245"/>
      <c r="Z539" s="245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BP539" s="391"/>
      <c r="BQ539" s="393"/>
      <c r="BS539" s="50" t="str">
        <f>Q1060</f>
        <v/>
      </c>
      <c r="BT539" s="50" t="e">
        <f>#REF!</f>
        <v>#REF!</v>
      </c>
      <c r="BU539" s="39" t="str">
        <f t="shared" si="832"/>
        <v/>
      </c>
      <c r="BV539" s="39" t="str">
        <f t="shared" si="825"/>
        <v/>
      </c>
    </row>
    <row r="540" spans="1:74" ht="14.25" customHeight="1" x14ac:dyDescent="0.35">
      <c r="A540" s="293">
        <v>262</v>
      </c>
      <c r="B540" s="295"/>
      <c r="C540" s="297"/>
      <c r="D540" s="299"/>
      <c r="E540" s="301"/>
      <c r="F540" s="303"/>
      <c r="G540" s="288"/>
      <c r="H540" s="289"/>
      <c r="I540" s="290"/>
      <c r="J540" s="290"/>
      <c r="K540" s="291"/>
      <c r="L540" s="18"/>
      <c r="M540" s="285" t="str">
        <f t="shared" ref="M540" si="836">IF(COUNT(L540:L541)&lt;1,"",AVERAGE(L540:L541))</f>
        <v/>
      </c>
      <c r="N540" s="22"/>
      <c r="O540" s="285" t="str">
        <f t="shared" ref="O540" si="837">IF(COUNT(N540:N541)&lt;1,"",AVERAGE(N540:N541))</f>
        <v/>
      </c>
      <c r="P540" s="22"/>
      <c r="Q540" s="285" t="str">
        <f t="shared" ref="Q540" si="838">IF(COUNT(P540:P541)&lt;1,"",AVERAGE(P540:P541))</f>
        <v/>
      </c>
      <c r="R540" s="278" t="str">
        <f>IF($X$13="/28",IF(COUNT(P540:P541)&lt;=1,"",ABS(P540-P541)),IF($X$13="/90",IF(COUNT(#REF!)&lt;=1,"",ABS(#REF!-#REF!))))</f>
        <v/>
      </c>
      <c r="S540" s="278" t="str">
        <f>IF($X$13="/28",IF(Q540="","",IF(AVERAGE(Q536:Q541)&gt;=$W$13,ROUND(AVERAGE(Q536:Q541),1)&amp;" ≥ "&amp;$W$13&amp;" OK",ROUND(AVERAGE(Q536:Q541),1)&amp;" &lt; "&amp;$W$13&amp;" NC")),IF($X$13="/90",IF(#REF!="","",IF(AVERAGE(#REF!)&gt;=$W$13,ROUND(AVERAGE(#REF!),1)&amp;" ≥ "&amp;$W$13&amp;" OK",ROUND(AVERAGE(#REF!),1)&amp;" &lt; "&amp;$W$13&amp;" NC"))))</f>
        <v/>
      </c>
      <c r="T540" s="278" t="str">
        <f>IF($X$13="/28",IF(Q540="","",IF(Q540&gt;=$W$13-$S$12,ROUND((Q540),1)&amp;" ≥ "&amp;$W$13-$S$12&amp;" OK",ROUND((Q540),1)&amp;" &lt; "&amp;$W$13-$S$12&amp;" NC")),IF($X$13="/90",IF(#REF!="","",IF(#REF!&gt;=$W$13-$S$12,ROUND((#REF!),1)&amp;" ≥ "&amp;$W$13-$S$12&amp;" OK",ROUND((#REF!),1)&amp;" &lt; "&amp;$W$13-$S$12&amp;" NC"))))</f>
        <v/>
      </c>
      <c r="U540" s="14"/>
      <c r="V540" s="279"/>
      <c r="W540" s="280"/>
      <c r="X540" s="281"/>
      <c r="Y540" s="246"/>
      <c r="Z540" s="246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BP540" s="390" t="str">
        <f>IF($X$13="/28",IF(Q540="","",Q540),IF($X$13="/90",IF(#REF!="","",#REF!),"Falso"))</f>
        <v/>
      </c>
      <c r="BQ540" s="392" t="str">
        <f t="shared" si="762"/>
        <v/>
      </c>
      <c r="BS540" s="50" t="str">
        <f>Q1062</f>
        <v/>
      </c>
      <c r="BT540" s="50" t="e">
        <f>#REF!</f>
        <v>#REF!</v>
      </c>
      <c r="BU540" s="39" t="str">
        <f t="shared" si="832"/>
        <v/>
      </c>
      <c r="BV540" s="39" t="str">
        <f t="shared" si="825"/>
        <v/>
      </c>
    </row>
    <row r="541" spans="1:74" ht="14.25" customHeight="1" x14ac:dyDescent="0.35">
      <c r="A541" s="294"/>
      <c r="B541" s="296"/>
      <c r="C541" s="298"/>
      <c r="D541" s="300"/>
      <c r="E541" s="302"/>
      <c r="F541" s="304"/>
      <c r="G541" s="276"/>
      <c r="H541" s="277"/>
      <c r="I541" s="290"/>
      <c r="J541" s="290"/>
      <c r="K541" s="291"/>
      <c r="L541" s="17"/>
      <c r="M541" s="286"/>
      <c r="N541" s="21"/>
      <c r="O541" s="286"/>
      <c r="P541" s="21"/>
      <c r="Q541" s="286"/>
      <c r="R541" s="248"/>
      <c r="S541" s="287"/>
      <c r="T541" s="248"/>
      <c r="U541" s="13"/>
      <c r="V541" s="282"/>
      <c r="W541" s="283"/>
      <c r="X541" s="284"/>
      <c r="Y541" s="245"/>
      <c r="Z541" s="245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BP541" s="391"/>
      <c r="BQ541" s="393"/>
      <c r="BS541" s="50" t="str">
        <f>Q1064</f>
        <v/>
      </c>
      <c r="BT541" s="50" t="e">
        <f>#REF!</f>
        <v>#REF!</v>
      </c>
      <c r="BU541" s="39" t="str">
        <f t="shared" si="832"/>
        <v/>
      </c>
      <c r="BV541" s="39" t="str">
        <f t="shared" si="825"/>
        <v/>
      </c>
    </row>
    <row r="542" spans="1:74" ht="14.25" customHeight="1" x14ac:dyDescent="0.35">
      <c r="A542" s="293">
        <v>263</v>
      </c>
      <c r="B542" s="295"/>
      <c r="C542" s="297"/>
      <c r="D542" s="299"/>
      <c r="E542" s="301"/>
      <c r="F542" s="303"/>
      <c r="G542" s="288"/>
      <c r="H542" s="289"/>
      <c r="I542" s="290"/>
      <c r="J542" s="290"/>
      <c r="K542" s="291"/>
      <c r="L542" s="18"/>
      <c r="M542" s="285" t="str">
        <f t="shared" ref="M542" si="839">IF(COUNT(L542:L543)&lt;1,"",AVERAGE(L542:L543))</f>
        <v/>
      </c>
      <c r="N542" s="22"/>
      <c r="O542" s="285" t="str">
        <f t="shared" ref="O542" si="840">IF(COUNT(N542:N543)&lt;1,"",AVERAGE(N542:N543))</f>
        <v/>
      </c>
      <c r="P542" s="22"/>
      <c r="Q542" s="285" t="str">
        <f t="shared" ref="Q542" si="841">IF(COUNT(P542:P543)&lt;1,"",AVERAGE(P542:P543))</f>
        <v/>
      </c>
      <c r="R542" s="278" t="str">
        <f>IF($X$13="/28",IF(COUNT(P542:P543)&lt;=1,"",ABS(P542-P543)),IF($X$13="/90",IF(COUNT(#REF!)&lt;=1,"",ABS(#REF!-#REF!))))</f>
        <v/>
      </c>
      <c r="S542" s="278" t="str">
        <f>IF($X$13="/28",IF(Q542="","",IF(AVERAGE(Q538:Q543)&gt;=$W$13,ROUND(AVERAGE(Q538:Q543),1)&amp;" ≥ "&amp;$W$13&amp;" OK",ROUND(AVERAGE(Q538:Q543),1)&amp;" &lt; "&amp;$W$13&amp;" NC")),IF($X$13="/90",IF(#REF!="","",IF(AVERAGE(#REF!)&gt;=$W$13,ROUND(AVERAGE(#REF!),1)&amp;" ≥ "&amp;$W$13&amp;" OK",ROUND(AVERAGE(#REF!),1)&amp;" &lt; "&amp;$W$13&amp;" NC"))))</f>
        <v/>
      </c>
      <c r="T542" s="278" t="str">
        <f>IF($X$13="/28",IF(Q542="","",IF(Q542&gt;=$W$13-$S$12,ROUND((Q542),1)&amp;" ≥ "&amp;$W$13-$S$12&amp;" OK",ROUND((Q542),1)&amp;" &lt; "&amp;$W$13-$S$12&amp;" NC")),IF($X$13="/90",IF(#REF!="","",IF(#REF!&gt;=$W$13-$S$12,ROUND((#REF!),1)&amp;" ≥ "&amp;$W$13-$S$12&amp;" OK",ROUND((#REF!),1)&amp;" &lt; "&amp;$W$13-$S$12&amp;" NC"))))</f>
        <v/>
      </c>
      <c r="U542" s="14"/>
      <c r="V542" s="279"/>
      <c r="W542" s="280"/>
      <c r="X542" s="281"/>
      <c r="Y542" s="246"/>
      <c r="Z542" s="246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BP542" s="390" t="str">
        <f>IF($X$13="/28",IF(Q542="","",Q542),IF($X$13="/90",IF(#REF!="","",#REF!),"Falso"))</f>
        <v/>
      </c>
      <c r="BQ542" s="392" t="str">
        <f t="shared" si="766"/>
        <v/>
      </c>
      <c r="BS542" s="50" t="str">
        <f>Q1066</f>
        <v/>
      </c>
      <c r="BT542" s="50" t="e">
        <f>#REF!</f>
        <v>#REF!</v>
      </c>
      <c r="BU542" s="39" t="str">
        <f t="shared" si="832"/>
        <v/>
      </c>
      <c r="BV542" s="39" t="str">
        <f t="shared" si="825"/>
        <v/>
      </c>
    </row>
    <row r="543" spans="1:74" ht="14.25" customHeight="1" x14ac:dyDescent="0.35">
      <c r="A543" s="294"/>
      <c r="B543" s="296"/>
      <c r="C543" s="298"/>
      <c r="D543" s="300"/>
      <c r="E543" s="302"/>
      <c r="F543" s="304"/>
      <c r="G543" s="276"/>
      <c r="H543" s="277"/>
      <c r="I543" s="290"/>
      <c r="J543" s="290"/>
      <c r="K543" s="291"/>
      <c r="L543" s="17"/>
      <c r="M543" s="286"/>
      <c r="N543" s="21"/>
      <c r="O543" s="286"/>
      <c r="P543" s="21"/>
      <c r="Q543" s="286"/>
      <c r="R543" s="248"/>
      <c r="S543" s="287"/>
      <c r="T543" s="248"/>
      <c r="U543" s="13"/>
      <c r="V543" s="282"/>
      <c r="W543" s="283"/>
      <c r="X543" s="284"/>
      <c r="Y543" s="245"/>
      <c r="Z543" s="245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BP543" s="391"/>
      <c r="BQ543" s="393"/>
      <c r="BS543" s="50" t="str">
        <f>Q1068</f>
        <v/>
      </c>
      <c r="BT543" s="50" t="e">
        <f>#REF!</f>
        <v>#REF!</v>
      </c>
      <c r="BU543" s="39" t="str">
        <f t="shared" si="832"/>
        <v/>
      </c>
      <c r="BV543" s="39" t="str">
        <f t="shared" si="825"/>
        <v/>
      </c>
    </row>
    <row r="544" spans="1:74" ht="14.25" customHeight="1" x14ac:dyDescent="0.35">
      <c r="A544" s="293">
        <v>264</v>
      </c>
      <c r="B544" s="295"/>
      <c r="C544" s="297"/>
      <c r="D544" s="299"/>
      <c r="E544" s="301"/>
      <c r="F544" s="303"/>
      <c r="G544" s="288"/>
      <c r="H544" s="289"/>
      <c r="I544" s="290"/>
      <c r="J544" s="290"/>
      <c r="K544" s="291"/>
      <c r="L544" s="18"/>
      <c r="M544" s="285" t="str">
        <f t="shared" ref="M544" si="842">IF(COUNT(L544:L545)&lt;1,"",AVERAGE(L544:L545))</f>
        <v/>
      </c>
      <c r="N544" s="22"/>
      <c r="O544" s="285" t="str">
        <f t="shared" ref="O544" si="843">IF(COUNT(N544:N545)&lt;1,"",AVERAGE(N544:N545))</f>
        <v/>
      </c>
      <c r="P544" s="22"/>
      <c r="Q544" s="285" t="str">
        <f t="shared" ref="Q544" si="844">IF(COUNT(P544:P545)&lt;1,"",AVERAGE(P544:P545))</f>
        <v/>
      </c>
      <c r="R544" s="278" t="str">
        <f>IF($X$13="/28",IF(COUNT(P544:P545)&lt;=1,"",ABS(P544-P545)),IF($X$13="/90",IF(COUNT(#REF!)&lt;=1,"",ABS(#REF!-#REF!))))</f>
        <v/>
      </c>
      <c r="S544" s="278" t="str">
        <f>IF($X$13="/28",IF(Q544="","",IF(AVERAGE(Q540:Q545)&gt;=$W$13,ROUND(AVERAGE(Q540:Q545),1)&amp;" ≥ "&amp;$W$13&amp;" OK",ROUND(AVERAGE(Q540:Q545),1)&amp;" &lt; "&amp;$W$13&amp;" NC")),IF($X$13="/90",IF(#REF!="","",IF(AVERAGE(#REF!)&gt;=$W$13,ROUND(AVERAGE(#REF!),1)&amp;" ≥ "&amp;$W$13&amp;" OK",ROUND(AVERAGE(#REF!),1)&amp;" &lt; "&amp;$W$13&amp;" NC"))))</f>
        <v/>
      </c>
      <c r="T544" s="278" t="str">
        <f>IF($X$13="/28",IF(Q544="","",IF(Q544&gt;=$W$13-$S$12,ROUND((Q544),1)&amp;" ≥ "&amp;$W$13-$S$12&amp;" OK",ROUND((Q544),1)&amp;" &lt; "&amp;$W$13-$S$12&amp;" NC")),IF($X$13="/90",IF(#REF!="","",IF(#REF!&gt;=$W$13-$S$12,ROUND((#REF!),1)&amp;" ≥ "&amp;$W$13-$S$12&amp;" OK",ROUND((#REF!),1)&amp;" &lt; "&amp;$W$13-$S$12&amp;" NC"))))</f>
        <v/>
      </c>
      <c r="U544" s="14"/>
      <c r="V544" s="279"/>
      <c r="W544" s="280"/>
      <c r="X544" s="281"/>
      <c r="Y544" s="246"/>
      <c r="Z544" s="246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BP544" s="390" t="str">
        <f>IF($X$13="/28",IF(Q544="","",Q544),IF($X$13="/90",IF(#REF!="","",#REF!),"Falso"))</f>
        <v/>
      </c>
      <c r="BQ544" s="392" t="str">
        <f t="shared" si="770"/>
        <v/>
      </c>
      <c r="BS544" s="50" t="str">
        <f>Q1070</f>
        <v/>
      </c>
      <c r="BT544" s="50" t="e">
        <f>#REF!</f>
        <v>#REF!</v>
      </c>
      <c r="BU544" s="39" t="str">
        <f t="shared" si="832"/>
        <v/>
      </c>
      <c r="BV544" s="39" t="str">
        <f t="shared" si="825"/>
        <v/>
      </c>
    </row>
    <row r="545" spans="1:74" ht="14.25" customHeight="1" x14ac:dyDescent="0.35">
      <c r="A545" s="294"/>
      <c r="B545" s="296"/>
      <c r="C545" s="298"/>
      <c r="D545" s="300"/>
      <c r="E545" s="302"/>
      <c r="F545" s="304"/>
      <c r="G545" s="276"/>
      <c r="H545" s="277"/>
      <c r="I545" s="290"/>
      <c r="J545" s="290"/>
      <c r="K545" s="291"/>
      <c r="L545" s="17"/>
      <c r="M545" s="286"/>
      <c r="N545" s="21"/>
      <c r="O545" s="286"/>
      <c r="P545" s="21"/>
      <c r="Q545" s="286"/>
      <c r="R545" s="248"/>
      <c r="S545" s="287"/>
      <c r="T545" s="248"/>
      <c r="U545" s="13"/>
      <c r="V545" s="282"/>
      <c r="W545" s="283"/>
      <c r="X545" s="284"/>
      <c r="Y545" s="245"/>
      <c r="Z545" s="245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BP545" s="391"/>
      <c r="BQ545" s="393"/>
      <c r="BS545" s="50" t="str">
        <f>Q1072</f>
        <v/>
      </c>
      <c r="BT545" s="50" t="e">
        <f>#REF!</f>
        <v>#REF!</v>
      </c>
      <c r="BU545" s="39" t="str">
        <f t="shared" si="832"/>
        <v/>
      </c>
      <c r="BV545" s="39" t="str">
        <f t="shared" si="825"/>
        <v/>
      </c>
    </row>
    <row r="546" spans="1:74" ht="14.25" customHeight="1" x14ac:dyDescent="0.35">
      <c r="A546" s="293">
        <v>265</v>
      </c>
      <c r="B546" s="295"/>
      <c r="C546" s="297"/>
      <c r="D546" s="299"/>
      <c r="E546" s="301"/>
      <c r="F546" s="303"/>
      <c r="G546" s="288"/>
      <c r="H546" s="289"/>
      <c r="I546" s="290"/>
      <c r="J546" s="290"/>
      <c r="K546" s="291"/>
      <c r="L546" s="18"/>
      <c r="M546" s="285" t="str">
        <f t="shared" ref="M546" si="845">IF(COUNT(L546:L547)&lt;1,"",AVERAGE(L546:L547))</f>
        <v/>
      </c>
      <c r="N546" s="22"/>
      <c r="O546" s="285" t="str">
        <f t="shared" ref="O546" si="846">IF(COUNT(N546:N547)&lt;1,"",AVERAGE(N546:N547))</f>
        <v/>
      </c>
      <c r="P546" s="22"/>
      <c r="Q546" s="285" t="str">
        <f t="shared" ref="Q546" si="847">IF(COUNT(P546:P547)&lt;1,"",AVERAGE(P546:P547))</f>
        <v/>
      </c>
      <c r="R546" s="278" t="str">
        <f>IF($X$13="/28",IF(COUNT(P546:P547)&lt;=1,"",ABS(P546-P547)),IF($X$13="/90",IF(COUNT(#REF!)&lt;=1,"",ABS(#REF!-#REF!))))</f>
        <v/>
      </c>
      <c r="S546" s="278" t="str">
        <f>IF($X$13="/28",IF(Q546="","",IF(AVERAGE(Q542:Q547)&gt;=$W$13,ROUND(AVERAGE(Q542:Q547),1)&amp;" ≥ "&amp;$W$13&amp;" OK",ROUND(AVERAGE(Q542:Q547),1)&amp;" &lt; "&amp;$W$13&amp;" NC")),IF($X$13="/90",IF(#REF!="","",IF(AVERAGE(#REF!)&gt;=$W$13,ROUND(AVERAGE(#REF!),1)&amp;" ≥ "&amp;$W$13&amp;" OK",ROUND(AVERAGE(#REF!),1)&amp;" &lt; "&amp;$W$13&amp;" NC"))))</f>
        <v/>
      </c>
      <c r="T546" s="278" t="str">
        <f>IF($X$13="/28",IF(Q546="","",IF(Q546&gt;=$W$13-$S$12,ROUND((Q546),1)&amp;" ≥ "&amp;$W$13-$S$12&amp;" OK",ROUND((Q546),1)&amp;" &lt; "&amp;$W$13-$S$12&amp;" NC")),IF($X$13="/90",IF(#REF!="","",IF(#REF!&gt;=$W$13-$S$12,ROUND((#REF!),1)&amp;" ≥ "&amp;$W$13-$S$12&amp;" OK",ROUND((#REF!),1)&amp;" &lt; "&amp;$W$13-$S$12&amp;" NC"))))</f>
        <v/>
      </c>
      <c r="U546" s="14"/>
      <c r="V546" s="279"/>
      <c r="W546" s="280"/>
      <c r="X546" s="281"/>
      <c r="Y546" s="246"/>
      <c r="Z546" s="246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BP546" s="390" t="str">
        <f>IF($X$13="/28",IF(Q546="","",Q546),IF($X$13="/90",IF(#REF!="","",#REF!),"Falso"))</f>
        <v/>
      </c>
      <c r="BQ546" s="392" t="str">
        <f t="shared" si="762"/>
        <v/>
      </c>
      <c r="BS546" s="50" t="str">
        <f>Q1074</f>
        <v/>
      </c>
      <c r="BT546" s="50" t="e">
        <f>#REF!</f>
        <v>#REF!</v>
      </c>
      <c r="BU546" s="39" t="str">
        <f t="shared" si="832"/>
        <v/>
      </c>
      <c r="BV546" s="39" t="str">
        <f t="shared" si="825"/>
        <v/>
      </c>
    </row>
    <row r="547" spans="1:74" ht="14.25" customHeight="1" x14ac:dyDescent="0.35">
      <c r="A547" s="294"/>
      <c r="B547" s="296"/>
      <c r="C547" s="298"/>
      <c r="D547" s="300"/>
      <c r="E547" s="302"/>
      <c r="F547" s="304"/>
      <c r="G547" s="276"/>
      <c r="H547" s="277"/>
      <c r="I547" s="290"/>
      <c r="J547" s="290"/>
      <c r="K547" s="291"/>
      <c r="L547" s="17"/>
      <c r="M547" s="286"/>
      <c r="N547" s="21"/>
      <c r="O547" s="286"/>
      <c r="P547" s="21"/>
      <c r="Q547" s="286"/>
      <c r="R547" s="248"/>
      <c r="S547" s="287"/>
      <c r="T547" s="248"/>
      <c r="U547" s="13"/>
      <c r="V547" s="282"/>
      <c r="W547" s="283"/>
      <c r="X547" s="284"/>
      <c r="Y547" s="245"/>
      <c r="Z547" s="245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BP547" s="391"/>
      <c r="BQ547" s="393"/>
      <c r="BS547" s="50" t="str">
        <f>Q1076</f>
        <v/>
      </c>
      <c r="BT547" s="50" t="e">
        <f>#REF!</f>
        <v>#REF!</v>
      </c>
      <c r="BU547" s="39" t="str">
        <f t="shared" si="832"/>
        <v/>
      </c>
      <c r="BV547" s="39" t="str">
        <f t="shared" si="825"/>
        <v/>
      </c>
    </row>
    <row r="548" spans="1:74" ht="14.25" customHeight="1" x14ac:dyDescent="0.35">
      <c r="A548" s="293">
        <v>266</v>
      </c>
      <c r="B548" s="295"/>
      <c r="C548" s="297"/>
      <c r="D548" s="299"/>
      <c r="E548" s="301"/>
      <c r="F548" s="303"/>
      <c r="G548" s="288"/>
      <c r="H548" s="289"/>
      <c r="I548" s="290"/>
      <c r="J548" s="290"/>
      <c r="K548" s="291"/>
      <c r="L548" s="18"/>
      <c r="M548" s="285" t="str">
        <f t="shared" ref="M548" si="848">IF(COUNT(L548:L549)&lt;1,"",AVERAGE(L548:L549))</f>
        <v/>
      </c>
      <c r="N548" s="22"/>
      <c r="O548" s="285" t="str">
        <f t="shared" ref="O548" si="849">IF(COUNT(N548:N549)&lt;1,"",AVERAGE(N548:N549))</f>
        <v/>
      </c>
      <c r="P548" s="22"/>
      <c r="Q548" s="285" t="str">
        <f t="shared" ref="Q548" si="850">IF(COUNT(P548:P549)&lt;1,"",AVERAGE(P548:P549))</f>
        <v/>
      </c>
      <c r="R548" s="278" t="str">
        <f>IF($X$13="/28",IF(COUNT(P548:P549)&lt;=1,"",ABS(P548-P549)),IF($X$13="/90",IF(COUNT(#REF!)&lt;=1,"",ABS(#REF!-#REF!))))</f>
        <v/>
      </c>
      <c r="S548" s="278" t="str">
        <f>IF($X$13="/28",IF(Q548="","",IF(AVERAGE(Q544:Q549)&gt;=$W$13,ROUND(AVERAGE(Q544:Q549),1)&amp;" ≥ "&amp;$W$13&amp;" OK",ROUND(AVERAGE(Q544:Q549),1)&amp;" &lt; "&amp;$W$13&amp;" NC")),IF($X$13="/90",IF(#REF!="","",IF(AVERAGE(#REF!)&gt;=$W$13,ROUND(AVERAGE(#REF!),1)&amp;" ≥ "&amp;$W$13&amp;" OK",ROUND(AVERAGE(#REF!),1)&amp;" &lt; "&amp;$W$13&amp;" NC"))))</f>
        <v/>
      </c>
      <c r="T548" s="278" t="str">
        <f>IF($X$13="/28",IF(Q548="","",IF(Q548&gt;=$W$13-$S$12,ROUND((Q548),1)&amp;" ≥ "&amp;$W$13-$S$12&amp;" OK",ROUND((Q548),1)&amp;" &lt; "&amp;$W$13-$S$12&amp;" NC")),IF($X$13="/90",IF(#REF!="","",IF(#REF!&gt;=$W$13-$S$12,ROUND((#REF!),1)&amp;" ≥ "&amp;$W$13-$S$12&amp;" OK",ROUND((#REF!),1)&amp;" &lt; "&amp;$W$13-$S$12&amp;" NC"))))</f>
        <v/>
      </c>
      <c r="U548" s="14"/>
      <c r="V548" s="279"/>
      <c r="W548" s="280"/>
      <c r="X548" s="281"/>
      <c r="Y548" s="246"/>
      <c r="Z548" s="246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BP548" s="390" t="str">
        <f>IF($X$13="/28",IF(Q548="","",Q548),IF($X$13="/90",IF(#REF!="","",#REF!),"Falso"))</f>
        <v/>
      </c>
      <c r="BQ548" s="392" t="str">
        <f t="shared" si="766"/>
        <v/>
      </c>
      <c r="BS548" s="50" t="str">
        <f>Q1078</f>
        <v/>
      </c>
      <c r="BT548" s="50" t="e">
        <f>#REF!</f>
        <v>#REF!</v>
      </c>
      <c r="BU548" s="39" t="str">
        <f t="shared" si="832"/>
        <v/>
      </c>
      <c r="BV548" s="39" t="str">
        <f t="shared" si="825"/>
        <v/>
      </c>
    </row>
    <row r="549" spans="1:74" ht="14.25" customHeight="1" x14ac:dyDescent="0.35">
      <c r="A549" s="294"/>
      <c r="B549" s="296"/>
      <c r="C549" s="298"/>
      <c r="D549" s="300"/>
      <c r="E549" s="302"/>
      <c r="F549" s="304"/>
      <c r="G549" s="276"/>
      <c r="H549" s="277"/>
      <c r="I549" s="290"/>
      <c r="J549" s="290"/>
      <c r="K549" s="291"/>
      <c r="L549" s="17"/>
      <c r="M549" s="286"/>
      <c r="N549" s="21"/>
      <c r="O549" s="286"/>
      <c r="P549" s="21"/>
      <c r="Q549" s="286"/>
      <c r="R549" s="248"/>
      <c r="S549" s="287"/>
      <c r="T549" s="248"/>
      <c r="U549" s="13"/>
      <c r="V549" s="282"/>
      <c r="W549" s="283"/>
      <c r="X549" s="284"/>
      <c r="Y549" s="245"/>
      <c r="Z549" s="245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BP549" s="391"/>
      <c r="BQ549" s="393"/>
      <c r="BS549" s="50" t="str">
        <f>Q1080</f>
        <v/>
      </c>
      <c r="BT549" s="50" t="e">
        <f>#REF!</f>
        <v>#REF!</v>
      </c>
      <c r="BU549" s="39" t="str">
        <f t="shared" si="832"/>
        <v/>
      </c>
      <c r="BV549" s="39" t="str">
        <f t="shared" si="825"/>
        <v/>
      </c>
    </row>
    <row r="550" spans="1:74" ht="14.25" customHeight="1" x14ac:dyDescent="0.35">
      <c r="A550" s="293">
        <v>267</v>
      </c>
      <c r="B550" s="295"/>
      <c r="C550" s="297"/>
      <c r="D550" s="299"/>
      <c r="E550" s="301"/>
      <c r="F550" s="303"/>
      <c r="G550" s="288"/>
      <c r="H550" s="289"/>
      <c r="I550" s="290"/>
      <c r="J550" s="290"/>
      <c r="K550" s="291"/>
      <c r="L550" s="18"/>
      <c r="M550" s="285" t="str">
        <f t="shared" ref="M550" si="851">IF(COUNT(L550:L551)&lt;1,"",AVERAGE(L550:L551))</f>
        <v/>
      </c>
      <c r="N550" s="22"/>
      <c r="O550" s="285" t="str">
        <f t="shared" ref="O550" si="852">IF(COUNT(N550:N551)&lt;1,"",AVERAGE(N550:N551))</f>
        <v/>
      </c>
      <c r="P550" s="22"/>
      <c r="Q550" s="285" t="str">
        <f t="shared" ref="Q550" si="853">IF(COUNT(P550:P551)&lt;1,"",AVERAGE(P550:P551))</f>
        <v/>
      </c>
      <c r="R550" s="278" t="str">
        <f>IF($X$13="/28",IF(COUNT(P550:P551)&lt;=1,"",ABS(P550-P551)),IF($X$13="/90",IF(COUNT(#REF!)&lt;=1,"",ABS(#REF!-#REF!))))</f>
        <v/>
      </c>
      <c r="S550" s="278" t="str">
        <f>IF($X$13="/28",IF(Q550="","",IF(AVERAGE(Q546:Q551)&gt;=$W$13,ROUND(AVERAGE(Q546:Q551),1)&amp;" ≥ "&amp;$W$13&amp;" OK",ROUND(AVERAGE(Q546:Q551),1)&amp;" &lt; "&amp;$W$13&amp;" NC")),IF($X$13="/90",IF(#REF!="","",IF(AVERAGE(#REF!)&gt;=$W$13,ROUND(AVERAGE(#REF!),1)&amp;" ≥ "&amp;$W$13&amp;" OK",ROUND(AVERAGE(#REF!),1)&amp;" &lt; "&amp;$W$13&amp;" NC"))))</f>
        <v/>
      </c>
      <c r="T550" s="278" t="str">
        <f>IF($X$13="/28",IF(Q550="","",IF(Q550&gt;=$W$13-$S$12,ROUND((Q550),1)&amp;" ≥ "&amp;$W$13-$S$12&amp;" OK",ROUND((Q550),1)&amp;" &lt; "&amp;$W$13-$S$12&amp;" NC")),IF($X$13="/90",IF(#REF!="","",IF(#REF!&gt;=$W$13-$S$12,ROUND((#REF!),1)&amp;" ≥ "&amp;$W$13-$S$12&amp;" OK",ROUND((#REF!),1)&amp;" &lt; "&amp;$W$13-$S$12&amp;" NC"))))</f>
        <v/>
      </c>
      <c r="U550" s="14"/>
      <c r="V550" s="279"/>
      <c r="W550" s="280"/>
      <c r="X550" s="281"/>
      <c r="Y550" s="246"/>
      <c r="Z550" s="246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BP550" s="390" t="str">
        <f>IF($X$13="/28",IF(Q550="","",Q550),IF($X$13="/90",IF(#REF!="","",#REF!),"Falso"))</f>
        <v/>
      </c>
      <c r="BQ550" s="392" t="str">
        <f t="shared" si="770"/>
        <v/>
      </c>
      <c r="BS550" s="50" t="str">
        <f>Q1082</f>
        <v/>
      </c>
      <c r="BT550" s="50" t="e">
        <f>#REF!</f>
        <v>#REF!</v>
      </c>
      <c r="BU550" s="39" t="str">
        <f t="shared" si="832"/>
        <v/>
      </c>
      <c r="BV550" s="39" t="str">
        <f t="shared" si="825"/>
        <v/>
      </c>
    </row>
    <row r="551" spans="1:74" ht="14.25" customHeight="1" x14ac:dyDescent="0.35">
      <c r="A551" s="294"/>
      <c r="B551" s="296"/>
      <c r="C551" s="298"/>
      <c r="D551" s="300"/>
      <c r="E551" s="302"/>
      <c r="F551" s="304"/>
      <c r="G551" s="276"/>
      <c r="H551" s="277"/>
      <c r="I551" s="290"/>
      <c r="J551" s="290"/>
      <c r="K551" s="291"/>
      <c r="L551" s="17"/>
      <c r="M551" s="286"/>
      <c r="N551" s="21"/>
      <c r="O551" s="286"/>
      <c r="P551" s="21"/>
      <c r="Q551" s="286"/>
      <c r="R551" s="248"/>
      <c r="S551" s="287"/>
      <c r="T551" s="248"/>
      <c r="U551" s="13"/>
      <c r="V551" s="282"/>
      <c r="W551" s="283"/>
      <c r="X551" s="284"/>
      <c r="Y551" s="245"/>
      <c r="Z551" s="245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BP551" s="391"/>
      <c r="BQ551" s="393"/>
      <c r="BS551" s="50" t="str">
        <f>Q1084</f>
        <v/>
      </c>
      <c r="BT551" s="50" t="e">
        <f>#REF!</f>
        <v>#REF!</v>
      </c>
      <c r="BU551" s="39" t="str">
        <f t="shared" si="832"/>
        <v/>
      </c>
      <c r="BV551" s="39" t="str">
        <f t="shared" si="825"/>
        <v/>
      </c>
    </row>
    <row r="552" spans="1:74" ht="14.25" customHeight="1" x14ac:dyDescent="0.35">
      <c r="A552" s="293">
        <v>268</v>
      </c>
      <c r="B552" s="295"/>
      <c r="C552" s="297"/>
      <c r="D552" s="299"/>
      <c r="E552" s="301"/>
      <c r="F552" s="303"/>
      <c r="G552" s="288"/>
      <c r="H552" s="289"/>
      <c r="I552" s="290"/>
      <c r="J552" s="290"/>
      <c r="K552" s="291"/>
      <c r="L552" s="18"/>
      <c r="M552" s="285" t="str">
        <f t="shared" ref="M552" si="854">IF(COUNT(L552:L553)&lt;1,"",AVERAGE(L552:L553))</f>
        <v/>
      </c>
      <c r="N552" s="22"/>
      <c r="O552" s="285" t="str">
        <f t="shared" ref="O552" si="855">IF(COUNT(N552:N553)&lt;1,"",AVERAGE(N552:N553))</f>
        <v/>
      </c>
      <c r="P552" s="22"/>
      <c r="Q552" s="285" t="str">
        <f t="shared" ref="Q552" si="856">IF(COUNT(P552:P553)&lt;1,"",AVERAGE(P552:P553))</f>
        <v/>
      </c>
      <c r="R552" s="278" t="str">
        <f>IF($X$13="/28",IF(COUNT(P552:P553)&lt;=1,"",ABS(P552-P553)),IF($X$13="/90",IF(COUNT(#REF!)&lt;=1,"",ABS(#REF!-#REF!))))</f>
        <v/>
      </c>
      <c r="S552" s="278" t="str">
        <f>IF($X$13="/28",IF(Q552="","",IF(AVERAGE(Q548:Q553)&gt;=$W$13,ROUND(AVERAGE(Q548:Q553),1)&amp;" ≥ "&amp;$W$13&amp;" OK",ROUND(AVERAGE(Q548:Q553),1)&amp;" &lt; "&amp;$W$13&amp;" NC")),IF($X$13="/90",IF(#REF!="","",IF(AVERAGE(#REF!)&gt;=$W$13,ROUND(AVERAGE(#REF!),1)&amp;" ≥ "&amp;$W$13&amp;" OK",ROUND(AVERAGE(#REF!),1)&amp;" &lt; "&amp;$W$13&amp;" NC"))))</f>
        <v/>
      </c>
      <c r="T552" s="278" t="str">
        <f>IF($X$13="/28",IF(Q552="","",IF(Q552&gt;=$W$13-$S$12,ROUND((Q552),1)&amp;" ≥ "&amp;$W$13-$S$12&amp;" OK",ROUND((Q552),1)&amp;" &lt; "&amp;$W$13-$S$12&amp;" NC")),IF($X$13="/90",IF(#REF!="","",IF(#REF!&gt;=$W$13-$S$12,ROUND((#REF!),1)&amp;" ≥ "&amp;$W$13-$S$12&amp;" OK",ROUND((#REF!),1)&amp;" &lt; "&amp;$W$13-$S$12&amp;" NC"))))</f>
        <v/>
      </c>
      <c r="U552" s="14"/>
      <c r="V552" s="279"/>
      <c r="W552" s="280"/>
      <c r="X552" s="281"/>
      <c r="Y552" s="246"/>
      <c r="Z552" s="246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BP552" s="390" t="str">
        <f>IF($X$13="/28",IF(Q552="","",Q552),IF($X$13="/90",IF(#REF!="","",#REF!),"Falso"))</f>
        <v/>
      </c>
      <c r="BQ552" s="392" t="str">
        <f t="shared" si="762"/>
        <v/>
      </c>
      <c r="BS552" s="50" t="str">
        <f>Q1086</f>
        <v/>
      </c>
      <c r="BT552" s="50" t="e">
        <f>#REF!</f>
        <v>#REF!</v>
      </c>
      <c r="BU552" s="39" t="str">
        <f t="shared" si="832"/>
        <v/>
      </c>
      <c r="BV552" s="39" t="str">
        <f t="shared" si="825"/>
        <v/>
      </c>
    </row>
    <row r="553" spans="1:74" ht="14.25" customHeight="1" x14ac:dyDescent="0.35">
      <c r="A553" s="294"/>
      <c r="B553" s="296"/>
      <c r="C553" s="298"/>
      <c r="D553" s="300"/>
      <c r="E553" s="302"/>
      <c r="F553" s="304"/>
      <c r="G553" s="276"/>
      <c r="H553" s="277"/>
      <c r="I553" s="290"/>
      <c r="J553" s="290"/>
      <c r="K553" s="291"/>
      <c r="L553" s="17"/>
      <c r="M553" s="286"/>
      <c r="N553" s="21"/>
      <c r="O553" s="286"/>
      <c r="P553" s="21"/>
      <c r="Q553" s="286"/>
      <c r="R553" s="248"/>
      <c r="S553" s="287"/>
      <c r="T553" s="248"/>
      <c r="U553" s="13"/>
      <c r="V553" s="282"/>
      <c r="W553" s="283"/>
      <c r="X553" s="284"/>
      <c r="Y553" s="245"/>
      <c r="Z553" s="245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BP553" s="391"/>
      <c r="BQ553" s="393"/>
      <c r="BS553" s="50" t="str">
        <f>Q1088</f>
        <v/>
      </c>
      <c r="BT553" s="50" t="e">
        <f>#REF!</f>
        <v>#REF!</v>
      </c>
      <c r="BU553" s="39" t="str">
        <f t="shared" si="832"/>
        <v/>
      </c>
      <c r="BV553" s="39" t="str">
        <f t="shared" si="825"/>
        <v/>
      </c>
    </row>
    <row r="554" spans="1:74" ht="14.25" customHeight="1" x14ac:dyDescent="0.35">
      <c r="A554" s="293">
        <v>269</v>
      </c>
      <c r="B554" s="295"/>
      <c r="C554" s="297"/>
      <c r="D554" s="299"/>
      <c r="E554" s="301"/>
      <c r="F554" s="303"/>
      <c r="G554" s="288"/>
      <c r="H554" s="289"/>
      <c r="I554" s="290"/>
      <c r="J554" s="290"/>
      <c r="K554" s="291"/>
      <c r="L554" s="18"/>
      <c r="M554" s="285" t="str">
        <f t="shared" ref="M554" si="857">IF(COUNT(L554:L555)&lt;1,"",AVERAGE(L554:L555))</f>
        <v/>
      </c>
      <c r="N554" s="22"/>
      <c r="O554" s="285" t="str">
        <f t="shared" ref="O554" si="858">IF(COUNT(N554:N555)&lt;1,"",AVERAGE(N554:N555))</f>
        <v/>
      </c>
      <c r="P554" s="22"/>
      <c r="Q554" s="285" t="str">
        <f t="shared" ref="Q554" si="859">IF(COUNT(P554:P555)&lt;1,"",AVERAGE(P554:P555))</f>
        <v/>
      </c>
      <c r="R554" s="278" t="str">
        <f>IF($X$13="/28",IF(COUNT(P554:P555)&lt;=1,"",ABS(P554-P555)),IF($X$13="/90",IF(COUNT(#REF!)&lt;=1,"",ABS(#REF!-#REF!))))</f>
        <v/>
      </c>
      <c r="S554" s="278" t="str">
        <f>IF($X$13="/28",IF(Q554="","",IF(AVERAGE(Q550:Q555)&gt;=$W$13,ROUND(AVERAGE(Q550:Q555),1)&amp;" ≥ "&amp;$W$13&amp;" OK",ROUND(AVERAGE(Q550:Q555),1)&amp;" &lt; "&amp;$W$13&amp;" NC")),IF($X$13="/90",IF(#REF!="","",IF(AVERAGE(#REF!)&gt;=$W$13,ROUND(AVERAGE(#REF!),1)&amp;" ≥ "&amp;$W$13&amp;" OK",ROUND(AVERAGE(#REF!),1)&amp;" &lt; "&amp;$W$13&amp;" NC"))))</f>
        <v/>
      </c>
      <c r="T554" s="278" t="str">
        <f>IF($X$13="/28",IF(Q554="","",IF(Q554&gt;=$W$13-$S$12,ROUND((Q554),1)&amp;" ≥ "&amp;$W$13-$S$12&amp;" OK",ROUND((Q554),1)&amp;" &lt; "&amp;$W$13-$S$12&amp;" NC")),IF($X$13="/90",IF(#REF!="","",IF(#REF!&gt;=$W$13-$S$12,ROUND((#REF!),1)&amp;" ≥ "&amp;$W$13-$S$12&amp;" OK",ROUND((#REF!),1)&amp;" &lt; "&amp;$W$13-$S$12&amp;" NC"))))</f>
        <v/>
      </c>
      <c r="U554" s="14"/>
      <c r="V554" s="279"/>
      <c r="W554" s="280"/>
      <c r="X554" s="281"/>
      <c r="Y554" s="246"/>
      <c r="Z554" s="246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BP554" s="390" t="str">
        <f>IF($X$13="/28",IF(Q554="","",Q554),IF($X$13="/90",IF(#REF!="","",#REF!),"Falso"))</f>
        <v/>
      </c>
      <c r="BQ554" s="392" t="str">
        <f t="shared" si="766"/>
        <v/>
      </c>
      <c r="BS554" s="50" t="str">
        <f>Q1090</f>
        <v/>
      </c>
      <c r="BT554" s="50" t="e">
        <f>#REF!</f>
        <v>#REF!</v>
      </c>
      <c r="BU554" s="39" t="str">
        <f t="shared" si="832"/>
        <v/>
      </c>
      <c r="BV554" s="39" t="str">
        <f t="shared" si="825"/>
        <v/>
      </c>
    </row>
    <row r="555" spans="1:74" ht="14.25" customHeight="1" x14ac:dyDescent="0.35">
      <c r="A555" s="294"/>
      <c r="B555" s="296"/>
      <c r="C555" s="298"/>
      <c r="D555" s="300"/>
      <c r="E555" s="302"/>
      <c r="F555" s="304"/>
      <c r="G555" s="276"/>
      <c r="H555" s="277"/>
      <c r="I555" s="290"/>
      <c r="J555" s="290"/>
      <c r="K555" s="291"/>
      <c r="L555" s="17"/>
      <c r="M555" s="286"/>
      <c r="N555" s="21"/>
      <c r="O555" s="286"/>
      <c r="P555" s="21"/>
      <c r="Q555" s="286"/>
      <c r="R555" s="248"/>
      <c r="S555" s="287"/>
      <c r="T555" s="248"/>
      <c r="U555" s="13"/>
      <c r="V555" s="282"/>
      <c r="W555" s="283"/>
      <c r="X555" s="284"/>
      <c r="Y555" s="245"/>
      <c r="Z555" s="245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BP555" s="391"/>
      <c r="BQ555" s="393"/>
      <c r="BS555" s="50" t="str">
        <f>Q1092</f>
        <v/>
      </c>
      <c r="BT555" s="50" t="e">
        <f>#REF!</f>
        <v>#REF!</v>
      </c>
      <c r="BU555" s="39" t="str">
        <f t="shared" si="832"/>
        <v/>
      </c>
      <c r="BV555" s="39" t="str">
        <f t="shared" si="825"/>
        <v/>
      </c>
    </row>
    <row r="556" spans="1:74" ht="14.25" customHeight="1" x14ac:dyDescent="0.35">
      <c r="A556" s="293">
        <v>270</v>
      </c>
      <c r="B556" s="295"/>
      <c r="C556" s="297"/>
      <c r="D556" s="299"/>
      <c r="E556" s="301"/>
      <c r="F556" s="303"/>
      <c r="G556" s="288"/>
      <c r="H556" s="289"/>
      <c r="I556" s="290"/>
      <c r="J556" s="290"/>
      <c r="K556" s="291"/>
      <c r="L556" s="18"/>
      <c r="M556" s="285" t="str">
        <f t="shared" ref="M556" si="860">IF(COUNT(L556:L557)&lt;1,"",AVERAGE(L556:L557))</f>
        <v/>
      </c>
      <c r="N556" s="22"/>
      <c r="O556" s="285" t="str">
        <f t="shared" ref="O556" si="861">IF(COUNT(N556:N557)&lt;1,"",AVERAGE(N556:N557))</f>
        <v/>
      </c>
      <c r="P556" s="22"/>
      <c r="Q556" s="285" t="str">
        <f t="shared" ref="Q556" si="862">IF(COUNT(P556:P557)&lt;1,"",AVERAGE(P556:P557))</f>
        <v/>
      </c>
      <c r="R556" s="278" t="str">
        <f>IF($X$13="/28",IF(COUNT(P556:P557)&lt;=1,"",ABS(P556-P557)),IF($X$13="/90",IF(COUNT(#REF!)&lt;=1,"",ABS(#REF!-#REF!))))</f>
        <v/>
      </c>
      <c r="S556" s="278" t="str">
        <f>IF($X$13="/28",IF(Q556="","",IF(AVERAGE(Q552:Q557)&gt;=$W$13,ROUND(AVERAGE(Q552:Q557),1)&amp;" ≥ "&amp;$W$13&amp;" OK",ROUND(AVERAGE(Q552:Q557),1)&amp;" &lt; "&amp;$W$13&amp;" NC")),IF($X$13="/90",IF(#REF!="","",IF(AVERAGE(#REF!)&gt;=$W$13,ROUND(AVERAGE(#REF!),1)&amp;" ≥ "&amp;$W$13&amp;" OK",ROUND(AVERAGE(#REF!),1)&amp;" &lt; "&amp;$W$13&amp;" NC"))))</f>
        <v/>
      </c>
      <c r="T556" s="278" t="str">
        <f>IF($X$13="/28",IF(Q556="","",IF(Q556&gt;=$W$13-$S$12,ROUND((Q556),1)&amp;" ≥ "&amp;$W$13-$S$12&amp;" OK",ROUND((Q556),1)&amp;" &lt; "&amp;$W$13-$S$12&amp;" NC")),IF($X$13="/90",IF(#REF!="","",IF(#REF!&gt;=$W$13-$S$12,ROUND((#REF!),1)&amp;" ≥ "&amp;$W$13-$S$12&amp;" OK",ROUND((#REF!),1)&amp;" &lt; "&amp;$W$13-$S$12&amp;" NC"))))</f>
        <v/>
      </c>
      <c r="U556" s="14"/>
      <c r="V556" s="279"/>
      <c r="W556" s="280"/>
      <c r="X556" s="281"/>
      <c r="Y556" s="246"/>
      <c r="Z556" s="246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BP556" s="390" t="str">
        <f>IF($X$13="/28",IF(Q556="","",Q556),IF($X$13="/90",IF(#REF!="","",#REF!),"Falso"))</f>
        <v/>
      </c>
      <c r="BQ556" s="392" t="str">
        <f t="shared" si="770"/>
        <v/>
      </c>
      <c r="BS556" s="50" t="str">
        <f>Q1094</f>
        <v/>
      </c>
      <c r="BT556" s="50" t="e">
        <f>#REF!</f>
        <v>#REF!</v>
      </c>
      <c r="BU556" s="39" t="str">
        <f t="shared" si="832"/>
        <v/>
      </c>
      <c r="BV556" s="39" t="str">
        <f t="shared" si="825"/>
        <v/>
      </c>
    </row>
    <row r="557" spans="1:74" ht="14.25" customHeight="1" thickBot="1" x14ac:dyDescent="0.4">
      <c r="A557" s="384"/>
      <c r="B557" s="385"/>
      <c r="C557" s="386"/>
      <c r="D557" s="387"/>
      <c r="E557" s="388"/>
      <c r="F557" s="389"/>
      <c r="G557" s="377"/>
      <c r="H557" s="378"/>
      <c r="I557" s="382"/>
      <c r="J557" s="382"/>
      <c r="K557" s="383"/>
      <c r="L557" s="19"/>
      <c r="M557" s="379"/>
      <c r="N557" s="23"/>
      <c r="O557" s="379"/>
      <c r="P557" s="23"/>
      <c r="Q557" s="379"/>
      <c r="R557" s="380"/>
      <c r="S557" s="381"/>
      <c r="T557" s="380"/>
      <c r="U557" s="15"/>
      <c r="V557" s="373"/>
      <c r="W557" s="374"/>
      <c r="X557" s="375"/>
      <c r="Y557" s="376"/>
      <c r="Z557" s="376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BP557" s="391"/>
      <c r="BQ557" s="393"/>
      <c r="BS557" s="50" t="str">
        <f>Q1096</f>
        <v/>
      </c>
      <c r="BT557" s="50" t="e">
        <f>#REF!</f>
        <v>#REF!</v>
      </c>
      <c r="BU557" s="39" t="str">
        <f t="shared" si="832"/>
        <v/>
      </c>
      <c r="BV557" s="39" t="str">
        <f t="shared" si="825"/>
        <v/>
      </c>
    </row>
    <row r="558" spans="1:74" ht="14.25" customHeight="1" x14ac:dyDescent="0.35">
      <c r="A558" s="311">
        <v>271</v>
      </c>
      <c r="B558" s="312"/>
      <c r="C558" s="313"/>
      <c r="D558" s="314"/>
      <c r="E558" s="315"/>
      <c r="F558" s="353"/>
      <c r="G558" s="354"/>
      <c r="H558" s="355"/>
      <c r="I558" s="356"/>
      <c r="J558" s="356"/>
      <c r="K558" s="357"/>
      <c r="L558" s="16"/>
      <c r="M558" s="352" t="str">
        <f t="shared" ref="M558" si="863">IF(COUNT(L558:L559)&lt;1,"",AVERAGE(L558:L559))</f>
        <v/>
      </c>
      <c r="N558" s="20"/>
      <c r="O558" s="352" t="str">
        <f t="shared" ref="O558" si="864">IF(COUNT(N558:N559)&lt;1,"",AVERAGE(N558:N559))</f>
        <v/>
      </c>
      <c r="P558" s="20"/>
      <c r="Q558" s="352" t="str">
        <f t="shared" ref="Q558" si="865">IF(COUNT(P558:P559)&lt;1,"",AVERAGE(P558:P559))</f>
        <v/>
      </c>
      <c r="R558" s="247" t="str">
        <f>IF($X$13="/28",IF(COUNT(P558:P559)&lt;=1,"",ABS(P558-P559)),IF($X$13="/90",IF(COUNT(#REF!)&lt;=1,"",ABS(#REF!-#REF!))))</f>
        <v/>
      </c>
      <c r="S558" s="247" t="str">
        <f>IF($X$13="/28",IF(Q558="","",IF(AVERAGE(Q554:Q559)&gt;=$W$13,ROUND(AVERAGE(Q554:Q559),1)&amp;" ≥ "&amp;$W$13&amp;" OK",ROUND(AVERAGE(Q554:Q559),1)&amp;" &lt; "&amp;$W$13&amp;" NC")),IF($X$13="/90",IF(#REF!="","",IF(AVERAGE(#REF!)&gt;=$W$13,ROUND(AVERAGE(#REF!),1)&amp;" ≥ "&amp;$W$13&amp;" OK",ROUND(AVERAGE(#REF!),1)&amp;" &lt; "&amp;$W$13&amp;" NC"))))</f>
        <v/>
      </c>
      <c r="T558" s="247" t="str">
        <f>IF($X$13="/28",IF(Q558="","",IF(Q558&gt;=$W$13-$S$12,ROUND((Q558),1)&amp;" ≥ "&amp;$W$13-$S$12&amp;" OK",ROUND((Q558),1)&amp;" &lt; "&amp;$W$13-$S$12&amp;" NC")),IF($X$13="/90",IF(#REF!="","",IF(#REF!&gt;=$W$13-$S$12,ROUND((#REF!),1)&amp;" ≥ "&amp;$W$13-$S$12&amp;" OK",ROUND((#REF!),1)&amp;" &lt; "&amp;$W$13-$S$12&amp;" NC"))))</f>
        <v/>
      </c>
      <c r="U558" s="12"/>
      <c r="V558" s="349"/>
      <c r="W558" s="350"/>
      <c r="X558" s="351"/>
      <c r="Y558" s="244"/>
      <c r="Z558" s="244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BP558" s="390" t="str">
        <f>IF($X$13="/28",IF(Q558="","",Q558),IF($X$13="/90",IF(#REF!="","",#REF!),"Falso"))</f>
        <v/>
      </c>
      <c r="BQ558" s="392" t="str">
        <f t="shared" ref="BQ558:BQ618" si="866">IF(BP558="","",BQ556+1)</f>
        <v/>
      </c>
      <c r="BS558" s="50" t="str">
        <f>Q1098</f>
        <v/>
      </c>
      <c r="BT558" s="50" t="e">
        <f>#REF!</f>
        <v>#REF!</v>
      </c>
      <c r="BU558" s="39" t="str">
        <f t="shared" si="832"/>
        <v/>
      </c>
      <c r="BV558" s="39" t="str">
        <f t="shared" si="825"/>
        <v/>
      </c>
    </row>
    <row r="559" spans="1:74" ht="14.25" customHeight="1" x14ac:dyDescent="0.35">
      <c r="A559" s="294"/>
      <c r="B559" s="296"/>
      <c r="C559" s="298"/>
      <c r="D559" s="300"/>
      <c r="E559" s="302"/>
      <c r="F559" s="304"/>
      <c r="G559" s="276"/>
      <c r="H559" s="277"/>
      <c r="I559" s="290"/>
      <c r="J559" s="290"/>
      <c r="K559" s="291"/>
      <c r="L559" s="17"/>
      <c r="M559" s="286"/>
      <c r="N559" s="21"/>
      <c r="O559" s="286"/>
      <c r="P559" s="21"/>
      <c r="Q559" s="286"/>
      <c r="R559" s="248"/>
      <c r="S559" s="248"/>
      <c r="T559" s="248"/>
      <c r="U559" s="13"/>
      <c r="V559" s="282"/>
      <c r="W559" s="283"/>
      <c r="X559" s="284"/>
      <c r="Y559" s="245"/>
      <c r="Z559" s="245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BP559" s="391"/>
      <c r="BQ559" s="393"/>
      <c r="BS559" s="50" t="str">
        <f>Q1100</f>
        <v/>
      </c>
      <c r="BT559" s="50" t="e">
        <f>#REF!</f>
        <v>#REF!</v>
      </c>
      <c r="BU559" s="39" t="str">
        <f t="shared" si="832"/>
        <v/>
      </c>
      <c r="BV559" s="39" t="str">
        <f t="shared" si="825"/>
        <v/>
      </c>
    </row>
    <row r="560" spans="1:74" ht="14.25" customHeight="1" x14ac:dyDescent="0.35">
      <c r="A560" s="293">
        <v>272</v>
      </c>
      <c r="B560" s="295"/>
      <c r="C560" s="297"/>
      <c r="D560" s="299"/>
      <c r="E560" s="301"/>
      <c r="F560" s="303"/>
      <c r="G560" s="288"/>
      <c r="H560" s="289"/>
      <c r="I560" s="290"/>
      <c r="J560" s="290"/>
      <c r="K560" s="291"/>
      <c r="L560" s="18"/>
      <c r="M560" s="285" t="str">
        <f t="shared" ref="M560" si="867">IF(COUNT(L560:L561)&lt;1,"",AVERAGE(L560:L561))</f>
        <v/>
      </c>
      <c r="N560" s="22"/>
      <c r="O560" s="285" t="str">
        <f t="shared" ref="O560" si="868">IF(COUNT(N560:N561)&lt;1,"",AVERAGE(N560:N561))</f>
        <v/>
      </c>
      <c r="P560" s="22"/>
      <c r="Q560" s="285" t="str">
        <f t="shared" ref="Q560" si="869">IF(COUNT(P560:P561)&lt;1,"",AVERAGE(P560:P561))</f>
        <v/>
      </c>
      <c r="R560" s="278" t="str">
        <f>IF($X$13="/28",IF(COUNT(P560:P561)&lt;=1,"",ABS(P560-P561)),IF($X$13="/90",IF(COUNT(#REF!)&lt;=1,"",ABS(#REF!-#REF!))))</f>
        <v/>
      </c>
      <c r="S560" s="278" t="str">
        <f>IF($X$13="/28",IF(Q560="","",IF(AVERAGE(Q556:Q561)&gt;=$W$13,ROUND(AVERAGE(Q556:Q561),1)&amp;" ≥ "&amp;$W$13&amp;" OK",ROUND(AVERAGE(Q556:Q561),1)&amp;" &lt; "&amp;$W$13&amp;" NC")),IF($X$13="/90",IF(#REF!="","",IF(AVERAGE(#REF!)&gt;=$W$13,ROUND(AVERAGE(#REF!),1)&amp;" ≥ "&amp;$W$13&amp;" OK",ROUND(AVERAGE(#REF!),1)&amp;" &lt; "&amp;$W$13&amp;" NC"))))</f>
        <v/>
      </c>
      <c r="T560" s="278" t="str">
        <f>IF($X$13="/28",IF(Q560="","",IF(Q560&gt;=$W$13-$S$12,ROUND((Q560),1)&amp;" ≥ "&amp;$W$13-$S$12&amp;" OK",ROUND((Q560),1)&amp;" &lt; "&amp;$W$13-$S$12&amp;" NC")),IF($X$13="/90",IF(#REF!="","",IF(#REF!&gt;=$W$13-$S$12,ROUND((#REF!),1)&amp;" ≥ "&amp;$W$13-$S$12&amp;" OK",ROUND((#REF!),1)&amp;" &lt; "&amp;$W$13-$S$12&amp;" NC"))))</f>
        <v/>
      </c>
      <c r="U560" s="14"/>
      <c r="V560" s="279"/>
      <c r="W560" s="280"/>
      <c r="X560" s="281"/>
      <c r="Y560" s="246"/>
      <c r="Z560" s="246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BP560" s="390" t="str">
        <f>IF($X$13="/28",IF(Q560="","",Q560),IF($X$13="/90",IF(#REF!="","",#REF!),"Falso"))</f>
        <v/>
      </c>
      <c r="BQ560" s="392" t="str">
        <f t="shared" ref="BQ560:BQ620" si="870">IF(BP560="","",BQ558+1)</f>
        <v/>
      </c>
      <c r="BS560" s="50" t="str">
        <f>Q1102</f>
        <v/>
      </c>
      <c r="BT560" s="50" t="e">
        <f>#REF!</f>
        <v>#REF!</v>
      </c>
      <c r="BU560" s="39" t="str">
        <f t="shared" si="832"/>
        <v/>
      </c>
      <c r="BV560" s="39" t="str">
        <f t="shared" si="825"/>
        <v/>
      </c>
    </row>
    <row r="561" spans="1:74" ht="14.25" customHeight="1" x14ac:dyDescent="0.35">
      <c r="A561" s="294"/>
      <c r="B561" s="296"/>
      <c r="C561" s="298"/>
      <c r="D561" s="300"/>
      <c r="E561" s="302"/>
      <c r="F561" s="304"/>
      <c r="G561" s="276"/>
      <c r="H561" s="277"/>
      <c r="I561" s="290"/>
      <c r="J561" s="290"/>
      <c r="K561" s="291"/>
      <c r="L561" s="17"/>
      <c r="M561" s="286"/>
      <c r="N561" s="21"/>
      <c r="O561" s="286"/>
      <c r="P561" s="21"/>
      <c r="Q561" s="286"/>
      <c r="R561" s="248"/>
      <c r="S561" s="248"/>
      <c r="T561" s="248"/>
      <c r="U561" s="13"/>
      <c r="V561" s="282"/>
      <c r="W561" s="283"/>
      <c r="X561" s="284"/>
      <c r="Y561" s="245"/>
      <c r="Z561" s="245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BP561" s="391"/>
      <c r="BQ561" s="393"/>
      <c r="BS561" s="50" t="str">
        <f>Q1104</f>
        <v/>
      </c>
      <c r="BT561" s="50" t="e">
        <f>#REF!</f>
        <v>#REF!</v>
      </c>
      <c r="BU561" s="39" t="str">
        <f t="shared" si="832"/>
        <v/>
      </c>
      <c r="BV561" s="39" t="str">
        <f t="shared" si="825"/>
        <v/>
      </c>
    </row>
    <row r="562" spans="1:74" ht="14.25" customHeight="1" x14ac:dyDescent="0.35">
      <c r="A562" s="293">
        <v>273</v>
      </c>
      <c r="B562" s="295"/>
      <c r="C562" s="297"/>
      <c r="D562" s="299"/>
      <c r="E562" s="301"/>
      <c r="F562" s="303"/>
      <c r="G562" s="288"/>
      <c r="H562" s="289"/>
      <c r="I562" s="290"/>
      <c r="J562" s="290"/>
      <c r="K562" s="291"/>
      <c r="L562" s="18"/>
      <c r="M562" s="285" t="str">
        <f t="shared" ref="M562" si="871">IF(COUNT(L562:L563)&lt;1,"",AVERAGE(L562:L563))</f>
        <v/>
      </c>
      <c r="N562" s="22"/>
      <c r="O562" s="285" t="str">
        <f t="shared" ref="O562" si="872">IF(COUNT(N562:N563)&lt;1,"",AVERAGE(N562:N563))</f>
        <v/>
      </c>
      <c r="P562" s="22"/>
      <c r="Q562" s="285" t="str">
        <f t="shared" ref="Q562" si="873">IF(COUNT(P562:P563)&lt;1,"",AVERAGE(P562:P563))</f>
        <v/>
      </c>
      <c r="R562" s="278" t="str">
        <f>IF($X$13="/28",IF(COUNT(P562:P563)&lt;=1,"",ABS(P562-P563)),IF($X$13="/90",IF(COUNT(#REF!)&lt;=1,"",ABS(#REF!-#REF!))))</f>
        <v/>
      </c>
      <c r="S562" s="278" t="str">
        <f>IF($X$13="/28",IF(Q562="","",IF(AVERAGE(Q558:Q563)&gt;=$W$13,ROUND(AVERAGE(Q558:Q563),1)&amp;" ≥ "&amp;$W$13&amp;" OK",ROUND(AVERAGE(Q558:Q563),1)&amp;" &lt; "&amp;$W$13&amp;" NC")),IF($X$13="/90",IF(#REF!="","",IF(AVERAGE(#REF!)&gt;=$W$13,ROUND(AVERAGE(#REF!),1)&amp;" ≥ "&amp;$W$13&amp;" OK",ROUND(AVERAGE(#REF!),1)&amp;" &lt; "&amp;$W$13&amp;" NC"))))</f>
        <v/>
      </c>
      <c r="T562" s="278" t="str">
        <f>IF($X$13="/28",IF(Q562="","",IF(Q562&gt;=$W$13-$S$12,ROUND((Q562),1)&amp;" ≥ "&amp;$W$13-$S$12&amp;" OK",ROUND((Q562),1)&amp;" &lt; "&amp;$W$13-$S$12&amp;" NC")),IF($X$13="/90",IF(#REF!="","",IF(#REF!&gt;=$W$13-$S$12,ROUND((#REF!),1)&amp;" ≥ "&amp;$W$13-$S$12&amp;" OK",ROUND((#REF!),1)&amp;" &lt; "&amp;$W$13-$S$12&amp;" NC"))))</f>
        <v/>
      </c>
      <c r="U562" s="14"/>
      <c r="V562" s="279"/>
      <c r="W562" s="280"/>
      <c r="X562" s="281"/>
      <c r="Y562" s="246"/>
      <c r="Z562" s="246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BP562" s="390" t="str">
        <f>IF($X$13="/28",IF(Q562="","",Q562),IF($X$13="/90",IF(#REF!="","",#REF!),"Falso"))</f>
        <v/>
      </c>
      <c r="BQ562" s="392" t="str">
        <f t="shared" ref="BQ562:BQ622" si="874">IF(BP562="","",BQ560+1)</f>
        <v/>
      </c>
      <c r="BS562" s="50" t="str">
        <f>Q1106</f>
        <v/>
      </c>
      <c r="BT562" s="50" t="e">
        <f>#REF!</f>
        <v>#REF!</v>
      </c>
      <c r="BU562" s="39" t="str">
        <f t="shared" si="832"/>
        <v/>
      </c>
      <c r="BV562" s="39" t="str">
        <f t="shared" si="825"/>
        <v/>
      </c>
    </row>
    <row r="563" spans="1:74" ht="14.25" customHeight="1" x14ac:dyDescent="0.35">
      <c r="A563" s="294"/>
      <c r="B563" s="296"/>
      <c r="C563" s="298"/>
      <c r="D563" s="300"/>
      <c r="E563" s="302"/>
      <c r="F563" s="304"/>
      <c r="G563" s="276"/>
      <c r="H563" s="277"/>
      <c r="I563" s="290"/>
      <c r="J563" s="290"/>
      <c r="K563" s="291"/>
      <c r="L563" s="17"/>
      <c r="M563" s="286"/>
      <c r="N563" s="21"/>
      <c r="O563" s="286"/>
      <c r="P563" s="21"/>
      <c r="Q563" s="286"/>
      <c r="R563" s="248"/>
      <c r="S563" s="287"/>
      <c r="T563" s="248"/>
      <c r="U563" s="13"/>
      <c r="V563" s="282"/>
      <c r="W563" s="283"/>
      <c r="X563" s="284"/>
      <c r="Y563" s="245"/>
      <c r="Z563" s="245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BP563" s="391"/>
      <c r="BQ563" s="393"/>
      <c r="BS563" s="50" t="str">
        <f>Q1108</f>
        <v/>
      </c>
      <c r="BT563" s="50" t="e">
        <f>#REF!</f>
        <v>#REF!</v>
      </c>
      <c r="BU563" s="39" t="str">
        <f t="shared" si="832"/>
        <v/>
      </c>
      <c r="BV563" s="39" t="str">
        <f t="shared" si="825"/>
        <v/>
      </c>
    </row>
    <row r="564" spans="1:74" ht="14.25" customHeight="1" x14ac:dyDescent="0.35">
      <c r="A564" s="293">
        <v>274</v>
      </c>
      <c r="B564" s="295"/>
      <c r="C564" s="297"/>
      <c r="D564" s="299"/>
      <c r="E564" s="301"/>
      <c r="F564" s="303"/>
      <c r="G564" s="288"/>
      <c r="H564" s="289"/>
      <c r="I564" s="290"/>
      <c r="J564" s="290"/>
      <c r="K564" s="291"/>
      <c r="L564" s="18"/>
      <c r="M564" s="285" t="str">
        <f t="shared" ref="M564" si="875">IF(COUNT(L564:L565)&lt;1,"",AVERAGE(L564:L565))</f>
        <v/>
      </c>
      <c r="N564" s="22"/>
      <c r="O564" s="285" t="str">
        <f t="shared" ref="O564" si="876">IF(COUNT(N564:N565)&lt;1,"",AVERAGE(N564:N565))</f>
        <v/>
      </c>
      <c r="P564" s="22"/>
      <c r="Q564" s="285" t="str">
        <f t="shared" ref="Q564" si="877">IF(COUNT(P564:P565)&lt;1,"",AVERAGE(P564:P565))</f>
        <v/>
      </c>
      <c r="R564" s="278" t="str">
        <f>IF($X$13="/28",IF(COUNT(P564:P565)&lt;=1,"",ABS(P564-P565)),IF($X$13="/90",IF(COUNT(#REF!)&lt;=1,"",ABS(#REF!-#REF!))))</f>
        <v/>
      </c>
      <c r="S564" s="278" t="str">
        <f>IF($X$13="/28",IF(Q564="","",IF(AVERAGE(Q560:Q565)&gt;=$W$13,ROUND(AVERAGE(Q560:Q565),1)&amp;" ≥ "&amp;$W$13&amp;" OK",ROUND(AVERAGE(Q560:Q565),1)&amp;" &lt; "&amp;$W$13&amp;" NC")),IF($X$13="/90",IF(#REF!="","",IF(AVERAGE(#REF!)&gt;=$W$13,ROUND(AVERAGE(#REF!),1)&amp;" ≥ "&amp;$W$13&amp;" OK",ROUND(AVERAGE(#REF!),1)&amp;" &lt; "&amp;$W$13&amp;" NC"))))</f>
        <v/>
      </c>
      <c r="T564" s="278" t="str">
        <f>IF($X$13="/28",IF(Q564="","",IF(Q564&gt;=$W$13-$S$12,ROUND((Q564),1)&amp;" ≥ "&amp;$W$13-$S$12&amp;" OK",ROUND((Q564),1)&amp;" &lt; "&amp;$W$13-$S$12&amp;" NC")),IF($X$13="/90",IF(#REF!="","",IF(#REF!&gt;=$W$13-$S$12,ROUND((#REF!),1)&amp;" ≥ "&amp;$W$13-$S$12&amp;" OK",ROUND((#REF!),1)&amp;" &lt; "&amp;$W$13-$S$12&amp;" NC"))))</f>
        <v/>
      </c>
      <c r="U564" s="14"/>
      <c r="V564" s="279"/>
      <c r="W564" s="280"/>
      <c r="X564" s="281"/>
      <c r="Y564" s="246"/>
      <c r="Z564" s="246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BP564" s="390" t="str">
        <f>IF($X$13="/28",IF(Q564="","",Q564),IF($X$13="/90",IF(#REF!="","",#REF!),"Falso"))</f>
        <v/>
      </c>
      <c r="BQ564" s="392" t="str">
        <f t="shared" si="866"/>
        <v/>
      </c>
      <c r="BS564" s="50" t="str">
        <f>Q1110</f>
        <v/>
      </c>
      <c r="BT564" s="50" t="e">
        <f>#REF!</f>
        <v>#REF!</v>
      </c>
      <c r="BU564" s="39" t="str">
        <f t="shared" si="832"/>
        <v/>
      </c>
      <c r="BV564" s="39" t="str">
        <f t="shared" si="825"/>
        <v/>
      </c>
    </row>
    <row r="565" spans="1:74" ht="14.25" customHeight="1" x14ac:dyDescent="0.35">
      <c r="A565" s="294"/>
      <c r="B565" s="296"/>
      <c r="C565" s="298"/>
      <c r="D565" s="300"/>
      <c r="E565" s="302"/>
      <c r="F565" s="304"/>
      <c r="G565" s="276"/>
      <c r="H565" s="277"/>
      <c r="I565" s="290"/>
      <c r="J565" s="290"/>
      <c r="K565" s="291"/>
      <c r="L565" s="17"/>
      <c r="M565" s="286"/>
      <c r="N565" s="21"/>
      <c r="O565" s="286"/>
      <c r="P565" s="21"/>
      <c r="Q565" s="286"/>
      <c r="R565" s="248"/>
      <c r="S565" s="287"/>
      <c r="T565" s="248"/>
      <c r="U565" s="13"/>
      <c r="V565" s="282"/>
      <c r="W565" s="283"/>
      <c r="X565" s="284"/>
      <c r="Y565" s="245"/>
      <c r="Z565" s="245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BP565" s="391"/>
      <c r="BQ565" s="393"/>
      <c r="BS565" s="50" t="str">
        <f>Q1112</f>
        <v/>
      </c>
      <c r="BT565" s="50" t="e">
        <f>#REF!</f>
        <v>#REF!</v>
      </c>
      <c r="BU565" s="39" t="str">
        <f t="shared" si="832"/>
        <v/>
      </c>
      <c r="BV565" s="39" t="str">
        <f t="shared" si="825"/>
        <v/>
      </c>
    </row>
    <row r="566" spans="1:74" ht="14.25" customHeight="1" x14ac:dyDescent="0.35">
      <c r="A566" s="293">
        <v>275</v>
      </c>
      <c r="B566" s="295"/>
      <c r="C566" s="297"/>
      <c r="D566" s="299"/>
      <c r="E566" s="301"/>
      <c r="F566" s="303"/>
      <c r="G566" s="288"/>
      <c r="H566" s="289"/>
      <c r="I566" s="290"/>
      <c r="J566" s="290"/>
      <c r="K566" s="291"/>
      <c r="L566" s="18"/>
      <c r="M566" s="285" t="str">
        <f t="shared" ref="M566" si="878">IF(COUNT(L566:L567)&lt;1,"",AVERAGE(L566:L567))</f>
        <v/>
      </c>
      <c r="N566" s="22"/>
      <c r="O566" s="285" t="str">
        <f t="shared" ref="O566" si="879">IF(COUNT(N566:N567)&lt;1,"",AVERAGE(N566:N567))</f>
        <v/>
      </c>
      <c r="P566" s="22"/>
      <c r="Q566" s="285" t="str">
        <f t="shared" ref="Q566" si="880">IF(COUNT(P566:P567)&lt;1,"",AVERAGE(P566:P567))</f>
        <v/>
      </c>
      <c r="R566" s="278" t="str">
        <f>IF($X$13="/28",IF(COUNT(P566:P567)&lt;=1,"",ABS(P566-P567)),IF($X$13="/90",IF(COUNT(#REF!)&lt;=1,"",ABS(#REF!-#REF!))))</f>
        <v/>
      </c>
      <c r="S566" s="278" t="str">
        <f>IF($X$13="/28",IF(Q566="","",IF(AVERAGE(Q562:Q567)&gt;=$W$13,ROUND(AVERAGE(Q562:Q567),1)&amp;" ≥ "&amp;$W$13&amp;" OK",ROUND(AVERAGE(Q562:Q567),1)&amp;" &lt; "&amp;$W$13&amp;" NC")),IF($X$13="/90",IF(#REF!="","",IF(AVERAGE(#REF!)&gt;=$W$13,ROUND(AVERAGE(#REF!),1)&amp;" ≥ "&amp;$W$13&amp;" OK",ROUND(AVERAGE(#REF!),1)&amp;" &lt; "&amp;$W$13&amp;" NC"))))</f>
        <v/>
      </c>
      <c r="T566" s="278" t="str">
        <f>IF($X$13="/28",IF(Q566="","",IF(Q566&gt;=$W$13-$S$12,ROUND((Q566),1)&amp;" ≥ "&amp;$W$13-$S$12&amp;" OK",ROUND((Q566),1)&amp;" &lt; "&amp;$W$13-$S$12&amp;" NC")),IF($X$13="/90",IF(#REF!="","",IF(#REF!&gt;=$W$13-$S$12,ROUND((#REF!),1)&amp;" ≥ "&amp;$W$13-$S$12&amp;" OK",ROUND((#REF!),1)&amp;" &lt; "&amp;$W$13-$S$12&amp;" NC"))))</f>
        <v/>
      </c>
      <c r="U566" s="14"/>
      <c r="V566" s="279"/>
      <c r="W566" s="280"/>
      <c r="X566" s="281"/>
      <c r="Y566" s="246"/>
      <c r="Z566" s="246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BP566" s="390" t="str">
        <f>IF($X$13="/28",IF(Q566="","",Q566),IF($X$13="/90",IF(#REF!="","",#REF!),"Falso"))</f>
        <v/>
      </c>
      <c r="BQ566" s="392" t="str">
        <f t="shared" si="870"/>
        <v/>
      </c>
      <c r="BS566" s="50" t="str">
        <f>Q1114</f>
        <v/>
      </c>
      <c r="BT566" s="50" t="e">
        <f>#REF!</f>
        <v>#REF!</v>
      </c>
      <c r="BU566" s="39" t="str">
        <f t="shared" si="832"/>
        <v/>
      </c>
      <c r="BV566" s="39" t="str">
        <f t="shared" si="825"/>
        <v/>
      </c>
    </row>
    <row r="567" spans="1:74" ht="14.25" customHeight="1" x14ac:dyDescent="0.35">
      <c r="A567" s="294"/>
      <c r="B567" s="296"/>
      <c r="C567" s="298"/>
      <c r="D567" s="300"/>
      <c r="E567" s="302"/>
      <c r="F567" s="304"/>
      <c r="G567" s="276"/>
      <c r="H567" s="277"/>
      <c r="I567" s="290"/>
      <c r="J567" s="290"/>
      <c r="K567" s="291"/>
      <c r="L567" s="17"/>
      <c r="M567" s="286"/>
      <c r="N567" s="21"/>
      <c r="O567" s="286"/>
      <c r="P567" s="21"/>
      <c r="Q567" s="286"/>
      <c r="R567" s="248"/>
      <c r="S567" s="287"/>
      <c r="T567" s="248"/>
      <c r="U567" s="13"/>
      <c r="V567" s="282"/>
      <c r="W567" s="283"/>
      <c r="X567" s="284"/>
      <c r="Y567" s="245"/>
      <c r="Z567" s="245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BP567" s="391"/>
      <c r="BQ567" s="393"/>
      <c r="BS567" s="50" t="str">
        <f>Q1116</f>
        <v/>
      </c>
      <c r="BT567" s="50" t="e">
        <f>#REF!</f>
        <v>#REF!</v>
      </c>
      <c r="BU567" s="39" t="str">
        <f t="shared" si="832"/>
        <v/>
      </c>
      <c r="BV567" s="39" t="str">
        <f t="shared" si="825"/>
        <v/>
      </c>
    </row>
    <row r="568" spans="1:74" ht="14.25" customHeight="1" x14ac:dyDescent="0.35">
      <c r="A568" s="293">
        <v>276</v>
      </c>
      <c r="B568" s="295"/>
      <c r="C568" s="297"/>
      <c r="D568" s="299"/>
      <c r="E568" s="301"/>
      <c r="F568" s="303"/>
      <c r="G568" s="288"/>
      <c r="H568" s="289"/>
      <c r="I568" s="290"/>
      <c r="J568" s="290"/>
      <c r="K568" s="291"/>
      <c r="L568" s="18"/>
      <c r="M568" s="285" t="str">
        <f t="shared" ref="M568" si="881">IF(COUNT(L568:L569)&lt;1,"",AVERAGE(L568:L569))</f>
        <v/>
      </c>
      <c r="N568" s="22"/>
      <c r="O568" s="285" t="str">
        <f t="shared" ref="O568" si="882">IF(COUNT(N568:N569)&lt;1,"",AVERAGE(N568:N569))</f>
        <v/>
      </c>
      <c r="P568" s="22"/>
      <c r="Q568" s="285" t="str">
        <f t="shared" ref="Q568" si="883">IF(COUNT(P568:P569)&lt;1,"",AVERAGE(P568:P569))</f>
        <v/>
      </c>
      <c r="R568" s="278" t="str">
        <f>IF($X$13="/28",IF(COUNT(P568:P569)&lt;=1,"",ABS(P568-P569)),IF($X$13="/90",IF(COUNT(#REF!)&lt;=1,"",ABS(#REF!-#REF!))))</f>
        <v/>
      </c>
      <c r="S568" s="278" t="str">
        <f>IF($X$13="/28",IF(Q568="","",IF(AVERAGE(Q564:Q569)&gt;=$W$13,ROUND(AVERAGE(Q564:Q569),1)&amp;" ≥ "&amp;$W$13&amp;" OK",ROUND(AVERAGE(Q564:Q569),1)&amp;" &lt; "&amp;$W$13&amp;" NC")),IF($X$13="/90",IF(#REF!="","",IF(AVERAGE(#REF!)&gt;=$W$13,ROUND(AVERAGE(#REF!),1)&amp;" ≥ "&amp;$W$13&amp;" OK",ROUND(AVERAGE(#REF!),1)&amp;" &lt; "&amp;$W$13&amp;" NC"))))</f>
        <v/>
      </c>
      <c r="T568" s="278" t="str">
        <f>IF($X$13="/28",IF(Q568="","",IF(Q568&gt;=$W$13-$S$12,ROUND((Q568),1)&amp;" ≥ "&amp;$W$13-$S$12&amp;" OK",ROUND((Q568),1)&amp;" &lt; "&amp;$W$13-$S$12&amp;" NC")),IF($X$13="/90",IF(#REF!="","",IF(#REF!&gt;=$W$13-$S$12,ROUND((#REF!),1)&amp;" ≥ "&amp;$W$13-$S$12&amp;" OK",ROUND((#REF!),1)&amp;" &lt; "&amp;$W$13-$S$12&amp;" NC"))))</f>
        <v/>
      </c>
      <c r="U568" s="14"/>
      <c r="V568" s="279"/>
      <c r="W568" s="280"/>
      <c r="X568" s="281"/>
      <c r="Y568" s="246"/>
      <c r="Z568" s="246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BP568" s="390" t="str">
        <f>IF($X$13="/28",IF(Q568="","",Q568),IF($X$13="/90",IF(#REF!="","",#REF!),"Falso"))</f>
        <v/>
      </c>
      <c r="BQ568" s="392" t="str">
        <f t="shared" si="874"/>
        <v/>
      </c>
      <c r="BS568" s="50" t="str">
        <f>Q1118</f>
        <v/>
      </c>
      <c r="BT568" s="50" t="e">
        <f>#REF!</f>
        <v>#REF!</v>
      </c>
      <c r="BU568" s="39" t="str">
        <f t="shared" si="832"/>
        <v/>
      </c>
      <c r="BV568" s="39" t="str">
        <f t="shared" si="825"/>
        <v/>
      </c>
    </row>
    <row r="569" spans="1:74" ht="14.25" customHeight="1" x14ac:dyDescent="0.35">
      <c r="A569" s="294"/>
      <c r="B569" s="296"/>
      <c r="C569" s="298"/>
      <c r="D569" s="300"/>
      <c r="E569" s="302"/>
      <c r="F569" s="304"/>
      <c r="G569" s="276"/>
      <c r="H569" s="277"/>
      <c r="I569" s="290"/>
      <c r="J569" s="290"/>
      <c r="K569" s="291"/>
      <c r="L569" s="17"/>
      <c r="M569" s="286"/>
      <c r="N569" s="21"/>
      <c r="O569" s="286"/>
      <c r="P569" s="21"/>
      <c r="Q569" s="286"/>
      <c r="R569" s="248"/>
      <c r="S569" s="287"/>
      <c r="T569" s="248"/>
      <c r="U569" s="13"/>
      <c r="V569" s="282"/>
      <c r="W569" s="283"/>
      <c r="X569" s="284"/>
      <c r="Y569" s="245"/>
      <c r="Z569" s="245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BP569" s="391"/>
      <c r="BQ569" s="393"/>
      <c r="BS569" s="50" t="str">
        <f>Q1120</f>
        <v/>
      </c>
      <c r="BT569" s="50" t="e">
        <f>#REF!</f>
        <v>#REF!</v>
      </c>
      <c r="BU569" s="39" t="str">
        <f t="shared" si="832"/>
        <v/>
      </c>
      <c r="BV569" s="39" t="str">
        <f t="shared" si="825"/>
        <v/>
      </c>
    </row>
    <row r="570" spans="1:74" ht="14.25" customHeight="1" x14ac:dyDescent="0.35">
      <c r="A570" s="293">
        <v>277</v>
      </c>
      <c r="B570" s="295"/>
      <c r="C570" s="297"/>
      <c r="D570" s="299"/>
      <c r="E570" s="301"/>
      <c r="F570" s="303"/>
      <c r="G570" s="288"/>
      <c r="H570" s="289"/>
      <c r="I570" s="290"/>
      <c r="J570" s="290"/>
      <c r="K570" s="291"/>
      <c r="L570" s="18"/>
      <c r="M570" s="285" t="str">
        <f t="shared" ref="M570" si="884">IF(COUNT(L570:L571)&lt;1,"",AVERAGE(L570:L571))</f>
        <v/>
      </c>
      <c r="N570" s="22"/>
      <c r="O570" s="285" t="str">
        <f t="shared" ref="O570" si="885">IF(COUNT(N570:N571)&lt;1,"",AVERAGE(N570:N571))</f>
        <v/>
      </c>
      <c r="P570" s="22"/>
      <c r="Q570" s="285" t="str">
        <f t="shared" ref="Q570" si="886">IF(COUNT(P570:P571)&lt;1,"",AVERAGE(P570:P571))</f>
        <v/>
      </c>
      <c r="R570" s="278" t="str">
        <f>IF($X$13="/28",IF(COUNT(P570:P571)&lt;=1,"",ABS(P570-P571)),IF($X$13="/90",IF(COUNT(#REF!)&lt;=1,"",ABS(#REF!-#REF!))))</f>
        <v/>
      </c>
      <c r="S570" s="278" t="str">
        <f>IF($X$13="/28",IF(Q570="","",IF(AVERAGE(Q566:Q571)&gt;=$W$13,ROUND(AVERAGE(Q566:Q571),1)&amp;" ≥ "&amp;$W$13&amp;" OK",ROUND(AVERAGE(Q566:Q571),1)&amp;" &lt; "&amp;$W$13&amp;" NC")),IF($X$13="/90",IF(#REF!="","",IF(AVERAGE(#REF!)&gt;=$W$13,ROUND(AVERAGE(#REF!),1)&amp;" ≥ "&amp;$W$13&amp;" OK",ROUND(AVERAGE(#REF!),1)&amp;" &lt; "&amp;$W$13&amp;" NC"))))</f>
        <v/>
      </c>
      <c r="T570" s="278" t="str">
        <f>IF($X$13="/28",IF(Q570="","",IF(Q570&gt;=$W$13-$S$12,ROUND((Q570),1)&amp;" ≥ "&amp;$W$13-$S$12&amp;" OK",ROUND((Q570),1)&amp;" &lt; "&amp;$W$13-$S$12&amp;" NC")),IF($X$13="/90",IF(#REF!="","",IF(#REF!&gt;=$W$13-$S$12,ROUND((#REF!),1)&amp;" ≥ "&amp;$W$13-$S$12&amp;" OK",ROUND((#REF!),1)&amp;" &lt; "&amp;$W$13-$S$12&amp;" NC"))))</f>
        <v/>
      </c>
      <c r="U570" s="14"/>
      <c r="V570" s="279"/>
      <c r="W570" s="280"/>
      <c r="X570" s="281"/>
      <c r="Y570" s="246"/>
      <c r="Z570" s="246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BP570" s="390" t="str">
        <f>IF($X$13="/28",IF(Q570="","",Q570),IF($X$13="/90",IF(#REF!="","",#REF!),"Falso"))</f>
        <v/>
      </c>
      <c r="BQ570" s="392" t="str">
        <f t="shared" si="866"/>
        <v/>
      </c>
      <c r="BS570" s="50" t="str">
        <f>Q1122</f>
        <v/>
      </c>
      <c r="BT570" s="50" t="e">
        <f>#REF!</f>
        <v>#REF!</v>
      </c>
      <c r="BU570" s="39" t="str">
        <f t="shared" si="832"/>
        <v/>
      </c>
      <c r="BV570" s="39" t="str">
        <f t="shared" si="825"/>
        <v/>
      </c>
    </row>
    <row r="571" spans="1:74" ht="14.25" customHeight="1" x14ac:dyDescent="0.35">
      <c r="A571" s="294"/>
      <c r="B571" s="296"/>
      <c r="C571" s="298"/>
      <c r="D571" s="300"/>
      <c r="E571" s="302"/>
      <c r="F571" s="304"/>
      <c r="G571" s="276"/>
      <c r="H571" s="277"/>
      <c r="I571" s="290"/>
      <c r="J571" s="290"/>
      <c r="K571" s="291"/>
      <c r="L571" s="17"/>
      <c r="M571" s="286"/>
      <c r="N571" s="21"/>
      <c r="O571" s="286"/>
      <c r="P571" s="21"/>
      <c r="Q571" s="286"/>
      <c r="R571" s="248"/>
      <c r="S571" s="287"/>
      <c r="T571" s="248"/>
      <c r="U571" s="13"/>
      <c r="V571" s="282"/>
      <c r="W571" s="283"/>
      <c r="X571" s="284"/>
      <c r="Y571" s="245"/>
      <c r="Z571" s="245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BP571" s="391"/>
      <c r="BQ571" s="393"/>
      <c r="BS571" s="50" t="str">
        <f>Q1124</f>
        <v/>
      </c>
      <c r="BT571" s="50" t="e">
        <f>#REF!</f>
        <v>#REF!</v>
      </c>
      <c r="BU571" s="39" t="str">
        <f t="shared" si="832"/>
        <v/>
      </c>
      <c r="BV571" s="39" t="str">
        <f t="shared" si="825"/>
        <v/>
      </c>
    </row>
    <row r="572" spans="1:74" ht="14.25" customHeight="1" x14ac:dyDescent="0.35">
      <c r="A572" s="293">
        <v>278</v>
      </c>
      <c r="B572" s="295"/>
      <c r="C572" s="297"/>
      <c r="D572" s="299"/>
      <c r="E572" s="301"/>
      <c r="F572" s="303"/>
      <c r="G572" s="288"/>
      <c r="H572" s="289"/>
      <c r="I572" s="290"/>
      <c r="J572" s="290"/>
      <c r="K572" s="291"/>
      <c r="L572" s="18"/>
      <c r="M572" s="285" t="str">
        <f t="shared" ref="M572" si="887">IF(COUNT(L572:L573)&lt;1,"",AVERAGE(L572:L573))</f>
        <v/>
      </c>
      <c r="N572" s="22"/>
      <c r="O572" s="285" t="str">
        <f t="shared" ref="O572" si="888">IF(COUNT(N572:N573)&lt;1,"",AVERAGE(N572:N573))</f>
        <v/>
      </c>
      <c r="P572" s="22"/>
      <c r="Q572" s="285" t="str">
        <f t="shared" ref="Q572" si="889">IF(COUNT(P572:P573)&lt;1,"",AVERAGE(P572:P573))</f>
        <v/>
      </c>
      <c r="R572" s="278" t="str">
        <f>IF($X$13="/28",IF(COUNT(P572:P573)&lt;=1,"",ABS(P572-P573)),IF($X$13="/90",IF(COUNT(#REF!)&lt;=1,"",ABS(#REF!-#REF!))))</f>
        <v/>
      </c>
      <c r="S572" s="278" t="str">
        <f>IF($X$13="/28",IF(Q572="","",IF(AVERAGE(Q568:Q573)&gt;=$W$13,ROUND(AVERAGE(Q568:Q573),1)&amp;" ≥ "&amp;$W$13&amp;" OK",ROUND(AVERAGE(Q568:Q573),1)&amp;" &lt; "&amp;$W$13&amp;" NC")),IF($X$13="/90",IF(#REF!="","",IF(AVERAGE(#REF!)&gt;=$W$13,ROUND(AVERAGE(#REF!),1)&amp;" ≥ "&amp;$W$13&amp;" OK",ROUND(AVERAGE(#REF!),1)&amp;" &lt; "&amp;$W$13&amp;" NC"))))</f>
        <v/>
      </c>
      <c r="T572" s="278" t="str">
        <f>IF($X$13="/28",IF(Q572="","",IF(Q572&gt;=$W$13-$S$12,ROUND((Q572),1)&amp;" ≥ "&amp;$W$13-$S$12&amp;" OK",ROUND((Q572),1)&amp;" &lt; "&amp;$W$13-$S$12&amp;" NC")),IF($X$13="/90",IF(#REF!="","",IF(#REF!&gt;=$W$13-$S$12,ROUND((#REF!),1)&amp;" ≥ "&amp;$W$13-$S$12&amp;" OK",ROUND((#REF!),1)&amp;" &lt; "&amp;$W$13-$S$12&amp;" NC"))))</f>
        <v/>
      </c>
      <c r="U572" s="14"/>
      <c r="V572" s="279"/>
      <c r="W572" s="280"/>
      <c r="X572" s="281"/>
      <c r="Y572" s="246"/>
      <c r="Z572" s="246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BP572" s="390" t="str">
        <f>IF($X$13="/28",IF(Q572="","",Q572),IF($X$13="/90",IF(#REF!="","",#REF!),"Falso"))</f>
        <v/>
      </c>
      <c r="BQ572" s="392" t="str">
        <f t="shared" si="870"/>
        <v/>
      </c>
      <c r="BS572" s="50" t="str">
        <f>Q1126</f>
        <v/>
      </c>
      <c r="BT572" s="50" t="e">
        <f>#REF!</f>
        <v>#REF!</v>
      </c>
      <c r="BU572" s="39" t="str">
        <f t="shared" si="832"/>
        <v/>
      </c>
      <c r="BV572" s="39" t="str">
        <f t="shared" si="825"/>
        <v/>
      </c>
    </row>
    <row r="573" spans="1:74" ht="14.25" customHeight="1" x14ac:dyDescent="0.35">
      <c r="A573" s="294"/>
      <c r="B573" s="296"/>
      <c r="C573" s="298"/>
      <c r="D573" s="300"/>
      <c r="E573" s="302"/>
      <c r="F573" s="304"/>
      <c r="G573" s="276"/>
      <c r="H573" s="277"/>
      <c r="I573" s="290"/>
      <c r="J573" s="290"/>
      <c r="K573" s="291"/>
      <c r="L573" s="17"/>
      <c r="M573" s="286"/>
      <c r="N573" s="21"/>
      <c r="O573" s="286"/>
      <c r="P573" s="21"/>
      <c r="Q573" s="286"/>
      <c r="R573" s="248"/>
      <c r="S573" s="287"/>
      <c r="T573" s="248"/>
      <c r="U573" s="13"/>
      <c r="V573" s="282"/>
      <c r="W573" s="283"/>
      <c r="X573" s="284"/>
      <c r="Y573" s="245"/>
      <c r="Z573" s="245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BP573" s="391"/>
      <c r="BQ573" s="393"/>
      <c r="BS573" s="50" t="str">
        <f>Q1128</f>
        <v/>
      </c>
      <c r="BT573" s="50" t="e">
        <f>#REF!</f>
        <v>#REF!</v>
      </c>
      <c r="BU573" s="39" t="str">
        <f t="shared" si="832"/>
        <v/>
      </c>
      <c r="BV573" s="39" t="str">
        <f t="shared" si="825"/>
        <v/>
      </c>
    </row>
    <row r="574" spans="1:74" ht="14.25" customHeight="1" x14ac:dyDescent="0.35">
      <c r="A574" s="293">
        <v>279</v>
      </c>
      <c r="B574" s="295"/>
      <c r="C574" s="297"/>
      <c r="D574" s="299"/>
      <c r="E574" s="301"/>
      <c r="F574" s="303"/>
      <c r="G574" s="288"/>
      <c r="H574" s="289"/>
      <c r="I574" s="290"/>
      <c r="J574" s="290"/>
      <c r="K574" s="291"/>
      <c r="L574" s="18"/>
      <c r="M574" s="285" t="str">
        <f t="shared" ref="M574" si="890">IF(COUNT(L574:L575)&lt;1,"",AVERAGE(L574:L575))</f>
        <v/>
      </c>
      <c r="N574" s="22"/>
      <c r="O574" s="285" t="str">
        <f t="shared" ref="O574" si="891">IF(COUNT(N574:N575)&lt;1,"",AVERAGE(N574:N575))</f>
        <v/>
      </c>
      <c r="P574" s="22"/>
      <c r="Q574" s="285" t="str">
        <f t="shared" ref="Q574" si="892">IF(COUNT(P574:P575)&lt;1,"",AVERAGE(P574:P575))</f>
        <v/>
      </c>
      <c r="R574" s="278" t="str">
        <f>IF($X$13="/28",IF(COUNT(P574:P575)&lt;=1,"",ABS(P574-P575)),IF($X$13="/90",IF(COUNT(#REF!)&lt;=1,"",ABS(#REF!-#REF!))))</f>
        <v/>
      </c>
      <c r="S574" s="278" t="str">
        <f>IF($X$13="/28",IF(Q574="","",IF(AVERAGE(Q570:Q575)&gt;=$W$13,ROUND(AVERAGE(Q570:Q575),1)&amp;" ≥ "&amp;$W$13&amp;" OK",ROUND(AVERAGE(Q570:Q575),1)&amp;" &lt; "&amp;$W$13&amp;" NC")),IF($X$13="/90",IF(#REF!="","",IF(AVERAGE(#REF!)&gt;=$W$13,ROUND(AVERAGE(#REF!),1)&amp;" ≥ "&amp;$W$13&amp;" OK",ROUND(AVERAGE(#REF!),1)&amp;" &lt; "&amp;$W$13&amp;" NC"))))</f>
        <v/>
      </c>
      <c r="T574" s="278" t="str">
        <f>IF($X$13="/28",IF(Q574="","",IF(Q574&gt;=$W$13-$S$12,ROUND((Q574),1)&amp;" ≥ "&amp;$W$13-$S$12&amp;" OK",ROUND((Q574),1)&amp;" &lt; "&amp;$W$13-$S$12&amp;" NC")),IF($X$13="/90",IF(#REF!="","",IF(#REF!&gt;=$W$13-$S$12,ROUND((#REF!),1)&amp;" ≥ "&amp;$W$13-$S$12&amp;" OK",ROUND((#REF!),1)&amp;" &lt; "&amp;$W$13-$S$12&amp;" NC"))))</f>
        <v/>
      </c>
      <c r="U574" s="14"/>
      <c r="V574" s="279"/>
      <c r="W574" s="280"/>
      <c r="X574" s="281"/>
      <c r="Y574" s="246"/>
      <c r="Z574" s="246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BP574" s="390" t="str">
        <f>IF($X$13="/28",IF(Q574="","",Q574),IF($X$13="/90",IF(#REF!="","",#REF!),"Falso"))</f>
        <v/>
      </c>
      <c r="BQ574" s="392" t="str">
        <f t="shared" si="874"/>
        <v/>
      </c>
      <c r="BS574" s="50" t="str">
        <f>Q1130</f>
        <v/>
      </c>
      <c r="BT574" s="50" t="e">
        <f>#REF!</f>
        <v>#REF!</v>
      </c>
      <c r="BU574" s="39" t="str">
        <f t="shared" si="832"/>
        <v/>
      </c>
      <c r="BV574" s="39" t="str">
        <f t="shared" si="825"/>
        <v/>
      </c>
    </row>
    <row r="575" spans="1:74" ht="14.25" customHeight="1" x14ac:dyDescent="0.35">
      <c r="A575" s="294"/>
      <c r="B575" s="296"/>
      <c r="C575" s="298"/>
      <c r="D575" s="300"/>
      <c r="E575" s="302"/>
      <c r="F575" s="304"/>
      <c r="G575" s="276"/>
      <c r="H575" s="277"/>
      <c r="I575" s="290"/>
      <c r="J575" s="290"/>
      <c r="K575" s="291"/>
      <c r="L575" s="17"/>
      <c r="M575" s="286"/>
      <c r="N575" s="21"/>
      <c r="O575" s="286"/>
      <c r="P575" s="21"/>
      <c r="Q575" s="286"/>
      <c r="R575" s="248"/>
      <c r="S575" s="287"/>
      <c r="T575" s="248"/>
      <c r="U575" s="13"/>
      <c r="V575" s="282"/>
      <c r="W575" s="283"/>
      <c r="X575" s="284"/>
      <c r="Y575" s="245"/>
      <c r="Z575" s="245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BP575" s="391"/>
      <c r="BQ575" s="393"/>
      <c r="BS575" s="50" t="str">
        <f>Q1132</f>
        <v/>
      </c>
      <c r="BT575" s="50" t="e">
        <f>#REF!</f>
        <v>#REF!</v>
      </c>
      <c r="BU575" s="39" t="str">
        <f t="shared" si="832"/>
        <v/>
      </c>
      <c r="BV575" s="39" t="str">
        <f t="shared" si="825"/>
        <v/>
      </c>
    </row>
    <row r="576" spans="1:74" ht="14.25" customHeight="1" x14ac:dyDescent="0.35">
      <c r="A576" s="293">
        <v>280</v>
      </c>
      <c r="B576" s="295"/>
      <c r="C576" s="297"/>
      <c r="D576" s="299"/>
      <c r="E576" s="301"/>
      <c r="F576" s="303"/>
      <c r="G576" s="288"/>
      <c r="H576" s="289"/>
      <c r="I576" s="290"/>
      <c r="J576" s="290"/>
      <c r="K576" s="291"/>
      <c r="L576" s="18"/>
      <c r="M576" s="285" t="str">
        <f t="shared" ref="M576" si="893">IF(COUNT(L576:L577)&lt;1,"",AVERAGE(L576:L577))</f>
        <v/>
      </c>
      <c r="N576" s="22"/>
      <c r="O576" s="285" t="str">
        <f t="shared" ref="O576" si="894">IF(COUNT(N576:N577)&lt;1,"",AVERAGE(N576:N577))</f>
        <v/>
      </c>
      <c r="P576" s="22"/>
      <c r="Q576" s="285" t="str">
        <f t="shared" ref="Q576" si="895">IF(COUNT(P576:P577)&lt;1,"",AVERAGE(P576:P577))</f>
        <v/>
      </c>
      <c r="R576" s="278" t="str">
        <f>IF($X$13="/28",IF(COUNT(P576:P577)&lt;=1,"",ABS(P576-P577)),IF($X$13="/90",IF(COUNT(#REF!)&lt;=1,"",ABS(#REF!-#REF!))))</f>
        <v/>
      </c>
      <c r="S576" s="278" t="str">
        <f>IF($X$13="/28",IF(Q576="","",IF(AVERAGE(Q572:Q577)&gt;=$W$13,ROUND(AVERAGE(Q572:Q577),1)&amp;" ≥ "&amp;$W$13&amp;" OK",ROUND(AVERAGE(Q572:Q577),1)&amp;" &lt; "&amp;$W$13&amp;" NC")),IF($X$13="/90",IF(#REF!="","",IF(AVERAGE(#REF!)&gt;=$W$13,ROUND(AVERAGE(#REF!),1)&amp;" ≥ "&amp;$W$13&amp;" OK",ROUND(AVERAGE(#REF!),1)&amp;" &lt; "&amp;$W$13&amp;" NC"))))</f>
        <v/>
      </c>
      <c r="T576" s="278" t="str">
        <f>IF($X$13="/28",IF(Q576="","",IF(Q576&gt;=$W$13-$S$12,ROUND((Q576),1)&amp;" ≥ "&amp;$W$13-$S$12&amp;" OK",ROUND((Q576),1)&amp;" &lt; "&amp;$W$13-$S$12&amp;" NC")),IF($X$13="/90",IF(#REF!="","",IF(#REF!&gt;=$W$13-$S$12,ROUND((#REF!),1)&amp;" ≥ "&amp;$W$13-$S$12&amp;" OK",ROUND((#REF!),1)&amp;" &lt; "&amp;$W$13-$S$12&amp;" NC"))))</f>
        <v/>
      </c>
      <c r="U576" s="14"/>
      <c r="V576" s="279"/>
      <c r="W576" s="280"/>
      <c r="X576" s="281"/>
      <c r="Y576" s="246"/>
      <c r="Z576" s="246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BP576" s="390" t="str">
        <f>IF($X$13="/28",IF(Q576="","",Q576),IF($X$13="/90",IF(#REF!="","",#REF!),"Falso"))</f>
        <v/>
      </c>
      <c r="BQ576" s="392" t="str">
        <f t="shared" si="866"/>
        <v/>
      </c>
      <c r="BS576" s="50" t="str">
        <f>Q1134</f>
        <v/>
      </c>
      <c r="BT576" s="50" t="e">
        <f>#REF!</f>
        <v>#REF!</v>
      </c>
      <c r="BU576" s="39" t="str">
        <f t="shared" si="832"/>
        <v/>
      </c>
      <c r="BV576" s="39" t="str">
        <f t="shared" si="825"/>
        <v/>
      </c>
    </row>
    <row r="577" spans="1:74" ht="14.25" customHeight="1" x14ac:dyDescent="0.35">
      <c r="A577" s="294"/>
      <c r="B577" s="296"/>
      <c r="C577" s="298"/>
      <c r="D577" s="300"/>
      <c r="E577" s="302"/>
      <c r="F577" s="304"/>
      <c r="G577" s="276"/>
      <c r="H577" s="277"/>
      <c r="I577" s="290"/>
      <c r="J577" s="290"/>
      <c r="K577" s="291"/>
      <c r="L577" s="17"/>
      <c r="M577" s="286"/>
      <c r="N577" s="21"/>
      <c r="O577" s="286"/>
      <c r="P577" s="21"/>
      <c r="Q577" s="286"/>
      <c r="R577" s="248"/>
      <c r="S577" s="287"/>
      <c r="T577" s="248"/>
      <c r="U577" s="13"/>
      <c r="V577" s="282"/>
      <c r="W577" s="283"/>
      <c r="X577" s="284"/>
      <c r="Y577" s="245"/>
      <c r="Z577" s="245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BP577" s="391"/>
      <c r="BQ577" s="393"/>
      <c r="BS577" s="50" t="str">
        <f>Q1136</f>
        <v/>
      </c>
      <c r="BT577" s="50" t="e">
        <f>#REF!</f>
        <v>#REF!</v>
      </c>
      <c r="BU577" s="39" t="str">
        <f t="shared" si="832"/>
        <v/>
      </c>
      <c r="BV577" s="39" t="str">
        <f t="shared" si="825"/>
        <v/>
      </c>
    </row>
    <row r="578" spans="1:74" ht="14.25" customHeight="1" x14ac:dyDescent="0.35">
      <c r="A578" s="293">
        <v>281</v>
      </c>
      <c r="B578" s="295"/>
      <c r="C578" s="297"/>
      <c r="D578" s="299"/>
      <c r="E578" s="301"/>
      <c r="F578" s="303"/>
      <c r="G578" s="288"/>
      <c r="H578" s="289"/>
      <c r="I578" s="290"/>
      <c r="J578" s="290"/>
      <c r="K578" s="291"/>
      <c r="L578" s="18"/>
      <c r="M578" s="285" t="str">
        <f t="shared" ref="M578" si="896">IF(COUNT(L578:L579)&lt;1,"",AVERAGE(L578:L579))</f>
        <v/>
      </c>
      <c r="N578" s="22"/>
      <c r="O578" s="285" t="str">
        <f t="shared" ref="O578" si="897">IF(COUNT(N578:N579)&lt;1,"",AVERAGE(N578:N579))</f>
        <v/>
      </c>
      <c r="P578" s="22"/>
      <c r="Q578" s="285" t="str">
        <f t="shared" ref="Q578" si="898">IF(COUNT(P578:P579)&lt;1,"",AVERAGE(P578:P579))</f>
        <v/>
      </c>
      <c r="R578" s="278" t="str">
        <f>IF($X$13="/28",IF(COUNT(P578:P579)&lt;=1,"",ABS(P578-P579)),IF($X$13="/90",IF(COUNT(#REF!)&lt;=1,"",ABS(#REF!-#REF!))))</f>
        <v/>
      </c>
      <c r="S578" s="278" t="str">
        <f>IF($X$13="/28",IF(Q578="","",IF(AVERAGE(Q574:Q579)&gt;=$W$13,ROUND(AVERAGE(Q574:Q579),1)&amp;" ≥ "&amp;$W$13&amp;" OK",ROUND(AVERAGE(Q574:Q579),1)&amp;" &lt; "&amp;$W$13&amp;" NC")),IF($X$13="/90",IF(#REF!="","",IF(AVERAGE(#REF!)&gt;=$W$13,ROUND(AVERAGE(#REF!),1)&amp;" ≥ "&amp;$W$13&amp;" OK",ROUND(AVERAGE(#REF!),1)&amp;" &lt; "&amp;$W$13&amp;" NC"))))</f>
        <v/>
      </c>
      <c r="T578" s="278" t="str">
        <f>IF($X$13="/28",IF(Q578="","",IF(Q578&gt;=$W$13-$S$12,ROUND((Q578),1)&amp;" ≥ "&amp;$W$13-$S$12&amp;" OK",ROUND((Q578),1)&amp;" &lt; "&amp;$W$13-$S$12&amp;" NC")),IF($X$13="/90",IF(#REF!="","",IF(#REF!&gt;=$W$13-$S$12,ROUND((#REF!),1)&amp;" ≥ "&amp;$W$13-$S$12&amp;" OK",ROUND((#REF!),1)&amp;" &lt; "&amp;$W$13-$S$12&amp;" NC"))))</f>
        <v/>
      </c>
      <c r="U578" s="14"/>
      <c r="V578" s="279"/>
      <c r="W578" s="280"/>
      <c r="X578" s="281"/>
      <c r="Y578" s="246"/>
      <c r="Z578" s="246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BP578" s="390" t="str">
        <f>IF($X$13="/28",IF(Q578="","",Q578),IF($X$13="/90",IF(#REF!="","",#REF!),"Falso"))</f>
        <v/>
      </c>
      <c r="BQ578" s="392" t="str">
        <f t="shared" si="870"/>
        <v/>
      </c>
      <c r="BS578" s="50" t="str">
        <f>Q1138</f>
        <v/>
      </c>
      <c r="BT578" s="50" t="e">
        <f>#REF!</f>
        <v>#REF!</v>
      </c>
      <c r="BU578" s="39" t="str">
        <f t="shared" si="832"/>
        <v/>
      </c>
      <c r="BV578" s="39" t="str">
        <f t="shared" si="825"/>
        <v/>
      </c>
    </row>
    <row r="579" spans="1:74" ht="14.25" customHeight="1" x14ac:dyDescent="0.35">
      <c r="A579" s="294"/>
      <c r="B579" s="296"/>
      <c r="C579" s="298"/>
      <c r="D579" s="300"/>
      <c r="E579" s="302"/>
      <c r="F579" s="304"/>
      <c r="G579" s="276"/>
      <c r="H579" s="277"/>
      <c r="I579" s="290"/>
      <c r="J579" s="290"/>
      <c r="K579" s="291"/>
      <c r="L579" s="17"/>
      <c r="M579" s="286"/>
      <c r="N579" s="21"/>
      <c r="O579" s="286"/>
      <c r="P579" s="21"/>
      <c r="Q579" s="286"/>
      <c r="R579" s="248"/>
      <c r="S579" s="287"/>
      <c r="T579" s="248"/>
      <c r="U579" s="13"/>
      <c r="V579" s="282"/>
      <c r="W579" s="283"/>
      <c r="X579" s="284"/>
      <c r="Y579" s="245"/>
      <c r="Z579" s="245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BP579" s="391"/>
      <c r="BQ579" s="393"/>
      <c r="BS579" s="50" t="str">
        <f>Q1140</f>
        <v/>
      </c>
      <c r="BT579" s="50" t="e">
        <f>#REF!</f>
        <v>#REF!</v>
      </c>
      <c r="BU579" s="39" t="str">
        <f t="shared" si="832"/>
        <v/>
      </c>
      <c r="BV579" s="39" t="str">
        <f t="shared" si="825"/>
        <v/>
      </c>
    </row>
    <row r="580" spans="1:74" ht="14.25" customHeight="1" x14ac:dyDescent="0.35">
      <c r="A580" s="293">
        <v>282</v>
      </c>
      <c r="B580" s="295"/>
      <c r="C580" s="297"/>
      <c r="D580" s="299"/>
      <c r="E580" s="301"/>
      <c r="F580" s="303"/>
      <c r="G580" s="288"/>
      <c r="H580" s="289"/>
      <c r="I580" s="290"/>
      <c r="J580" s="290"/>
      <c r="K580" s="291"/>
      <c r="L580" s="18"/>
      <c r="M580" s="285" t="str">
        <f t="shared" ref="M580" si="899">IF(COUNT(L580:L581)&lt;1,"",AVERAGE(L580:L581))</f>
        <v/>
      </c>
      <c r="N580" s="22"/>
      <c r="O580" s="285" t="str">
        <f t="shared" ref="O580" si="900">IF(COUNT(N580:N581)&lt;1,"",AVERAGE(N580:N581))</f>
        <v/>
      </c>
      <c r="P580" s="22"/>
      <c r="Q580" s="285" t="str">
        <f t="shared" ref="Q580" si="901">IF(COUNT(P580:P581)&lt;1,"",AVERAGE(P580:P581))</f>
        <v/>
      </c>
      <c r="R580" s="278" t="str">
        <f>IF($X$13="/28",IF(COUNT(P580:P581)&lt;=1,"",ABS(P580-P581)),IF($X$13="/90",IF(COUNT(#REF!)&lt;=1,"",ABS(#REF!-#REF!))))</f>
        <v/>
      </c>
      <c r="S580" s="278" t="str">
        <f>IF($X$13="/28",IF(Q580="","",IF(AVERAGE(Q576:Q581)&gt;=$W$13,ROUND(AVERAGE(Q576:Q581),1)&amp;" ≥ "&amp;$W$13&amp;" OK",ROUND(AVERAGE(Q576:Q581),1)&amp;" &lt; "&amp;$W$13&amp;" NC")),IF($X$13="/90",IF(#REF!="","",IF(AVERAGE(#REF!)&gt;=$W$13,ROUND(AVERAGE(#REF!),1)&amp;" ≥ "&amp;$W$13&amp;" OK",ROUND(AVERAGE(#REF!),1)&amp;" &lt; "&amp;$W$13&amp;" NC"))))</f>
        <v/>
      </c>
      <c r="T580" s="278" t="str">
        <f>IF($X$13="/28",IF(Q580="","",IF(Q580&gt;=$W$13-$S$12,ROUND((Q580),1)&amp;" ≥ "&amp;$W$13-$S$12&amp;" OK",ROUND((Q580),1)&amp;" &lt; "&amp;$W$13-$S$12&amp;" NC")),IF($X$13="/90",IF(#REF!="","",IF(#REF!&gt;=$W$13-$S$12,ROUND((#REF!),1)&amp;" ≥ "&amp;$W$13-$S$12&amp;" OK",ROUND((#REF!),1)&amp;" &lt; "&amp;$W$13-$S$12&amp;" NC"))))</f>
        <v/>
      </c>
      <c r="U580" s="14"/>
      <c r="V580" s="279"/>
      <c r="W580" s="280"/>
      <c r="X580" s="281"/>
      <c r="Y580" s="246"/>
      <c r="Z580" s="246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BP580" s="390" t="str">
        <f>IF($X$13="/28",IF(Q580="","",Q580),IF($X$13="/90",IF(#REF!="","",#REF!),"Falso"))</f>
        <v/>
      </c>
      <c r="BQ580" s="392" t="str">
        <f t="shared" si="874"/>
        <v/>
      </c>
      <c r="BS580" s="50" t="str">
        <f>Q1142</f>
        <v/>
      </c>
      <c r="BT580" s="50" t="e">
        <f>#REF!</f>
        <v>#REF!</v>
      </c>
      <c r="BU580" s="39" t="str">
        <f t="shared" si="832"/>
        <v/>
      </c>
      <c r="BV580" s="39" t="str">
        <f t="shared" si="825"/>
        <v/>
      </c>
    </row>
    <row r="581" spans="1:74" ht="14.25" customHeight="1" x14ac:dyDescent="0.35">
      <c r="A581" s="294"/>
      <c r="B581" s="296"/>
      <c r="C581" s="298"/>
      <c r="D581" s="300"/>
      <c r="E581" s="302"/>
      <c r="F581" s="304"/>
      <c r="G581" s="276"/>
      <c r="H581" s="277"/>
      <c r="I581" s="290"/>
      <c r="J581" s="290"/>
      <c r="K581" s="291"/>
      <c r="L581" s="17"/>
      <c r="M581" s="286"/>
      <c r="N581" s="21"/>
      <c r="O581" s="286"/>
      <c r="P581" s="21"/>
      <c r="Q581" s="286"/>
      <c r="R581" s="248"/>
      <c r="S581" s="287"/>
      <c r="T581" s="248"/>
      <c r="U581" s="13"/>
      <c r="V581" s="282"/>
      <c r="W581" s="283"/>
      <c r="X581" s="284"/>
      <c r="Y581" s="245"/>
      <c r="Z581" s="245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BP581" s="391"/>
      <c r="BQ581" s="393"/>
      <c r="BS581" s="50" t="str">
        <f>Q1144</f>
        <v/>
      </c>
      <c r="BT581" s="50" t="e">
        <f>#REF!</f>
        <v>#REF!</v>
      </c>
      <c r="BU581" s="39" t="str">
        <f t="shared" si="832"/>
        <v/>
      </c>
      <c r="BV581" s="39" t="str">
        <f t="shared" si="825"/>
        <v/>
      </c>
    </row>
    <row r="582" spans="1:74" ht="14.25" customHeight="1" x14ac:dyDescent="0.35">
      <c r="A582" s="293">
        <v>283</v>
      </c>
      <c r="B582" s="295"/>
      <c r="C582" s="297"/>
      <c r="D582" s="299"/>
      <c r="E582" s="301"/>
      <c r="F582" s="303"/>
      <c r="G582" s="288"/>
      <c r="H582" s="289"/>
      <c r="I582" s="290"/>
      <c r="J582" s="290"/>
      <c r="K582" s="291"/>
      <c r="L582" s="18"/>
      <c r="M582" s="285" t="str">
        <f t="shared" ref="M582" si="902">IF(COUNT(L582:L583)&lt;1,"",AVERAGE(L582:L583))</f>
        <v/>
      </c>
      <c r="N582" s="22"/>
      <c r="O582" s="285" t="str">
        <f t="shared" ref="O582" si="903">IF(COUNT(N582:N583)&lt;1,"",AVERAGE(N582:N583))</f>
        <v/>
      </c>
      <c r="P582" s="22"/>
      <c r="Q582" s="285" t="str">
        <f t="shared" ref="Q582" si="904">IF(COUNT(P582:P583)&lt;1,"",AVERAGE(P582:P583))</f>
        <v/>
      </c>
      <c r="R582" s="278" t="str">
        <f>IF($X$13="/28",IF(COUNT(P582:P583)&lt;=1,"",ABS(P582-P583)),IF($X$13="/90",IF(COUNT(#REF!)&lt;=1,"",ABS(#REF!-#REF!))))</f>
        <v/>
      </c>
      <c r="S582" s="278" t="str">
        <f>IF($X$13="/28",IF(Q582="","",IF(AVERAGE(Q578:Q583)&gt;=$W$13,ROUND(AVERAGE(Q578:Q583),1)&amp;" ≥ "&amp;$W$13&amp;" OK",ROUND(AVERAGE(Q578:Q583),1)&amp;" &lt; "&amp;$W$13&amp;" NC")),IF($X$13="/90",IF(#REF!="","",IF(AVERAGE(#REF!)&gt;=$W$13,ROUND(AVERAGE(#REF!),1)&amp;" ≥ "&amp;$W$13&amp;" OK",ROUND(AVERAGE(#REF!),1)&amp;" &lt; "&amp;$W$13&amp;" NC"))))</f>
        <v/>
      </c>
      <c r="T582" s="278" t="str">
        <f>IF($X$13="/28",IF(Q582="","",IF(Q582&gt;=$W$13-$S$12,ROUND((Q582),1)&amp;" ≥ "&amp;$W$13-$S$12&amp;" OK",ROUND((Q582),1)&amp;" &lt; "&amp;$W$13-$S$12&amp;" NC")),IF($X$13="/90",IF(#REF!="","",IF(#REF!&gt;=$W$13-$S$12,ROUND((#REF!),1)&amp;" ≥ "&amp;$W$13-$S$12&amp;" OK",ROUND((#REF!),1)&amp;" &lt; "&amp;$W$13-$S$12&amp;" NC"))))</f>
        <v/>
      </c>
      <c r="U582" s="14"/>
      <c r="V582" s="279"/>
      <c r="W582" s="280"/>
      <c r="X582" s="281"/>
      <c r="Y582" s="246"/>
      <c r="Z582" s="246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BP582" s="390" t="str">
        <f>IF($X$13="/28",IF(Q582="","",Q582),IF($X$13="/90",IF(#REF!="","",#REF!),"Falso"))</f>
        <v/>
      </c>
      <c r="BQ582" s="392" t="str">
        <f t="shared" si="866"/>
        <v/>
      </c>
      <c r="BS582" s="50" t="str">
        <f>Q1146</f>
        <v/>
      </c>
      <c r="BT582" s="50" t="e">
        <f>#REF!</f>
        <v>#REF!</v>
      </c>
      <c r="BU582" s="39" t="str">
        <f t="shared" si="832"/>
        <v/>
      </c>
      <c r="BV582" s="39" t="str">
        <f t="shared" si="825"/>
        <v/>
      </c>
    </row>
    <row r="583" spans="1:74" ht="14.25" customHeight="1" x14ac:dyDescent="0.35">
      <c r="A583" s="294"/>
      <c r="B583" s="296"/>
      <c r="C583" s="298"/>
      <c r="D583" s="300"/>
      <c r="E583" s="302"/>
      <c r="F583" s="304"/>
      <c r="G583" s="276"/>
      <c r="H583" s="277"/>
      <c r="I583" s="290"/>
      <c r="J583" s="290"/>
      <c r="K583" s="291"/>
      <c r="L583" s="17"/>
      <c r="M583" s="286"/>
      <c r="N583" s="21"/>
      <c r="O583" s="286"/>
      <c r="P583" s="21"/>
      <c r="Q583" s="286"/>
      <c r="R583" s="248"/>
      <c r="S583" s="287"/>
      <c r="T583" s="248"/>
      <c r="U583" s="13"/>
      <c r="V583" s="282"/>
      <c r="W583" s="283"/>
      <c r="X583" s="284"/>
      <c r="Y583" s="245"/>
      <c r="Z583" s="245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BP583" s="391"/>
      <c r="BQ583" s="393"/>
      <c r="BS583" s="50" t="str">
        <f>Q1148</f>
        <v/>
      </c>
      <c r="BT583" s="50" t="e">
        <f>#REF!</f>
        <v>#REF!</v>
      </c>
      <c r="BU583" s="39" t="str">
        <f t="shared" si="832"/>
        <v/>
      </c>
      <c r="BV583" s="39" t="str">
        <f t="shared" si="825"/>
        <v/>
      </c>
    </row>
    <row r="584" spans="1:74" ht="14.25" customHeight="1" x14ac:dyDescent="0.35">
      <c r="A584" s="293">
        <v>284</v>
      </c>
      <c r="B584" s="295"/>
      <c r="C584" s="297"/>
      <c r="D584" s="299"/>
      <c r="E584" s="301"/>
      <c r="F584" s="303"/>
      <c r="G584" s="288"/>
      <c r="H584" s="289"/>
      <c r="I584" s="290"/>
      <c r="J584" s="290"/>
      <c r="K584" s="291"/>
      <c r="L584" s="18"/>
      <c r="M584" s="285" t="str">
        <f t="shared" ref="M584" si="905">IF(COUNT(L584:L585)&lt;1,"",AVERAGE(L584:L585))</f>
        <v/>
      </c>
      <c r="N584" s="22"/>
      <c r="O584" s="285" t="str">
        <f t="shared" ref="O584" si="906">IF(COUNT(N584:N585)&lt;1,"",AVERAGE(N584:N585))</f>
        <v/>
      </c>
      <c r="P584" s="22"/>
      <c r="Q584" s="285" t="str">
        <f t="shared" ref="Q584" si="907">IF(COUNT(P584:P585)&lt;1,"",AVERAGE(P584:P585))</f>
        <v/>
      </c>
      <c r="R584" s="278" t="str">
        <f>IF($X$13="/28",IF(COUNT(P584:P585)&lt;=1,"",ABS(P584-P585)),IF($X$13="/90",IF(COUNT(#REF!)&lt;=1,"",ABS(#REF!-#REF!))))</f>
        <v/>
      </c>
      <c r="S584" s="278" t="str">
        <f>IF($X$13="/28",IF(Q584="","",IF(AVERAGE(Q580:Q585)&gt;=$W$13,ROUND(AVERAGE(Q580:Q585),1)&amp;" ≥ "&amp;$W$13&amp;" OK",ROUND(AVERAGE(Q580:Q585),1)&amp;" &lt; "&amp;$W$13&amp;" NC")),IF($X$13="/90",IF(#REF!="","",IF(AVERAGE(#REF!)&gt;=$W$13,ROUND(AVERAGE(#REF!),1)&amp;" ≥ "&amp;$W$13&amp;" OK",ROUND(AVERAGE(#REF!),1)&amp;" &lt; "&amp;$W$13&amp;" NC"))))</f>
        <v/>
      </c>
      <c r="T584" s="278" t="str">
        <f>IF($X$13="/28",IF(Q584="","",IF(Q584&gt;=$W$13-$S$12,ROUND((Q584),1)&amp;" ≥ "&amp;$W$13-$S$12&amp;" OK",ROUND((Q584),1)&amp;" &lt; "&amp;$W$13-$S$12&amp;" NC")),IF($X$13="/90",IF(#REF!="","",IF(#REF!&gt;=$W$13-$S$12,ROUND((#REF!),1)&amp;" ≥ "&amp;$W$13-$S$12&amp;" OK",ROUND((#REF!),1)&amp;" &lt; "&amp;$W$13-$S$12&amp;" NC"))))</f>
        <v/>
      </c>
      <c r="U584" s="14"/>
      <c r="V584" s="279"/>
      <c r="W584" s="280"/>
      <c r="X584" s="281"/>
      <c r="Y584" s="246"/>
      <c r="Z584" s="246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BP584" s="390" t="str">
        <f>IF($X$13="/28",IF(Q584="","",Q584),IF($X$13="/90",IF(#REF!="","",#REF!),"Falso"))</f>
        <v/>
      </c>
      <c r="BQ584" s="392" t="str">
        <f t="shared" si="870"/>
        <v/>
      </c>
      <c r="BS584" s="50" t="str">
        <f>Q1150</f>
        <v/>
      </c>
      <c r="BT584" s="50" t="e">
        <f>#REF!</f>
        <v>#REF!</v>
      </c>
      <c r="BU584" s="39" t="str">
        <f t="shared" si="832"/>
        <v/>
      </c>
      <c r="BV584" s="39" t="str">
        <f t="shared" si="825"/>
        <v/>
      </c>
    </row>
    <row r="585" spans="1:74" ht="14.25" customHeight="1" x14ac:dyDescent="0.35">
      <c r="A585" s="294"/>
      <c r="B585" s="296"/>
      <c r="C585" s="298"/>
      <c r="D585" s="300"/>
      <c r="E585" s="302"/>
      <c r="F585" s="304"/>
      <c r="G585" s="276"/>
      <c r="H585" s="277"/>
      <c r="I585" s="290"/>
      <c r="J585" s="290"/>
      <c r="K585" s="291"/>
      <c r="L585" s="17"/>
      <c r="M585" s="286"/>
      <c r="N585" s="21"/>
      <c r="O585" s="286"/>
      <c r="P585" s="21"/>
      <c r="Q585" s="286"/>
      <c r="R585" s="248"/>
      <c r="S585" s="287"/>
      <c r="T585" s="248"/>
      <c r="U585" s="13"/>
      <c r="V585" s="282"/>
      <c r="W585" s="283"/>
      <c r="X585" s="284"/>
      <c r="Y585" s="245"/>
      <c r="Z585" s="245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BP585" s="391"/>
      <c r="BQ585" s="393"/>
      <c r="BS585" s="50" t="str">
        <f>Q1152</f>
        <v/>
      </c>
      <c r="BT585" s="50" t="e">
        <f>#REF!</f>
        <v>#REF!</v>
      </c>
      <c r="BU585" s="39" t="str">
        <f t="shared" si="832"/>
        <v/>
      </c>
      <c r="BV585" s="39" t="str">
        <f t="shared" si="825"/>
        <v/>
      </c>
    </row>
    <row r="586" spans="1:74" ht="14.25" customHeight="1" x14ac:dyDescent="0.35">
      <c r="A586" s="293">
        <v>285</v>
      </c>
      <c r="B586" s="295"/>
      <c r="C586" s="297"/>
      <c r="D586" s="299"/>
      <c r="E586" s="301"/>
      <c r="F586" s="303"/>
      <c r="G586" s="288"/>
      <c r="H586" s="289"/>
      <c r="I586" s="290"/>
      <c r="J586" s="290"/>
      <c r="K586" s="291"/>
      <c r="L586" s="18"/>
      <c r="M586" s="285" t="str">
        <f t="shared" ref="M586" si="908">IF(COUNT(L586:L587)&lt;1,"",AVERAGE(L586:L587))</f>
        <v/>
      </c>
      <c r="N586" s="22"/>
      <c r="O586" s="285" t="str">
        <f t="shared" ref="O586" si="909">IF(COUNT(N586:N587)&lt;1,"",AVERAGE(N586:N587))</f>
        <v/>
      </c>
      <c r="P586" s="22"/>
      <c r="Q586" s="285" t="str">
        <f t="shared" ref="Q586" si="910">IF(COUNT(P586:P587)&lt;1,"",AVERAGE(P586:P587))</f>
        <v/>
      </c>
      <c r="R586" s="278" t="str">
        <f>IF($X$13="/28",IF(COUNT(P586:P587)&lt;=1,"",ABS(P586-P587)),IF($X$13="/90",IF(COUNT(#REF!)&lt;=1,"",ABS(#REF!-#REF!))))</f>
        <v/>
      </c>
      <c r="S586" s="278" t="str">
        <f>IF($X$13="/28",IF(Q586="","",IF(AVERAGE(Q582:Q587)&gt;=$W$13,ROUND(AVERAGE(Q582:Q587),1)&amp;" ≥ "&amp;$W$13&amp;" OK",ROUND(AVERAGE(Q582:Q587),1)&amp;" &lt; "&amp;$W$13&amp;" NC")),IF($X$13="/90",IF(#REF!="","",IF(AVERAGE(#REF!)&gt;=$W$13,ROUND(AVERAGE(#REF!),1)&amp;" ≥ "&amp;$W$13&amp;" OK",ROUND(AVERAGE(#REF!),1)&amp;" &lt; "&amp;$W$13&amp;" NC"))))</f>
        <v/>
      </c>
      <c r="T586" s="278" t="str">
        <f>IF($X$13="/28",IF(Q586="","",IF(Q586&gt;=$W$13-$S$12,ROUND((Q586),1)&amp;" ≥ "&amp;$W$13-$S$12&amp;" OK",ROUND((Q586),1)&amp;" &lt; "&amp;$W$13-$S$12&amp;" NC")),IF($X$13="/90",IF(#REF!="","",IF(#REF!&gt;=$W$13-$S$12,ROUND((#REF!),1)&amp;" ≥ "&amp;$W$13-$S$12&amp;" OK",ROUND((#REF!),1)&amp;" &lt; "&amp;$W$13-$S$12&amp;" NC"))))</f>
        <v/>
      </c>
      <c r="U586" s="14"/>
      <c r="V586" s="279"/>
      <c r="W586" s="280"/>
      <c r="X586" s="281"/>
      <c r="Y586" s="246"/>
      <c r="Z586" s="246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BP586" s="390" t="str">
        <f>IF($X$13="/28",IF(Q586="","",Q586),IF($X$13="/90",IF(#REF!="","",#REF!),"Falso"))</f>
        <v/>
      </c>
      <c r="BQ586" s="392" t="str">
        <f t="shared" si="874"/>
        <v/>
      </c>
      <c r="BS586" s="50" t="str">
        <f>Q1154</f>
        <v/>
      </c>
      <c r="BT586" s="50" t="e">
        <f>#REF!</f>
        <v>#REF!</v>
      </c>
      <c r="BU586" s="39" t="str">
        <f t="shared" si="832"/>
        <v/>
      </c>
      <c r="BV586" s="39" t="str">
        <f t="shared" si="825"/>
        <v/>
      </c>
    </row>
    <row r="587" spans="1:74" ht="14.25" customHeight="1" x14ac:dyDescent="0.35">
      <c r="A587" s="294"/>
      <c r="B587" s="296"/>
      <c r="C587" s="298"/>
      <c r="D587" s="300"/>
      <c r="E587" s="302"/>
      <c r="F587" s="304"/>
      <c r="G587" s="276"/>
      <c r="H587" s="277"/>
      <c r="I587" s="290"/>
      <c r="J587" s="290"/>
      <c r="K587" s="291"/>
      <c r="L587" s="17"/>
      <c r="M587" s="286"/>
      <c r="N587" s="21"/>
      <c r="O587" s="286"/>
      <c r="P587" s="21"/>
      <c r="Q587" s="286"/>
      <c r="R587" s="248"/>
      <c r="S587" s="287"/>
      <c r="T587" s="248"/>
      <c r="U587" s="13"/>
      <c r="V587" s="282"/>
      <c r="W587" s="283"/>
      <c r="X587" s="284"/>
      <c r="Y587" s="245"/>
      <c r="Z587" s="245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BP587" s="391"/>
      <c r="BQ587" s="393"/>
      <c r="BS587" s="50" t="str">
        <f>Q1156</f>
        <v/>
      </c>
      <c r="BT587" s="50" t="e">
        <f>#REF!</f>
        <v>#REF!</v>
      </c>
      <c r="BU587" s="39" t="str">
        <f t="shared" si="832"/>
        <v/>
      </c>
      <c r="BV587" s="39" t="str">
        <f t="shared" si="825"/>
        <v/>
      </c>
    </row>
    <row r="588" spans="1:74" ht="14.25" customHeight="1" x14ac:dyDescent="0.35">
      <c r="A588" s="293">
        <v>286</v>
      </c>
      <c r="B588" s="295"/>
      <c r="C588" s="297"/>
      <c r="D588" s="299"/>
      <c r="E588" s="301"/>
      <c r="F588" s="303"/>
      <c r="G588" s="288"/>
      <c r="H588" s="289"/>
      <c r="I588" s="290"/>
      <c r="J588" s="290"/>
      <c r="K588" s="291"/>
      <c r="L588" s="18"/>
      <c r="M588" s="285" t="str">
        <f t="shared" ref="M588" si="911">IF(COUNT(L588:L589)&lt;1,"",AVERAGE(L588:L589))</f>
        <v/>
      </c>
      <c r="N588" s="22"/>
      <c r="O588" s="285" t="str">
        <f t="shared" ref="O588" si="912">IF(COUNT(N588:N589)&lt;1,"",AVERAGE(N588:N589))</f>
        <v/>
      </c>
      <c r="P588" s="22"/>
      <c r="Q588" s="285" t="str">
        <f t="shared" ref="Q588" si="913">IF(COUNT(P588:P589)&lt;1,"",AVERAGE(P588:P589))</f>
        <v/>
      </c>
      <c r="R588" s="278" t="str">
        <f>IF($X$13="/28",IF(COUNT(P588:P589)&lt;=1,"",ABS(P588-P589)),IF($X$13="/90",IF(COUNT(#REF!)&lt;=1,"",ABS(#REF!-#REF!))))</f>
        <v/>
      </c>
      <c r="S588" s="278" t="str">
        <f>IF($X$13="/28",IF(Q588="","",IF(AVERAGE(Q584:Q589)&gt;=$W$13,ROUND(AVERAGE(Q584:Q589),1)&amp;" ≥ "&amp;$W$13&amp;" OK",ROUND(AVERAGE(Q584:Q589),1)&amp;" &lt; "&amp;$W$13&amp;" NC")),IF($X$13="/90",IF(#REF!="","",IF(AVERAGE(#REF!)&gt;=$W$13,ROUND(AVERAGE(#REF!),1)&amp;" ≥ "&amp;$W$13&amp;" OK",ROUND(AVERAGE(#REF!),1)&amp;" &lt; "&amp;$W$13&amp;" NC"))))</f>
        <v/>
      </c>
      <c r="T588" s="278" t="str">
        <f>IF($X$13="/28",IF(Q588="","",IF(Q588&gt;=$W$13-$S$12,ROUND((Q588),1)&amp;" ≥ "&amp;$W$13-$S$12&amp;" OK",ROUND((Q588),1)&amp;" &lt; "&amp;$W$13-$S$12&amp;" NC")),IF($X$13="/90",IF(#REF!="","",IF(#REF!&gt;=$W$13-$S$12,ROUND((#REF!),1)&amp;" ≥ "&amp;$W$13-$S$12&amp;" OK",ROUND((#REF!),1)&amp;" &lt; "&amp;$W$13-$S$12&amp;" NC"))))</f>
        <v/>
      </c>
      <c r="U588" s="14"/>
      <c r="V588" s="279"/>
      <c r="W588" s="280"/>
      <c r="X588" s="281"/>
      <c r="Y588" s="246"/>
      <c r="Z588" s="246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BP588" s="390" t="str">
        <f>IF($X$13="/28",IF(Q588="","",Q588),IF($X$13="/90",IF(#REF!="","",#REF!),"Falso"))</f>
        <v/>
      </c>
      <c r="BQ588" s="392" t="str">
        <f t="shared" si="866"/>
        <v/>
      </c>
      <c r="BS588" s="50" t="str">
        <f>Q1158</f>
        <v/>
      </c>
      <c r="BT588" s="50" t="e">
        <f>#REF!</f>
        <v>#REF!</v>
      </c>
      <c r="BU588" s="39" t="str">
        <f t="shared" si="832"/>
        <v/>
      </c>
      <c r="BV588" s="39" t="str">
        <f t="shared" si="825"/>
        <v/>
      </c>
    </row>
    <row r="589" spans="1:74" ht="14.25" customHeight="1" x14ac:dyDescent="0.35">
      <c r="A589" s="294"/>
      <c r="B589" s="296"/>
      <c r="C589" s="298"/>
      <c r="D589" s="300"/>
      <c r="E589" s="302"/>
      <c r="F589" s="304"/>
      <c r="G589" s="276"/>
      <c r="H589" s="277"/>
      <c r="I589" s="290"/>
      <c r="J589" s="290"/>
      <c r="K589" s="291"/>
      <c r="L589" s="17"/>
      <c r="M589" s="286"/>
      <c r="N589" s="21"/>
      <c r="O589" s="286"/>
      <c r="P589" s="21"/>
      <c r="Q589" s="286"/>
      <c r="R589" s="248"/>
      <c r="S589" s="287"/>
      <c r="T589" s="248"/>
      <c r="U589" s="13"/>
      <c r="V589" s="282"/>
      <c r="W589" s="283"/>
      <c r="X589" s="284"/>
      <c r="Y589" s="245"/>
      <c r="Z589" s="245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BP589" s="391"/>
      <c r="BQ589" s="393"/>
      <c r="BS589" s="50" t="str">
        <f>Q1160</f>
        <v/>
      </c>
      <c r="BT589" s="50" t="e">
        <f>#REF!</f>
        <v>#REF!</v>
      </c>
      <c r="BU589" s="39" t="str">
        <f t="shared" si="832"/>
        <v/>
      </c>
      <c r="BV589" s="39" t="str">
        <f t="shared" si="825"/>
        <v/>
      </c>
    </row>
    <row r="590" spans="1:74" ht="14.25" customHeight="1" x14ac:dyDescent="0.35">
      <c r="A590" s="293">
        <v>287</v>
      </c>
      <c r="B590" s="295"/>
      <c r="C590" s="297"/>
      <c r="D590" s="299"/>
      <c r="E590" s="301"/>
      <c r="F590" s="303"/>
      <c r="G590" s="288"/>
      <c r="H590" s="289"/>
      <c r="I590" s="290"/>
      <c r="J590" s="290"/>
      <c r="K590" s="291"/>
      <c r="L590" s="18"/>
      <c r="M590" s="285" t="str">
        <f t="shared" ref="M590" si="914">IF(COUNT(L590:L591)&lt;1,"",AVERAGE(L590:L591))</f>
        <v/>
      </c>
      <c r="N590" s="22"/>
      <c r="O590" s="285" t="str">
        <f t="shared" ref="O590" si="915">IF(COUNT(N590:N591)&lt;1,"",AVERAGE(N590:N591))</f>
        <v/>
      </c>
      <c r="P590" s="22"/>
      <c r="Q590" s="285" t="str">
        <f t="shared" ref="Q590" si="916">IF(COUNT(P590:P591)&lt;1,"",AVERAGE(P590:P591))</f>
        <v/>
      </c>
      <c r="R590" s="278" t="str">
        <f>IF($X$13="/28",IF(COUNT(P590:P591)&lt;=1,"",ABS(P590-P591)),IF($X$13="/90",IF(COUNT(#REF!)&lt;=1,"",ABS(#REF!-#REF!))))</f>
        <v/>
      </c>
      <c r="S590" s="278" t="str">
        <f>IF($X$13="/28",IF(Q590="","",IF(AVERAGE(Q586:Q591)&gt;=$W$13,ROUND(AVERAGE(Q586:Q591),1)&amp;" ≥ "&amp;$W$13&amp;" OK",ROUND(AVERAGE(Q586:Q591),1)&amp;" &lt; "&amp;$W$13&amp;" NC")),IF($X$13="/90",IF(#REF!="","",IF(AVERAGE(#REF!)&gt;=$W$13,ROUND(AVERAGE(#REF!),1)&amp;" ≥ "&amp;$W$13&amp;" OK",ROUND(AVERAGE(#REF!),1)&amp;" &lt; "&amp;$W$13&amp;" NC"))))</f>
        <v/>
      </c>
      <c r="T590" s="278" t="str">
        <f>IF($X$13="/28",IF(Q590="","",IF(Q590&gt;=$W$13-$S$12,ROUND((Q590),1)&amp;" ≥ "&amp;$W$13-$S$12&amp;" OK",ROUND((Q590),1)&amp;" &lt; "&amp;$W$13-$S$12&amp;" NC")),IF($X$13="/90",IF(#REF!="","",IF(#REF!&gt;=$W$13-$S$12,ROUND((#REF!),1)&amp;" ≥ "&amp;$W$13-$S$12&amp;" OK",ROUND((#REF!),1)&amp;" &lt; "&amp;$W$13-$S$12&amp;" NC"))))</f>
        <v/>
      </c>
      <c r="U590" s="14"/>
      <c r="V590" s="279"/>
      <c r="W590" s="280"/>
      <c r="X590" s="281"/>
      <c r="Y590" s="246"/>
      <c r="Z590" s="246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BP590" s="390" t="str">
        <f>IF($X$13="/28",IF(Q590="","",Q590),IF($X$13="/90",IF(#REF!="","",#REF!),"Falso"))</f>
        <v/>
      </c>
      <c r="BQ590" s="392" t="str">
        <f t="shared" si="870"/>
        <v/>
      </c>
      <c r="BS590" s="50" t="str">
        <f>Q1162</f>
        <v/>
      </c>
      <c r="BT590" s="50" t="e">
        <f>#REF!</f>
        <v>#REF!</v>
      </c>
      <c r="BU590" s="39" t="str">
        <f t="shared" si="832"/>
        <v/>
      </c>
      <c r="BV590" s="39" t="str">
        <f t="shared" si="825"/>
        <v/>
      </c>
    </row>
    <row r="591" spans="1:74" ht="14.25" customHeight="1" x14ac:dyDescent="0.35">
      <c r="A591" s="294"/>
      <c r="B591" s="296"/>
      <c r="C591" s="298"/>
      <c r="D591" s="300"/>
      <c r="E591" s="302"/>
      <c r="F591" s="304"/>
      <c r="G591" s="276"/>
      <c r="H591" s="277"/>
      <c r="I591" s="290"/>
      <c r="J591" s="290"/>
      <c r="K591" s="291"/>
      <c r="L591" s="17"/>
      <c r="M591" s="286"/>
      <c r="N591" s="21"/>
      <c r="O591" s="286"/>
      <c r="P591" s="21"/>
      <c r="Q591" s="286"/>
      <c r="R591" s="248"/>
      <c r="S591" s="287"/>
      <c r="T591" s="248"/>
      <c r="U591" s="13"/>
      <c r="V591" s="282"/>
      <c r="W591" s="283"/>
      <c r="X591" s="284"/>
      <c r="Y591" s="245"/>
      <c r="Z591" s="245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BP591" s="391"/>
      <c r="BQ591" s="393"/>
      <c r="BS591" s="50" t="str">
        <f>Q1164</f>
        <v/>
      </c>
      <c r="BT591" s="50" t="e">
        <f>#REF!</f>
        <v>#REF!</v>
      </c>
      <c r="BU591" s="39" t="str">
        <f t="shared" si="832"/>
        <v/>
      </c>
      <c r="BV591" s="39" t="str">
        <f t="shared" si="825"/>
        <v/>
      </c>
    </row>
    <row r="592" spans="1:74" ht="14.25" customHeight="1" x14ac:dyDescent="0.35">
      <c r="A592" s="293">
        <v>288</v>
      </c>
      <c r="B592" s="295"/>
      <c r="C592" s="297"/>
      <c r="D592" s="299"/>
      <c r="E592" s="301"/>
      <c r="F592" s="303"/>
      <c r="G592" s="288"/>
      <c r="H592" s="289"/>
      <c r="I592" s="290"/>
      <c r="J592" s="290"/>
      <c r="K592" s="291"/>
      <c r="L592" s="18"/>
      <c r="M592" s="285" t="str">
        <f t="shared" ref="M592" si="917">IF(COUNT(L592:L593)&lt;1,"",AVERAGE(L592:L593))</f>
        <v/>
      </c>
      <c r="N592" s="22"/>
      <c r="O592" s="285" t="str">
        <f t="shared" ref="O592" si="918">IF(COUNT(N592:N593)&lt;1,"",AVERAGE(N592:N593))</f>
        <v/>
      </c>
      <c r="P592" s="22"/>
      <c r="Q592" s="285" t="str">
        <f t="shared" ref="Q592" si="919">IF(COUNT(P592:P593)&lt;1,"",AVERAGE(P592:P593))</f>
        <v/>
      </c>
      <c r="R592" s="278" t="str">
        <f>IF($X$13="/28",IF(COUNT(P592:P593)&lt;=1,"",ABS(P592-P593)),IF($X$13="/90",IF(COUNT(#REF!)&lt;=1,"",ABS(#REF!-#REF!))))</f>
        <v/>
      </c>
      <c r="S592" s="278" t="str">
        <f>IF($X$13="/28",IF(Q592="","",IF(AVERAGE(Q588:Q593)&gt;=$W$13,ROUND(AVERAGE(Q588:Q593),1)&amp;" ≥ "&amp;$W$13&amp;" OK",ROUND(AVERAGE(Q588:Q593),1)&amp;" &lt; "&amp;$W$13&amp;" NC")),IF($X$13="/90",IF(#REF!="","",IF(AVERAGE(#REF!)&gt;=$W$13,ROUND(AVERAGE(#REF!),1)&amp;" ≥ "&amp;$W$13&amp;" OK",ROUND(AVERAGE(#REF!),1)&amp;" &lt; "&amp;$W$13&amp;" NC"))))</f>
        <v/>
      </c>
      <c r="T592" s="278" t="str">
        <f>IF($X$13="/28",IF(Q592="","",IF(Q592&gt;=$W$13-$S$12,ROUND((Q592),1)&amp;" ≥ "&amp;$W$13-$S$12&amp;" OK",ROUND((Q592),1)&amp;" &lt; "&amp;$W$13-$S$12&amp;" NC")),IF($X$13="/90",IF(#REF!="","",IF(#REF!&gt;=$W$13-$S$12,ROUND((#REF!),1)&amp;" ≥ "&amp;$W$13-$S$12&amp;" OK",ROUND((#REF!),1)&amp;" &lt; "&amp;$W$13-$S$12&amp;" NC"))))</f>
        <v/>
      </c>
      <c r="U592" s="14"/>
      <c r="V592" s="279"/>
      <c r="W592" s="280"/>
      <c r="X592" s="281"/>
      <c r="Y592" s="246"/>
      <c r="Z592" s="246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BP592" s="390" t="str">
        <f>IF($X$13="/28",IF(Q592="","",Q592),IF($X$13="/90",IF(#REF!="","",#REF!),"Falso"))</f>
        <v/>
      </c>
      <c r="BQ592" s="392" t="str">
        <f t="shared" si="874"/>
        <v/>
      </c>
      <c r="BS592" s="50" t="str">
        <f>Q1166</f>
        <v/>
      </c>
      <c r="BT592" s="50" t="e">
        <f>#REF!</f>
        <v>#REF!</v>
      </c>
      <c r="BU592" s="39" t="str">
        <f t="shared" si="832"/>
        <v/>
      </c>
      <c r="BV592" s="39" t="str">
        <f t="shared" si="825"/>
        <v/>
      </c>
    </row>
    <row r="593" spans="1:74" ht="14.25" customHeight="1" x14ac:dyDescent="0.35">
      <c r="A593" s="294"/>
      <c r="B593" s="296"/>
      <c r="C593" s="298"/>
      <c r="D593" s="300"/>
      <c r="E593" s="302"/>
      <c r="F593" s="304"/>
      <c r="G593" s="276"/>
      <c r="H593" s="277"/>
      <c r="I593" s="290"/>
      <c r="J593" s="290"/>
      <c r="K593" s="291"/>
      <c r="L593" s="17"/>
      <c r="M593" s="286"/>
      <c r="N593" s="21"/>
      <c r="O593" s="286"/>
      <c r="P593" s="21"/>
      <c r="Q593" s="286"/>
      <c r="R593" s="248"/>
      <c r="S593" s="287"/>
      <c r="T593" s="248"/>
      <c r="U593" s="13"/>
      <c r="V593" s="282"/>
      <c r="W593" s="283"/>
      <c r="X593" s="284"/>
      <c r="Y593" s="245"/>
      <c r="Z593" s="245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BP593" s="391"/>
      <c r="BQ593" s="393"/>
      <c r="BS593" s="50" t="str">
        <f>Q1168</f>
        <v/>
      </c>
      <c r="BT593" s="50" t="e">
        <f>#REF!</f>
        <v>#REF!</v>
      </c>
      <c r="BU593" s="39" t="str">
        <f t="shared" si="832"/>
        <v/>
      </c>
      <c r="BV593" s="39" t="str">
        <f t="shared" si="825"/>
        <v/>
      </c>
    </row>
    <row r="594" spans="1:74" ht="14.25" customHeight="1" x14ac:dyDescent="0.35">
      <c r="A594" s="293">
        <v>289</v>
      </c>
      <c r="B594" s="295"/>
      <c r="C594" s="297"/>
      <c r="D594" s="299"/>
      <c r="E594" s="301"/>
      <c r="F594" s="303"/>
      <c r="G594" s="288"/>
      <c r="H594" s="289"/>
      <c r="I594" s="290"/>
      <c r="J594" s="290"/>
      <c r="K594" s="291"/>
      <c r="L594" s="18"/>
      <c r="M594" s="285" t="str">
        <f t="shared" ref="M594" si="920">IF(COUNT(L594:L595)&lt;1,"",AVERAGE(L594:L595))</f>
        <v/>
      </c>
      <c r="N594" s="22"/>
      <c r="O594" s="285" t="str">
        <f t="shared" ref="O594" si="921">IF(COUNT(N594:N595)&lt;1,"",AVERAGE(N594:N595))</f>
        <v/>
      </c>
      <c r="P594" s="22"/>
      <c r="Q594" s="285" t="str">
        <f t="shared" ref="Q594" si="922">IF(COUNT(P594:P595)&lt;1,"",AVERAGE(P594:P595))</f>
        <v/>
      </c>
      <c r="R594" s="278" t="str">
        <f>IF($X$13="/28",IF(COUNT(P594:P595)&lt;=1,"",ABS(P594-P595)),IF($X$13="/90",IF(COUNT(#REF!)&lt;=1,"",ABS(#REF!-#REF!))))</f>
        <v/>
      </c>
      <c r="S594" s="278" t="str">
        <f>IF($X$13="/28",IF(Q594="","",IF(AVERAGE(Q590:Q595)&gt;=$W$13,ROUND(AVERAGE(Q590:Q595),1)&amp;" ≥ "&amp;$W$13&amp;" OK",ROUND(AVERAGE(Q590:Q595),1)&amp;" &lt; "&amp;$W$13&amp;" NC")),IF($X$13="/90",IF(#REF!="","",IF(AVERAGE(#REF!)&gt;=$W$13,ROUND(AVERAGE(#REF!),1)&amp;" ≥ "&amp;$W$13&amp;" OK",ROUND(AVERAGE(#REF!),1)&amp;" &lt; "&amp;$W$13&amp;" NC"))))</f>
        <v/>
      </c>
      <c r="T594" s="278" t="str">
        <f>IF($X$13="/28",IF(Q594="","",IF(Q594&gt;=$W$13-$S$12,ROUND((Q594),1)&amp;" ≥ "&amp;$W$13-$S$12&amp;" OK",ROUND((Q594),1)&amp;" &lt; "&amp;$W$13-$S$12&amp;" NC")),IF($X$13="/90",IF(#REF!="","",IF(#REF!&gt;=$W$13-$S$12,ROUND((#REF!),1)&amp;" ≥ "&amp;$W$13-$S$12&amp;" OK",ROUND((#REF!),1)&amp;" &lt; "&amp;$W$13-$S$12&amp;" NC"))))</f>
        <v/>
      </c>
      <c r="U594" s="14"/>
      <c r="V594" s="279"/>
      <c r="W594" s="280"/>
      <c r="X594" s="281"/>
      <c r="Y594" s="246"/>
      <c r="Z594" s="246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BP594" s="390" t="str">
        <f>IF($X$13="/28",IF(Q594="","",Q594),IF($X$13="/90",IF(#REF!="","",#REF!),"Falso"))</f>
        <v/>
      </c>
      <c r="BQ594" s="392" t="str">
        <f t="shared" si="866"/>
        <v/>
      </c>
      <c r="BS594" s="50" t="str">
        <f>Q1170</f>
        <v/>
      </c>
      <c r="BT594" s="50" t="e">
        <f>#REF!</f>
        <v>#REF!</v>
      </c>
      <c r="BU594" s="39" t="str">
        <f t="shared" si="832"/>
        <v/>
      </c>
      <c r="BV594" s="39" t="str">
        <f t="shared" si="825"/>
        <v/>
      </c>
    </row>
    <row r="595" spans="1:74" ht="14.25" customHeight="1" x14ac:dyDescent="0.35">
      <c r="A595" s="294"/>
      <c r="B595" s="296"/>
      <c r="C595" s="298"/>
      <c r="D595" s="300"/>
      <c r="E595" s="302"/>
      <c r="F595" s="304"/>
      <c r="G595" s="276"/>
      <c r="H595" s="277"/>
      <c r="I595" s="290"/>
      <c r="J595" s="290"/>
      <c r="K595" s="291"/>
      <c r="L595" s="17"/>
      <c r="M595" s="286"/>
      <c r="N595" s="21"/>
      <c r="O595" s="286"/>
      <c r="P595" s="21"/>
      <c r="Q595" s="286"/>
      <c r="R595" s="248"/>
      <c r="S595" s="287"/>
      <c r="T595" s="248"/>
      <c r="U595" s="13"/>
      <c r="V595" s="282"/>
      <c r="W595" s="283"/>
      <c r="X595" s="284"/>
      <c r="Y595" s="245"/>
      <c r="Z595" s="245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BP595" s="391"/>
      <c r="BQ595" s="393"/>
      <c r="BS595" s="50" t="str">
        <f>Q1172</f>
        <v/>
      </c>
      <c r="BT595" s="50" t="e">
        <f>#REF!</f>
        <v>#REF!</v>
      </c>
      <c r="BU595" s="39" t="str">
        <f t="shared" si="832"/>
        <v/>
      </c>
      <c r="BV595" s="39" t="str">
        <f t="shared" si="825"/>
        <v/>
      </c>
    </row>
    <row r="596" spans="1:74" ht="14.25" customHeight="1" x14ac:dyDescent="0.35">
      <c r="A596" s="293">
        <v>290</v>
      </c>
      <c r="B596" s="295"/>
      <c r="C596" s="297"/>
      <c r="D596" s="299"/>
      <c r="E596" s="301"/>
      <c r="F596" s="303"/>
      <c r="G596" s="288"/>
      <c r="H596" s="289"/>
      <c r="I596" s="290"/>
      <c r="J596" s="290"/>
      <c r="K596" s="291"/>
      <c r="L596" s="18"/>
      <c r="M596" s="285" t="str">
        <f t="shared" ref="M596" si="923">IF(COUNT(L596:L597)&lt;1,"",AVERAGE(L596:L597))</f>
        <v/>
      </c>
      <c r="N596" s="22"/>
      <c r="O596" s="285" t="str">
        <f t="shared" ref="O596" si="924">IF(COUNT(N596:N597)&lt;1,"",AVERAGE(N596:N597))</f>
        <v/>
      </c>
      <c r="P596" s="22"/>
      <c r="Q596" s="285" t="str">
        <f t="shared" ref="Q596" si="925">IF(COUNT(P596:P597)&lt;1,"",AVERAGE(P596:P597))</f>
        <v/>
      </c>
      <c r="R596" s="278" t="str">
        <f>IF($X$13="/28",IF(COUNT(P596:P597)&lt;=1,"",ABS(P596-P597)),IF($X$13="/90",IF(COUNT(#REF!)&lt;=1,"",ABS(#REF!-#REF!))))</f>
        <v/>
      </c>
      <c r="S596" s="278" t="str">
        <f>IF($X$13="/28",IF(Q596="","",IF(AVERAGE(Q592:Q597)&gt;=$W$13,ROUND(AVERAGE(Q592:Q597),1)&amp;" ≥ "&amp;$W$13&amp;" OK",ROUND(AVERAGE(Q592:Q597),1)&amp;" &lt; "&amp;$W$13&amp;" NC")),IF($X$13="/90",IF(#REF!="","",IF(AVERAGE(#REF!)&gt;=$W$13,ROUND(AVERAGE(#REF!),1)&amp;" ≥ "&amp;$W$13&amp;" OK",ROUND(AVERAGE(#REF!),1)&amp;" &lt; "&amp;$W$13&amp;" NC"))))</f>
        <v/>
      </c>
      <c r="T596" s="278" t="str">
        <f>IF($X$13="/28",IF(Q596="","",IF(Q596&gt;=$W$13-$S$12,ROUND((Q596),1)&amp;" ≥ "&amp;$W$13-$S$12&amp;" OK",ROUND((Q596),1)&amp;" &lt; "&amp;$W$13-$S$12&amp;" NC")),IF($X$13="/90",IF(#REF!="","",IF(#REF!&gt;=$W$13-$S$12,ROUND((#REF!),1)&amp;" ≥ "&amp;$W$13-$S$12&amp;" OK",ROUND((#REF!),1)&amp;" &lt; "&amp;$W$13-$S$12&amp;" NC"))))</f>
        <v/>
      </c>
      <c r="U596" s="14"/>
      <c r="V596" s="279"/>
      <c r="W596" s="280"/>
      <c r="X596" s="281"/>
      <c r="Y596" s="246"/>
      <c r="Z596" s="246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BP596" s="390" t="str">
        <f>IF($X$13="/28",IF(Q596="","",Q596),IF($X$13="/90",IF(#REF!="","",#REF!),"Falso"))</f>
        <v/>
      </c>
      <c r="BQ596" s="392" t="str">
        <f t="shared" si="870"/>
        <v/>
      </c>
      <c r="BS596" s="50" t="str">
        <f>Q1174</f>
        <v/>
      </c>
      <c r="BT596" s="50" t="e">
        <f>#REF!</f>
        <v>#REF!</v>
      </c>
      <c r="BU596" s="39" t="str">
        <f t="shared" si="832"/>
        <v/>
      </c>
      <c r="BV596" s="39" t="str">
        <f t="shared" ref="BV596:BV659" si="926">IF(BU596="","",BV595+1)</f>
        <v/>
      </c>
    </row>
    <row r="597" spans="1:74" ht="14.25" customHeight="1" x14ac:dyDescent="0.35">
      <c r="A597" s="294"/>
      <c r="B597" s="296"/>
      <c r="C597" s="298"/>
      <c r="D597" s="300"/>
      <c r="E597" s="302"/>
      <c r="F597" s="304"/>
      <c r="G597" s="276"/>
      <c r="H597" s="277"/>
      <c r="I597" s="290"/>
      <c r="J597" s="290"/>
      <c r="K597" s="291"/>
      <c r="L597" s="17"/>
      <c r="M597" s="286"/>
      <c r="N597" s="21"/>
      <c r="O597" s="286"/>
      <c r="P597" s="21"/>
      <c r="Q597" s="286"/>
      <c r="R597" s="248"/>
      <c r="S597" s="287"/>
      <c r="T597" s="248"/>
      <c r="U597" s="13"/>
      <c r="V597" s="282"/>
      <c r="W597" s="283"/>
      <c r="X597" s="284"/>
      <c r="Y597" s="245"/>
      <c r="Z597" s="245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BP597" s="391"/>
      <c r="BQ597" s="393"/>
      <c r="BS597" s="50" t="str">
        <f>Q1176</f>
        <v/>
      </c>
      <c r="BT597" s="50" t="e">
        <f>#REF!</f>
        <v>#REF!</v>
      </c>
      <c r="BU597" s="39" t="str">
        <f t="shared" si="832"/>
        <v/>
      </c>
      <c r="BV597" s="39" t="str">
        <f t="shared" si="926"/>
        <v/>
      </c>
    </row>
    <row r="598" spans="1:74" ht="14.25" customHeight="1" x14ac:dyDescent="0.35">
      <c r="A598" s="293">
        <v>291</v>
      </c>
      <c r="B598" s="295"/>
      <c r="C598" s="297"/>
      <c r="D598" s="299"/>
      <c r="E598" s="301"/>
      <c r="F598" s="303"/>
      <c r="G598" s="288"/>
      <c r="H598" s="289"/>
      <c r="I598" s="290"/>
      <c r="J598" s="290"/>
      <c r="K598" s="291"/>
      <c r="L598" s="18"/>
      <c r="M598" s="285" t="str">
        <f t="shared" ref="M598" si="927">IF(COUNT(L598:L599)&lt;1,"",AVERAGE(L598:L599))</f>
        <v/>
      </c>
      <c r="N598" s="22"/>
      <c r="O598" s="285" t="str">
        <f t="shared" ref="O598" si="928">IF(COUNT(N598:N599)&lt;1,"",AVERAGE(N598:N599))</f>
        <v/>
      </c>
      <c r="P598" s="22"/>
      <c r="Q598" s="285" t="str">
        <f t="shared" ref="Q598" si="929">IF(COUNT(P598:P599)&lt;1,"",AVERAGE(P598:P599))</f>
        <v/>
      </c>
      <c r="R598" s="278" t="str">
        <f>IF($X$13="/28",IF(COUNT(P598:P599)&lt;=1,"",ABS(P598-P599)),IF($X$13="/90",IF(COUNT(#REF!)&lt;=1,"",ABS(#REF!-#REF!))))</f>
        <v/>
      </c>
      <c r="S598" s="278" t="str">
        <f>IF($X$13="/28",IF(Q598="","",IF(AVERAGE(Q594:Q599)&gt;=$W$13,ROUND(AVERAGE(Q594:Q599),1)&amp;" ≥ "&amp;$W$13&amp;" OK",ROUND(AVERAGE(Q594:Q599),1)&amp;" &lt; "&amp;$W$13&amp;" NC")),IF($X$13="/90",IF(#REF!="","",IF(AVERAGE(#REF!)&gt;=$W$13,ROUND(AVERAGE(#REF!),1)&amp;" ≥ "&amp;$W$13&amp;" OK",ROUND(AVERAGE(#REF!),1)&amp;" &lt; "&amp;$W$13&amp;" NC"))))</f>
        <v/>
      </c>
      <c r="T598" s="278" t="str">
        <f>IF($X$13="/28",IF(Q598="","",IF(Q598&gt;=$W$13-$S$12,ROUND((Q598),1)&amp;" ≥ "&amp;$W$13-$S$12&amp;" OK",ROUND((Q598),1)&amp;" &lt; "&amp;$W$13-$S$12&amp;" NC")),IF($X$13="/90",IF(#REF!="","",IF(#REF!&gt;=$W$13-$S$12,ROUND((#REF!),1)&amp;" ≥ "&amp;$W$13-$S$12&amp;" OK",ROUND((#REF!),1)&amp;" &lt; "&amp;$W$13-$S$12&amp;" NC"))))</f>
        <v/>
      </c>
      <c r="U598" s="14"/>
      <c r="V598" s="279"/>
      <c r="W598" s="280"/>
      <c r="X598" s="281"/>
      <c r="Y598" s="246"/>
      <c r="Z598" s="246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BP598" s="390" t="str">
        <f>IF($X$13="/28",IF(Q598="","",Q598),IF($X$13="/90",IF(#REF!="","",#REF!),"Falso"))</f>
        <v/>
      </c>
      <c r="BQ598" s="392" t="str">
        <f t="shared" si="874"/>
        <v/>
      </c>
      <c r="BS598" s="50" t="str">
        <f>Q1178</f>
        <v/>
      </c>
      <c r="BT598" s="50" t="e">
        <f>#REF!</f>
        <v>#REF!</v>
      </c>
      <c r="BU598" s="39" t="str">
        <f t="shared" si="832"/>
        <v/>
      </c>
      <c r="BV598" s="39" t="str">
        <f t="shared" si="926"/>
        <v/>
      </c>
    </row>
    <row r="599" spans="1:74" ht="14.25" customHeight="1" x14ac:dyDescent="0.35">
      <c r="A599" s="294"/>
      <c r="B599" s="296"/>
      <c r="C599" s="298"/>
      <c r="D599" s="300"/>
      <c r="E599" s="302"/>
      <c r="F599" s="304"/>
      <c r="G599" s="276"/>
      <c r="H599" s="277"/>
      <c r="I599" s="290"/>
      <c r="J599" s="290"/>
      <c r="K599" s="291"/>
      <c r="L599" s="17"/>
      <c r="M599" s="286"/>
      <c r="N599" s="21"/>
      <c r="O599" s="286"/>
      <c r="P599" s="21"/>
      <c r="Q599" s="286"/>
      <c r="R599" s="248"/>
      <c r="S599" s="287"/>
      <c r="T599" s="248"/>
      <c r="U599" s="13"/>
      <c r="V599" s="282"/>
      <c r="W599" s="283"/>
      <c r="X599" s="284"/>
      <c r="Y599" s="245"/>
      <c r="Z599" s="245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BP599" s="391"/>
      <c r="BQ599" s="393"/>
      <c r="BS599" s="50" t="str">
        <f>Q1180</f>
        <v/>
      </c>
      <c r="BT599" s="50" t="e">
        <f>#REF!</f>
        <v>#REF!</v>
      </c>
      <c r="BU599" s="39" t="str">
        <f t="shared" si="832"/>
        <v/>
      </c>
      <c r="BV599" s="39" t="str">
        <f t="shared" si="926"/>
        <v/>
      </c>
    </row>
    <row r="600" spans="1:74" ht="14.25" customHeight="1" x14ac:dyDescent="0.35">
      <c r="A600" s="293">
        <v>292</v>
      </c>
      <c r="B600" s="295"/>
      <c r="C600" s="297"/>
      <c r="D600" s="299"/>
      <c r="E600" s="301"/>
      <c r="F600" s="303"/>
      <c r="G600" s="288"/>
      <c r="H600" s="289"/>
      <c r="I600" s="290"/>
      <c r="J600" s="290"/>
      <c r="K600" s="291"/>
      <c r="L600" s="18"/>
      <c r="M600" s="285" t="str">
        <f t="shared" ref="M600" si="930">IF(COUNT(L600:L601)&lt;1,"",AVERAGE(L600:L601))</f>
        <v/>
      </c>
      <c r="N600" s="22"/>
      <c r="O600" s="285" t="str">
        <f t="shared" ref="O600" si="931">IF(COUNT(N600:N601)&lt;1,"",AVERAGE(N600:N601))</f>
        <v/>
      </c>
      <c r="P600" s="22"/>
      <c r="Q600" s="285" t="str">
        <f t="shared" ref="Q600" si="932">IF(COUNT(P600:P601)&lt;1,"",AVERAGE(P600:P601))</f>
        <v/>
      </c>
      <c r="R600" s="278" t="str">
        <f>IF($X$13="/28",IF(COUNT(P600:P601)&lt;=1,"",ABS(P600-P601)),IF($X$13="/90",IF(COUNT(#REF!)&lt;=1,"",ABS(#REF!-#REF!))))</f>
        <v/>
      </c>
      <c r="S600" s="278" t="str">
        <f>IF($X$13="/28",IF(Q600="","",IF(AVERAGE(Q596:Q601)&gt;=$W$13,ROUND(AVERAGE(Q596:Q601),1)&amp;" ≥ "&amp;$W$13&amp;" OK",ROUND(AVERAGE(Q596:Q601),1)&amp;" &lt; "&amp;$W$13&amp;" NC")),IF($X$13="/90",IF(#REF!="","",IF(AVERAGE(#REF!)&gt;=$W$13,ROUND(AVERAGE(#REF!),1)&amp;" ≥ "&amp;$W$13&amp;" OK",ROUND(AVERAGE(#REF!),1)&amp;" &lt; "&amp;$W$13&amp;" NC"))))</f>
        <v/>
      </c>
      <c r="T600" s="278" t="str">
        <f>IF($X$13="/28",IF(Q600="","",IF(Q600&gt;=$W$13-$S$12,ROUND((Q600),1)&amp;" ≥ "&amp;$W$13-$S$12&amp;" OK",ROUND((Q600),1)&amp;" &lt; "&amp;$W$13-$S$12&amp;" NC")),IF($X$13="/90",IF(#REF!="","",IF(#REF!&gt;=$W$13-$S$12,ROUND((#REF!),1)&amp;" ≥ "&amp;$W$13-$S$12&amp;" OK",ROUND((#REF!),1)&amp;" &lt; "&amp;$W$13-$S$12&amp;" NC"))))</f>
        <v/>
      </c>
      <c r="U600" s="14"/>
      <c r="V600" s="279"/>
      <c r="W600" s="280"/>
      <c r="X600" s="281"/>
      <c r="Y600" s="246"/>
      <c r="Z600" s="246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BP600" s="390" t="str">
        <f>IF($X$13="/28",IF(Q600="","",Q600),IF($X$13="/90",IF(#REF!="","",#REF!),"Falso"))</f>
        <v/>
      </c>
      <c r="BQ600" s="392" t="str">
        <f t="shared" si="866"/>
        <v/>
      </c>
      <c r="BS600" s="50" t="str">
        <f>Q1182</f>
        <v/>
      </c>
      <c r="BT600" s="50" t="e">
        <f>#REF!</f>
        <v>#REF!</v>
      </c>
      <c r="BU600" s="39" t="str">
        <f t="shared" ref="BU600:BU663" si="933">IF($X$13="/28",IF(BS600="","",BS600),IF($X$13="/90",IF(BT600="","",BT600),"Falso"))</f>
        <v/>
      </c>
      <c r="BV600" s="39" t="str">
        <f t="shared" si="926"/>
        <v/>
      </c>
    </row>
    <row r="601" spans="1:74" ht="14.25" customHeight="1" x14ac:dyDescent="0.35">
      <c r="A601" s="294"/>
      <c r="B601" s="296"/>
      <c r="C601" s="298"/>
      <c r="D601" s="300"/>
      <c r="E601" s="302"/>
      <c r="F601" s="304"/>
      <c r="G601" s="276"/>
      <c r="H601" s="277"/>
      <c r="I601" s="290"/>
      <c r="J601" s="290"/>
      <c r="K601" s="291"/>
      <c r="L601" s="17"/>
      <c r="M601" s="286"/>
      <c r="N601" s="21"/>
      <c r="O601" s="286"/>
      <c r="P601" s="21"/>
      <c r="Q601" s="286"/>
      <c r="R601" s="248"/>
      <c r="S601" s="287"/>
      <c r="T601" s="248"/>
      <c r="U601" s="13"/>
      <c r="V601" s="282"/>
      <c r="W601" s="283"/>
      <c r="X601" s="284"/>
      <c r="Y601" s="245"/>
      <c r="Z601" s="245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BP601" s="391"/>
      <c r="BQ601" s="393"/>
      <c r="BS601" s="50" t="str">
        <f>Q1184</f>
        <v/>
      </c>
      <c r="BT601" s="50" t="e">
        <f>#REF!</f>
        <v>#REF!</v>
      </c>
      <c r="BU601" s="39" t="str">
        <f t="shared" si="933"/>
        <v/>
      </c>
      <c r="BV601" s="39" t="str">
        <f t="shared" si="926"/>
        <v/>
      </c>
    </row>
    <row r="602" spans="1:74" ht="14.25" customHeight="1" x14ac:dyDescent="0.35">
      <c r="A602" s="293">
        <v>293</v>
      </c>
      <c r="B602" s="295"/>
      <c r="C602" s="297"/>
      <c r="D602" s="299"/>
      <c r="E602" s="301"/>
      <c r="F602" s="303"/>
      <c r="G602" s="288"/>
      <c r="H602" s="289"/>
      <c r="I602" s="290"/>
      <c r="J602" s="290"/>
      <c r="K602" s="291"/>
      <c r="L602" s="18"/>
      <c r="M602" s="285" t="str">
        <f t="shared" ref="M602" si="934">IF(COUNT(L602:L603)&lt;1,"",AVERAGE(L602:L603))</f>
        <v/>
      </c>
      <c r="N602" s="22"/>
      <c r="O602" s="285" t="str">
        <f t="shared" ref="O602" si="935">IF(COUNT(N602:N603)&lt;1,"",AVERAGE(N602:N603))</f>
        <v/>
      </c>
      <c r="P602" s="22"/>
      <c r="Q602" s="285" t="str">
        <f t="shared" ref="Q602" si="936">IF(COUNT(P602:P603)&lt;1,"",AVERAGE(P602:P603))</f>
        <v/>
      </c>
      <c r="R602" s="278" t="str">
        <f>IF($X$13="/28",IF(COUNT(P602:P603)&lt;=1,"",ABS(P602-P603)),IF($X$13="/90",IF(COUNT(#REF!)&lt;=1,"",ABS(#REF!-#REF!))))</f>
        <v/>
      </c>
      <c r="S602" s="278" t="str">
        <f>IF($X$13="/28",IF(Q602="","",IF(AVERAGE(Q598:Q603)&gt;=$W$13,ROUND(AVERAGE(Q598:Q603),1)&amp;" ≥ "&amp;$W$13&amp;" OK",ROUND(AVERAGE(Q598:Q603),1)&amp;" &lt; "&amp;$W$13&amp;" NC")),IF($X$13="/90",IF(#REF!="","",IF(AVERAGE(#REF!)&gt;=$W$13,ROUND(AVERAGE(#REF!),1)&amp;" ≥ "&amp;$W$13&amp;" OK",ROUND(AVERAGE(#REF!),1)&amp;" &lt; "&amp;$W$13&amp;" NC"))))</f>
        <v/>
      </c>
      <c r="T602" s="278" t="str">
        <f>IF($X$13="/28",IF(Q602="","",IF(Q602&gt;=$W$13-$S$12,ROUND((Q602),1)&amp;" ≥ "&amp;$W$13-$S$12&amp;" OK",ROUND((Q602),1)&amp;" &lt; "&amp;$W$13-$S$12&amp;" NC")),IF($X$13="/90",IF(#REF!="","",IF(#REF!&gt;=$W$13-$S$12,ROUND((#REF!),1)&amp;" ≥ "&amp;$W$13-$S$12&amp;" OK",ROUND((#REF!),1)&amp;" &lt; "&amp;$W$13-$S$12&amp;" NC"))))</f>
        <v/>
      </c>
      <c r="U602" s="14"/>
      <c r="V602" s="279"/>
      <c r="W602" s="280"/>
      <c r="X602" s="281"/>
      <c r="Y602" s="246"/>
      <c r="Z602" s="246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BP602" s="390" t="str">
        <f>IF($X$13="/28",IF(Q602="","",Q602),IF($X$13="/90",IF(#REF!="","",#REF!),"Falso"))</f>
        <v/>
      </c>
      <c r="BQ602" s="392" t="str">
        <f t="shared" si="870"/>
        <v/>
      </c>
      <c r="BS602" s="50" t="str">
        <f>Q1186</f>
        <v/>
      </c>
      <c r="BT602" s="50" t="e">
        <f>#REF!</f>
        <v>#REF!</v>
      </c>
      <c r="BU602" s="39" t="str">
        <f t="shared" si="933"/>
        <v/>
      </c>
      <c r="BV602" s="39" t="str">
        <f t="shared" si="926"/>
        <v/>
      </c>
    </row>
    <row r="603" spans="1:74" ht="14.25" customHeight="1" x14ac:dyDescent="0.35">
      <c r="A603" s="294"/>
      <c r="B603" s="296"/>
      <c r="C603" s="298"/>
      <c r="D603" s="300"/>
      <c r="E603" s="302"/>
      <c r="F603" s="304"/>
      <c r="G603" s="276"/>
      <c r="H603" s="277"/>
      <c r="I603" s="290"/>
      <c r="J603" s="290"/>
      <c r="K603" s="291"/>
      <c r="L603" s="17"/>
      <c r="M603" s="286"/>
      <c r="N603" s="21"/>
      <c r="O603" s="286"/>
      <c r="P603" s="21"/>
      <c r="Q603" s="286"/>
      <c r="R603" s="248"/>
      <c r="S603" s="287"/>
      <c r="T603" s="248"/>
      <c r="U603" s="13"/>
      <c r="V603" s="282"/>
      <c r="W603" s="283"/>
      <c r="X603" s="284"/>
      <c r="Y603" s="245"/>
      <c r="Z603" s="245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BP603" s="391"/>
      <c r="BQ603" s="393"/>
      <c r="BS603" s="50" t="str">
        <f>Q1188</f>
        <v/>
      </c>
      <c r="BT603" s="50" t="e">
        <f>#REF!</f>
        <v>#REF!</v>
      </c>
      <c r="BU603" s="39" t="str">
        <f t="shared" si="933"/>
        <v/>
      </c>
      <c r="BV603" s="39" t="str">
        <f t="shared" si="926"/>
        <v/>
      </c>
    </row>
    <row r="604" spans="1:74" ht="14.25" customHeight="1" x14ac:dyDescent="0.35">
      <c r="A604" s="293">
        <v>294</v>
      </c>
      <c r="B604" s="295"/>
      <c r="C604" s="297"/>
      <c r="D604" s="299"/>
      <c r="E604" s="301"/>
      <c r="F604" s="303"/>
      <c r="G604" s="288"/>
      <c r="H604" s="289"/>
      <c r="I604" s="290"/>
      <c r="J604" s="290"/>
      <c r="K604" s="291"/>
      <c r="L604" s="18"/>
      <c r="M604" s="285" t="str">
        <f t="shared" ref="M604" si="937">IF(COUNT(L604:L605)&lt;1,"",AVERAGE(L604:L605))</f>
        <v/>
      </c>
      <c r="N604" s="22"/>
      <c r="O604" s="285" t="str">
        <f t="shared" ref="O604" si="938">IF(COUNT(N604:N605)&lt;1,"",AVERAGE(N604:N605))</f>
        <v/>
      </c>
      <c r="P604" s="22"/>
      <c r="Q604" s="285" t="str">
        <f t="shared" ref="Q604" si="939">IF(COUNT(P604:P605)&lt;1,"",AVERAGE(P604:P605))</f>
        <v/>
      </c>
      <c r="R604" s="278" t="str">
        <f>IF($X$13="/28",IF(COUNT(P604:P605)&lt;=1,"",ABS(P604-P605)),IF($X$13="/90",IF(COUNT(#REF!)&lt;=1,"",ABS(#REF!-#REF!))))</f>
        <v/>
      </c>
      <c r="S604" s="278" t="str">
        <f>IF($X$13="/28",IF(Q604="","",IF(AVERAGE(Q600:Q605)&gt;=$W$13,ROUND(AVERAGE(Q600:Q605),1)&amp;" ≥ "&amp;$W$13&amp;" OK",ROUND(AVERAGE(Q600:Q605),1)&amp;" &lt; "&amp;$W$13&amp;" NC")),IF($X$13="/90",IF(#REF!="","",IF(AVERAGE(#REF!)&gt;=$W$13,ROUND(AVERAGE(#REF!),1)&amp;" ≥ "&amp;$W$13&amp;" OK",ROUND(AVERAGE(#REF!),1)&amp;" &lt; "&amp;$W$13&amp;" NC"))))</f>
        <v/>
      </c>
      <c r="T604" s="278" t="str">
        <f>IF($X$13="/28",IF(Q604="","",IF(Q604&gt;=$W$13-$S$12,ROUND((Q604),1)&amp;" ≥ "&amp;$W$13-$S$12&amp;" OK",ROUND((Q604),1)&amp;" &lt; "&amp;$W$13-$S$12&amp;" NC")),IF($X$13="/90",IF(#REF!="","",IF(#REF!&gt;=$W$13-$S$12,ROUND((#REF!),1)&amp;" ≥ "&amp;$W$13-$S$12&amp;" OK",ROUND((#REF!),1)&amp;" &lt; "&amp;$W$13-$S$12&amp;" NC"))))</f>
        <v/>
      </c>
      <c r="U604" s="14"/>
      <c r="V604" s="279"/>
      <c r="W604" s="280"/>
      <c r="X604" s="281"/>
      <c r="Y604" s="246"/>
      <c r="Z604" s="246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BP604" s="390" t="str">
        <f>IF($X$13="/28",IF(Q604="","",Q604),IF($X$13="/90",IF(#REF!="","",#REF!),"Falso"))</f>
        <v/>
      </c>
      <c r="BQ604" s="392" t="str">
        <f t="shared" si="874"/>
        <v/>
      </c>
      <c r="BS604" s="50" t="str">
        <f>Q1190</f>
        <v/>
      </c>
      <c r="BT604" s="50" t="e">
        <f>#REF!</f>
        <v>#REF!</v>
      </c>
      <c r="BU604" s="39" t="str">
        <f t="shared" si="933"/>
        <v/>
      </c>
      <c r="BV604" s="39" t="str">
        <f t="shared" si="926"/>
        <v/>
      </c>
    </row>
    <row r="605" spans="1:74" ht="14.25" customHeight="1" x14ac:dyDescent="0.35">
      <c r="A605" s="294"/>
      <c r="B605" s="296"/>
      <c r="C605" s="298"/>
      <c r="D605" s="300"/>
      <c r="E605" s="302"/>
      <c r="F605" s="304"/>
      <c r="G605" s="276"/>
      <c r="H605" s="277"/>
      <c r="I605" s="290"/>
      <c r="J605" s="290"/>
      <c r="K605" s="291"/>
      <c r="L605" s="17"/>
      <c r="M605" s="286"/>
      <c r="N605" s="21"/>
      <c r="O605" s="286"/>
      <c r="P605" s="21"/>
      <c r="Q605" s="286"/>
      <c r="R605" s="248"/>
      <c r="S605" s="287"/>
      <c r="T605" s="248"/>
      <c r="U605" s="13"/>
      <c r="V605" s="282"/>
      <c r="W605" s="283"/>
      <c r="X605" s="284"/>
      <c r="Y605" s="245"/>
      <c r="Z605" s="245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BP605" s="391"/>
      <c r="BQ605" s="393"/>
      <c r="BS605" s="50" t="str">
        <f>Q1192</f>
        <v/>
      </c>
      <c r="BT605" s="50" t="e">
        <f>#REF!</f>
        <v>#REF!</v>
      </c>
      <c r="BU605" s="39" t="str">
        <f t="shared" si="933"/>
        <v/>
      </c>
      <c r="BV605" s="39" t="str">
        <f t="shared" si="926"/>
        <v/>
      </c>
    </row>
    <row r="606" spans="1:74" ht="14.25" customHeight="1" x14ac:dyDescent="0.35">
      <c r="A606" s="293">
        <v>295</v>
      </c>
      <c r="B606" s="295"/>
      <c r="C606" s="297"/>
      <c r="D606" s="299"/>
      <c r="E606" s="301"/>
      <c r="F606" s="303"/>
      <c r="G606" s="288"/>
      <c r="H606" s="289"/>
      <c r="I606" s="290"/>
      <c r="J606" s="290"/>
      <c r="K606" s="291"/>
      <c r="L606" s="18"/>
      <c r="M606" s="285" t="str">
        <f t="shared" ref="M606" si="940">IF(COUNT(L606:L607)&lt;1,"",AVERAGE(L606:L607))</f>
        <v/>
      </c>
      <c r="N606" s="22"/>
      <c r="O606" s="285" t="str">
        <f t="shared" ref="O606" si="941">IF(COUNT(N606:N607)&lt;1,"",AVERAGE(N606:N607))</f>
        <v/>
      </c>
      <c r="P606" s="22"/>
      <c r="Q606" s="285" t="str">
        <f t="shared" ref="Q606" si="942">IF(COUNT(P606:P607)&lt;1,"",AVERAGE(P606:P607))</f>
        <v/>
      </c>
      <c r="R606" s="278" t="str">
        <f>IF($X$13="/28",IF(COUNT(P606:P607)&lt;=1,"",ABS(P606-P607)),IF($X$13="/90",IF(COUNT(#REF!)&lt;=1,"",ABS(#REF!-#REF!))))</f>
        <v/>
      </c>
      <c r="S606" s="278" t="str">
        <f>IF($X$13="/28",IF(Q606="","",IF(AVERAGE(Q602:Q607)&gt;=$W$13,ROUND(AVERAGE(Q602:Q607),1)&amp;" ≥ "&amp;$W$13&amp;" OK",ROUND(AVERAGE(Q602:Q607),1)&amp;" &lt; "&amp;$W$13&amp;" NC")),IF($X$13="/90",IF(#REF!="","",IF(AVERAGE(#REF!)&gt;=$W$13,ROUND(AVERAGE(#REF!),1)&amp;" ≥ "&amp;$W$13&amp;" OK",ROUND(AVERAGE(#REF!),1)&amp;" &lt; "&amp;$W$13&amp;" NC"))))</f>
        <v/>
      </c>
      <c r="T606" s="278" t="str">
        <f>IF($X$13="/28",IF(Q606="","",IF(Q606&gt;=$W$13-$S$12,ROUND((Q606),1)&amp;" ≥ "&amp;$W$13-$S$12&amp;" OK",ROUND((Q606),1)&amp;" &lt; "&amp;$W$13-$S$12&amp;" NC")),IF($X$13="/90",IF(#REF!="","",IF(#REF!&gt;=$W$13-$S$12,ROUND((#REF!),1)&amp;" ≥ "&amp;$W$13-$S$12&amp;" OK",ROUND((#REF!),1)&amp;" &lt; "&amp;$W$13-$S$12&amp;" NC"))))</f>
        <v/>
      </c>
      <c r="U606" s="14"/>
      <c r="V606" s="279"/>
      <c r="W606" s="280"/>
      <c r="X606" s="281"/>
      <c r="Y606" s="246"/>
      <c r="Z606" s="246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BP606" s="390" t="str">
        <f>IF($X$13="/28",IF(Q606="","",Q606),IF($X$13="/90",IF(#REF!="","",#REF!),"Falso"))</f>
        <v/>
      </c>
      <c r="BQ606" s="392" t="str">
        <f t="shared" si="866"/>
        <v/>
      </c>
      <c r="BS606" s="50" t="str">
        <f>Q1194</f>
        <v/>
      </c>
      <c r="BT606" s="50" t="e">
        <f>#REF!</f>
        <v>#REF!</v>
      </c>
      <c r="BU606" s="39" t="str">
        <f t="shared" si="933"/>
        <v/>
      </c>
      <c r="BV606" s="39" t="str">
        <f t="shared" si="926"/>
        <v/>
      </c>
    </row>
    <row r="607" spans="1:74" ht="14.25" customHeight="1" x14ac:dyDescent="0.35">
      <c r="A607" s="294"/>
      <c r="B607" s="296"/>
      <c r="C607" s="298"/>
      <c r="D607" s="300"/>
      <c r="E607" s="302"/>
      <c r="F607" s="304"/>
      <c r="G607" s="276"/>
      <c r="H607" s="277"/>
      <c r="I607" s="290"/>
      <c r="J607" s="290"/>
      <c r="K607" s="291"/>
      <c r="L607" s="17"/>
      <c r="M607" s="286"/>
      <c r="N607" s="21"/>
      <c r="O607" s="286"/>
      <c r="P607" s="21"/>
      <c r="Q607" s="286"/>
      <c r="R607" s="248"/>
      <c r="S607" s="287"/>
      <c r="T607" s="248"/>
      <c r="U607" s="13"/>
      <c r="V607" s="282"/>
      <c r="W607" s="283"/>
      <c r="X607" s="284"/>
      <c r="Y607" s="245"/>
      <c r="Z607" s="245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BP607" s="391"/>
      <c r="BQ607" s="393"/>
      <c r="BS607" s="50" t="str">
        <f>Q1196</f>
        <v/>
      </c>
      <c r="BT607" s="50" t="e">
        <f>#REF!</f>
        <v>#REF!</v>
      </c>
      <c r="BU607" s="39" t="str">
        <f t="shared" si="933"/>
        <v/>
      </c>
      <c r="BV607" s="39" t="str">
        <f t="shared" si="926"/>
        <v/>
      </c>
    </row>
    <row r="608" spans="1:74" ht="14.25" customHeight="1" x14ac:dyDescent="0.35">
      <c r="A608" s="293">
        <v>296</v>
      </c>
      <c r="B608" s="295"/>
      <c r="C608" s="297"/>
      <c r="D608" s="299"/>
      <c r="E608" s="301"/>
      <c r="F608" s="303"/>
      <c r="G608" s="288"/>
      <c r="H608" s="289"/>
      <c r="I608" s="290"/>
      <c r="J608" s="290"/>
      <c r="K608" s="291"/>
      <c r="L608" s="18"/>
      <c r="M608" s="285" t="str">
        <f t="shared" ref="M608" si="943">IF(COUNT(L608:L609)&lt;1,"",AVERAGE(L608:L609))</f>
        <v/>
      </c>
      <c r="N608" s="22"/>
      <c r="O608" s="285" t="str">
        <f t="shared" ref="O608" si="944">IF(COUNT(N608:N609)&lt;1,"",AVERAGE(N608:N609))</f>
        <v/>
      </c>
      <c r="P608" s="22"/>
      <c r="Q608" s="285" t="str">
        <f t="shared" ref="Q608" si="945">IF(COUNT(P608:P609)&lt;1,"",AVERAGE(P608:P609))</f>
        <v/>
      </c>
      <c r="R608" s="278" t="str">
        <f>IF($X$13="/28",IF(COUNT(P608:P609)&lt;=1,"",ABS(P608-P609)),IF($X$13="/90",IF(COUNT(#REF!)&lt;=1,"",ABS(#REF!-#REF!))))</f>
        <v/>
      </c>
      <c r="S608" s="278" t="str">
        <f>IF($X$13="/28",IF(Q608="","",IF(AVERAGE(Q604:Q609)&gt;=$W$13,ROUND(AVERAGE(Q604:Q609),1)&amp;" ≥ "&amp;$W$13&amp;" OK",ROUND(AVERAGE(Q604:Q609),1)&amp;" &lt; "&amp;$W$13&amp;" NC")),IF($X$13="/90",IF(#REF!="","",IF(AVERAGE(#REF!)&gt;=$W$13,ROUND(AVERAGE(#REF!),1)&amp;" ≥ "&amp;$W$13&amp;" OK",ROUND(AVERAGE(#REF!),1)&amp;" &lt; "&amp;$W$13&amp;" NC"))))</f>
        <v/>
      </c>
      <c r="T608" s="278" t="str">
        <f>IF($X$13="/28",IF(Q608="","",IF(Q608&gt;=$W$13-$S$12,ROUND((Q608),1)&amp;" ≥ "&amp;$W$13-$S$12&amp;" OK",ROUND((Q608),1)&amp;" &lt; "&amp;$W$13-$S$12&amp;" NC")),IF($X$13="/90",IF(#REF!="","",IF(#REF!&gt;=$W$13-$S$12,ROUND((#REF!),1)&amp;" ≥ "&amp;$W$13-$S$12&amp;" OK",ROUND((#REF!),1)&amp;" &lt; "&amp;$W$13-$S$12&amp;" NC"))))</f>
        <v/>
      </c>
      <c r="U608" s="14"/>
      <c r="V608" s="279"/>
      <c r="W608" s="280"/>
      <c r="X608" s="281"/>
      <c r="Y608" s="246"/>
      <c r="Z608" s="246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BP608" s="390" t="str">
        <f>IF($X$13="/28",IF(Q608="","",Q608),IF($X$13="/90",IF(#REF!="","",#REF!),"Falso"))</f>
        <v/>
      </c>
      <c r="BQ608" s="392" t="str">
        <f t="shared" si="870"/>
        <v/>
      </c>
      <c r="BS608" s="50" t="str">
        <f>Q1198</f>
        <v/>
      </c>
      <c r="BT608" s="50" t="e">
        <f>#REF!</f>
        <v>#REF!</v>
      </c>
      <c r="BU608" s="39" t="str">
        <f t="shared" si="933"/>
        <v/>
      </c>
      <c r="BV608" s="39" t="str">
        <f t="shared" si="926"/>
        <v/>
      </c>
    </row>
    <row r="609" spans="1:74" ht="14.25" customHeight="1" x14ac:dyDescent="0.35">
      <c r="A609" s="294"/>
      <c r="B609" s="296"/>
      <c r="C609" s="298"/>
      <c r="D609" s="300"/>
      <c r="E609" s="302"/>
      <c r="F609" s="304"/>
      <c r="G609" s="276"/>
      <c r="H609" s="277"/>
      <c r="I609" s="290"/>
      <c r="J609" s="290"/>
      <c r="K609" s="291"/>
      <c r="L609" s="17"/>
      <c r="M609" s="286"/>
      <c r="N609" s="21"/>
      <c r="O609" s="286"/>
      <c r="P609" s="21"/>
      <c r="Q609" s="286"/>
      <c r="R609" s="248"/>
      <c r="S609" s="287"/>
      <c r="T609" s="248"/>
      <c r="U609" s="13"/>
      <c r="V609" s="282"/>
      <c r="W609" s="283"/>
      <c r="X609" s="284"/>
      <c r="Y609" s="245"/>
      <c r="Z609" s="245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BP609" s="391"/>
      <c r="BQ609" s="393"/>
      <c r="BS609" s="50" t="str">
        <f>Q1200</f>
        <v/>
      </c>
      <c r="BT609" s="50" t="e">
        <f>#REF!</f>
        <v>#REF!</v>
      </c>
      <c r="BU609" s="39" t="str">
        <f t="shared" si="933"/>
        <v/>
      </c>
      <c r="BV609" s="39" t="str">
        <f t="shared" si="926"/>
        <v/>
      </c>
    </row>
    <row r="610" spans="1:74" ht="14.25" customHeight="1" x14ac:dyDescent="0.35">
      <c r="A610" s="293">
        <v>297</v>
      </c>
      <c r="B610" s="295"/>
      <c r="C610" s="297"/>
      <c r="D610" s="299"/>
      <c r="E610" s="301"/>
      <c r="F610" s="303"/>
      <c r="G610" s="288"/>
      <c r="H610" s="289"/>
      <c r="I610" s="290"/>
      <c r="J610" s="290"/>
      <c r="K610" s="291"/>
      <c r="L610" s="18"/>
      <c r="M610" s="285" t="str">
        <f t="shared" ref="M610" si="946">IF(COUNT(L610:L611)&lt;1,"",AVERAGE(L610:L611))</f>
        <v/>
      </c>
      <c r="N610" s="22"/>
      <c r="O610" s="285" t="str">
        <f t="shared" ref="O610" si="947">IF(COUNT(N610:N611)&lt;1,"",AVERAGE(N610:N611))</f>
        <v/>
      </c>
      <c r="P610" s="22"/>
      <c r="Q610" s="285" t="str">
        <f t="shared" ref="Q610" si="948">IF(COUNT(P610:P611)&lt;1,"",AVERAGE(P610:P611))</f>
        <v/>
      </c>
      <c r="R610" s="278" t="str">
        <f>IF($X$13="/28",IF(COUNT(P610:P611)&lt;=1,"",ABS(P610-P611)),IF($X$13="/90",IF(COUNT(#REF!)&lt;=1,"",ABS(#REF!-#REF!))))</f>
        <v/>
      </c>
      <c r="S610" s="278" t="str">
        <f>IF($X$13="/28",IF(Q610="","",IF(AVERAGE(Q606:Q611)&gt;=$W$13,ROUND(AVERAGE(Q606:Q611),1)&amp;" ≥ "&amp;$W$13&amp;" OK",ROUND(AVERAGE(Q606:Q611),1)&amp;" &lt; "&amp;$W$13&amp;" NC")),IF($X$13="/90",IF(#REF!="","",IF(AVERAGE(#REF!)&gt;=$W$13,ROUND(AVERAGE(#REF!),1)&amp;" ≥ "&amp;$W$13&amp;" OK",ROUND(AVERAGE(#REF!),1)&amp;" &lt; "&amp;$W$13&amp;" NC"))))</f>
        <v/>
      </c>
      <c r="T610" s="278" t="str">
        <f>IF($X$13="/28",IF(Q610="","",IF(Q610&gt;=$W$13-$S$12,ROUND((Q610),1)&amp;" ≥ "&amp;$W$13-$S$12&amp;" OK",ROUND((Q610),1)&amp;" &lt; "&amp;$W$13-$S$12&amp;" NC")),IF($X$13="/90",IF(#REF!="","",IF(#REF!&gt;=$W$13-$S$12,ROUND((#REF!),1)&amp;" ≥ "&amp;$W$13-$S$12&amp;" OK",ROUND((#REF!),1)&amp;" &lt; "&amp;$W$13-$S$12&amp;" NC"))))</f>
        <v/>
      </c>
      <c r="U610" s="14"/>
      <c r="V610" s="279"/>
      <c r="W610" s="280"/>
      <c r="X610" s="281"/>
      <c r="Y610" s="246"/>
      <c r="Z610" s="246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BP610" s="390" t="str">
        <f>IF($X$13="/28",IF(Q610="","",Q610),IF($X$13="/90",IF(#REF!="","",#REF!),"Falso"))</f>
        <v/>
      </c>
      <c r="BQ610" s="392" t="str">
        <f t="shared" si="874"/>
        <v/>
      </c>
      <c r="BS610" s="50" t="str">
        <f>Q1202</f>
        <v/>
      </c>
      <c r="BT610" s="50" t="e">
        <f>#REF!</f>
        <v>#REF!</v>
      </c>
      <c r="BU610" s="39" t="str">
        <f t="shared" si="933"/>
        <v/>
      </c>
      <c r="BV610" s="39" t="str">
        <f t="shared" si="926"/>
        <v/>
      </c>
    </row>
    <row r="611" spans="1:74" ht="14.25" customHeight="1" x14ac:dyDescent="0.35">
      <c r="A611" s="294"/>
      <c r="B611" s="296"/>
      <c r="C611" s="298"/>
      <c r="D611" s="300"/>
      <c r="E611" s="302"/>
      <c r="F611" s="304"/>
      <c r="G611" s="276"/>
      <c r="H611" s="277"/>
      <c r="I611" s="290"/>
      <c r="J611" s="290"/>
      <c r="K611" s="291"/>
      <c r="L611" s="17"/>
      <c r="M611" s="286"/>
      <c r="N611" s="21"/>
      <c r="O611" s="286"/>
      <c r="P611" s="21"/>
      <c r="Q611" s="286"/>
      <c r="R611" s="248"/>
      <c r="S611" s="287"/>
      <c r="T611" s="248"/>
      <c r="U611" s="13"/>
      <c r="V611" s="282"/>
      <c r="W611" s="283"/>
      <c r="X611" s="284"/>
      <c r="Y611" s="245"/>
      <c r="Z611" s="245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BP611" s="391"/>
      <c r="BQ611" s="393"/>
      <c r="BS611" s="50" t="str">
        <f>Q1204</f>
        <v/>
      </c>
      <c r="BT611" s="50" t="e">
        <f>#REF!</f>
        <v>#REF!</v>
      </c>
      <c r="BU611" s="39" t="str">
        <f t="shared" si="933"/>
        <v/>
      </c>
      <c r="BV611" s="39" t="str">
        <f t="shared" si="926"/>
        <v/>
      </c>
    </row>
    <row r="612" spans="1:74" ht="14.25" customHeight="1" x14ac:dyDescent="0.35">
      <c r="A612" s="293">
        <v>298</v>
      </c>
      <c r="B612" s="295"/>
      <c r="C612" s="297"/>
      <c r="D612" s="299"/>
      <c r="E612" s="301"/>
      <c r="F612" s="303"/>
      <c r="G612" s="288"/>
      <c r="H612" s="289"/>
      <c r="I612" s="290"/>
      <c r="J612" s="290"/>
      <c r="K612" s="291"/>
      <c r="L612" s="18"/>
      <c r="M612" s="285" t="str">
        <f t="shared" ref="M612" si="949">IF(COUNT(L612:L613)&lt;1,"",AVERAGE(L612:L613))</f>
        <v/>
      </c>
      <c r="N612" s="22"/>
      <c r="O612" s="285" t="str">
        <f t="shared" ref="O612" si="950">IF(COUNT(N612:N613)&lt;1,"",AVERAGE(N612:N613))</f>
        <v/>
      </c>
      <c r="P612" s="22"/>
      <c r="Q612" s="285" t="str">
        <f t="shared" ref="Q612" si="951">IF(COUNT(P612:P613)&lt;1,"",AVERAGE(P612:P613))</f>
        <v/>
      </c>
      <c r="R612" s="278" t="str">
        <f>IF($X$13="/28",IF(COUNT(P612:P613)&lt;=1,"",ABS(P612-P613)),IF($X$13="/90",IF(COUNT(#REF!)&lt;=1,"",ABS(#REF!-#REF!))))</f>
        <v/>
      </c>
      <c r="S612" s="278" t="str">
        <f>IF($X$13="/28",IF(Q612="","",IF(AVERAGE(Q608:Q613)&gt;=$W$13,ROUND(AVERAGE(Q608:Q613),1)&amp;" ≥ "&amp;$W$13&amp;" OK",ROUND(AVERAGE(Q608:Q613),1)&amp;" &lt; "&amp;$W$13&amp;" NC")),IF($X$13="/90",IF(#REF!="","",IF(AVERAGE(#REF!)&gt;=$W$13,ROUND(AVERAGE(#REF!),1)&amp;" ≥ "&amp;$W$13&amp;" OK",ROUND(AVERAGE(#REF!),1)&amp;" &lt; "&amp;$W$13&amp;" NC"))))</f>
        <v/>
      </c>
      <c r="T612" s="278" t="str">
        <f>IF($X$13="/28",IF(Q612="","",IF(Q612&gt;=$W$13-$S$12,ROUND((Q612),1)&amp;" ≥ "&amp;$W$13-$S$12&amp;" OK",ROUND((Q612),1)&amp;" &lt; "&amp;$W$13-$S$12&amp;" NC")),IF($X$13="/90",IF(#REF!="","",IF(#REF!&gt;=$W$13-$S$12,ROUND((#REF!),1)&amp;" ≥ "&amp;$W$13-$S$12&amp;" OK",ROUND((#REF!),1)&amp;" &lt; "&amp;$W$13-$S$12&amp;" NC"))))</f>
        <v/>
      </c>
      <c r="U612" s="14"/>
      <c r="V612" s="279"/>
      <c r="W612" s="280"/>
      <c r="X612" s="281"/>
      <c r="Y612" s="246"/>
      <c r="Z612" s="246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BP612" s="390" t="str">
        <f>IF($X$13="/28",IF(Q612="","",Q612),IF($X$13="/90",IF(#REF!="","",#REF!),"Falso"))</f>
        <v/>
      </c>
      <c r="BQ612" s="392" t="str">
        <f t="shared" si="866"/>
        <v/>
      </c>
      <c r="BS612" s="50" t="str">
        <f>Q1206</f>
        <v/>
      </c>
      <c r="BT612" s="50" t="e">
        <f>#REF!</f>
        <v>#REF!</v>
      </c>
      <c r="BU612" s="39" t="str">
        <f t="shared" si="933"/>
        <v/>
      </c>
      <c r="BV612" s="39" t="str">
        <f t="shared" si="926"/>
        <v/>
      </c>
    </row>
    <row r="613" spans="1:74" ht="14.25" customHeight="1" x14ac:dyDescent="0.35">
      <c r="A613" s="294"/>
      <c r="B613" s="296"/>
      <c r="C613" s="298"/>
      <c r="D613" s="300"/>
      <c r="E613" s="302"/>
      <c r="F613" s="304"/>
      <c r="G613" s="276"/>
      <c r="H613" s="277"/>
      <c r="I613" s="290"/>
      <c r="J613" s="290"/>
      <c r="K613" s="291"/>
      <c r="L613" s="17"/>
      <c r="M613" s="286"/>
      <c r="N613" s="21"/>
      <c r="O613" s="286"/>
      <c r="P613" s="21"/>
      <c r="Q613" s="286"/>
      <c r="R613" s="248"/>
      <c r="S613" s="287"/>
      <c r="T613" s="248"/>
      <c r="U613" s="13"/>
      <c r="V613" s="282"/>
      <c r="W613" s="283"/>
      <c r="X613" s="284"/>
      <c r="Y613" s="245"/>
      <c r="Z613" s="245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BP613" s="391"/>
      <c r="BQ613" s="393"/>
      <c r="BS613" s="50" t="str">
        <f>Q1208</f>
        <v/>
      </c>
      <c r="BT613" s="50" t="e">
        <f>#REF!</f>
        <v>#REF!</v>
      </c>
      <c r="BU613" s="39" t="str">
        <f t="shared" si="933"/>
        <v/>
      </c>
      <c r="BV613" s="39" t="str">
        <f t="shared" si="926"/>
        <v/>
      </c>
    </row>
    <row r="614" spans="1:74" ht="14.25" customHeight="1" x14ac:dyDescent="0.35">
      <c r="A614" s="293">
        <v>299</v>
      </c>
      <c r="B614" s="295"/>
      <c r="C614" s="297"/>
      <c r="D614" s="299"/>
      <c r="E614" s="301"/>
      <c r="F614" s="303"/>
      <c r="G614" s="288"/>
      <c r="H614" s="289"/>
      <c r="I614" s="290"/>
      <c r="J614" s="290"/>
      <c r="K614" s="291"/>
      <c r="L614" s="18"/>
      <c r="M614" s="285" t="str">
        <f t="shared" ref="M614" si="952">IF(COUNT(L614:L615)&lt;1,"",AVERAGE(L614:L615))</f>
        <v/>
      </c>
      <c r="N614" s="22"/>
      <c r="O614" s="285" t="str">
        <f t="shared" ref="O614" si="953">IF(COUNT(N614:N615)&lt;1,"",AVERAGE(N614:N615))</f>
        <v/>
      </c>
      <c r="P614" s="22"/>
      <c r="Q614" s="285" t="str">
        <f t="shared" ref="Q614" si="954">IF(COUNT(P614:P615)&lt;1,"",AVERAGE(P614:P615))</f>
        <v/>
      </c>
      <c r="R614" s="278" t="str">
        <f>IF($X$13="/28",IF(COUNT(P614:P615)&lt;=1,"",ABS(P614-P615)),IF($X$13="/90",IF(COUNT(#REF!)&lt;=1,"",ABS(#REF!-#REF!))))</f>
        <v/>
      </c>
      <c r="S614" s="278" t="str">
        <f>IF($X$13="/28",IF(Q614="","",IF(AVERAGE(Q610:Q615)&gt;=$W$13,ROUND(AVERAGE(Q610:Q615),1)&amp;" ≥ "&amp;$W$13&amp;" OK",ROUND(AVERAGE(Q610:Q615),1)&amp;" &lt; "&amp;$W$13&amp;" NC")),IF($X$13="/90",IF(#REF!="","",IF(AVERAGE(#REF!)&gt;=$W$13,ROUND(AVERAGE(#REF!),1)&amp;" ≥ "&amp;$W$13&amp;" OK",ROUND(AVERAGE(#REF!),1)&amp;" &lt; "&amp;$W$13&amp;" NC"))))</f>
        <v/>
      </c>
      <c r="T614" s="278" t="str">
        <f>IF($X$13="/28",IF(Q614="","",IF(Q614&gt;=$W$13-$S$12,ROUND((Q614),1)&amp;" ≥ "&amp;$W$13-$S$12&amp;" OK",ROUND((Q614),1)&amp;" &lt; "&amp;$W$13-$S$12&amp;" NC")),IF($X$13="/90",IF(#REF!="","",IF(#REF!&gt;=$W$13-$S$12,ROUND((#REF!),1)&amp;" ≥ "&amp;$W$13-$S$12&amp;" OK",ROUND((#REF!),1)&amp;" &lt; "&amp;$W$13-$S$12&amp;" NC"))))</f>
        <v/>
      </c>
      <c r="U614" s="14"/>
      <c r="V614" s="279"/>
      <c r="W614" s="280"/>
      <c r="X614" s="281"/>
      <c r="Y614" s="246"/>
      <c r="Z614" s="246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BP614" s="390" t="str">
        <f>IF($X$13="/28",IF(Q614="","",Q614),IF($X$13="/90",IF(#REF!="","",#REF!),"Falso"))</f>
        <v/>
      </c>
      <c r="BQ614" s="392" t="str">
        <f t="shared" si="870"/>
        <v/>
      </c>
      <c r="BS614" s="50" t="str">
        <f>Q1210</f>
        <v/>
      </c>
      <c r="BT614" s="50" t="e">
        <f>#REF!</f>
        <v>#REF!</v>
      </c>
      <c r="BU614" s="39" t="str">
        <f t="shared" si="933"/>
        <v/>
      </c>
      <c r="BV614" s="39" t="str">
        <f t="shared" si="926"/>
        <v/>
      </c>
    </row>
    <row r="615" spans="1:74" ht="14.25" customHeight="1" x14ac:dyDescent="0.35">
      <c r="A615" s="294"/>
      <c r="B615" s="296"/>
      <c r="C615" s="298"/>
      <c r="D615" s="300"/>
      <c r="E615" s="302"/>
      <c r="F615" s="304"/>
      <c r="G615" s="276"/>
      <c r="H615" s="277"/>
      <c r="I615" s="290"/>
      <c r="J615" s="290"/>
      <c r="K615" s="291"/>
      <c r="L615" s="17"/>
      <c r="M615" s="286"/>
      <c r="N615" s="21"/>
      <c r="O615" s="286"/>
      <c r="P615" s="21"/>
      <c r="Q615" s="286"/>
      <c r="R615" s="248"/>
      <c r="S615" s="287"/>
      <c r="T615" s="248"/>
      <c r="U615" s="13"/>
      <c r="V615" s="282"/>
      <c r="W615" s="283"/>
      <c r="X615" s="284"/>
      <c r="Y615" s="245"/>
      <c r="Z615" s="245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BP615" s="391"/>
      <c r="BQ615" s="393"/>
      <c r="BS615" s="50" t="str">
        <f>Q1212</f>
        <v/>
      </c>
      <c r="BT615" s="50" t="e">
        <f>#REF!</f>
        <v>#REF!</v>
      </c>
      <c r="BU615" s="39" t="str">
        <f t="shared" si="933"/>
        <v/>
      </c>
      <c r="BV615" s="39" t="str">
        <f t="shared" si="926"/>
        <v/>
      </c>
    </row>
    <row r="616" spans="1:74" ht="14.25" customHeight="1" x14ac:dyDescent="0.35">
      <c r="A616" s="293">
        <v>300</v>
      </c>
      <c r="B616" s="295"/>
      <c r="C616" s="297"/>
      <c r="D616" s="299"/>
      <c r="E616" s="301"/>
      <c r="F616" s="303"/>
      <c r="G616" s="288"/>
      <c r="H616" s="289"/>
      <c r="I616" s="290"/>
      <c r="J616" s="290"/>
      <c r="K616" s="291"/>
      <c r="L616" s="18"/>
      <c r="M616" s="285" t="str">
        <f t="shared" ref="M616" si="955">IF(COUNT(L616:L617)&lt;1,"",AVERAGE(L616:L617))</f>
        <v/>
      </c>
      <c r="N616" s="22"/>
      <c r="O616" s="285" t="str">
        <f t="shared" ref="O616" si="956">IF(COUNT(N616:N617)&lt;1,"",AVERAGE(N616:N617))</f>
        <v/>
      </c>
      <c r="P616" s="22"/>
      <c r="Q616" s="285" t="str">
        <f t="shared" ref="Q616" si="957">IF(COUNT(P616:P617)&lt;1,"",AVERAGE(P616:P617))</f>
        <v/>
      </c>
      <c r="R616" s="278" t="str">
        <f>IF($X$13="/28",IF(COUNT(P616:P617)&lt;=1,"",ABS(P616-P617)),IF($X$13="/90",IF(COUNT(#REF!)&lt;=1,"",ABS(#REF!-#REF!))))</f>
        <v/>
      </c>
      <c r="S616" s="278" t="str">
        <f>IF($X$13="/28",IF(Q616="","",IF(AVERAGE(Q612:Q617)&gt;=$W$13,ROUND(AVERAGE(Q612:Q617),1)&amp;" ≥ "&amp;$W$13&amp;" OK",ROUND(AVERAGE(Q612:Q617),1)&amp;" &lt; "&amp;$W$13&amp;" NC")),IF($X$13="/90",IF(#REF!="","",IF(AVERAGE(#REF!)&gt;=$W$13,ROUND(AVERAGE(#REF!),1)&amp;" ≥ "&amp;$W$13&amp;" OK",ROUND(AVERAGE(#REF!),1)&amp;" &lt; "&amp;$W$13&amp;" NC"))))</f>
        <v/>
      </c>
      <c r="T616" s="278" t="str">
        <f>IF($X$13="/28",IF(Q616="","",IF(Q616&gt;=$W$13-$S$12,ROUND((Q616),1)&amp;" ≥ "&amp;$W$13-$S$12&amp;" OK",ROUND((Q616),1)&amp;" &lt; "&amp;$W$13-$S$12&amp;" NC")),IF($X$13="/90",IF(#REF!="","",IF(#REF!&gt;=$W$13-$S$12,ROUND((#REF!),1)&amp;" ≥ "&amp;$W$13-$S$12&amp;" OK",ROUND((#REF!),1)&amp;" &lt; "&amp;$W$13-$S$12&amp;" NC"))))</f>
        <v/>
      </c>
      <c r="U616" s="14"/>
      <c r="V616" s="279"/>
      <c r="W616" s="280"/>
      <c r="X616" s="281"/>
      <c r="Y616" s="246"/>
      <c r="Z616" s="246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BP616" s="390" t="str">
        <f>IF($X$13="/28",IF(Q616="","",Q616),IF($X$13="/90",IF(#REF!="","",#REF!),"Falso"))</f>
        <v/>
      </c>
      <c r="BQ616" s="392" t="str">
        <f t="shared" si="874"/>
        <v/>
      </c>
      <c r="BS616" s="50" t="str">
        <f>Q1214</f>
        <v/>
      </c>
      <c r="BT616" s="50" t="e">
        <f>#REF!</f>
        <v>#REF!</v>
      </c>
      <c r="BU616" s="39" t="str">
        <f t="shared" si="933"/>
        <v/>
      </c>
      <c r="BV616" s="39" t="str">
        <f t="shared" si="926"/>
        <v/>
      </c>
    </row>
    <row r="617" spans="1:74" ht="14.25" customHeight="1" thickBot="1" x14ac:dyDescent="0.4">
      <c r="A617" s="384"/>
      <c r="B617" s="385"/>
      <c r="C617" s="386"/>
      <c r="D617" s="387"/>
      <c r="E617" s="388"/>
      <c r="F617" s="389"/>
      <c r="G617" s="377"/>
      <c r="H617" s="378"/>
      <c r="I617" s="382"/>
      <c r="J617" s="382"/>
      <c r="K617" s="383"/>
      <c r="L617" s="19"/>
      <c r="M617" s="379"/>
      <c r="N617" s="23"/>
      <c r="O617" s="379"/>
      <c r="P617" s="23"/>
      <c r="Q617" s="379"/>
      <c r="R617" s="380"/>
      <c r="S617" s="381"/>
      <c r="T617" s="380"/>
      <c r="U617" s="15"/>
      <c r="V617" s="373"/>
      <c r="W617" s="374"/>
      <c r="X617" s="375"/>
      <c r="Y617" s="376"/>
      <c r="Z617" s="376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BP617" s="391"/>
      <c r="BQ617" s="393"/>
      <c r="BS617" s="50" t="str">
        <f>Q1216</f>
        <v/>
      </c>
      <c r="BT617" s="50" t="e">
        <f>#REF!</f>
        <v>#REF!</v>
      </c>
      <c r="BU617" s="39" t="str">
        <f t="shared" si="933"/>
        <v/>
      </c>
      <c r="BV617" s="39" t="str">
        <f t="shared" si="926"/>
        <v/>
      </c>
    </row>
    <row r="618" spans="1:74" ht="14.25" customHeight="1" x14ac:dyDescent="0.35">
      <c r="A618" s="311">
        <v>301</v>
      </c>
      <c r="B618" s="312"/>
      <c r="C618" s="313"/>
      <c r="D618" s="314"/>
      <c r="E618" s="315"/>
      <c r="F618" s="353"/>
      <c r="G618" s="354"/>
      <c r="H618" s="355"/>
      <c r="I618" s="356"/>
      <c r="J618" s="356"/>
      <c r="K618" s="357"/>
      <c r="L618" s="16"/>
      <c r="M618" s="352" t="str">
        <f t="shared" ref="M618" si="958">IF(COUNT(L618:L619)&lt;1,"",AVERAGE(L618:L619))</f>
        <v/>
      </c>
      <c r="N618" s="20"/>
      <c r="O618" s="352" t="str">
        <f t="shared" ref="O618" si="959">IF(COUNT(N618:N619)&lt;1,"",AVERAGE(N618:N619))</f>
        <v/>
      </c>
      <c r="P618" s="20"/>
      <c r="Q618" s="352" t="str">
        <f t="shared" ref="Q618" si="960">IF(COUNT(P618:P619)&lt;1,"",AVERAGE(P618:P619))</f>
        <v/>
      </c>
      <c r="R618" s="247" t="str">
        <f>IF($X$13="/28",IF(COUNT(P618:P619)&lt;=1,"",ABS(P618-P619)),IF($X$13="/90",IF(COUNT(#REF!)&lt;=1,"",ABS(#REF!-#REF!))))</f>
        <v/>
      </c>
      <c r="S618" s="247" t="str">
        <f>IF($X$13="/28",IF(Q618="","",IF(AVERAGE(Q614:Q619)&gt;=$W$13,ROUND(AVERAGE(Q614:Q619),1)&amp;" ≥ "&amp;$W$13&amp;" OK",ROUND(AVERAGE(Q614:Q619),1)&amp;" &lt; "&amp;$W$13&amp;" NC")),IF($X$13="/90",IF(#REF!="","",IF(AVERAGE(#REF!)&gt;=$W$13,ROUND(AVERAGE(#REF!),1)&amp;" ≥ "&amp;$W$13&amp;" OK",ROUND(AVERAGE(#REF!),1)&amp;" &lt; "&amp;$W$13&amp;" NC"))))</f>
        <v/>
      </c>
      <c r="T618" s="247" t="str">
        <f>IF($X$13="/28",IF(Q618="","",IF(Q618&gt;=$W$13-$S$12,ROUND((Q618),1)&amp;" ≥ "&amp;$W$13-$S$12&amp;" OK",ROUND((Q618),1)&amp;" &lt; "&amp;$W$13-$S$12&amp;" NC")),IF($X$13="/90",IF(#REF!="","",IF(#REF!&gt;=$W$13-$S$12,ROUND((#REF!),1)&amp;" ≥ "&amp;$W$13-$S$12&amp;" OK",ROUND((#REF!),1)&amp;" &lt; "&amp;$W$13-$S$12&amp;" NC"))))</f>
        <v/>
      </c>
      <c r="U618" s="12"/>
      <c r="V618" s="349"/>
      <c r="W618" s="350"/>
      <c r="X618" s="351"/>
      <c r="Y618" s="244"/>
      <c r="Z618" s="244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BP618" s="390" t="str">
        <f>IF($X$13="/28",IF(Q618="","",Q618),IF($X$13="/90",IF(#REF!="","",#REF!),"Falso"))</f>
        <v/>
      </c>
      <c r="BQ618" s="392" t="str">
        <f t="shared" si="866"/>
        <v/>
      </c>
      <c r="BS618" s="50" t="str">
        <f>Q1218</f>
        <v/>
      </c>
      <c r="BT618" s="50" t="e">
        <f>#REF!</f>
        <v>#REF!</v>
      </c>
      <c r="BU618" s="39" t="str">
        <f t="shared" si="933"/>
        <v/>
      </c>
      <c r="BV618" s="39" t="str">
        <f t="shared" si="926"/>
        <v/>
      </c>
    </row>
    <row r="619" spans="1:74" ht="14.25" customHeight="1" x14ac:dyDescent="0.35">
      <c r="A619" s="294"/>
      <c r="B619" s="296"/>
      <c r="C619" s="298"/>
      <c r="D619" s="300"/>
      <c r="E619" s="302"/>
      <c r="F619" s="304"/>
      <c r="G619" s="276"/>
      <c r="H619" s="277"/>
      <c r="I619" s="290"/>
      <c r="J619" s="290"/>
      <c r="K619" s="291"/>
      <c r="L619" s="17"/>
      <c r="M619" s="286"/>
      <c r="N619" s="21"/>
      <c r="O619" s="286"/>
      <c r="P619" s="21"/>
      <c r="Q619" s="286"/>
      <c r="R619" s="248"/>
      <c r="S619" s="248"/>
      <c r="T619" s="248"/>
      <c r="U619" s="13"/>
      <c r="V619" s="282"/>
      <c r="W619" s="283"/>
      <c r="X619" s="284"/>
      <c r="Y619" s="245"/>
      <c r="Z619" s="245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BP619" s="391"/>
      <c r="BQ619" s="393"/>
      <c r="BS619" s="50" t="str">
        <f>Q1220</f>
        <v/>
      </c>
      <c r="BT619" s="50" t="e">
        <f>#REF!</f>
        <v>#REF!</v>
      </c>
      <c r="BU619" s="39" t="str">
        <f t="shared" si="933"/>
        <v/>
      </c>
      <c r="BV619" s="39" t="str">
        <f t="shared" si="926"/>
        <v/>
      </c>
    </row>
    <row r="620" spans="1:74" ht="14.25" customHeight="1" x14ac:dyDescent="0.35">
      <c r="A620" s="293">
        <v>302</v>
      </c>
      <c r="B620" s="295"/>
      <c r="C620" s="297"/>
      <c r="D620" s="299"/>
      <c r="E620" s="301"/>
      <c r="F620" s="303"/>
      <c r="G620" s="288"/>
      <c r="H620" s="289"/>
      <c r="I620" s="290"/>
      <c r="J620" s="290"/>
      <c r="K620" s="291"/>
      <c r="L620" s="18"/>
      <c r="M620" s="285" t="str">
        <f t="shared" ref="M620" si="961">IF(COUNT(L620:L621)&lt;1,"",AVERAGE(L620:L621))</f>
        <v/>
      </c>
      <c r="N620" s="22"/>
      <c r="O620" s="285" t="str">
        <f t="shared" ref="O620" si="962">IF(COUNT(N620:N621)&lt;1,"",AVERAGE(N620:N621))</f>
        <v/>
      </c>
      <c r="P620" s="22"/>
      <c r="Q620" s="285" t="str">
        <f t="shared" ref="Q620" si="963">IF(COUNT(P620:P621)&lt;1,"",AVERAGE(P620:P621))</f>
        <v/>
      </c>
      <c r="R620" s="278" t="str">
        <f>IF($X$13="/28",IF(COUNT(P620:P621)&lt;=1,"",ABS(P620-P621)),IF($X$13="/90",IF(COUNT(#REF!)&lt;=1,"",ABS(#REF!-#REF!))))</f>
        <v/>
      </c>
      <c r="S620" s="278" t="str">
        <f>IF($X$13="/28",IF(Q620="","",IF(AVERAGE(Q616:Q621)&gt;=$W$13,ROUND(AVERAGE(Q616:Q621),1)&amp;" ≥ "&amp;$W$13&amp;" OK",ROUND(AVERAGE(Q616:Q621),1)&amp;" &lt; "&amp;$W$13&amp;" NC")),IF($X$13="/90",IF(#REF!="","",IF(AVERAGE(#REF!)&gt;=$W$13,ROUND(AVERAGE(#REF!),1)&amp;" ≥ "&amp;$W$13&amp;" OK",ROUND(AVERAGE(#REF!),1)&amp;" &lt; "&amp;$W$13&amp;" NC"))))</f>
        <v/>
      </c>
      <c r="T620" s="278" t="str">
        <f>IF($X$13="/28",IF(Q620="","",IF(Q620&gt;=$W$13-$S$12,ROUND((Q620),1)&amp;" ≥ "&amp;$W$13-$S$12&amp;" OK",ROUND((Q620),1)&amp;" &lt; "&amp;$W$13-$S$12&amp;" NC")),IF($X$13="/90",IF(#REF!="","",IF(#REF!&gt;=$W$13-$S$12,ROUND((#REF!),1)&amp;" ≥ "&amp;$W$13-$S$12&amp;" OK",ROUND((#REF!),1)&amp;" &lt; "&amp;$W$13-$S$12&amp;" NC"))))</f>
        <v/>
      </c>
      <c r="U620" s="14"/>
      <c r="V620" s="279"/>
      <c r="W620" s="280"/>
      <c r="X620" s="281"/>
      <c r="Y620" s="246"/>
      <c r="Z620" s="246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BP620" s="390" t="str">
        <f>IF($X$13="/28",IF(Q620="","",Q620),IF($X$13="/90",IF(#REF!="","",#REF!),"Falso"))</f>
        <v/>
      </c>
      <c r="BQ620" s="392" t="str">
        <f t="shared" si="870"/>
        <v/>
      </c>
      <c r="BS620" s="50" t="str">
        <f>Q1222</f>
        <v/>
      </c>
      <c r="BT620" s="50" t="e">
        <f>#REF!</f>
        <v>#REF!</v>
      </c>
      <c r="BU620" s="39" t="str">
        <f t="shared" si="933"/>
        <v/>
      </c>
      <c r="BV620" s="39" t="str">
        <f t="shared" si="926"/>
        <v/>
      </c>
    </row>
    <row r="621" spans="1:74" ht="14.25" customHeight="1" x14ac:dyDescent="0.35">
      <c r="A621" s="294"/>
      <c r="B621" s="296"/>
      <c r="C621" s="298"/>
      <c r="D621" s="300"/>
      <c r="E621" s="302"/>
      <c r="F621" s="304"/>
      <c r="G621" s="276"/>
      <c r="H621" s="277"/>
      <c r="I621" s="290"/>
      <c r="J621" s="290"/>
      <c r="K621" s="291"/>
      <c r="L621" s="17"/>
      <c r="M621" s="286"/>
      <c r="N621" s="21"/>
      <c r="O621" s="286"/>
      <c r="P621" s="21"/>
      <c r="Q621" s="286"/>
      <c r="R621" s="248"/>
      <c r="S621" s="248"/>
      <c r="T621" s="248"/>
      <c r="U621" s="13"/>
      <c r="V621" s="282"/>
      <c r="W621" s="283"/>
      <c r="X621" s="284"/>
      <c r="Y621" s="245"/>
      <c r="Z621" s="245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BP621" s="391"/>
      <c r="BQ621" s="393"/>
      <c r="BS621" s="50" t="str">
        <f>Q1224</f>
        <v/>
      </c>
      <c r="BT621" s="50" t="e">
        <f>#REF!</f>
        <v>#REF!</v>
      </c>
      <c r="BU621" s="39" t="str">
        <f t="shared" si="933"/>
        <v/>
      </c>
      <c r="BV621" s="39" t="str">
        <f t="shared" si="926"/>
        <v/>
      </c>
    </row>
    <row r="622" spans="1:74" ht="14.25" customHeight="1" x14ac:dyDescent="0.35">
      <c r="A622" s="293">
        <v>303</v>
      </c>
      <c r="B622" s="295"/>
      <c r="C622" s="297"/>
      <c r="D622" s="299"/>
      <c r="E622" s="301"/>
      <c r="F622" s="303"/>
      <c r="G622" s="288"/>
      <c r="H622" s="289"/>
      <c r="I622" s="290"/>
      <c r="J622" s="290"/>
      <c r="K622" s="291"/>
      <c r="L622" s="18"/>
      <c r="M622" s="285" t="str">
        <f t="shared" ref="M622" si="964">IF(COUNT(L622:L623)&lt;1,"",AVERAGE(L622:L623))</f>
        <v/>
      </c>
      <c r="N622" s="22"/>
      <c r="O622" s="285" t="str">
        <f t="shared" ref="O622" si="965">IF(COUNT(N622:N623)&lt;1,"",AVERAGE(N622:N623))</f>
        <v/>
      </c>
      <c r="P622" s="22"/>
      <c r="Q622" s="285" t="str">
        <f t="shared" ref="Q622" si="966">IF(COUNT(P622:P623)&lt;1,"",AVERAGE(P622:P623))</f>
        <v/>
      </c>
      <c r="R622" s="278" t="str">
        <f>IF($X$13="/28",IF(COUNT(P622:P623)&lt;=1,"",ABS(P622-P623)),IF($X$13="/90",IF(COUNT(#REF!)&lt;=1,"",ABS(#REF!-#REF!))))</f>
        <v/>
      </c>
      <c r="S622" s="278" t="str">
        <f>IF($X$13="/28",IF(Q622="","",IF(AVERAGE(Q618:Q623)&gt;=$W$13,ROUND(AVERAGE(Q618:Q623),1)&amp;" ≥ "&amp;$W$13&amp;" OK",ROUND(AVERAGE(Q618:Q623),1)&amp;" &lt; "&amp;$W$13&amp;" NC")),IF($X$13="/90",IF(#REF!="","",IF(AVERAGE(#REF!)&gt;=$W$13,ROUND(AVERAGE(#REF!),1)&amp;" ≥ "&amp;$W$13&amp;" OK",ROUND(AVERAGE(#REF!),1)&amp;" &lt; "&amp;$W$13&amp;" NC"))))</f>
        <v/>
      </c>
      <c r="T622" s="278" t="str">
        <f>IF($X$13="/28",IF(Q622="","",IF(Q622&gt;=$W$13-$S$12,ROUND((Q622),1)&amp;" ≥ "&amp;$W$13-$S$12&amp;" OK",ROUND((Q622),1)&amp;" &lt; "&amp;$W$13-$S$12&amp;" NC")),IF($X$13="/90",IF(#REF!="","",IF(#REF!&gt;=$W$13-$S$12,ROUND((#REF!),1)&amp;" ≥ "&amp;$W$13-$S$12&amp;" OK",ROUND((#REF!),1)&amp;" &lt; "&amp;$W$13-$S$12&amp;" NC"))))</f>
        <v/>
      </c>
      <c r="U622" s="14"/>
      <c r="V622" s="279"/>
      <c r="W622" s="280"/>
      <c r="X622" s="281"/>
      <c r="Y622" s="246"/>
      <c r="Z622" s="246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BP622" s="390" t="str">
        <f>IF($X$13="/28",IF(Q622="","",Q622),IF($X$13="/90",IF(#REF!="","",#REF!),"Falso"))</f>
        <v/>
      </c>
      <c r="BQ622" s="392" t="str">
        <f t="shared" si="874"/>
        <v/>
      </c>
      <c r="BS622" s="50" t="str">
        <f>Q1226</f>
        <v/>
      </c>
      <c r="BT622" s="50" t="e">
        <f>#REF!</f>
        <v>#REF!</v>
      </c>
      <c r="BU622" s="39" t="str">
        <f t="shared" si="933"/>
        <v/>
      </c>
      <c r="BV622" s="39" t="str">
        <f t="shared" si="926"/>
        <v/>
      </c>
    </row>
    <row r="623" spans="1:74" ht="14.25" customHeight="1" x14ac:dyDescent="0.35">
      <c r="A623" s="294"/>
      <c r="B623" s="296"/>
      <c r="C623" s="298"/>
      <c r="D623" s="300"/>
      <c r="E623" s="302"/>
      <c r="F623" s="304"/>
      <c r="G623" s="276"/>
      <c r="H623" s="277"/>
      <c r="I623" s="290"/>
      <c r="J623" s="290"/>
      <c r="K623" s="291"/>
      <c r="L623" s="17"/>
      <c r="M623" s="286"/>
      <c r="N623" s="21"/>
      <c r="O623" s="286"/>
      <c r="P623" s="21"/>
      <c r="Q623" s="286"/>
      <c r="R623" s="248"/>
      <c r="S623" s="287"/>
      <c r="T623" s="248"/>
      <c r="U623" s="13"/>
      <c r="V623" s="282"/>
      <c r="W623" s="283"/>
      <c r="X623" s="284"/>
      <c r="Y623" s="245"/>
      <c r="Z623" s="245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BP623" s="391"/>
      <c r="BQ623" s="393"/>
      <c r="BS623" s="50" t="str">
        <f>Q1228</f>
        <v/>
      </c>
      <c r="BT623" s="50" t="e">
        <f>#REF!</f>
        <v>#REF!</v>
      </c>
      <c r="BU623" s="39" t="str">
        <f t="shared" si="933"/>
        <v/>
      </c>
      <c r="BV623" s="39" t="str">
        <f t="shared" si="926"/>
        <v/>
      </c>
    </row>
    <row r="624" spans="1:74" ht="14.25" customHeight="1" x14ac:dyDescent="0.35">
      <c r="A624" s="293">
        <v>304</v>
      </c>
      <c r="B624" s="295"/>
      <c r="C624" s="297"/>
      <c r="D624" s="299"/>
      <c r="E624" s="301"/>
      <c r="F624" s="303"/>
      <c r="G624" s="288"/>
      <c r="H624" s="289"/>
      <c r="I624" s="290"/>
      <c r="J624" s="290"/>
      <c r="K624" s="291"/>
      <c r="L624" s="18"/>
      <c r="M624" s="285" t="str">
        <f t="shared" ref="M624" si="967">IF(COUNT(L624:L625)&lt;1,"",AVERAGE(L624:L625))</f>
        <v/>
      </c>
      <c r="N624" s="22"/>
      <c r="O624" s="285" t="str">
        <f t="shared" ref="O624" si="968">IF(COUNT(N624:N625)&lt;1,"",AVERAGE(N624:N625))</f>
        <v/>
      </c>
      <c r="P624" s="22"/>
      <c r="Q624" s="285" t="str">
        <f t="shared" ref="Q624" si="969">IF(COUNT(P624:P625)&lt;1,"",AVERAGE(P624:P625))</f>
        <v/>
      </c>
      <c r="R624" s="278" t="str">
        <f>IF($X$13="/28",IF(COUNT(P624:P625)&lt;=1,"",ABS(P624-P625)),IF($X$13="/90",IF(COUNT(#REF!)&lt;=1,"",ABS(#REF!-#REF!))))</f>
        <v/>
      </c>
      <c r="S624" s="278" t="str">
        <f>IF($X$13="/28",IF(Q624="","",IF(AVERAGE(Q620:Q625)&gt;=$W$13,ROUND(AVERAGE(Q620:Q625),1)&amp;" ≥ "&amp;$W$13&amp;" OK",ROUND(AVERAGE(Q620:Q625),1)&amp;" &lt; "&amp;$W$13&amp;" NC")),IF($X$13="/90",IF(#REF!="","",IF(AVERAGE(#REF!)&gt;=$W$13,ROUND(AVERAGE(#REF!),1)&amp;" ≥ "&amp;$W$13&amp;" OK",ROUND(AVERAGE(#REF!),1)&amp;" &lt; "&amp;$W$13&amp;" NC"))))</f>
        <v/>
      </c>
      <c r="T624" s="278" t="str">
        <f>IF($X$13="/28",IF(Q624="","",IF(Q624&gt;=$W$13-$S$12,ROUND((Q624),1)&amp;" ≥ "&amp;$W$13-$S$12&amp;" OK",ROUND((Q624),1)&amp;" &lt; "&amp;$W$13-$S$12&amp;" NC")),IF($X$13="/90",IF(#REF!="","",IF(#REF!&gt;=$W$13-$S$12,ROUND((#REF!),1)&amp;" ≥ "&amp;$W$13-$S$12&amp;" OK",ROUND((#REF!),1)&amp;" &lt; "&amp;$W$13-$S$12&amp;" NC"))))</f>
        <v/>
      </c>
      <c r="U624" s="14"/>
      <c r="V624" s="279"/>
      <c r="W624" s="280"/>
      <c r="X624" s="281"/>
      <c r="Y624" s="246"/>
      <c r="Z624" s="246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BP624" s="390" t="str">
        <f>IF($X$13="/28",IF(Q624="","",Q624),IF($X$13="/90",IF(#REF!="","",#REF!),"Falso"))</f>
        <v/>
      </c>
      <c r="BQ624" s="392" t="str">
        <f t="shared" ref="BQ624:BQ684" si="970">IF(BP624="","",BQ622+1)</f>
        <v/>
      </c>
      <c r="BS624" s="50" t="str">
        <f>Q1230</f>
        <v/>
      </c>
      <c r="BT624" s="50" t="e">
        <f>#REF!</f>
        <v>#REF!</v>
      </c>
      <c r="BU624" s="39" t="str">
        <f t="shared" si="933"/>
        <v/>
      </c>
      <c r="BV624" s="39" t="str">
        <f t="shared" si="926"/>
        <v/>
      </c>
    </row>
    <row r="625" spans="1:74" ht="14.25" customHeight="1" x14ac:dyDescent="0.35">
      <c r="A625" s="294"/>
      <c r="B625" s="296"/>
      <c r="C625" s="298"/>
      <c r="D625" s="300"/>
      <c r="E625" s="302"/>
      <c r="F625" s="304"/>
      <c r="G625" s="276"/>
      <c r="H625" s="277"/>
      <c r="I625" s="290"/>
      <c r="J625" s="290"/>
      <c r="K625" s="291"/>
      <c r="L625" s="17"/>
      <c r="M625" s="286"/>
      <c r="N625" s="21"/>
      <c r="O625" s="286"/>
      <c r="P625" s="21"/>
      <c r="Q625" s="286"/>
      <c r="R625" s="248"/>
      <c r="S625" s="287"/>
      <c r="T625" s="248"/>
      <c r="U625" s="13"/>
      <c r="V625" s="282"/>
      <c r="W625" s="283"/>
      <c r="X625" s="284"/>
      <c r="Y625" s="245"/>
      <c r="Z625" s="245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BP625" s="391"/>
      <c r="BQ625" s="393"/>
      <c r="BS625" s="50" t="str">
        <f>Q1232</f>
        <v/>
      </c>
      <c r="BT625" s="50" t="e">
        <f>#REF!</f>
        <v>#REF!</v>
      </c>
      <c r="BU625" s="39" t="str">
        <f t="shared" si="933"/>
        <v/>
      </c>
      <c r="BV625" s="39" t="str">
        <f t="shared" si="926"/>
        <v/>
      </c>
    </row>
    <row r="626" spans="1:74" ht="14.25" customHeight="1" x14ac:dyDescent="0.35">
      <c r="A626" s="293">
        <v>305</v>
      </c>
      <c r="B626" s="295"/>
      <c r="C626" s="297"/>
      <c r="D626" s="299"/>
      <c r="E626" s="301"/>
      <c r="F626" s="303"/>
      <c r="G626" s="288"/>
      <c r="H626" s="289"/>
      <c r="I626" s="290"/>
      <c r="J626" s="290"/>
      <c r="K626" s="291"/>
      <c r="L626" s="18"/>
      <c r="M626" s="285" t="str">
        <f t="shared" ref="M626" si="971">IF(COUNT(L626:L627)&lt;1,"",AVERAGE(L626:L627))</f>
        <v/>
      </c>
      <c r="N626" s="22"/>
      <c r="O626" s="285" t="str">
        <f t="shared" ref="O626" si="972">IF(COUNT(N626:N627)&lt;1,"",AVERAGE(N626:N627))</f>
        <v/>
      </c>
      <c r="P626" s="22"/>
      <c r="Q626" s="285" t="str">
        <f t="shared" ref="Q626" si="973">IF(COUNT(P626:P627)&lt;1,"",AVERAGE(P626:P627))</f>
        <v/>
      </c>
      <c r="R626" s="278" t="str">
        <f>IF($X$13="/28",IF(COUNT(P626:P627)&lt;=1,"",ABS(P626-P627)),IF($X$13="/90",IF(COUNT(#REF!)&lt;=1,"",ABS(#REF!-#REF!))))</f>
        <v/>
      </c>
      <c r="S626" s="278" t="str">
        <f>IF($X$13="/28",IF(Q626="","",IF(AVERAGE(Q622:Q627)&gt;=$W$13,ROUND(AVERAGE(Q622:Q627),1)&amp;" ≥ "&amp;$W$13&amp;" OK",ROUND(AVERAGE(Q622:Q627),1)&amp;" &lt; "&amp;$W$13&amp;" NC")),IF($X$13="/90",IF(#REF!="","",IF(AVERAGE(#REF!)&gt;=$W$13,ROUND(AVERAGE(#REF!),1)&amp;" ≥ "&amp;$W$13&amp;" OK",ROUND(AVERAGE(#REF!),1)&amp;" &lt; "&amp;$W$13&amp;" NC"))))</f>
        <v/>
      </c>
      <c r="T626" s="278" t="str">
        <f>IF($X$13="/28",IF(Q626="","",IF(Q626&gt;=$W$13-$S$12,ROUND((Q626),1)&amp;" ≥ "&amp;$W$13-$S$12&amp;" OK",ROUND((Q626),1)&amp;" &lt; "&amp;$W$13-$S$12&amp;" NC")),IF($X$13="/90",IF(#REF!="","",IF(#REF!&gt;=$W$13-$S$12,ROUND((#REF!),1)&amp;" ≥ "&amp;$W$13-$S$12&amp;" OK",ROUND((#REF!),1)&amp;" &lt; "&amp;$W$13-$S$12&amp;" NC"))))</f>
        <v/>
      </c>
      <c r="U626" s="14"/>
      <c r="V626" s="279"/>
      <c r="W626" s="280"/>
      <c r="X626" s="281"/>
      <c r="Y626" s="246"/>
      <c r="Z626" s="246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BP626" s="390" t="str">
        <f>IF($X$13="/28",IF(Q626="","",Q626),IF($X$13="/90",IF(#REF!="","",#REF!),"Falso"))</f>
        <v/>
      </c>
      <c r="BQ626" s="392" t="str">
        <f t="shared" ref="BQ626:BQ686" si="974">IF(BP626="","",BQ624+1)</f>
        <v/>
      </c>
      <c r="BS626" s="50" t="str">
        <f>Q1234</f>
        <v/>
      </c>
      <c r="BT626" s="50" t="e">
        <f>#REF!</f>
        <v>#REF!</v>
      </c>
      <c r="BU626" s="39" t="str">
        <f t="shared" si="933"/>
        <v/>
      </c>
      <c r="BV626" s="39" t="str">
        <f t="shared" si="926"/>
        <v/>
      </c>
    </row>
    <row r="627" spans="1:74" ht="14.25" customHeight="1" x14ac:dyDescent="0.35">
      <c r="A627" s="294"/>
      <c r="B627" s="296"/>
      <c r="C627" s="298"/>
      <c r="D627" s="300"/>
      <c r="E627" s="302"/>
      <c r="F627" s="304"/>
      <c r="G627" s="276"/>
      <c r="H627" s="277"/>
      <c r="I627" s="290"/>
      <c r="J627" s="290"/>
      <c r="K627" s="291"/>
      <c r="L627" s="17"/>
      <c r="M627" s="286"/>
      <c r="N627" s="21"/>
      <c r="O627" s="286"/>
      <c r="P627" s="21"/>
      <c r="Q627" s="286"/>
      <c r="R627" s="248"/>
      <c r="S627" s="287"/>
      <c r="T627" s="248"/>
      <c r="U627" s="13"/>
      <c r="V627" s="282"/>
      <c r="W627" s="283"/>
      <c r="X627" s="284"/>
      <c r="Y627" s="245"/>
      <c r="Z627" s="245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BP627" s="391"/>
      <c r="BQ627" s="393"/>
      <c r="BS627" s="50" t="str">
        <f>Q1236</f>
        <v/>
      </c>
      <c r="BT627" s="50" t="e">
        <f>#REF!</f>
        <v>#REF!</v>
      </c>
      <c r="BU627" s="39" t="str">
        <f t="shared" si="933"/>
        <v/>
      </c>
      <c r="BV627" s="39" t="str">
        <f t="shared" si="926"/>
        <v/>
      </c>
    </row>
    <row r="628" spans="1:74" ht="14.25" customHeight="1" x14ac:dyDescent="0.35">
      <c r="A628" s="293">
        <v>306</v>
      </c>
      <c r="B628" s="295"/>
      <c r="C628" s="297"/>
      <c r="D628" s="299"/>
      <c r="E628" s="301"/>
      <c r="F628" s="303"/>
      <c r="G628" s="288"/>
      <c r="H628" s="289"/>
      <c r="I628" s="290"/>
      <c r="J628" s="290"/>
      <c r="K628" s="291"/>
      <c r="L628" s="18"/>
      <c r="M628" s="285" t="str">
        <f t="shared" ref="M628" si="975">IF(COUNT(L628:L629)&lt;1,"",AVERAGE(L628:L629))</f>
        <v/>
      </c>
      <c r="N628" s="22"/>
      <c r="O628" s="285" t="str">
        <f t="shared" ref="O628" si="976">IF(COUNT(N628:N629)&lt;1,"",AVERAGE(N628:N629))</f>
        <v/>
      </c>
      <c r="P628" s="22"/>
      <c r="Q628" s="285" t="str">
        <f t="shared" ref="Q628" si="977">IF(COUNT(P628:P629)&lt;1,"",AVERAGE(P628:P629))</f>
        <v/>
      </c>
      <c r="R628" s="278" t="str">
        <f>IF($X$13="/28",IF(COUNT(P628:P629)&lt;=1,"",ABS(P628-P629)),IF($X$13="/90",IF(COUNT(#REF!)&lt;=1,"",ABS(#REF!-#REF!))))</f>
        <v/>
      </c>
      <c r="S628" s="278" t="str">
        <f>IF($X$13="/28",IF(Q628="","",IF(AVERAGE(Q624:Q629)&gt;=$W$13,ROUND(AVERAGE(Q624:Q629),1)&amp;" ≥ "&amp;$W$13&amp;" OK",ROUND(AVERAGE(Q624:Q629),1)&amp;" &lt; "&amp;$W$13&amp;" NC")),IF($X$13="/90",IF(#REF!="","",IF(AVERAGE(#REF!)&gt;=$W$13,ROUND(AVERAGE(#REF!),1)&amp;" ≥ "&amp;$W$13&amp;" OK",ROUND(AVERAGE(#REF!),1)&amp;" &lt; "&amp;$W$13&amp;" NC"))))</f>
        <v/>
      </c>
      <c r="T628" s="278" t="str">
        <f>IF($X$13="/28",IF(Q628="","",IF(Q628&gt;=$W$13-$S$12,ROUND((Q628),1)&amp;" ≥ "&amp;$W$13-$S$12&amp;" OK",ROUND((Q628),1)&amp;" &lt; "&amp;$W$13-$S$12&amp;" NC")),IF($X$13="/90",IF(#REF!="","",IF(#REF!&gt;=$W$13-$S$12,ROUND((#REF!),1)&amp;" ≥ "&amp;$W$13-$S$12&amp;" OK",ROUND((#REF!),1)&amp;" &lt; "&amp;$W$13-$S$12&amp;" NC"))))</f>
        <v/>
      </c>
      <c r="U628" s="14"/>
      <c r="V628" s="279"/>
      <c r="W628" s="280"/>
      <c r="X628" s="281"/>
      <c r="Y628" s="246"/>
      <c r="Z628" s="246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BP628" s="390" t="str">
        <f>IF($X$13="/28",IF(Q628="","",Q628),IF($X$13="/90",IF(#REF!="","",#REF!),"Falso"))</f>
        <v/>
      </c>
      <c r="BQ628" s="392" t="str">
        <f t="shared" ref="BQ628:BQ688" si="978">IF(BP628="","",BQ626+1)</f>
        <v/>
      </c>
      <c r="BS628" s="50" t="str">
        <f>Q1238</f>
        <v/>
      </c>
      <c r="BT628" s="50" t="e">
        <f>#REF!</f>
        <v>#REF!</v>
      </c>
      <c r="BU628" s="39" t="str">
        <f t="shared" si="933"/>
        <v/>
      </c>
      <c r="BV628" s="39" t="str">
        <f t="shared" si="926"/>
        <v/>
      </c>
    </row>
    <row r="629" spans="1:74" ht="14.25" customHeight="1" x14ac:dyDescent="0.35">
      <c r="A629" s="294"/>
      <c r="B629" s="296"/>
      <c r="C629" s="298"/>
      <c r="D629" s="300"/>
      <c r="E629" s="302"/>
      <c r="F629" s="304"/>
      <c r="G629" s="276"/>
      <c r="H629" s="277"/>
      <c r="I629" s="290"/>
      <c r="J629" s="290"/>
      <c r="K629" s="291"/>
      <c r="L629" s="17"/>
      <c r="M629" s="286"/>
      <c r="N629" s="21"/>
      <c r="O629" s="286"/>
      <c r="P629" s="21"/>
      <c r="Q629" s="286"/>
      <c r="R629" s="248"/>
      <c r="S629" s="287"/>
      <c r="T629" s="248"/>
      <c r="U629" s="13"/>
      <c r="V629" s="282"/>
      <c r="W629" s="283"/>
      <c r="X629" s="284"/>
      <c r="Y629" s="245"/>
      <c r="Z629" s="245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BP629" s="391"/>
      <c r="BQ629" s="393"/>
      <c r="BS629" s="50" t="str">
        <f>Q1240</f>
        <v/>
      </c>
      <c r="BT629" s="50" t="e">
        <f>#REF!</f>
        <v>#REF!</v>
      </c>
      <c r="BU629" s="39" t="str">
        <f t="shared" si="933"/>
        <v/>
      </c>
      <c r="BV629" s="39" t="str">
        <f t="shared" si="926"/>
        <v/>
      </c>
    </row>
    <row r="630" spans="1:74" ht="14.25" customHeight="1" x14ac:dyDescent="0.35">
      <c r="A630" s="293">
        <v>307</v>
      </c>
      <c r="B630" s="295"/>
      <c r="C630" s="297"/>
      <c r="D630" s="299"/>
      <c r="E630" s="301"/>
      <c r="F630" s="303"/>
      <c r="G630" s="288"/>
      <c r="H630" s="289"/>
      <c r="I630" s="290"/>
      <c r="J630" s="290"/>
      <c r="K630" s="291"/>
      <c r="L630" s="18"/>
      <c r="M630" s="285" t="str">
        <f t="shared" ref="M630" si="979">IF(COUNT(L630:L631)&lt;1,"",AVERAGE(L630:L631))</f>
        <v/>
      </c>
      <c r="N630" s="22"/>
      <c r="O630" s="285" t="str">
        <f t="shared" ref="O630" si="980">IF(COUNT(N630:N631)&lt;1,"",AVERAGE(N630:N631))</f>
        <v/>
      </c>
      <c r="P630" s="22"/>
      <c r="Q630" s="285" t="str">
        <f t="shared" ref="Q630" si="981">IF(COUNT(P630:P631)&lt;1,"",AVERAGE(P630:P631))</f>
        <v/>
      </c>
      <c r="R630" s="278" t="str">
        <f>IF($X$13="/28",IF(COUNT(P630:P631)&lt;=1,"",ABS(P630-P631)),IF($X$13="/90",IF(COUNT(#REF!)&lt;=1,"",ABS(#REF!-#REF!))))</f>
        <v/>
      </c>
      <c r="S630" s="278" t="str">
        <f>IF($X$13="/28",IF(Q630="","",IF(AVERAGE(Q626:Q631)&gt;=$W$13,ROUND(AVERAGE(Q626:Q631),1)&amp;" ≥ "&amp;$W$13&amp;" OK",ROUND(AVERAGE(Q626:Q631),1)&amp;" &lt; "&amp;$W$13&amp;" NC")),IF($X$13="/90",IF(#REF!="","",IF(AVERAGE(#REF!)&gt;=$W$13,ROUND(AVERAGE(#REF!),1)&amp;" ≥ "&amp;$W$13&amp;" OK",ROUND(AVERAGE(#REF!),1)&amp;" &lt; "&amp;$W$13&amp;" NC"))))</f>
        <v/>
      </c>
      <c r="T630" s="278" t="str">
        <f>IF($X$13="/28",IF(Q630="","",IF(Q630&gt;=$W$13-$S$12,ROUND((Q630),1)&amp;" ≥ "&amp;$W$13-$S$12&amp;" OK",ROUND((Q630),1)&amp;" &lt; "&amp;$W$13-$S$12&amp;" NC")),IF($X$13="/90",IF(#REF!="","",IF(#REF!&gt;=$W$13-$S$12,ROUND((#REF!),1)&amp;" ≥ "&amp;$W$13-$S$12&amp;" OK",ROUND((#REF!),1)&amp;" &lt; "&amp;$W$13-$S$12&amp;" NC"))))</f>
        <v/>
      </c>
      <c r="U630" s="14"/>
      <c r="V630" s="279"/>
      <c r="W630" s="280"/>
      <c r="X630" s="281"/>
      <c r="Y630" s="246"/>
      <c r="Z630" s="246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BP630" s="390" t="str">
        <f>IF($X$13="/28",IF(Q630="","",Q630),IF($X$13="/90",IF(#REF!="","",#REF!),"Falso"))</f>
        <v/>
      </c>
      <c r="BQ630" s="392" t="str">
        <f t="shared" si="970"/>
        <v/>
      </c>
      <c r="BS630" s="50" t="str">
        <f>Q1242</f>
        <v/>
      </c>
      <c r="BT630" s="50" t="e">
        <f>#REF!</f>
        <v>#REF!</v>
      </c>
      <c r="BU630" s="39" t="str">
        <f t="shared" si="933"/>
        <v/>
      </c>
      <c r="BV630" s="39" t="str">
        <f t="shared" si="926"/>
        <v/>
      </c>
    </row>
    <row r="631" spans="1:74" ht="14.25" customHeight="1" x14ac:dyDescent="0.35">
      <c r="A631" s="294"/>
      <c r="B631" s="296"/>
      <c r="C631" s="298"/>
      <c r="D631" s="300"/>
      <c r="E631" s="302"/>
      <c r="F631" s="304"/>
      <c r="G631" s="276"/>
      <c r="H631" s="277"/>
      <c r="I631" s="290"/>
      <c r="J631" s="290"/>
      <c r="K631" s="291"/>
      <c r="L631" s="17"/>
      <c r="M631" s="286"/>
      <c r="N631" s="21"/>
      <c r="O631" s="286"/>
      <c r="P631" s="21"/>
      <c r="Q631" s="286"/>
      <c r="R631" s="248"/>
      <c r="S631" s="287"/>
      <c r="T631" s="248"/>
      <c r="U631" s="13"/>
      <c r="V631" s="282"/>
      <c r="W631" s="283"/>
      <c r="X631" s="284"/>
      <c r="Y631" s="245"/>
      <c r="Z631" s="245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BP631" s="391"/>
      <c r="BQ631" s="393"/>
      <c r="BS631" s="50" t="str">
        <f>Q1244</f>
        <v/>
      </c>
      <c r="BT631" s="50" t="e">
        <f>#REF!</f>
        <v>#REF!</v>
      </c>
      <c r="BU631" s="39" t="str">
        <f t="shared" si="933"/>
        <v/>
      </c>
      <c r="BV631" s="39" t="str">
        <f t="shared" si="926"/>
        <v/>
      </c>
    </row>
    <row r="632" spans="1:74" ht="14.25" customHeight="1" x14ac:dyDescent="0.35">
      <c r="A632" s="293">
        <v>308</v>
      </c>
      <c r="B632" s="295"/>
      <c r="C632" s="297"/>
      <c r="D632" s="299"/>
      <c r="E632" s="301"/>
      <c r="F632" s="303"/>
      <c r="G632" s="288"/>
      <c r="H632" s="289"/>
      <c r="I632" s="290"/>
      <c r="J632" s="290"/>
      <c r="K632" s="291"/>
      <c r="L632" s="18"/>
      <c r="M632" s="285" t="str">
        <f t="shared" ref="M632" si="982">IF(COUNT(L632:L633)&lt;1,"",AVERAGE(L632:L633))</f>
        <v/>
      </c>
      <c r="N632" s="22"/>
      <c r="O632" s="285" t="str">
        <f t="shared" ref="O632" si="983">IF(COUNT(N632:N633)&lt;1,"",AVERAGE(N632:N633))</f>
        <v/>
      </c>
      <c r="P632" s="22"/>
      <c r="Q632" s="285" t="str">
        <f t="shared" ref="Q632" si="984">IF(COUNT(P632:P633)&lt;1,"",AVERAGE(P632:P633))</f>
        <v/>
      </c>
      <c r="R632" s="278" t="str">
        <f>IF($X$13="/28",IF(COUNT(P632:P633)&lt;=1,"",ABS(P632-P633)),IF($X$13="/90",IF(COUNT(#REF!)&lt;=1,"",ABS(#REF!-#REF!))))</f>
        <v/>
      </c>
      <c r="S632" s="278" t="str">
        <f>IF($X$13="/28",IF(Q632="","",IF(AVERAGE(Q628:Q633)&gt;=$W$13,ROUND(AVERAGE(Q628:Q633),1)&amp;" ≥ "&amp;$W$13&amp;" OK",ROUND(AVERAGE(Q628:Q633),1)&amp;" &lt; "&amp;$W$13&amp;" NC")),IF($X$13="/90",IF(#REF!="","",IF(AVERAGE(#REF!)&gt;=$W$13,ROUND(AVERAGE(#REF!),1)&amp;" ≥ "&amp;$W$13&amp;" OK",ROUND(AVERAGE(#REF!),1)&amp;" &lt; "&amp;$W$13&amp;" NC"))))</f>
        <v/>
      </c>
      <c r="T632" s="278" t="str">
        <f>IF($X$13="/28",IF(Q632="","",IF(Q632&gt;=$W$13-$S$12,ROUND((Q632),1)&amp;" ≥ "&amp;$W$13-$S$12&amp;" OK",ROUND((Q632),1)&amp;" &lt; "&amp;$W$13-$S$12&amp;" NC")),IF($X$13="/90",IF(#REF!="","",IF(#REF!&gt;=$W$13-$S$12,ROUND((#REF!),1)&amp;" ≥ "&amp;$W$13-$S$12&amp;" OK",ROUND((#REF!),1)&amp;" &lt; "&amp;$W$13-$S$12&amp;" NC"))))</f>
        <v/>
      </c>
      <c r="U632" s="14"/>
      <c r="V632" s="279"/>
      <c r="W632" s="280"/>
      <c r="X632" s="281"/>
      <c r="Y632" s="246"/>
      <c r="Z632" s="246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BP632" s="390" t="str">
        <f>IF($X$13="/28",IF(Q632="","",Q632),IF($X$13="/90",IF(#REF!="","",#REF!),"Falso"))</f>
        <v/>
      </c>
      <c r="BQ632" s="392" t="str">
        <f t="shared" si="974"/>
        <v/>
      </c>
      <c r="BS632" s="50" t="str">
        <f>Q1246</f>
        <v/>
      </c>
      <c r="BT632" s="50" t="e">
        <f>#REF!</f>
        <v>#REF!</v>
      </c>
      <c r="BU632" s="39" t="str">
        <f t="shared" si="933"/>
        <v/>
      </c>
      <c r="BV632" s="39" t="str">
        <f t="shared" si="926"/>
        <v/>
      </c>
    </row>
    <row r="633" spans="1:74" ht="14.25" customHeight="1" x14ac:dyDescent="0.35">
      <c r="A633" s="294"/>
      <c r="B633" s="296"/>
      <c r="C633" s="298"/>
      <c r="D633" s="300"/>
      <c r="E633" s="302"/>
      <c r="F633" s="304"/>
      <c r="G633" s="276"/>
      <c r="H633" s="277"/>
      <c r="I633" s="290"/>
      <c r="J633" s="290"/>
      <c r="K633" s="291"/>
      <c r="L633" s="17"/>
      <c r="M633" s="286"/>
      <c r="N633" s="21"/>
      <c r="O633" s="286"/>
      <c r="P633" s="21"/>
      <c r="Q633" s="286"/>
      <c r="R633" s="248"/>
      <c r="S633" s="287"/>
      <c r="T633" s="248"/>
      <c r="U633" s="13"/>
      <c r="V633" s="282"/>
      <c r="W633" s="283"/>
      <c r="X633" s="284"/>
      <c r="Y633" s="245"/>
      <c r="Z633" s="245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BP633" s="391"/>
      <c r="BQ633" s="393"/>
      <c r="BS633" s="50" t="str">
        <f>Q1248</f>
        <v/>
      </c>
      <c r="BT633" s="50" t="e">
        <f>#REF!</f>
        <v>#REF!</v>
      </c>
      <c r="BU633" s="39" t="str">
        <f t="shared" si="933"/>
        <v/>
      </c>
      <c r="BV633" s="39" t="str">
        <f t="shared" si="926"/>
        <v/>
      </c>
    </row>
    <row r="634" spans="1:74" ht="14.25" customHeight="1" x14ac:dyDescent="0.35">
      <c r="A634" s="293">
        <v>309</v>
      </c>
      <c r="B634" s="295"/>
      <c r="C634" s="297"/>
      <c r="D634" s="299"/>
      <c r="E634" s="301"/>
      <c r="F634" s="303"/>
      <c r="G634" s="288"/>
      <c r="H634" s="289"/>
      <c r="I634" s="290"/>
      <c r="J634" s="290"/>
      <c r="K634" s="291"/>
      <c r="L634" s="18"/>
      <c r="M634" s="285" t="str">
        <f t="shared" ref="M634" si="985">IF(COUNT(L634:L635)&lt;1,"",AVERAGE(L634:L635))</f>
        <v/>
      </c>
      <c r="N634" s="22"/>
      <c r="O634" s="285" t="str">
        <f t="shared" ref="O634" si="986">IF(COUNT(N634:N635)&lt;1,"",AVERAGE(N634:N635))</f>
        <v/>
      </c>
      <c r="P634" s="22"/>
      <c r="Q634" s="285" t="str">
        <f t="shared" ref="Q634" si="987">IF(COUNT(P634:P635)&lt;1,"",AVERAGE(P634:P635))</f>
        <v/>
      </c>
      <c r="R634" s="278" t="str">
        <f>IF($X$13="/28",IF(COUNT(P634:P635)&lt;=1,"",ABS(P634-P635)),IF($X$13="/90",IF(COUNT(#REF!)&lt;=1,"",ABS(#REF!-#REF!))))</f>
        <v/>
      </c>
      <c r="S634" s="278" t="str">
        <f>IF($X$13="/28",IF(Q634="","",IF(AVERAGE(Q630:Q635)&gt;=$W$13,ROUND(AVERAGE(Q630:Q635),1)&amp;" ≥ "&amp;$W$13&amp;" OK",ROUND(AVERAGE(Q630:Q635),1)&amp;" &lt; "&amp;$W$13&amp;" NC")),IF($X$13="/90",IF(#REF!="","",IF(AVERAGE(#REF!)&gt;=$W$13,ROUND(AVERAGE(#REF!),1)&amp;" ≥ "&amp;$W$13&amp;" OK",ROUND(AVERAGE(#REF!),1)&amp;" &lt; "&amp;$W$13&amp;" NC"))))</f>
        <v/>
      </c>
      <c r="T634" s="278" t="str">
        <f>IF($X$13="/28",IF(Q634="","",IF(Q634&gt;=$W$13-$S$12,ROUND((Q634),1)&amp;" ≥ "&amp;$W$13-$S$12&amp;" OK",ROUND((Q634),1)&amp;" &lt; "&amp;$W$13-$S$12&amp;" NC")),IF($X$13="/90",IF(#REF!="","",IF(#REF!&gt;=$W$13-$S$12,ROUND((#REF!),1)&amp;" ≥ "&amp;$W$13-$S$12&amp;" OK",ROUND((#REF!),1)&amp;" &lt; "&amp;$W$13-$S$12&amp;" NC"))))</f>
        <v/>
      </c>
      <c r="U634" s="14"/>
      <c r="V634" s="279"/>
      <c r="W634" s="280"/>
      <c r="X634" s="281"/>
      <c r="Y634" s="246"/>
      <c r="Z634" s="246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BP634" s="390" t="str">
        <f>IF($X$13="/28",IF(Q634="","",Q634),IF($X$13="/90",IF(#REF!="","",#REF!),"Falso"))</f>
        <v/>
      </c>
      <c r="BQ634" s="392" t="str">
        <f t="shared" si="978"/>
        <v/>
      </c>
      <c r="BS634" s="50" t="str">
        <f>Q1250</f>
        <v/>
      </c>
      <c r="BT634" s="50" t="e">
        <f>#REF!</f>
        <v>#REF!</v>
      </c>
      <c r="BU634" s="39" t="str">
        <f t="shared" si="933"/>
        <v/>
      </c>
      <c r="BV634" s="39" t="str">
        <f t="shared" si="926"/>
        <v/>
      </c>
    </row>
    <row r="635" spans="1:74" ht="14.25" customHeight="1" x14ac:dyDescent="0.35">
      <c r="A635" s="294"/>
      <c r="B635" s="296"/>
      <c r="C635" s="298"/>
      <c r="D635" s="300"/>
      <c r="E635" s="302"/>
      <c r="F635" s="304"/>
      <c r="G635" s="276"/>
      <c r="H635" s="277"/>
      <c r="I635" s="290"/>
      <c r="J635" s="290"/>
      <c r="K635" s="291"/>
      <c r="L635" s="17"/>
      <c r="M635" s="286"/>
      <c r="N635" s="21"/>
      <c r="O635" s="286"/>
      <c r="P635" s="21"/>
      <c r="Q635" s="286"/>
      <c r="R635" s="248"/>
      <c r="S635" s="287"/>
      <c r="T635" s="248"/>
      <c r="U635" s="13"/>
      <c r="V635" s="282"/>
      <c r="W635" s="283"/>
      <c r="X635" s="284"/>
      <c r="Y635" s="245"/>
      <c r="Z635" s="245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BP635" s="391"/>
      <c r="BQ635" s="393"/>
      <c r="BS635" s="50" t="str">
        <f>Q1252</f>
        <v/>
      </c>
      <c r="BT635" s="50" t="e">
        <f>#REF!</f>
        <v>#REF!</v>
      </c>
      <c r="BU635" s="39" t="str">
        <f t="shared" si="933"/>
        <v/>
      </c>
      <c r="BV635" s="39" t="str">
        <f t="shared" si="926"/>
        <v/>
      </c>
    </row>
    <row r="636" spans="1:74" ht="14.25" customHeight="1" x14ac:dyDescent="0.35">
      <c r="A636" s="293">
        <v>310</v>
      </c>
      <c r="B636" s="295"/>
      <c r="C636" s="297"/>
      <c r="D636" s="299"/>
      <c r="E636" s="301"/>
      <c r="F636" s="303"/>
      <c r="G636" s="288"/>
      <c r="H636" s="289"/>
      <c r="I636" s="290"/>
      <c r="J636" s="290"/>
      <c r="K636" s="291"/>
      <c r="L636" s="18"/>
      <c r="M636" s="285" t="str">
        <f t="shared" ref="M636" si="988">IF(COUNT(L636:L637)&lt;1,"",AVERAGE(L636:L637))</f>
        <v/>
      </c>
      <c r="N636" s="22"/>
      <c r="O636" s="285" t="str">
        <f t="shared" ref="O636" si="989">IF(COUNT(N636:N637)&lt;1,"",AVERAGE(N636:N637))</f>
        <v/>
      </c>
      <c r="P636" s="22"/>
      <c r="Q636" s="285" t="str">
        <f t="shared" ref="Q636" si="990">IF(COUNT(P636:P637)&lt;1,"",AVERAGE(P636:P637))</f>
        <v/>
      </c>
      <c r="R636" s="278" t="str">
        <f>IF($X$13="/28",IF(COUNT(P636:P637)&lt;=1,"",ABS(P636-P637)),IF($X$13="/90",IF(COUNT(#REF!)&lt;=1,"",ABS(#REF!-#REF!))))</f>
        <v/>
      </c>
      <c r="S636" s="278" t="str">
        <f>IF($X$13="/28",IF(Q636="","",IF(AVERAGE(Q632:Q637)&gt;=$W$13,ROUND(AVERAGE(Q632:Q637),1)&amp;" ≥ "&amp;$W$13&amp;" OK",ROUND(AVERAGE(Q632:Q637),1)&amp;" &lt; "&amp;$W$13&amp;" NC")),IF($X$13="/90",IF(#REF!="","",IF(AVERAGE(#REF!)&gt;=$W$13,ROUND(AVERAGE(#REF!),1)&amp;" ≥ "&amp;$W$13&amp;" OK",ROUND(AVERAGE(#REF!),1)&amp;" &lt; "&amp;$W$13&amp;" NC"))))</f>
        <v/>
      </c>
      <c r="T636" s="278" t="str">
        <f>IF($X$13="/28",IF(Q636="","",IF(Q636&gt;=$W$13-$S$12,ROUND((Q636),1)&amp;" ≥ "&amp;$W$13-$S$12&amp;" OK",ROUND((Q636),1)&amp;" &lt; "&amp;$W$13-$S$12&amp;" NC")),IF($X$13="/90",IF(#REF!="","",IF(#REF!&gt;=$W$13-$S$12,ROUND((#REF!),1)&amp;" ≥ "&amp;$W$13-$S$12&amp;" OK",ROUND((#REF!),1)&amp;" &lt; "&amp;$W$13-$S$12&amp;" NC"))))</f>
        <v/>
      </c>
      <c r="U636" s="14"/>
      <c r="V636" s="279"/>
      <c r="W636" s="280"/>
      <c r="X636" s="281"/>
      <c r="Y636" s="246"/>
      <c r="Z636" s="246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BP636" s="390" t="str">
        <f>IF($X$13="/28",IF(Q636="","",Q636),IF($X$13="/90",IF(#REF!="","",#REF!),"Falso"))</f>
        <v/>
      </c>
      <c r="BQ636" s="392" t="str">
        <f t="shared" si="970"/>
        <v/>
      </c>
      <c r="BS636" s="50" t="str">
        <f>Q1254</f>
        <v/>
      </c>
      <c r="BT636" s="50" t="e">
        <f>#REF!</f>
        <v>#REF!</v>
      </c>
      <c r="BU636" s="39" t="str">
        <f t="shared" si="933"/>
        <v/>
      </c>
      <c r="BV636" s="39" t="str">
        <f t="shared" si="926"/>
        <v/>
      </c>
    </row>
    <row r="637" spans="1:74" ht="14.25" customHeight="1" x14ac:dyDescent="0.35">
      <c r="A637" s="294"/>
      <c r="B637" s="296"/>
      <c r="C637" s="298"/>
      <c r="D637" s="300"/>
      <c r="E637" s="302"/>
      <c r="F637" s="304"/>
      <c r="G637" s="276"/>
      <c r="H637" s="277"/>
      <c r="I637" s="290"/>
      <c r="J637" s="290"/>
      <c r="K637" s="291"/>
      <c r="L637" s="17"/>
      <c r="M637" s="286"/>
      <c r="N637" s="21"/>
      <c r="O637" s="286"/>
      <c r="P637" s="21"/>
      <c r="Q637" s="286"/>
      <c r="R637" s="248"/>
      <c r="S637" s="287"/>
      <c r="T637" s="248"/>
      <c r="U637" s="13"/>
      <c r="V637" s="282"/>
      <c r="W637" s="283"/>
      <c r="X637" s="284"/>
      <c r="Y637" s="245"/>
      <c r="Z637" s="245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BP637" s="391"/>
      <c r="BQ637" s="393"/>
      <c r="BS637" s="50" t="str">
        <f>Q1256</f>
        <v/>
      </c>
      <c r="BT637" s="50" t="e">
        <f>#REF!</f>
        <v>#REF!</v>
      </c>
      <c r="BU637" s="39" t="str">
        <f t="shared" si="933"/>
        <v/>
      </c>
      <c r="BV637" s="39" t="str">
        <f t="shared" si="926"/>
        <v/>
      </c>
    </row>
    <row r="638" spans="1:74" ht="14.25" customHeight="1" x14ac:dyDescent="0.35">
      <c r="A638" s="293">
        <v>311</v>
      </c>
      <c r="B638" s="295"/>
      <c r="C638" s="297"/>
      <c r="D638" s="299"/>
      <c r="E638" s="301"/>
      <c r="F638" s="303"/>
      <c r="G638" s="288"/>
      <c r="H638" s="289"/>
      <c r="I638" s="290"/>
      <c r="J638" s="290"/>
      <c r="K638" s="291"/>
      <c r="L638" s="18"/>
      <c r="M638" s="285" t="str">
        <f t="shared" ref="M638" si="991">IF(COUNT(L638:L639)&lt;1,"",AVERAGE(L638:L639))</f>
        <v/>
      </c>
      <c r="N638" s="22"/>
      <c r="O638" s="285" t="str">
        <f t="shared" ref="O638" si="992">IF(COUNT(N638:N639)&lt;1,"",AVERAGE(N638:N639))</f>
        <v/>
      </c>
      <c r="P638" s="22"/>
      <c r="Q638" s="285" t="str">
        <f t="shared" ref="Q638" si="993">IF(COUNT(P638:P639)&lt;1,"",AVERAGE(P638:P639))</f>
        <v/>
      </c>
      <c r="R638" s="278" t="str">
        <f>IF($X$13="/28",IF(COUNT(P638:P639)&lt;=1,"",ABS(P638-P639)),IF($X$13="/90",IF(COUNT(#REF!)&lt;=1,"",ABS(#REF!-#REF!))))</f>
        <v/>
      </c>
      <c r="S638" s="278" t="str">
        <f>IF($X$13="/28",IF(Q638="","",IF(AVERAGE(Q634:Q639)&gt;=$W$13,ROUND(AVERAGE(Q634:Q639),1)&amp;" ≥ "&amp;$W$13&amp;" OK",ROUND(AVERAGE(Q634:Q639),1)&amp;" &lt; "&amp;$W$13&amp;" NC")),IF($X$13="/90",IF(#REF!="","",IF(AVERAGE(#REF!)&gt;=$W$13,ROUND(AVERAGE(#REF!),1)&amp;" ≥ "&amp;$W$13&amp;" OK",ROUND(AVERAGE(#REF!),1)&amp;" &lt; "&amp;$W$13&amp;" NC"))))</f>
        <v/>
      </c>
      <c r="T638" s="278" t="str">
        <f>IF($X$13="/28",IF(Q638="","",IF(Q638&gt;=$W$13-$S$12,ROUND((Q638),1)&amp;" ≥ "&amp;$W$13-$S$12&amp;" OK",ROUND((Q638),1)&amp;" &lt; "&amp;$W$13-$S$12&amp;" NC")),IF($X$13="/90",IF(#REF!="","",IF(#REF!&gt;=$W$13-$S$12,ROUND((#REF!),1)&amp;" ≥ "&amp;$W$13-$S$12&amp;" OK",ROUND((#REF!),1)&amp;" &lt; "&amp;$W$13-$S$12&amp;" NC"))))</f>
        <v/>
      </c>
      <c r="U638" s="14"/>
      <c r="V638" s="279"/>
      <c r="W638" s="280"/>
      <c r="X638" s="281"/>
      <c r="Y638" s="246"/>
      <c r="Z638" s="246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BP638" s="390" t="str">
        <f>IF($X$13="/28",IF(Q638="","",Q638),IF($X$13="/90",IF(#REF!="","",#REF!),"Falso"))</f>
        <v/>
      </c>
      <c r="BQ638" s="392" t="str">
        <f t="shared" si="974"/>
        <v/>
      </c>
      <c r="BS638" s="50" t="str">
        <f>Q1258</f>
        <v/>
      </c>
      <c r="BT638" s="50" t="e">
        <f>#REF!</f>
        <v>#REF!</v>
      </c>
      <c r="BU638" s="39" t="str">
        <f t="shared" si="933"/>
        <v/>
      </c>
      <c r="BV638" s="39" t="str">
        <f t="shared" si="926"/>
        <v/>
      </c>
    </row>
    <row r="639" spans="1:74" ht="14.25" customHeight="1" x14ac:dyDescent="0.35">
      <c r="A639" s="294"/>
      <c r="B639" s="296"/>
      <c r="C639" s="298"/>
      <c r="D639" s="300"/>
      <c r="E639" s="302"/>
      <c r="F639" s="304"/>
      <c r="G639" s="276"/>
      <c r="H639" s="277"/>
      <c r="I639" s="290"/>
      <c r="J639" s="290"/>
      <c r="K639" s="291"/>
      <c r="L639" s="17"/>
      <c r="M639" s="286"/>
      <c r="N639" s="21"/>
      <c r="O639" s="286"/>
      <c r="P639" s="21"/>
      <c r="Q639" s="286"/>
      <c r="R639" s="248"/>
      <c r="S639" s="287"/>
      <c r="T639" s="248"/>
      <c r="U639" s="13"/>
      <c r="V639" s="282"/>
      <c r="W639" s="283"/>
      <c r="X639" s="284"/>
      <c r="Y639" s="245"/>
      <c r="Z639" s="245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BP639" s="391"/>
      <c r="BQ639" s="393"/>
      <c r="BS639" s="50" t="str">
        <f>Q1260</f>
        <v/>
      </c>
      <c r="BT639" s="50" t="e">
        <f>#REF!</f>
        <v>#REF!</v>
      </c>
      <c r="BU639" s="39" t="str">
        <f t="shared" si="933"/>
        <v/>
      </c>
      <c r="BV639" s="39" t="str">
        <f t="shared" si="926"/>
        <v/>
      </c>
    </row>
    <row r="640" spans="1:74" ht="14.25" customHeight="1" x14ac:dyDescent="0.35">
      <c r="A640" s="293">
        <v>312</v>
      </c>
      <c r="B640" s="295"/>
      <c r="C640" s="297"/>
      <c r="D640" s="299"/>
      <c r="E640" s="301"/>
      <c r="F640" s="303"/>
      <c r="G640" s="288"/>
      <c r="H640" s="289"/>
      <c r="I640" s="290"/>
      <c r="J640" s="290"/>
      <c r="K640" s="291"/>
      <c r="L640" s="18"/>
      <c r="M640" s="285" t="str">
        <f t="shared" ref="M640" si="994">IF(COUNT(L640:L641)&lt;1,"",AVERAGE(L640:L641))</f>
        <v/>
      </c>
      <c r="N640" s="22"/>
      <c r="O640" s="285" t="str">
        <f t="shared" ref="O640" si="995">IF(COUNT(N640:N641)&lt;1,"",AVERAGE(N640:N641))</f>
        <v/>
      </c>
      <c r="P640" s="22"/>
      <c r="Q640" s="285" t="str">
        <f t="shared" ref="Q640" si="996">IF(COUNT(P640:P641)&lt;1,"",AVERAGE(P640:P641))</f>
        <v/>
      </c>
      <c r="R640" s="278" t="str">
        <f>IF($X$13="/28",IF(COUNT(P640:P641)&lt;=1,"",ABS(P640-P641)),IF($X$13="/90",IF(COUNT(#REF!)&lt;=1,"",ABS(#REF!-#REF!))))</f>
        <v/>
      </c>
      <c r="S640" s="278" t="str">
        <f>IF($X$13="/28",IF(Q640="","",IF(AVERAGE(Q636:Q641)&gt;=$W$13,ROUND(AVERAGE(Q636:Q641),1)&amp;" ≥ "&amp;$W$13&amp;" OK",ROUND(AVERAGE(Q636:Q641),1)&amp;" &lt; "&amp;$W$13&amp;" NC")),IF($X$13="/90",IF(#REF!="","",IF(AVERAGE(#REF!)&gt;=$W$13,ROUND(AVERAGE(#REF!),1)&amp;" ≥ "&amp;$W$13&amp;" OK",ROUND(AVERAGE(#REF!),1)&amp;" &lt; "&amp;$W$13&amp;" NC"))))</f>
        <v/>
      </c>
      <c r="T640" s="278" t="str">
        <f>IF($X$13="/28",IF(Q640="","",IF(Q640&gt;=$W$13-$S$12,ROUND((Q640),1)&amp;" ≥ "&amp;$W$13-$S$12&amp;" OK",ROUND((Q640),1)&amp;" &lt; "&amp;$W$13-$S$12&amp;" NC")),IF($X$13="/90",IF(#REF!="","",IF(#REF!&gt;=$W$13-$S$12,ROUND((#REF!),1)&amp;" ≥ "&amp;$W$13-$S$12&amp;" OK",ROUND((#REF!),1)&amp;" &lt; "&amp;$W$13-$S$12&amp;" NC"))))</f>
        <v/>
      </c>
      <c r="U640" s="14"/>
      <c r="V640" s="279"/>
      <c r="W640" s="280"/>
      <c r="X640" s="281"/>
      <c r="Y640" s="246"/>
      <c r="Z640" s="246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BP640" s="390" t="str">
        <f>IF($X$13="/28",IF(Q640="","",Q640),IF($X$13="/90",IF(#REF!="","",#REF!),"Falso"))</f>
        <v/>
      </c>
      <c r="BQ640" s="392" t="str">
        <f t="shared" si="978"/>
        <v/>
      </c>
      <c r="BS640" s="50" t="str">
        <f>Q1262</f>
        <v/>
      </c>
      <c r="BT640" s="50" t="e">
        <f>#REF!</f>
        <v>#REF!</v>
      </c>
      <c r="BU640" s="39" t="str">
        <f t="shared" si="933"/>
        <v/>
      </c>
      <c r="BV640" s="39" t="str">
        <f t="shared" si="926"/>
        <v/>
      </c>
    </row>
    <row r="641" spans="1:74" ht="14.25" customHeight="1" x14ac:dyDescent="0.35">
      <c r="A641" s="294"/>
      <c r="B641" s="296"/>
      <c r="C641" s="298"/>
      <c r="D641" s="300"/>
      <c r="E641" s="302"/>
      <c r="F641" s="304"/>
      <c r="G641" s="276"/>
      <c r="H641" s="277"/>
      <c r="I641" s="290"/>
      <c r="J641" s="290"/>
      <c r="K641" s="291"/>
      <c r="L641" s="17"/>
      <c r="M641" s="286"/>
      <c r="N641" s="21"/>
      <c r="O641" s="286"/>
      <c r="P641" s="21"/>
      <c r="Q641" s="286"/>
      <c r="R641" s="248"/>
      <c r="S641" s="287"/>
      <c r="T641" s="248"/>
      <c r="U641" s="13"/>
      <c r="V641" s="282"/>
      <c r="W641" s="283"/>
      <c r="X641" s="284"/>
      <c r="Y641" s="245"/>
      <c r="Z641" s="245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BP641" s="391"/>
      <c r="BQ641" s="393"/>
      <c r="BS641" s="50" t="str">
        <f>Q1264</f>
        <v/>
      </c>
      <c r="BT641" s="50" t="e">
        <f>#REF!</f>
        <v>#REF!</v>
      </c>
      <c r="BU641" s="39" t="str">
        <f t="shared" si="933"/>
        <v/>
      </c>
      <c r="BV641" s="39" t="str">
        <f t="shared" si="926"/>
        <v/>
      </c>
    </row>
    <row r="642" spans="1:74" ht="14.25" customHeight="1" x14ac:dyDescent="0.35">
      <c r="A642" s="293">
        <v>313</v>
      </c>
      <c r="B642" s="295"/>
      <c r="C642" s="297"/>
      <c r="D642" s="299"/>
      <c r="E642" s="301"/>
      <c r="F642" s="303"/>
      <c r="G642" s="288"/>
      <c r="H642" s="289"/>
      <c r="I642" s="290"/>
      <c r="J642" s="290"/>
      <c r="K642" s="291"/>
      <c r="L642" s="18"/>
      <c r="M642" s="285" t="str">
        <f t="shared" ref="M642" si="997">IF(COUNT(L642:L643)&lt;1,"",AVERAGE(L642:L643))</f>
        <v/>
      </c>
      <c r="N642" s="22"/>
      <c r="O642" s="285" t="str">
        <f t="shared" ref="O642" si="998">IF(COUNT(N642:N643)&lt;1,"",AVERAGE(N642:N643))</f>
        <v/>
      </c>
      <c r="P642" s="22"/>
      <c r="Q642" s="285" t="str">
        <f t="shared" ref="Q642" si="999">IF(COUNT(P642:P643)&lt;1,"",AVERAGE(P642:P643))</f>
        <v/>
      </c>
      <c r="R642" s="278" t="str">
        <f>IF($X$13="/28",IF(COUNT(P642:P643)&lt;=1,"",ABS(P642-P643)),IF($X$13="/90",IF(COUNT(#REF!)&lt;=1,"",ABS(#REF!-#REF!))))</f>
        <v/>
      </c>
      <c r="S642" s="278" t="str">
        <f>IF($X$13="/28",IF(Q642="","",IF(AVERAGE(Q638:Q643)&gt;=$W$13,ROUND(AVERAGE(Q638:Q643),1)&amp;" ≥ "&amp;$W$13&amp;" OK",ROUND(AVERAGE(Q638:Q643),1)&amp;" &lt; "&amp;$W$13&amp;" NC")),IF($X$13="/90",IF(#REF!="","",IF(AVERAGE(#REF!)&gt;=$W$13,ROUND(AVERAGE(#REF!),1)&amp;" ≥ "&amp;$W$13&amp;" OK",ROUND(AVERAGE(#REF!),1)&amp;" &lt; "&amp;$W$13&amp;" NC"))))</f>
        <v/>
      </c>
      <c r="T642" s="278" t="str">
        <f>IF($X$13="/28",IF(Q642="","",IF(Q642&gt;=$W$13-$S$12,ROUND((Q642),1)&amp;" ≥ "&amp;$W$13-$S$12&amp;" OK",ROUND((Q642),1)&amp;" &lt; "&amp;$W$13-$S$12&amp;" NC")),IF($X$13="/90",IF(#REF!="","",IF(#REF!&gt;=$W$13-$S$12,ROUND((#REF!),1)&amp;" ≥ "&amp;$W$13-$S$12&amp;" OK",ROUND((#REF!),1)&amp;" &lt; "&amp;$W$13-$S$12&amp;" NC"))))</f>
        <v/>
      </c>
      <c r="U642" s="14"/>
      <c r="V642" s="279"/>
      <c r="W642" s="280"/>
      <c r="X642" s="281"/>
      <c r="Y642" s="246"/>
      <c r="Z642" s="246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BP642" s="390" t="str">
        <f>IF($X$13="/28",IF(Q642="","",Q642),IF($X$13="/90",IF(#REF!="","",#REF!),"Falso"))</f>
        <v/>
      </c>
      <c r="BQ642" s="392" t="str">
        <f t="shared" si="970"/>
        <v/>
      </c>
      <c r="BS642" s="50" t="str">
        <f>Q1266</f>
        <v/>
      </c>
      <c r="BT642" s="50" t="e">
        <f>#REF!</f>
        <v>#REF!</v>
      </c>
      <c r="BU642" s="39" t="str">
        <f t="shared" si="933"/>
        <v/>
      </c>
      <c r="BV642" s="39" t="str">
        <f t="shared" si="926"/>
        <v/>
      </c>
    </row>
    <row r="643" spans="1:74" ht="14.25" customHeight="1" x14ac:dyDescent="0.35">
      <c r="A643" s="294"/>
      <c r="B643" s="296"/>
      <c r="C643" s="298"/>
      <c r="D643" s="300"/>
      <c r="E643" s="302"/>
      <c r="F643" s="304"/>
      <c r="G643" s="276"/>
      <c r="H643" s="277"/>
      <c r="I643" s="290"/>
      <c r="J643" s="290"/>
      <c r="K643" s="291"/>
      <c r="L643" s="17"/>
      <c r="M643" s="286"/>
      <c r="N643" s="21"/>
      <c r="O643" s="286"/>
      <c r="P643" s="21"/>
      <c r="Q643" s="286"/>
      <c r="R643" s="248"/>
      <c r="S643" s="287"/>
      <c r="T643" s="248"/>
      <c r="U643" s="13"/>
      <c r="V643" s="282"/>
      <c r="W643" s="283"/>
      <c r="X643" s="284"/>
      <c r="Y643" s="245"/>
      <c r="Z643" s="245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BP643" s="391"/>
      <c r="BQ643" s="393"/>
      <c r="BS643" s="50" t="str">
        <f>Q1268</f>
        <v/>
      </c>
      <c r="BT643" s="50" t="e">
        <f>#REF!</f>
        <v>#REF!</v>
      </c>
      <c r="BU643" s="39" t="str">
        <f t="shared" si="933"/>
        <v/>
      </c>
      <c r="BV643" s="39" t="str">
        <f t="shared" si="926"/>
        <v/>
      </c>
    </row>
    <row r="644" spans="1:74" ht="14.25" customHeight="1" x14ac:dyDescent="0.35">
      <c r="A644" s="293">
        <v>314</v>
      </c>
      <c r="B644" s="295"/>
      <c r="C644" s="297"/>
      <c r="D644" s="299"/>
      <c r="E644" s="301"/>
      <c r="F644" s="303"/>
      <c r="G644" s="288"/>
      <c r="H644" s="289"/>
      <c r="I644" s="290"/>
      <c r="J644" s="290"/>
      <c r="K644" s="291"/>
      <c r="L644" s="18"/>
      <c r="M644" s="285" t="str">
        <f t="shared" ref="M644" si="1000">IF(COUNT(L644:L645)&lt;1,"",AVERAGE(L644:L645))</f>
        <v/>
      </c>
      <c r="N644" s="22"/>
      <c r="O644" s="285" t="str">
        <f t="shared" ref="O644" si="1001">IF(COUNT(N644:N645)&lt;1,"",AVERAGE(N644:N645))</f>
        <v/>
      </c>
      <c r="P644" s="22"/>
      <c r="Q644" s="285" t="str">
        <f t="shared" ref="Q644" si="1002">IF(COUNT(P644:P645)&lt;1,"",AVERAGE(P644:P645))</f>
        <v/>
      </c>
      <c r="R644" s="278" t="str">
        <f>IF($X$13="/28",IF(COUNT(P644:P645)&lt;=1,"",ABS(P644-P645)),IF($X$13="/90",IF(COUNT(#REF!)&lt;=1,"",ABS(#REF!-#REF!))))</f>
        <v/>
      </c>
      <c r="S644" s="278" t="str">
        <f>IF($X$13="/28",IF(Q644="","",IF(AVERAGE(Q640:Q645)&gt;=$W$13,ROUND(AVERAGE(Q640:Q645),1)&amp;" ≥ "&amp;$W$13&amp;" OK",ROUND(AVERAGE(Q640:Q645),1)&amp;" &lt; "&amp;$W$13&amp;" NC")),IF($X$13="/90",IF(#REF!="","",IF(AVERAGE(#REF!)&gt;=$W$13,ROUND(AVERAGE(#REF!),1)&amp;" ≥ "&amp;$W$13&amp;" OK",ROUND(AVERAGE(#REF!),1)&amp;" &lt; "&amp;$W$13&amp;" NC"))))</f>
        <v/>
      </c>
      <c r="T644" s="278" t="str">
        <f>IF($X$13="/28",IF(Q644="","",IF(Q644&gt;=$W$13-$S$12,ROUND((Q644),1)&amp;" ≥ "&amp;$W$13-$S$12&amp;" OK",ROUND((Q644),1)&amp;" &lt; "&amp;$W$13-$S$12&amp;" NC")),IF($X$13="/90",IF(#REF!="","",IF(#REF!&gt;=$W$13-$S$12,ROUND((#REF!),1)&amp;" ≥ "&amp;$W$13-$S$12&amp;" OK",ROUND((#REF!),1)&amp;" &lt; "&amp;$W$13-$S$12&amp;" NC"))))</f>
        <v/>
      </c>
      <c r="U644" s="14"/>
      <c r="V644" s="279"/>
      <c r="W644" s="280"/>
      <c r="X644" s="281"/>
      <c r="Y644" s="246"/>
      <c r="Z644" s="246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BP644" s="390" t="str">
        <f>IF($X$13="/28",IF(Q644="","",Q644),IF($X$13="/90",IF(#REF!="","",#REF!),"Falso"))</f>
        <v/>
      </c>
      <c r="BQ644" s="392" t="str">
        <f t="shared" si="974"/>
        <v/>
      </c>
      <c r="BS644" s="50" t="str">
        <f>Q1270</f>
        <v/>
      </c>
      <c r="BT644" s="50" t="e">
        <f>#REF!</f>
        <v>#REF!</v>
      </c>
      <c r="BU644" s="39" t="str">
        <f t="shared" si="933"/>
        <v/>
      </c>
      <c r="BV644" s="39" t="str">
        <f t="shared" si="926"/>
        <v/>
      </c>
    </row>
    <row r="645" spans="1:74" ht="14.25" customHeight="1" x14ac:dyDescent="0.35">
      <c r="A645" s="294"/>
      <c r="B645" s="296"/>
      <c r="C645" s="298"/>
      <c r="D645" s="300"/>
      <c r="E645" s="302"/>
      <c r="F645" s="304"/>
      <c r="G645" s="276"/>
      <c r="H645" s="277"/>
      <c r="I645" s="290"/>
      <c r="J645" s="290"/>
      <c r="K645" s="291"/>
      <c r="L645" s="17"/>
      <c r="M645" s="286"/>
      <c r="N645" s="21"/>
      <c r="O645" s="286"/>
      <c r="P645" s="21"/>
      <c r="Q645" s="286"/>
      <c r="R645" s="248"/>
      <c r="S645" s="287"/>
      <c r="T645" s="248"/>
      <c r="U645" s="13"/>
      <c r="V645" s="282"/>
      <c r="W645" s="283"/>
      <c r="X645" s="284"/>
      <c r="Y645" s="245"/>
      <c r="Z645" s="245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BP645" s="391"/>
      <c r="BQ645" s="393"/>
      <c r="BS645" s="50" t="str">
        <f>Q1272</f>
        <v/>
      </c>
      <c r="BT645" s="50" t="e">
        <f>#REF!</f>
        <v>#REF!</v>
      </c>
      <c r="BU645" s="39" t="str">
        <f t="shared" si="933"/>
        <v/>
      </c>
      <c r="BV645" s="39" t="str">
        <f t="shared" si="926"/>
        <v/>
      </c>
    </row>
    <row r="646" spans="1:74" ht="14.25" customHeight="1" x14ac:dyDescent="0.35">
      <c r="A646" s="293">
        <v>315</v>
      </c>
      <c r="B646" s="295"/>
      <c r="C646" s="297"/>
      <c r="D646" s="299"/>
      <c r="E646" s="301"/>
      <c r="F646" s="303"/>
      <c r="G646" s="288"/>
      <c r="H646" s="289"/>
      <c r="I646" s="290"/>
      <c r="J646" s="290"/>
      <c r="K646" s="291"/>
      <c r="L646" s="18"/>
      <c r="M646" s="285" t="str">
        <f t="shared" ref="M646" si="1003">IF(COUNT(L646:L647)&lt;1,"",AVERAGE(L646:L647))</f>
        <v/>
      </c>
      <c r="N646" s="22"/>
      <c r="O646" s="285" t="str">
        <f t="shared" ref="O646" si="1004">IF(COUNT(N646:N647)&lt;1,"",AVERAGE(N646:N647))</f>
        <v/>
      </c>
      <c r="P646" s="22"/>
      <c r="Q646" s="285" t="str">
        <f t="shared" ref="Q646" si="1005">IF(COUNT(P646:P647)&lt;1,"",AVERAGE(P646:P647))</f>
        <v/>
      </c>
      <c r="R646" s="278" t="str">
        <f>IF($X$13="/28",IF(COUNT(P646:P647)&lt;=1,"",ABS(P646-P647)),IF($X$13="/90",IF(COUNT(#REF!)&lt;=1,"",ABS(#REF!-#REF!))))</f>
        <v/>
      </c>
      <c r="S646" s="278" t="str">
        <f>IF($X$13="/28",IF(Q646="","",IF(AVERAGE(Q642:Q647)&gt;=$W$13,ROUND(AVERAGE(Q642:Q647),1)&amp;" ≥ "&amp;$W$13&amp;" OK",ROUND(AVERAGE(Q642:Q647),1)&amp;" &lt; "&amp;$W$13&amp;" NC")),IF($X$13="/90",IF(#REF!="","",IF(AVERAGE(#REF!)&gt;=$W$13,ROUND(AVERAGE(#REF!),1)&amp;" ≥ "&amp;$W$13&amp;" OK",ROUND(AVERAGE(#REF!),1)&amp;" &lt; "&amp;$W$13&amp;" NC"))))</f>
        <v/>
      </c>
      <c r="T646" s="278" t="str">
        <f>IF($X$13="/28",IF(Q646="","",IF(Q646&gt;=$W$13-$S$12,ROUND((Q646),1)&amp;" ≥ "&amp;$W$13-$S$12&amp;" OK",ROUND((Q646),1)&amp;" &lt; "&amp;$W$13-$S$12&amp;" NC")),IF($X$13="/90",IF(#REF!="","",IF(#REF!&gt;=$W$13-$S$12,ROUND((#REF!),1)&amp;" ≥ "&amp;$W$13-$S$12&amp;" OK",ROUND((#REF!),1)&amp;" &lt; "&amp;$W$13-$S$12&amp;" NC"))))</f>
        <v/>
      </c>
      <c r="U646" s="14"/>
      <c r="V646" s="279"/>
      <c r="W646" s="280"/>
      <c r="X646" s="281"/>
      <c r="Y646" s="246"/>
      <c r="Z646" s="246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BP646" s="390" t="str">
        <f>IF($X$13="/28",IF(Q646="","",Q646),IF($X$13="/90",IF(#REF!="","",#REF!),"Falso"))</f>
        <v/>
      </c>
      <c r="BQ646" s="392" t="str">
        <f t="shared" si="978"/>
        <v/>
      </c>
      <c r="BS646" s="50" t="str">
        <f>Q1274</f>
        <v/>
      </c>
      <c r="BT646" s="50" t="e">
        <f>#REF!</f>
        <v>#REF!</v>
      </c>
      <c r="BU646" s="39" t="str">
        <f t="shared" si="933"/>
        <v/>
      </c>
      <c r="BV646" s="39" t="str">
        <f t="shared" si="926"/>
        <v/>
      </c>
    </row>
    <row r="647" spans="1:74" ht="14.25" customHeight="1" x14ac:dyDescent="0.35">
      <c r="A647" s="294"/>
      <c r="B647" s="296"/>
      <c r="C647" s="298"/>
      <c r="D647" s="300"/>
      <c r="E647" s="302"/>
      <c r="F647" s="304"/>
      <c r="G647" s="276"/>
      <c r="H647" s="277"/>
      <c r="I647" s="290"/>
      <c r="J647" s="290"/>
      <c r="K647" s="291"/>
      <c r="L647" s="17"/>
      <c r="M647" s="286"/>
      <c r="N647" s="21"/>
      <c r="O647" s="286"/>
      <c r="P647" s="21"/>
      <c r="Q647" s="286"/>
      <c r="R647" s="248"/>
      <c r="S647" s="287"/>
      <c r="T647" s="248"/>
      <c r="U647" s="13"/>
      <c r="V647" s="282"/>
      <c r="W647" s="283"/>
      <c r="X647" s="284"/>
      <c r="Y647" s="245"/>
      <c r="Z647" s="245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BP647" s="391"/>
      <c r="BQ647" s="393"/>
      <c r="BS647" s="50" t="str">
        <f>Q1276</f>
        <v/>
      </c>
      <c r="BT647" s="50" t="e">
        <f>#REF!</f>
        <v>#REF!</v>
      </c>
      <c r="BU647" s="39" t="str">
        <f t="shared" si="933"/>
        <v/>
      </c>
      <c r="BV647" s="39" t="str">
        <f t="shared" si="926"/>
        <v/>
      </c>
    </row>
    <row r="648" spans="1:74" ht="14.25" customHeight="1" x14ac:dyDescent="0.35">
      <c r="A648" s="293">
        <v>316</v>
      </c>
      <c r="B648" s="295"/>
      <c r="C648" s="297"/>
      <c r="D648" s="299"/>
      <c r="E648" s="301"/>
      <c r="F648" s="303"/>
      <c r="G648" s="288"/>
      <c r="H648" s="289"/>
      <c r="I648" s="290"/>
      <c r="J648" s="290"/>
      <c r="K648" s="291"/>
      <c r="L648" s="18"/>
      <c r="M648" s="285" t="str">
        <f t="shared" ref="M648" si="1006">IF(COUNT(L648:L649)&lt;1,"",AVERAGE(L648:L649))</f>
        <v/>
      </c>
      <c r="N648" s="22"/>
      <c r="O648" s="285" t="str">
        <f t="shared" ref="O648" si="1007">IF(COUNT(N648:N649)&lt;1,"",AVERAGE(N648:N649))</f>
        <v/>
      </c>
      <c r="P648" s="22"/>
      <c r="Q648" s="285" t="str">
        <f t="shared" ref="Q648" si="1008">IF(COUNT(P648:P649)&lt;1,"",AVERAGE(P648:P649))</f>
        <v/>
      </c>
      <c r="R648" s="278" t="str">
        <f>IF($X$13="/28",IF(COUNT(P648:P649)&lt;=1,"",ABS(P648-P649)),IF($X$13="/90",IF(COUNT(#REF!)&lt;=1,"",ABS(#REF!-#REF!))))</f>
        <v/>
      </c>
      <c r="S648" s="278" t="str">
        <f>IF($X$13="/28",IF(Q648="","",IF(AVERAGE(Q644:Q649)&gt;=$W$13,ROUND(AVERAGE(Q644:Q649),1)&amp;" ≥ "&amp;$W$13&amp;" OK",ROUND(AVERAGE(Q644:Q649),1)&amp;" &lt; "&amp;$W$13&amp;" NC")),IF($X$13="/90",IF(#REF!="","",IF(AVERAGE(#REF!)&gt;=$W$13,ROUND(AVERAGE(#REF!),1)&amp;" ≥ "&amp;$W$13&amp;" OK",ROUND(AVERAGE(#REF!),1)&amp;" &lt; "&amp;$W$13&amp;" NC"))))</f>
        <v/>
      </c>
      <c r="T648" s="278" t="str">
        <f>IF($X$13="/28",IF(Q648="","",IF(Q648&gt;=$W$13-$S$12,ROUND((Q648),1)&amp;" ≥ "&amp;$W$13-$S$12&amp;" OK",ROUND((Q648),1)&amp;" &lt; "&amp;$W$13-$S$12&amp;" NC")),IF($X$13="/90",IF(#REF!="","",IF(#REF!&gt;=$W$13-$S$12,ROUND((#REF!),1)&amp;" ≥ "&amp;$W$13-$S$12&amp;" OK",ROUND((#REF!),1)&amp;" &lt; "&amp;$W$13-$S$12&amp;" NC"))))</f>
        <v/>
      </c>
      <c r="U648" s="14"/>
      <c r="V648" s="279"/>
      <c r="W648" s="280"/>
      <c r="X648" s="281"/>
      <c r="Y648" s="246"/>
      <c r="Z648" s="246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BP648" s="390" t="str">
        <f>IF($X$13="/28",IF(Q648="","",Q648),IF($X$13="/90",IF(#REF!="","",#REF!),"Falso"))</f>
        <v/>
      </c>
      <c r="BQ648" s="392" t="str">
        <f t="shared" si="970"/>
        <v/>
      </c>
      <c r="BS648" s="50" t="str">
        <f>Q1278</f>
        <v/>
      </c>
      <c r="BT648" s="50" t="e">
        <f>#REF!</f>
        <v>#REF!</v>
      </c>
      <c r="BU648" s="39" t="str">
        <f t="shared" si="933"/>
        <v/>
      </c>
      <c r="BV648" s="39" t="str">
        <f t="shared" si="926"/>
        <v/>
      </c>
    </row>
    <row r="649" spans="1:74" ht="14.25" customHeight="1" x14ac:dyDescent="0.35">
      <c r="A649" s="294"/>
      <c r="B649" s="296"/>
      <c r="C649" s="298"/>
      <c r="D649" s="300"/>
      <c r="E649" s="302"/>
      <c r="F649" s="304"/>
      <c r="G649" s="276"/>
      <c r="H649" s="277"/>
      <c r="I649" s="290"/>
      <c r="J649" s="290"/>
      <c r="K649" s="291"/>
      <c r="L649" s="17"/>
      <c r="M649" s="286"/>
      <c r="N649" s="21"/>
      <c r="O649" s="286"/>
      <c r="P649" s="21"/>
      <c r="Q649" s="286"/>
      <c r="R649" s="248"/>
      <c r="S649" s="287"/>
      <c r="T649" s="248"/>
      <c r="U649" s="13"/>
      <c r="V649" s="282"/>
      <c r="W649" s="283"/>
      <c r="X649" s="284"/>
      <c r="Y649" s="245"/>
      <c r="Z649" s="245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BP649" s="391"/>
      <c r="BQ649" s="393"/>
      <c r="BS649" s="50" t="str">
        <f>Q1280</f>
        <v/>
      </c>
      <c r="BT649" s="50" t="e">
        <f>#REF!</f>
        <v>#REF!</v>
      </c>
      <c r="BU649" s="39" t="str">
        <f t="shared" si="933"/>
        <v/>
      </c>
      <c r="BV649" s="39" t="str">
        <f t="shared" si="926"/>
        <v/>
      </c>
    </row>
    <row r="650" spans="1:74" ht="14.25" customHeight="1" x14ac:dyDescent="0.35">
      <c r="A650" s="293">
        <v>317</v>
      </c>
      <c r="B650" s="295"/>
      <c r="C650" s="297"/>
      <c r="D650" s="299"/>
      <c r="E650" s="301"/>
      <c r="F650" s="303"/>
      <c r="G650" s="288"/>
      <c r="H650" s="289"/>
      <c r="I650" s="290"/>
      <c r="J650" s="290"/>
      <c r="K650" s="291"/>
      <c r="L650" s="18"/>
      <c r="M650" s="285" t="str">
        <f t="shared" ref="M650" si="1009">IF(COUNT(L650:L651)&lt;1,"",AVERAGE(L650:L651))</f>
        <v/>
      </c>
      <c r="N650" s="22"/>
      <c r="O650" s="285" t="str">
        <f t="shared" ref="O650" si="1010">IF(COUNT(N650:N651)&lt;1,"",AVERAGE(N650:N651))</f>
        <v/>
      </c>
      <c r="P650" s="22"/>
      <c r="Q650" s="285" t="str">
        <f t="shared" ref="Q650" si="1011">IF(COUNT(P650:P651)&lt;1,"",AVERAGE(P650:P651))</f>
        <v/>
      </c>
      <c r="R650" s="278" t="str">
        <f>IF($X$13="/28",IF(COUNT(P650:P651)&lt;=1,"",ABS(P650-P651)),IF($X$13="/90",IF(COUNT(#REF!)&lt;=1,"",ABS(#REF!-#REF!))))</f>
        <v/>
      </c>
      <c r="S650" s="278" t="str">
        <f>IF($X$13="/28",IF(Q650="","",IF(AVERAGE(Q646:Q651)&gt;=$W$13,ROUND(AVERAGE(Q646:Q651),1)&amp;" ≥ "&amp;$W$13&amp;" OK",ROUND(AVERAGE(Q646:Q651),1)&amp;" &lt; "&amp;$W$13&amp;" NC")),IF($X$13="/90",IF(#REF!="","",IF(AVERAGE(#REF!)&gt;=$W$13,ROUND(AVERAGE(#REF!),1)&amp;" ≥ "&amp;$W$13&amp;" OK",ROUND(AVERAGE(#REF!),1)&amp;" &lt; "&amp;$W$13&amp;" NC"))))</f>
        <v/>
      </c>
      <c r="T650" s="278" t="str">
        <f>IF($X$13="/28",IF(Q650="","",IF(Q650&gt;=$W$13-$S$12,ROUND((Q650),1)&amp;" ≥ "&amp;$W$13-$S$12&amp;" OK",ROUND((Q650),1)&amp;" &lt; "&amp;$W$13-$S$12&amp;" NC")),IF($X$13="/90",IF(#REF!="","",IF(#REF!&gt;=$W$13-$S$12,ROUND((#REF!),1)&amp;" ≥ "&amp;$W$13-$S$12&amp;" OK",ROUND((#REF!),1)&amp;" &lt; "&amp;$W$13-$S$12&amp;" NC"))))</f>
        <v/>
      </c>
      <c r="U650" s="14"/>
      <c r="V650" s="279"/>
      <c r="W650" s="280"/>
      <c r="X650" s="281"/>
      <c r="Y650" s="246"/>
      <c r="Z650" s="246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BP650" s="390" t="str">
        <f>IF($X$13="/28",IF(Q650="","",Q650),IF($X$13="/90",IF(#REF!="","",#REF!),"Falso"))</f>
        <v/>
      </c>
      <c r="BQ650" s="392" t="str">
        <f t="shared" si="974"/>
        <v/>
      </c>
      <c r="BS650" s="50" t="str">
        <f>Q1282</f>
        <v/>
      </c>
      <c r="BT650" s="50" t="e">
        <f>#REF!</f>
        <v>#REF!</v>
      </c>
      <c r="BU650" s="39" t="str">
        <f t="shared" si="933"/>
        <v/>
      </c>
      <c r="BV650" s="39" t="str">
        <f t="shared" si="926"/>
        <v/>
      </c>
    </row>
    <row r="651" spans="1:74" ht="14.25" customHeight="1" x14ac:dyDescent="0.35">
      <c r="A651" s="294"/>
      <c r="B651" s="296"/>
      <c r="C651" s="298"/>
      <c r="D651" s="300"/>
      <c r="E651" s="302"/>
      <c r="F651" s="304"/>
      <c r="G651" s="276"/>
      <c r="H651" s="277"/>
      <c r="I651" s="290"/>
      <c r="J651" s="290"/>
      <c r="K651" s="291"/>
      <c r="L651" s="17"/>
      <c r="M651" s="286"/>
      <c r="N651" s="21"/>
      <c r="O651" s="286"/>
      <c r="P651" s="21"/>
      <c r="Q651" s="286"/>
      <c r="R651" s="248"/>
      <c r="S651" s="287"/>
      <c r="T651" s="248"/>
      <c r="U651" s="13"/>
      <c r="V651" s="282"/>
      <c r="W651" s="283"/>
      <c r="X651" s="284"/>
      <c r="Y651" s="245"/>
      <c r="Z651" s="245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BP651" s="391"/>
      <c r="BQ651" s="393"/>
      <c r="BS651" s="50" t="str">
        <f>Q1284</f>
        <v/>
      </c>
      <c r="BT651" s="50" t="e">
        <f>#REF!</f>
        <v>#REF!</v>
      </c>
      <c r="BU651" s="39" t="str">
        <f t="shared" si="933"/>
        <v/>
      </c>
      <c r="BV651" s="39" t="str">
        <f t="shared" si="926"/>
        <v/>
      </c>
    </row>
    <row r="652" spans="1:74" ht="14.25" customHeight="1" x14ac:dyDescent="0.35">
      <c r="A652" s="293">
        <v>318</v>
      </c>
      <c r="B652" s="295"/>
      <c r="C652" s="297"/>
      <c r="D652" s="299"/>
      <c r="E652" s="301"/>
      <c r="F652" s="303"/>
      <c r="G652" s="288"/>
      <c r="H652" s="289"/>
      <c r="I652" s="290"/>
      <c r="J652" s="290"/>
      <c r="K652" s="291"/>
      <c r="L652" s="18"/>
      <c r="M652" s="285" t="str">
        <f t="shared" ref="M652" si="1012">IF(COUNT(L652:L653)&lt;1,"",AVERAGE(L652:L653))</f>
        <v/>
      </c>
      <c r="N652" s="22"/>
      <c r="O652" s="285" t="str">
        <f t="shared" ref="O652" si="1013">IF(COUNT(N652:N653)&lt;1,"",AVERAGE(N652:N653))</f>
        <v/>
      </c>
      <c r="P652" s="22"/>
      <c r="Q652" s="285" t="str">
        <f t="shared" ref="Q652" si="1014">IF(COUNT(P652:P653)&lt;1,"",AVERAGE(P652:P653))</f>
        <v/>
      </c>
      <c r="R652" s="278" t="str">
        <f>IF($X$13="/28",IF(COUNT(P652:P653)&lt;=1,"",ABS(P652-P653)),IF($X$13="/90",IF(COUNT(#REF!)&lt;=1,"",ABS(#REF!-#REF!))))</f>
        <v/>
      </c>
      <c r="S652" s="278" t="str">
        <f>IF($X$13="/28",IF(Q652="","",IF(AVERAGE(Q648:Q653)&gt;=$W$13,ROUND(AVERAGE(Q648:Q653),1)&amp;" ≥ "&amp;$W$13&amp;" OK",ROUND(AVERAGE(Q648:Q653),1)&amp;" &lt; "&amp;$W$13&amp;" NC")),IF($X$13="/90",IF(#REF!="","",IF(AVERAGE(#REF!)&gt;=$W$13,ROUND(AVERAGE(#REF!),1)&amp;" ≥ "&amp;$W$13&amp;" OK",ROUND(AVERAGE(#REF!),1)&amp;" &lt; "&amp;$W$13&amp;" NC"))))</f>
        <v/>
      </c>
      <c r="T652" s="278" t="str">
        <f>IF($X$13="/28",IF(Q652="","",IF(Q652&gt;=$W$13-$S$12,ROUND((Q652),1)&amp;" ≥ "&amp;$W$13-$S$12&amp;" OK",ROUND((Q652),1)&amp;" &lt; "&amp;$W$13-$S$12&amp;" NC")),IF($X$13="/90",IF(#REF!="","",IF(#REF!&gt;=$W$13-$S$12,ROUND((#REF!),1)&amp;" ≥ "&amp;$W$13-$S$12&amp;" OK",ROUND((#REF!),1)&amp;" &lt; "&amp;$W$13-$S$12&amp;" NC"))))</f>
        <v/>
      </c>
      <c r="U652" s="14"/>
      <c r="V652" s="279"/>
      <c r="W652" s="280"/>
      <c r="X652" s="281"/>
      <c r="Y652" s="246"/>
      <c r="Z652" s="246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BP652" s="390" t="str">
        <f>IF($X$13="/28",IF(Q652="","",Q652),IF($X$13="/90",IF(#REF!="","",#REF!),"Falso"))</f>
        <v/>
      </c>
      <c r="BQ652" s="392" t="str">
        <f t="shared" si="978"/>
        <v/>
      </c>
      <c r="BS652" s="50" t="str">
        <f>Q1286</f>
        <v/>
      </c>
      <c r="BT652" s="50" t="e">
        <f>#REF!</f>
        <v>#REF!</v>
      </c>
      <c r="BU652" s="39" t="str">
        <f t="shared" si="933"/>
        <v/>
      </c>
      <c r="BV652" s="39" t="str">
        <f t="shared" si="926"/>
        <v/>
      </c>
    </row>
    <row r="653" spans="1:74" ht="14.25" customHeight="1" x14ac:dyDescent="0.35">
      <c r="A653" s="294"/>
      <c r="B653" s="296"/>
      <c r="C653" s="298"/>
      <c r="D653" s="300"/>
      <c r="E653" s="302"/>
      <c r="F653" s="304"/>
      <c r="G653" s="276"/>
      <c r="H653" s="277"/>
      <c r="I653" s="290"/>
      <c r="J653" s="290"/>
      <c r="K653" s="291"/>
      <c r="L653" s="17"/>
      <c r="M653" s="286"/>
      <c r="N653" s="21"/>
      <c r="O653" s="286"/>
      <c r="P653" s="21"/>
      <c r="Q653" s="286"/>
      <c r="R653" s="248"/>
      <c r="S653" s="287"/>
      <c r="T653" s="248"/>
      <c r="U653" s="13"/>
      <c r="V653" s="282"/>
      <c r="W653" s="283"/>
      <c r="X653" s="284"/>
      <c r="Y653" s="245"/>
      <c r="Z653" s="245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BP653" s="391"/>
      <c r="BQ653" s="393"/>
      <c r="BS653" s="50" t="str">
        <f>Q1288</f>
        <v/>
      </c>
      <c r="BT653" s="50" t="e">
        <f>#REF!</f>
        <v>#REF!</v>
      </c>
      <c r="BU653" s="39" t="str">
        <f t="shared" si="933"/>
        <v/>
      </c>
      <c r="BV653" s="39" t="str">
        <f t="shared" si="926"/>
        <v/>
      </c>
    </row>
    <row r="654" spans="1:74" ht="14.25" customHeight="1" x14ac:dyDescent="0.35">
      <c r="A654" s="293">
        <v>319</v>
      </c>
      <c r="B654" s="295"/>
      <c r="C654" s="297"/>
      <c r="D654" s="299"/>
      <c r="E654" s="301"/>
      <c r="F654" s="303"/>
      <c r="G654" s="288"/>
      <c r="H654" s="289"/>
      <c r="I654" s="290"/>
      <c r="J654" s="290"/>
      <c r="K654" s="291"/>
      <c r="L654" s="18"/>
      <c r="M654" s="285" t="str">
        <f t="shared" ref="M654" si="1015">IF(COUNT(L654:L655)&lt;1,"",AVERAGE(L654:L655))</f>
        <v/>
      </c>
      <c r="N654" s="22"/>
      <c r="O654" s="285" t="str">
        <f t="shared" ref="O654" si="1016">IF(COUNT(N654:N655)&lt;1,"",AVERAGE(N654:N655))</f>
        <v/>
      </c>
      <c r="P654" s="22"/>
      <c r="Q654" s="285" t="str">
        <f t="shared" ref="Q654" si="1017">IF(COUNT(P654:P655)&lt;1,"",AVERAGE(P654:P655))</f>
        <v/>
      </c>
      <c r="R654" s="278" t="str">
        <f>IF($X$13="/28",IF(COUNT(P654:P655)&lt;=1,"",ABS(P654-P655)),IF($X$13="/90",IF(COUNT(#REF!)&lt;=1,"",ABS(#REF!-#REF!))))</f>
        <v/>
      </c>
      <c r="S654" s="278" t="str">
        <f>IF($X$13="/28",IF(Q654="","",IF(AVERAGE(Q650:Q655)&gt;=$W$13,ROUND(AVERAGE(Q650:Q655),1)&amp;" ≥ "&amp;$W$13&amp;" OK",ROUND(AVERAGE(Q650:Q655),1)&amp;" &lt; "&amp;$W$13&amp;" NC")),IF($X$13="/90",IF(#REF!="","",IF(AVERAGE(#REF!)&gt;=$W$13,ROUND(AVERAGE(#REF!),1)&amp;" ≥ "&amp;$W$13&amp;" OK",ROUND(AVERAGE(#REF!),1)&amp;" &lt; "&amp;$W$13&amp;" NC"))))</f>
        <v/>
      </c>
      <c r="T654" s="278" t="str">
        <f>IF($X$13="/28",IF(Q654="","",IF(Q654&gt;=$W$13-$S$12,ROUND((Q654),1)&amp;" ≥ "&amp;$W$13-$S$12&amp;" OK",ROUND((Q654),1)&amp;" &lt; "&amp;$W$13-$S$12&amp;" NC")),IF($X$13="/90",IF(#REF!="","",IF(#REF!&gt;=$W$13-$S$12,ROUND((#REF!),1)&amp;" ≥ "&amp;$W$13-$S$12&amp;" OK",ROUND((#REF!),1)&amp;" &lt; "&amp;$W$13-$S$12&amp;" NC"))))</f>
        <v/>
      </c>
      <c r="U654" s="14"/>
      <c r="V654" s="279"/>
      <c r="W654" s="280"/>
      <c r="X654" s="281"/>
      <c r="Y654" s="246"/>
      <c r="Z654" s="246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BP654" s="390" t="str">
        <f>IF($X$13="/28",IF(Q654="","",Q654),IF($X$13="/90",IF(#REF!="","",#REF!),"Falso"))</f>
        <v/>
      </c>
      <c r="BQ654" s="392" t="str">
        <f t="shared" si="970"/>
        <v/>
      </c>
      <c r="BS654" s="50" t="str">
        <f>Q1290</f>
        <v/>
      </c>
      <c r="BT654" s="50" t="e">
        <f>#REF!</f>
        <v>#REF!</v>
      </c>
      <c r="BU654" s="39" t="str">
        <f t="shared" si="933"/>
        <v/>
      </c>
      <c r="BV654" s="39" t="str">
        <f t="shared" si="926"/>
        <v/>
      </c>
    </row>
    <row r="655" spans="1:74" ht="14.25" customHeight="1" x14ac:dyDescent="0.35">
      <c r="A655" s="294"/>
      <c r="B655" s="296"/>
      <c r="C655" s="298"/>
      <c r="D655" s="300"/>
      <c r="E655" s="302"/>
      <c r="F655" s="304"/>
      <c r="G655" s="276"/>
      <c r="H655" s="277"/>
      <c r="I655" s="290"/>
      <c r="J655" s="290"/>
      <c r="K655" s="291"/>
      <c r="L655" s="17"/>
      <c r="M655" s="286"/>
      <c r="N655" s="21"/>
      <c r="O655" s="286"/>
      <c r="P655" s="21"/>
      <c r="Q655" s="286"/>
      <c r="R655" s="248"/>
      <c r="S655" s="287"/>
      <c r="T655" s="248"/>
      <c r="U655" s="13"/>
      <c r="V655" s="282"/>
      <c r="W655" s="283"/>
      <c r="X655" s="284"/>
      <c r="Y655" s="245"/>
      <c r="Z655" s="245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BP655" s="391"/>
      <c r="BQ655" s="393"/>
      <c r="BS655" s="50" t="str">
        <f>Q1292</f>
        <v/>
      </c>
      <c r="BT655" s="50" t="e">
        <f>#REF!</f>
        <v>#REF!</v>
      </c>
      <c r="BU655" s="39" t="str">
        <f t="shared" si="933"/>
        <v/>
      </c>
      <c r="BV655" s="39" t="str">
        <f t="shared" si="926"/>
        <v/>
      </c>
    </row>
    <row r="656" spans="1:74" ht="14.25" customHeight="1" x14ac:dyDescent="0.35">
      <c r="A656" s="293">
        <v>320</v>
      </c>
      <c r="B656" s="295"/>
      <c r="C656" s="297"/>
      <c r="D656" s="299"/>
      <c r="E656" s="301"/>
      <c r="F656" s="303"/>
      <c r="G656" s="288"/>
      <c r="H656" s="289"/>
      <c r="I656" s="290"/>
      <c r="J656" s="290"/>
      <c r="K656" s="291"/>
      <c r="L656" s="18"/>
      <c r="M656" s="285" t="str">
        <f t="shared" ref="M656" si="1018">IF(COUNT(L656:L657)&lt;1,"",AVERAGE(L656:L657))</f>
        <v/>
      </c>
      <c r="N656" s="22"/>
      <c r="O656" s="285" t="str">
        <f t="shared" ref="O656" si="1019">IF(COUNT(N656:N657)&lt;1,"",AVERAGE(N656:N657))</f>
        <v/>
      </c>
      <c r="P656" s="22"/>
      <c r="Q656" s="285" t="str">
        <f t="shared" ref="Q656" si="1020">IF(COUNT(P656:P657)&lt;1,"",AVERAGE(P656:P657))</f>
        <v/>
      </c>
      <c r="R656" s="278" t="str">
        <f>IF($X$13="/28",IF(COUNT(P656:P657)&lt;=1,"",ABS(P656-P657)),IF($X$13="/90",IF(COUNT(#REF!)&lt;=1,"",ABS(#REF!-#REF!))))</f>
        <v/>
      </c>
      <c r="S656" s="278" t="str">
        <f>IF($X$13="/28",IF(Q656="","",IF(AVERAGE(Q652:Q657)&gt;=$W$13,ROUND(AVERAGE(Q652:Q657),1)&amp;" ≥ "&amp;$W$13&amp;" OK",ROUND(AVERAGE(Q652:Q657),1)&amp;" &lt; "&amp;$W$13&amp;" NC")),IF($X$13="/90",IF(#REF!="","",IF(AVERAGE(#REF!)&gt;=$W$13,ROUND(AVERAGE(#REF!),1)&amp;" ≥ "&amp;$W$13&amp;" OK",ROUND(AVERAGE(#REF!),1)&amp;" &lt; "&amp;$W$13&amp;" NC"))))</f>
        <v/>
      </c>
      <c r="T656" s="278" t="str">
        <f>IF($X$13="/28",IF(Q656="","",IF(Q656&gt;=$W$13-$S$12,ROUND((Q656),1)&amp;" ≥ "&amp;$W$13-$S$12&amp;" OK",ROUND((Q656),1)&amp;" &lt; "&amp;$W$13-$S$12&amp;" NC")),IF($X$13="/90",IF(#REF!="","",IF(#REF!&gt;=$W$13-$S$12,ROUND((#REF!),1)&amp;" ≥ "&amp;$W$13-$S$12&amp;" OK",ROUND((#REF!),1)&amp;" &lt; "&amp;$W$13-$S$12&amp;" NC"))))</f>
        <v/>
      </c>
      <c r="U656" s="14"/>
      <c r="V656" s="279"/>
      <c r="W656" s="280"/>
      <c r="X656" s="281"/>
      <c r="Y656" s="246"/>
      <c r="Z656" s="246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BP656" s="390" t="str">
        <f>IF($X$13="/28",IF(Q656="","",Q656),IF($X$13="/90",IF(#REF!="","",#REF!),"Falso"))</f>
        <v/>
      </c>
      <c r="BQ656" s="392" t="str">
        <f t="shared" si="974"/>
        <v/>
      </c>
      <c r="BS656" s="50" t="str">
        <f>Q1294</f>
        <v/>
      </c>
      <c r="BT656" s="50" t="e">
        <f>#REF!</f>
        <v>#REF!</v>
      </c>
      <c r="BU656" s="39" t="str">
        <f t="shared" si="933"/>
        <v/>
      </c>
      <c r="BV656" s="39" t="str">
        <f t="shared" si="926"/>
        <v/>
      </c>
    </row>
    <row r="657" spans="1:74" ht="14.25" customHeight="1" x14ac:dyDescent="0.35">
      <c r="A657" s="294"/>
      <c r="B657" s="296"/>
      <c r="C657" s="298"/>
      <c r="D657" s="300"/>
      <c r="E657" s="302"/>
      <c r="F657" s="304"/>
      <c r="G657" s="276"/>
      <c r="H657" s="277"/>
      <c r="I657" s="290"/>
      <c r="J657" s="290"/>
      <c r="K657" s="291"/>
      <c r="L657" s="17"/>
      <c r="M657" s="286"/>
      <c r="N657" s="21"/>
      <c r="O657" s="286"/>
      <c r="P657" s="21"/>
      <c r="Q657" s="286"/>
      <c r="R657" s="248"/>
      <c r="S657" s="287"/>
      <c r="T657" s="248"/>
      <c r="U657" s="13"/>
      <c r="V657" s="282"/>
      <c r="W657" s="283"/>
      <c r="X657" s="284"/>
      <c r="Y657" s="245"/>
      <c r="Z657" s="245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BP657" s="391"/>
      <c r="BQ657" s="393"/>
      <c r="BS657" s="50" t="str">
        <f>Q1296</f>
        <v/>
      </c>
      <c r="BT657" s="50" t="e">
        <f>#REF!</f>
        <v>#REF!</v>
      </c>
      <c r="BU657" s="39" t="str">
        <f t="shared" si="933"/>
        <v/>
      </c>
      <c r="BV657" s="39" t="str">
        <f t="shared" si="926"/>
        <v/>
      </c>
    </row>
    <row r="658" spans="1:74" ht="14.25" customHeight="1" x14ac:dyDescent="0.35">
      <c r="A658" s="293">
        <v>321</v>
      </c>
      <c r="B658" s="295"/>
      <c r="C658" s="297"/>
      <c r="D658" s="299"/>
      <c r="E658" s="301"/>
      <c r="F658" s="303"/>
      <c r="G658" s="288"/>
      <c r="H658" s="289"/>
      <c r="I658" s="290"/>
      <c r="J658" s="290"/>
      <c r="K658" s="291"/>
      <c r="L658" s="18"/>
      <c r="M658" s="285" t="str">
        <f t="shared" ref="M658" si="1021">IF(COUNT(L658:L659)&lt;1,"",AVERAGE(L658:L659))</f>
        <v/>
      </c>
      <c r="N658" s="22"/>
      <c r="O658" s="285" t="str">
        <f t="shared" ref="O658" si="1022">IF(COUNT(N658:N659)&lt;1,"",AVERAGE(N658:N659))</f>
        <v/>
      </c>
      <c r="P658" s="22"/>
      <c r="Q658" s="285" t="str">
        <f t="shared" ref="Q658" si="1023">IF(COUNT(P658:P659)&lt;1,"",AVERAGE(P658:P659))</f>
        <v/>
      </c>
      <c r="R658" s="278" t="str">
        <f>IF($X$13="/28",IF(COUNT(P658:P659)&lt;=1,"",ABS(P658-P659)),IF($X$13="/90",IF(COUNT(#REF!)&lt;=1,"",ABS(#REF!-#REF!))))</f>
        <v/>
      </c>
      <c r="S658" s="278" t="str">
        <f>IF($X$13="/28",IF(Q658="","",IF(AVERAGE(Q654:Q659)&gt;=$W$13,ROUND(AVERAGE(Q654:Q659),1)&amp;" ≥ "&amp;$W$13&amp;" OK",ROUND(AVERAGE(Q654:Q659),1)&amp;" &lt; "&amp;$W$13&amp;" NC")),IF($X$13="/90",IF(#REF!="","",IF(AVERAGE(#REF!)&gt;=$W$13,ROUND(AVERAGE(#REF!),1)&amp;" ≥ "&amp;$W$13&amp;" OK",ROUND(AVERAGE(#REF!),1)&amp;" &lt; "&amp;$W$13&amp;" NC"))))</f>
        <v/>
      </c>
      <c r="T658" s="278" t="str">
        <f>IF($X$13="/28",IF(Q658="","",IF(Q658&gt;=$W$13-$S$12,ROUND((Q658),1)&amp;" ≥ "&amp;$W$13-$S$12&amp;" OK",ROUND((Q658),1)&amp;" &lt; "&amp;$W$13-$S$12&amp;" NC")),IF($X$13="/90",IF(#REF!="","",IF(#REF!&gt;=$W$13-$S$12,ROUND((#REF!),1)&amp;" ≥ "&amp;$W$13-$S$12&amp;" OK",ROUND((#REF!),1)&amp;" &lt; "&amp;$W$13-$S$12&amp;" NC"))))</f>
        <v/>
      </c>
      <c r="U658" s="14"/>
      <c r="V658" s="279"/>
      <c r="W658" s="280"/>
      <c r="X658" s="281"/>
      <c r="Y658" s="246"/>
      <c r="Z658" s="246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BP658" s="390" t="str">
        <f>IF($X$13="/28",IF(Q658="","",Q658),IF($X$13="/90",IF(#REF!="","",#REF!),"Falso"))</f>
        <v/>
      </c>
      <c r="BQ658" s="392" t="str">
        <f t="shared" si="978"/>
        <v/>
      </c>
      <c r="BS658" s="50" t="str">
        <f>Q1298</f>
        <v/>
      </c>
      <c r="BT658" s="50" t="e">
        <f>#REF!</f>
        <v>#REF!</v>
      </c>
      <c r="BU658" s="39" t="str">
        <f t="shared" si="933"/>
        <v/>
      </c>
      <c r="BV658" s="39" t="str">
        <f t="shared" si="926"/>
        <v/>
      </c>
    </row>
    <row r="659" spans="1:74" ht="14.25" customHeight="1" x14ac:dyDescent="0.35">
      <c r="A659" s="294"/>
      <c r="B659" s="296"/>
      <c r="C659" s="298"/>
      <c r="D659" s="300"/>
      <c r="E659" s="302"/>
      <c r="F659" s="304"/>
      <c r="G659" s="276"/>
      <c r="H659" s="277"/>
      <c r="I659" s="290"/>
      <c r="J659" s="290"/>
      <c r="K659" s="291"/>
      <c r="L659" s="17"/>
      <c r="M659" s="286"/>
      <c r="N659" s="21"/>
      <c r="O659" s="286"/>
      <c r="P659" s="21"/>
      <c r="Q659" s="286"/>
      <c r="R659" s="248"/>
      <c r="S659" s="287"/>
      <c r="T659" s="248"/>
      <c r="U659" s="13"/>
      <c r="V659" s="282"/>
      <c r="W659" s="283"/>
      <c r="X659" s="284"/>
      <c r="Y659" s="245"/>
      <c r="Z659" s="245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BP659" s="391"/>
      <c r="BQ659" s="393"/>
      <c r="BS659" s="50" t="str">
        <f>Q1300</f>
        <v/>
      </c>
      <c r="BT659" s="50" t="e">
        <f>#REF!</f>
        <v>#REF!</v>
      </c>
      <c r="BU659" s="39" t="str">
        <f t="shared" si="933"/>
        <v/>
      </c>
      <c r="BV659" s="39" t="str">
        <f t="shared" si="926"/>
        <v/>
      </c>
    </row>
    <row r="660" spans="1:74" ht="14.25" customHeight="1" x14ac:dyDescent="0.35">
      <c r="A660" s="293">
        <v>322</v>
      </c>
      <c r="B660" s="295"/>
      <c r="C660" s="297"/>
      <c r="D660" s="299"/>
      <c r="E660" s="301"/>
      <c r="F660" s="303"/>
      <c r="G660" s="288"/>
      <c r="H660" s="289"/>
      <c r="I660" s="290"/>
      <c r="J660" s="290"/>
      <c r="K660" s="291"/>
      <c r="L660" s="18"/>
      <c r="M660" s="285" t="str">
        <f t="shared" ref="M660" si="1024">IF(COUNT(L660:L661)&lt;1,"",AVERAGE(L660:L661))</f>
        <v/>
      </c>
      <c r="N660" s="22"/>
      <c r="O660" s="285" t="str">
        <f t="shared" ref="O660" si="1025">IF(COUNT(N660:N661)&lt;1,"",AVERAGE(N660:N661))</f>
        <v/>
      </c>
      <c r="P660" s="22"/>
      <c r="Q660" s="285" t="str">
        <f t="shared" ref="Q660" si="1026">IF(COUNT(P660:P661)&lt;1,"",AVERAGE(P660:P661))</f>
        <v/>
      </c>
      <c r="R660" s="278" t="str">
        <f>IF($X$13="/28",IF(COUNT(P660:P661)&lt;=1,"",ABS(P660-P661)),IF($X$13="/90",IF(COUNT(#REF!)&lt;=1,"",ABS(#REF!-#REF!))))</f>
        <v/>
      </c>
      <c r="S660" s="278" t="str">
        <f>IF($X$13="/28",IF(Q660="","",IF(AVERAGE(Q656:Q661)&gt;=$W$13,ROUND(AVERAGE(Q656:Q661),1)&amp;" ≥ "&amp;$W$13&amp;" OK",ROUND(AVERAGE(Q656:Q661),1)&amp;" &lt; "&amp;$W$13&amp;" NC")),IF($X$13="/90",IF(#REF!="","",IF(AVERAGE(#REF!)&gt;=$W$13,ROUND(AVERAGE(#REF!),1)&amp;" ≥ "&amp;$W$13&amp;" OK",ROUND(AVERAGE(#REF!),1)&amp;" &lt; "&amp;$W$13&amp;" NC"))))</f>
        <v/>
      </c>
      <c r="T660" s="278" t="str">
        <f>IF($X$13="/28",IF(Q660="","",IF(Q660&gt;=$W$13-$S$12,ROUND((Q660),1)&amp;" ≥ "&amp;$W$13-$S$12&amp;" OK",ROUND((Q660),1)&amp;" &lt; "&amp;$W$13-$S$12&amp;" NC")),IF($X$13="/90",IF(#REF!="","",IF(#REF!&gt;=$W$13-$S$12,ROUND((#REF!),1)&amp;" ≥ "&amp;$W$13-$S$12&amp;" OK",ROUND((#REF!),1)&amp;" &lt; "&amp;$W$13-$S$12&amp;" NC"))))</f>
        <v/>
      </c>
      <c r="U660" s="14"/>
      <c r="V660" s="279"/>
      <c r="W660" s="280"/>
      <c r="X660" s="281"/>
      <c r="Y660" s="246"/>
      <c r="Z660" s="246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BP660" s="390" t="str">
        <f>IF($X$13="/28",IF(Q660="","",Q660),IF($X$13="/90",IF(#REF!="","",#REF!),"Falso"))</f>
        <v/>
      </c>
      <c r="BQ660" s="392" t="str">
        <f t="shared" si="970"/>
        <v/>
      </c>
      <c r="BS660" s="50" t="str">
        <f>Q1302</f>
        <v/>
      </c>
      <c r="BT660" s="50" t="e">
        <f>#REF!</f>
        <v>#REF!</v>
      </c>
      <c r="BU660" s="39" t="str">
        <f t="shared" si="933"/>
        <v/>
      </c>
      <c r="BV660" s="39" t="str">
        <f t="shared" ref="BV660:BV723" si="1027">IF(BU660="","",BV659+1)</f>
        <v/>
      </c>
    </row>
    <row r="661" spans="1:74" ht="14.25" customHeight="1" x14ac:dyDescent="0.35">
      <c r="A661" s="294"/>
      <c r="B661" s="296"/>
      <c r="C661" s="298"/>
      <c r="D661" s="300"/>
      <c r="E661" s="302"/>
      <c r="F661" s="304"/>
      <c r="G661" s="276"/>
      <c r="H661" s="277"/>
      <c r="I661" s="290"/>
      <c r="J661" s="290"/>
      <c r="K661" s="291"/>
      <c r="L661" s="17"/>
      <c r="M661" s="286"/>
      <c r="N661" s="21"/>
      <c r="O661" s="286"/>
      <c r="P661" s="21"/>
      <c r="Q661" s="286"/>
      <c r="R661" s="248"/>
      <c r="S661" s="287"/>
      <c r="T661" s="248"/>
      <c r="U661" s="13"/>
      <c r="V661" s="282"/>
      <c r="W661" s="283"/>
      <c r="X661" s="284"/>
      <c r="Y661" s="245"/>
      <c r="Z661" s="245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BP661" s="391"/>
      <c r="BQ661" s="393"/>
      <c r="BS661" s="50" t="str">
        <f>Q1304</f>
        <v/>
      </c>
      <c r="BT661" s="50" t="e">
        <f>#REF!</f>
        <v>#REF!</v>
      </c>
      <c r="BU661" s="39" t="str">
        <f t="shared" si="933"/>
        <v/>
      </c>
      <c r="BV661" s="39" t="str">
        <f t="shared" si="1027"/>
        <v/>
      </c>
    </row>
    <row r="662" spans="1:74" ht="14.25" customHeight="1" x14ac:dyDescent="0.35">
      <c r="A662" s="293">
        <v>323</v>
      </c>
      <c r="B662" s="295"/>
      <c r="C662" s="297"/>
      <c r="D662" s="299"/>
      <c r="E662" s="301"/>
      <c r="F662" s="303"/>
      <c r="G662" s="288"/>
      <c r="H662" s="289"/>
      <c r="I662" s="290"/>
      <c r="J662" s="290"/>
      <c r="K662" s="291"/>
      <c r="L662" s="18"/>
      <c r="M662" s="285" t="str">
        <f t="shared" ref="M662" si="1028">IF(COUNT(L662:L663)&lt;1,"",AVERAGE(L662:L663))</f>
        <v/>
      </c>
      <c r="N662" s="22"/>
      <c r="O662" s="285" t="str">
        <f t="shared" ref="O662" si="1029">IF(COUNT(N662:N663)&lt;1,"",AVERAGE(N662:N663))</f>
        <v/>
      </c>
      <c r="P662" s="22"/>
      <c r="Q662" s="285" t="str">
        <f t="shared" ref="Q662" si="1030">IF(COUNT(P662:P663)&lt;1,"",AVERAGE(P662:P663))</f>
        <v/>
      </c>
      <c r="R662" s="278" t="str">
        <f>IF($X$13="/28",IF(COUNT(P662:P663)&lt;=1,"",ABS(P662-P663)),IF($X$13="/90",IF(COUNT(#REF!)&lt;=1,"",ABS(#REF!-#REF!))))</f>
        <v/>
      </c>
      <c r="S662" s="278" t="str">
        <f>IF($X$13="/28",IF(Q662="","",IF(AVERAGE(Q658:Q663)&gt;=$W$13,ROUND(AVERAGE(Q658:Q663),1)&amp;" ≥ "&amp;$W$13&amp;" OK",ROUND(AVERAGE(Q658:Q663),1)&amp;" &lt; "&amp;$W$13&amp;" NC")),IF($X$13="/90",IF(#REF!="","",IF(AVERAGE(#REF!)&gt;=$W$13,ROUND(AVERAGE(#REF!),1)&amp;" ≥ "&amp;$W$13&amp;" OK",ROUND(AVERAGE(#REF!),1)&amp;" &lt; "&amp;$W$13&amp;" NC"))))</f>
        <v/>
      </c>
      <c r="T662" s="278" t="str">
        <f>IF($X$13="/28",IF(Q662="","",IF(Q662&gt;=$W$13-$S$12,ROUND((Q662),1)&amp;" ≥ "&amp;$W$13-$S$12&amp;" OK",ROUND((Q662),1)&amp;" &lt; "&amp;$W$13-$S$12&amp;" NC")),IF($X$13="/90",IF(#REF!="","",IF(#REF!&gt;=$W$13-$S$12,ROUND((#REF!),1)&amp;" ≥ "&amp;$W$13-$S$12&amp;" OK",ROUND((#REF!),1)&amp;" &lt; "&amp;$W$13-$S$12&amp;" NC"))))</f>
        <v/>
      </c>
      <c r="U662" s="14"/>
      <c r="V662" s="279"/>
      <c r="W662" s="280"/>
      <c r="X662" s="281"/>
      <c r="Y662" s="246"/>
      <c r="Z662" s="246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BP662" s="390" t="str">
        <f>IF($X$13="/28",IF(Q662="","",Q662),IF($X$13="/90",IF(#REF!="","",#REF!),"Falso"))</f>
        <v/>
      </c>
      <c r="BQ662" s="392" t="str">
        <f t="shared" si="974"/>
        <v/>
      </c>
      <c r="BS662" s="50" t="str">
        <f>Q1306</f>
        <v/>
      </c>
      <c r="BT662" s="50" t="e">
        <f>#REF!</f>
        <v>#REF!</v>
      </c>
      <c r="BU662" s="39" t="str">
        <f t="shared" si="933"/>
        <v/>
      </c>
      <c r="BV662" s="39" t="str">
        <f t="shared" si="1027"/>
        <v/>
      </c>
    </row>
    <row r="663" spans="1:74" ht="14.25" customHeight="1" x14ac:dyDescent="0.35">
      <c r="A663" s="294"/>
      <c r="B663" s="296"/>
      <c r="C663" s="298"/>
      <c r="D663" s="300"/>
      <c r="E663" s="302"/>
      <c r="F663" s="304"/>
      <c r="G663" s="276"/>
      <c r="H663" s="277"/>
      <c r="I663" s="290"/>
      <c r="J663" s="290"/>
      <c r="K663" s="291"/>
      <c r="L663" s="17"/>
      <c r="M663" s="286"/>
      <c r="N663" s="21"/>
      <c r="O663" s="286"/>
      <c r="P663" s="21"/>
      <c r="Q663" s="286"/>
      <c r="R663" s="248"/>
      <c r="S663" s="287"/>
      <c r="T663" s="248"/>
      <c r="U663" s="13"/>
      <c r="V663" s="282"/>
      <c r="W663" s="283"/>
      <c r="X663" s="284"/>
      <c r="Y663" s="245"/>
      <c r="Z663" s="245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BP663" s="391"/>
      <c r="BQ663" s="393"/>
      <c r="BS663" s="50" t="str">
        <f>Q1308</f>
        <v/>
      </c>
      <c r="BT663" s="50" t="e">
        <f>#REF!</f>
        <v>#REF!</v>
      </c>
      <c r="BU663" s="39" t="str">
        <f t="shared" si="933"/>
        <v/>
      </c>
      <c r="BV663" s="39" t="str">
        <f t="shared" si="1027"/>
        <v/>
      </c>
    </row>
    <row r="664" spans="1:74" ht="14.25" customHeight="1" x14ac:dyDescent="0.35">
      <c r="A664" s="293">
        <v>324</v>
      </c>
      <c r="B664" s="295"/>
      <c r="C664" s="297"/>
      <c r="D664" s="299"/>
      <c r="E664" s="301"/>
      <c r="F664" s="303"/>
      <c r="G664" s="288"/>
      <c r="H664" s="289"/>
      <c r="I664" s="290"/>
      <c r="J664" s="290"/>
      <c r="K664" s="291"/>
      <c r="L664" s="18"/>
      <c r="M664" s="285" t="str">
        <f t="shared" ref="M664" si="1031">IF(COUNT(L664:L665)&lt;1,"",AVERAGE(L664:L665))</f>
        <v/>
      </c>
      <c r="N664" s="22"/>
      <c r="O664" s="285" t="str">
        <f t="shared" ref="O664" si="1032">IF(COUNT(N664:N665)&lt;1,"",AVERAGE(N664:N665))</f>
        <v/>
      </c>
      <c r="P664" s="22"/>
      <c r="Q664" s="285" t="str">
        <f t="shared" ref="Q664" si="1033">IF(COUNT(P664:P665)&lt;1,"",AVERAGE(P664:P665))</f>
        <v/>
      </c>
      <c r="R664" s="278" t="str">
        <f>IF($X$13="/28",IF(COUNT(P664:P665)&lt;=1,"",ABS(P664-P665)),IF($X$13="/90",IF(COUNT(#REF!)&lt;=1,"",ABS(#REF!-#REF!))))</f>
        <v/>
      </c>
      <c r="S664" s="278" t="str">
        <f>IF($X$13="/28",IF(Q664="","",IF(AVERAGE(Q660:Q665)&gt;=$W$13,ROUND(AVERAGE(Q660:Q665),1)&amp;" ≥ "&amp;$W$13&amp;" OK",ROUND(AVERAGE(Q660:Q665),1)&amp;" &lt; "&amp;$W$13&amp;" NC")),IF($X$13="/90",IF(#REF!="","",IF(AVERAGE(#REF!)&gt;=$W$13,ROUND(AVERAGE(#REF!),1)&amp;" ≥ "&amp;$W$13&amp;" OK",ROUND(AVERAGE(#REF!),1)&amp;" &lt; "&amp;$W$13&amp;" NC"))))</f>
        <v/>
      </c>
      <c r="T664" s="278" t="str">
        <f>IF($X$13="/28",IF(Q664="","",IF(Q664&gt;=$W$13-$S$12,ROUND((Q664),1)&amp;" ≥ "&amp;$W$13-$S$12&amp;" OK",ROUND((Q664),1)&amp;" &lt; "&amp;$W$13-$S$12&amp;" NC")),IF($X$13="/90",IF(#REF!="","",IF(#REF!&gt;=$W$13-$S$12,ROUND((#REF!),1)&amp;" ≥ "&amp;$W$13-$S$12&amp;" OK",ROUND((#REF!),1)&amp;" &lt; "&amp;$W$13-$S$12&amp;" NC"))))</f>
        <v/>
      </c>
      <c r="U664" s="14"/>
      <c r="V664" s="279"/>
      <c r="W664" s="280"/>
      <c r="X664" s="281"/>
      <c r="Y664" s="246"/>
      <c r="Z664" s="246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BP664" s="390" t="str">
        <f>IF($X$13="/28",IF(Q664="","",Q664),IF($X$13="/90",IF(#REF!="","",#REF!),"Falso"))</f>
        <v/>
      </c>
      <c r="BQ664" s="392" t="str">
        <f t="shared" si="978"/>
        <v/>
      </c>
      <c r="BS664" s="50" t="str">
        <f>Q1310</f>
        <v/>
      </c>
      <c r="BT664" s="50" t="e">
        <f>#REF!</f>
        <v>#REF!</v>
      </c>
      <c r="BU664" s="39" t="str">
        <f t="shared" ref="BU664:BU727" si="1034">IF($X$13="/28",IF(BS664="","",BS664),IF($X$13="/90",IF(BT664="","",BT664),"Falso"))</f>
        <v/>
      </c>
      <c r="BV664" s="39" t="str">
        <f t="shared" si="1027"/>
        <v/>
      </c>
    </row>
    <row r="665" spans="1:74" ht="14.25" customHeight="1" x14ac:dyDescent="0.35">
      <c r="A665" s="294"/>
      <c r="B665" s="296"/>
      <c r="C665" s="298"/>
      <c r="D665" s="300"/>
      <c r="E665" s="302"/>
      <c r="F665" s="304"/>
      <c r="G665" s="276"/>
      <c r="H665" s="277"/>
      <c r="I665" s="290"/>
      <c r="J665" s="290"/>
      <c r="K665" s="291"/>
      <c r="L665" s="17"/>
      <c r="M665" s="286"/>
      <c r="N665" s="21"/>
      <c r="O665" s="286"/>
      <c r="P665" s="21"/>
      <c r="Q665" s="286"/>
      <c r="R665" s="248"/>
      <c r="S665" s="287"/>
      <c r="T665" s="248"/>
      <c r="U665" s="13"/>
      <c r="V665" s="282"/>
      <c r="W665" s="283"/>
      <c r="X665" s="284"/>
      <c r="Y665" s="245"/>
      <c r="Z665" s="245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BP665" s="391"/>
      <c r="BQ665" s="393"/>
      <c r="BS665" s="50" t="str">
        <f>Q1312</f>
        <v/>
      </c>
      <c r="BT665" s="50" t="e">
        <f>#REF!</f>
        <v>#REF!</v>
      </c>
      <c r="BU665" s="39" t="str">
        <f t="shared" si="1034"/>
        <v/>
      </c>
      <c r="BV665" s="39" t="str">
        <f t="shared" si="1027"/>
        <v/>
      </c>
    </row>
    <row r="666" spans="1:74" ht="14.25" customHeight="1" x14ac:dyDescent="0.35">
      <c r="A666" s="293">
        <v>325</v>
      </c>
      <c r="B666" s="295"/>
      <c r="C666" s="297"/>
      <c r="D666" s="299"/>
      <c r="E666" s="301"/>
      <c r="F666" s="303"/>
      <c r="G666" s="288"/>
      <c r="H666" s="289"/>
      <c r="I666" s="290"/>
      <c r="J666" s="290"/>
      <c r="K666" s="291"/>
      <c r="L666" s="18"/>
      <c r="M666" s="285" t="str">
        <f t="shared" ref="M666" si="1035">IF(COUNT(L666:L667)&lt;1,"",AVERAGE(L666:L667))</f>
        <v/>
      </c>
      <c r="N666" s="22"/>
      <c r="O666" s="285" t="str">
        <f t="shared" ref="O666" si="1036">IF(COUNT(N666:N667)&lt;1,"",AVERAGE(N666:N667))</f>
        <v/>
      </c>
      <c r="P666" s="22"/>
      <c r="Q666" s="285" t="str">
        <f t="shared" ref="Q666" si="1037">IF(COUNT(P666:P667)&lt;1,"",AVERAGE(P666:P667))</f>
        <v/>
      </c>
      <c r="R666" s="278" t="str">
        <f>IF($X$13="/28",IF(COUNT(P666:P667)&lt;=1,"",ABS(P666-P667)),IF($X$13="/90",IF(COUNT(#REF!)&lt;=1,"",ABS(#REF!-#REF!))))</f>
        <v/>
      </c>
      <c r="S666" s="278" t="str">
        <f>IF($X$13="/28",IF(Q666="","",IF(AVERAGE(Q662:Q667)&gt;=$W$13,ROUND(AVERAGE(Q662:Q667),1)&amp;" ≥ "&amp;$W$13&amp;" OK",ROUND(AVERAGE(Q662:Q667),1)&amp;" &lt; "&amp;$W$13&amp;" NC")),IF($X$13="/90",IF(#REF!="","",IF(AVERAGE(#REF!)&gt;=$W$13,ROUND(AVERAGE(#REF!),1)&amp;" ≥ "&amp;$W$13&amp;" OK",ROUND(AVERAGE(#REF!),1)&amp;" &lt; "&amp;$W$13&amp;" NC"))))</f>
        <v/>
      </c>
      <c r="T666" s="278" t="str">
        <f>IF($X$13="/28",IF(Q666="","",IF(Q666&gt;=$W$13-$S$12,ROUND((Q666),1)&amp;" ≥ "&amp;$W$13-$S$12&amp;" OK",ROUND((Q666),1)&amp;" &lt; "&amp;$W$13-$S$12&amp;" NC")),IF($X$13="/90",IF(#REF!="","",IF(#REF!&gt;=$W$13-$S$12,ROUND((#REF!),1)&amp;" ≥ "&amp;$W$13-$S$12&amp;" OK",ROUND((#REF!),1)&amp;" &lt; "&amp;$W$13-$S$12&amp;" NC"))))</f>
        <v/>
      </c>
      <c r="U666" s="14"/>
      <c r="V666" s="279"/>
      <c r="W666" s="280"/>
      <c r="X666" s="281"/>
      <c r="Y666" s="246"/>
      <c r="Z666" s="246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BP666" s="390" t="str">
        <f>IF($X$13="/28",IF(Q666="","",Q666),IF($X$13="/90",IF(#REF!="","",#REF!),"Falso"))</f>
        <v/>
      </c>
      <c r="BQ666" s="392" t="str">
        <f t="shared" si="970"/>
        <v/>
      </c>
      <c r="BS666" s="50" t="str">
        <f>Q1314</f>
        <v/>
      </c>
      <c r="BT666" s="50" t="e">
        <f>#REF!</f>
        <v>#REF!</v>
      </c>
      <c r="BU666" s="39" t="str">
        <f t="shared" si="1034"/>
        <v/>
      </c>
      <c r="BV666" s="39" t="str">
        <f t="shared" si="1027"/>
        <v/>
      </c>
    </row>
    <row r="667" spans="1:74" ht="14.25" customHeight="1" x14ac:dyDescent="0.35">
      <c r="A667" s="294"/>
      <c r="B667" s="296"/>
      <c r="C667" s="298"/>
      <c r="D667" s="300"/>
      <c r="E667" s="302"/>
      <c r="F667" s="304"/>
      <c r="G667" s="276"/>
      <c r="H667" s="277"/>
      <c r="I667" s="290"/>
      <c r="J667" s="290"/>
      <c r="K667" s="291"/>
      <c r="L667" s="17"/>
      <c r="M667" s="286"/>
      <c r="N667" s="21"/>
      <c r="O667" s="286"/>
      <c r="P667" s="21"/>
      <c r="Q667" s="286"/>
      <c r="R667" s="248"/>
      <c r="S667" s="287"/>
      <c r="T667" s="248"/>
      <c r="U667" s="13"/>
      <c r="V667" s="282"/>
      <c r="W667" s="283"/>
      <c r="X667" s="284"/>
      <c r="Y667" s="245"/>
      <c r="Z667" s="245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BP667" s="391"/>
      <c r="BQ667" s="393"/>
      <c r="BS667" s="50" t="str">
        <f>Q1316</f>
        <v/>
      </c>
      <c r="BT667" s="50" t="e">
        <f>#REF!</f>
        <v>#REF!</v>
      </c>
      <c r="BU667" s="39" t="str">
        <f t="shared" si="1034"/>
        <v/>
      </c>
      <c r="BV667" s="39" t="str">
        <f t="shared" si="1027"/>
        <v/>
      </c>
    </row>
    <row r="668" spans="1:74" ht="14.25" customHeight="1" x14ac:dyDescent="0.35">
      <c r="A668" s="293">
        <v>326</v>
      </c>
      <c r="B668" s="295"/>
      <c r="C668" s="297"/>
      <c r="D668" s="299"/>
      <c r="E668" s="301"/>
      <c r="F668" s="303"/>
      <c r="G668" s="288"/>
      <c r="H668" s="289"/>
      <c r="I668" s="290"/>
      <c r="J668" s="290"/>
      <c r="K668" s="291"/>
      <c r="L668" s="18"/>
      <c r="M668" s="285" t="str">
        <f t="shared" ref="M668" si="1038">IF(COUNT(L668:L669)&lt;1,"",AVERAGE(L668:L669))</f>
        <v/>
      </c>
      <c r="N668" s="22"/>
      <c r="O668" s="285" t="str">
        <f t="shared" ref="O668" si="1039">IF(COUNT(N668:N669)&lt;1,"",AVERAGE(N668:N669))</f>
        <v/>
      </c>
      <c r="P668" s="22"/>
      <c r="Q668" s="285" t="str">
        <f t="shared" ref="Q668" si="1040">IF(COUNT(P668:P669)&lt;1,"",AVERAGE(P668:P669))</f>
        <v/>
      </c>
      <c r="R668" s="278" t="str">
        <f>IF($X$13="/28",IF(COUNT(P668:P669)&lt;=1,"",ABS(P668-P669)),IF($X$13="/90",IF(COUNT(#REF!)&lt;=1,"",ABS(#REF!-#REF!))))</f>
        <v/>
      </c>
      <c r="S668" s="278" t="str">
        <f>IF($X$13="/28",IF(Q668="","",IF(AVERAGE(Q664:Q669)&gt;=$W$13,ROUND(AVERAGE(Q664:Q669),1)&amp;" ≥ "&amp;$W$13&amp;" OK",ROUND(AVERAGE(Q664:Q669),1)&amp;" &lt; "&amp;$W$13&amp;" NC")),IF($X$13="/90",IF(#REF!="","",IF(AVERAGE(#REF!)&gt;=$W$13,ROUND(AVERAGE(#REF!),1)&amp;" ≥ "&amp;$W$13&amp;" OK",ROUND(AVERAGE(#REF!),1)&amp;" &lt; "&amp;$W$13&amp;" NC"))))</f>
        <v/>
      </c>
      <c r="T668" s="278" t="str">
        <f>IF($X$13="/28",IF(Q668="","",IF(Q668&gt;=$W$13-$S$12,ROUND((Q668),1)&amp;" ≥ "&amp;$W$13-$S$12&amp;" OK",ROUND((Q668),1)&amp;" &lt; "&amp;$W$13-$S$12&amp;" NC")),IF($X$13="/90",IF(#REF!="","",IF(#REF!&gt;=$W$13-$S$12,ROUND((#REF!),1)&amp;" ≥ "&amp;$W$13-$S$12&amp;" OK",ROUND((#REF!),1)&amp;" &lt; "&amp;$W$13-$S$12&amp;" NC"))))</f>
        <v/>
      </c>
      <c r="U668" s="14"/>
      <c r="V668" s="279"/>
      <c r="W668" s="280"/>
      <c r="X668" s="281"/>
      <c r="Y668" s="246"/>
      <c r="Z668" s="246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BP668" s="390" t="str">
        <f>IF($X$13="/28",IF(Q668="","",Q668),IF($X$13="/90",IF(#REF!="","",#REF!),"Falso"))</f>
        <v/>
      </c>
      <c r="BQ668" s="392" t="str">
        <f t="shared" si="974"/>
        <v/>
      </c>
      <c r="BS668" s="50" t="str">
        <f>Q1318</f>
        <v/>
      </c>
      <c r="BT668" s="50" t="e">
        <f>#REF!</f>
        <v>#REF!</v>
      </c>
      <c r="BU668" s="39" t="str">
        <f t="shared" si="1034"/>
        <v/>
      </c>
      <c r="BV668" s="39" t="str">
        <f t="shared" si="1027"/>
        <v/>
      </c>
    </row>
    <row r="669" spans="1:74" ht="14.25" customHeight="1" x14ac:dyDescent="0.35">
      <c r="A669" s="294"/>
      <c r="B669" s="296"/>
      <c r="C669" s="298"/>
      <c r="D669" s="300"/>
      <c r="E669" s="302"/>
      <c r="F669" s="304"/>
      <c r="G669" s="276"/>
      <c r="H669" s="277"/>
      <c r="I669" s="290"/>
      <c r="J669" s="290"/>
      <c r="K669" s="291"/>
      <c r="L669" s="17"/>
      <c r="M669" s="286"/>
      <c r="N669" s="21"/>
      <c r="O669" s="286"/>
      <c r="P669" s="21"/>
      <c r="Q669" s="286"/>
      <c r="R669" s="248"/>
      <c r="S669" s="287"/>
      <c r="T669" s="248"/>
      <c r="U669" s="13"/>
      <c r="V669" s="282"/>
      <c r="W669" s="283"/>
      <c r="X669" s="284"/>
      <c r="Y669" s="245"/>
      <c r="Z669" s="245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BP669" s="391"/>
      <c r="BQ669" s="393"/>
      <c r="BS669" s="50" t="str">
        <f>Q1320</f>
        <v/>
      </c>
      <c r="BT669" s="50" t="e">
        <f>#REF!</f>
        <v>#REF!</v>
      </c>
      <c r="BU669" s="39" t="str">
        <f t="shared" si="1034"/>
        <v/>
      </c>
      <c r="BV669" s="39" t="str">
        <f t="shared" si="1027"/>
        <v/>
      </c>
    </row>
    <row r="670" spans="1:74" ht="14.25" customHeight="1" x14ac:dyDescent="0.35">
      <c r="A670" s="293">
        <v>327</v>
      </c>
      <c r="B670" s="295"/>
      <c r="C670" s="297"/>
      <c r="D670" s="299"/>
      <c r="E670" s="301"/>
      <c r="F670" s="303"/>
      <c r="G670" s="288"/>
      <c r="H670" s="289"/>
      <c r="I670" s="290"/>
      <c r="J670" s="290"/>
      <c r="K670" s="291"/>
      <c r="L670" s="18"/>
      <c r="M670" s="285" t="str">
        <f t="shared" ref="M670" si="1041">IF(COUNT(L670:L671)&lt;1,"",AVERAGE(L670:L671))</f>
        <v/>
      </c>
      <c r="N670" s="22"/>
      <c r="O670" s="285" t="str">
        <f t="shared" ref="O670" si="1042">IF(COUNT(N670:N671)&lt;1,"",AVERAGE(N670:N671))</f>
        <v/>
      </c>
      <c r="P670" s="22"/>
      <c r="Q670" s="285" t="str">
        <f t="shared" ref="Q670" si="1043">IF(COUNT(P670:P671)&lt;1,"",AVERAGE(P670:P671))</f>
        <v/>
      </c>
      <c r="R670" s="278" t="str">
        <f>IF($X$13="/28",IF(COUNT(P670:P671)&lt;=1,"",ABS(P670-P671)),IF($X$13="/90",IF(COUNT(#REF!)&lt;=1,"",ABS(#REF!-#REF!))))</f>
        <v/>
      </c>
      <c r="S670" s="278" t="str">
        <f>IF($X$13="/28",IF(Q670="","",IF(AVERAGE(Q666:Q671)&gt;=$W$13,ROUND(AVERAGE(Q666:Q671),1)&amp;" ≥ "&amp;$W$13&amp;" OK",ROUND(AVERAGE(Q666:Q671),1)&amp;" &lt; "&amp;$W$13&amp;" NC")),IF($X$13="/90",IF(#REF!="","",IF(AVERAGE(#REF!)&gt;=$W$13,ROUND(AVERAGE(#REF!),1)&amp;" ≥ "&amp;$W$13&amp;" OK",ROUND(AVERAGE(#REF!),1)&amp;" &lt; "&amp;$W$13&amp;" NC"))))</f>
        <v/>
      </c>
      <c r="T670" s="278" t="str">
        <f>IF($X$13="/28",IF(Q670="","",IF(Q670&gt;=$W$13-$S$12,ROUND((Q670),1)&amp;" ≥ "&amp;$W$13-$S$12&amp;" OK",ROUND((Q670),1)&amp;" &lt; "&amp;$W$13-$S$12&amp;" NC")),IF($X$13="/90",IF(#REF!="","",IF(#REF!&gt;=$W$13-$S$12,ROUND((#REF!),1)&amp;" ≥ "&amp;$W$13-$S$12&amp;" OK",ROUND((#REF!),1)&amp;" &lt; "&amp;$W$13-$S$12&amp;" NC"))))</f>
        <v/>
      </c>
      <c r="U670" s="14"/>
      <c r="V670" s="279"/>
      <c r="W670" s="280"/>
      <c r="X670" s="281"/>
      <c r="Y670" s="246"/>
      <c r="Z670" s="246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BP670" s="390" t="str">
        <f>IF($X$13="/28",IF(Q670="","",Q670),IF($X$13="/90",IF(#REF!="","",#REF!),"Falso"))</f>
        <v/>
      </c>
      <c r="BQ670" s="392" t="str">
        <f t="shared" si="978"/>
        <v/>
      </c>
      <c r="BS670" s="50" t="str">
        <f>Q1322</f>
        <v/>
      </c>
      <c r="BT670" s="50" t="e">
        <f>#REF!</f>
        <v>#REF!</v>
      </c>
      <c r="BU670" s="39" t="str">
        <f t="shared" si="1034"/>
        <v/>
      </c>
      <c r="BV670" s="39" t="str">
        <f t="shared" si="1027"/>
        <v/>
      </c>
    </row>
    <row r="671" spans="1:74" ht="14.25" customHeight="1" x14ac:dyDescent="0.35">
      <c r="A671" s="294"/>
      <c r="B671" s="296"/>
      <c r="C671" s="298"/>
      <c r="D671" s="300"/>
      <c r="E671" s="302"/>
      <c r="F671" s="304"/>
      <c r="G671" s="276"/>
      <c r="H671" s="277"/>
      <c r="I671" s="290"/>
      <c r="J671" s="290"/>
      <c r="K671" s="291"/>
      <c r="L671" s="17"/>
      <c r="M671" s="286"/>
      <c r="N671" s="21"/>
      <c r="O671" s="286"/>
      <c r="P671" s="21"/>
      <c r="Q671" s="286"/>
      <c r="R671" s="248"/>
      <c r="S671" s="287"/>
      <c r="T671" s="248"/>
      <c r="U671" s="13"/>
      <c r="V671" s="282"/>
      <c r="W671" s="283"/>
      <c r="X671" s="284"/>
      <c r="Y671" s="245"/>
      <c r="Z671" s="245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BP671" s="391"/>
      <c r="BQ671" s="393"/>
      <c r="BS671" s="50" t="str">
        <f>Q1324</f>
        <v/>
      </c>
      <c r="BT671" s="50" t="e">
        <f>#REF!</f>
        <v>#REF!</v>
      </c>
      <c r="BU671" s="39" t="str">
        <f t="shared" si="1034"/>
        <v/>
      </c>
      <c r="BV671" s="39" t="str">
        <f t="shared" si="1027"/>
        <v/>
      </c>
    </row>
    <row r="672" spans="1:74" ht="14.25" customHeight="1" x14ac:dyDescent="0.35">
      <c r="A672" s="293">
        <v>328</v>
      </c>
      <c r="B672" s="295"/>
      <c r="C672" s="297"/>
      <c r="D672" s="299"/>
      <c r="E672" s="301"/>
      <c r="F672" s="303"/>
      <c r="G672" s="288"/>
      <c r="H672" s="289"/>
      <c r="I672" s="290"/>
      <c r="J672" s="290"/>
      <c r="K672" s="291"/>
      <c r="L672" s="18"/>
      <c r="M672" s="285" t="str">
        <f t="shared" ref="M672" si="1044">IF(COUNT(L672:L673)&lt;1,"",AVERAGE(L672:L673))</f>
        <v/>
      </c>
      <c r="N672" s="22"/>
      <c r="O672" s="285" t="str">
        <f t="shared" ref="O672" si="1045">IF(COUNT(N672:N673)&lt;1,"",AVERAGE(N672:N673))</f>
        <v/>
      </c>
      <c r="P672" s="22"/>
      <c r="Q672" s="285" t="str">
        <f t="shared" ref="Q672" si="1046">IF(COUNT(P672:P673)&lt;1,"",AVERAGE(P672:P673))</f>
        <v/>
      </c>
      <c r="R672" s="278" t="str">
        <f>IF($X$13="/28",IF(COUNT(P672:P673)&lt;=1,"",ABS(P672-P673)),IF($X$13="/90",IF(COUNT(#REF!)&lt;=1,"",ABS(#REF!-#REF!))))</f>
        <v/>
      </c>
      <c r="S672" s="278" t="str">
        <f>IF($X$13="/28",IF(Q672="","",IF(AVERAGE(Q668:Q673)&gt;=$W$13,ROUND(AVERAGE(Q668:Q673),1)&amp;" ≥ "&amp;$W$13&amp;" OK",ROUND(AVERAGE(Q668:Q673),1)&amp;" &lt; "&amp;$W$13&amp;" NC")),IF($X$13="/90",IF(#REF!="","",IF(AVERAGE(#REF!)&gt;=$W$13,ROUND(AVERAGE(#REF!),1)&amp;" ≥ "&amp;$W$13&amp;" OK",ROUND(AVERAGE(#REF!),1)&amp;" &lt; "&amp;$W$13&amp;" NC"))))</f>
        <v/>
      </c>
      <c r="T672" s="278" t="str">
        <f>IF($X$13="/28",IF(Q672="","",IF(Q672&gt;=$W$13-$S$12,ROUND((Q672),1)&amp;" ≥ "&amp;$W$13-$S$12&amp;" OK",ROUND((Q672),1)&amp;" &lt; "&amp;$W$13-$S$12&amp;" NC")),IF($X$13="/90",IF(#REF!="","",IF(#REF!&gt;=$W$13-$S$12,ROUND((#REF!),1)&amp;" ≥ "&amp;$W$13-$S$12&amp;" OK",ROUND((#REF!),1)&amp;" &lt; "&amp;$W$13-$S$12&amp;" NC"))))</f>
        <v/>
      </c>
      <c r="U672" s="14"/>
      <c r="V672" s="279"/>
      <c r="W672" s="280"/>
      <c r="X672" s="281"/>
      <c r="Y672" s="246"/>
      <c r="Z672" s="246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BP672" s="390" t="str">
        <f>IF($X$13="/28",IF(Q672="","",Q672),IF($X$13="/90",IF(#REF!="","",#REF!),"Falso"))</f>
        <v/>
      </c>
      <c r="BQ672" s="392" t="str">
        <f t="shared" si="970"/>
        <v/>
      </c>
      <c r="BS672" s="50" t="str">
        <f>Q1326</f>
        <v/>
      </c>
      <c r="BT672" s="50" t="e">
        <f>#REF!</f>
        <v>#REF!</v>
      </c>
      <c r="BU672" s="39" t="str">
        <f t="shared" si="1034"/>
        <v/>
      </c>
      <c r="BV672" s="39" t="str">
        <f t="shared" si="1027"/>
        <v/>
      </c>
    </row>
    <row r="673" spans="1:74" ht="14.25" customHeight="1" x14ac:dyDescent="0.35">
      <c r="A673" s="294"/>
      <c r="B673" s="296"/>
      <c r="C673" s="298"/>
      <c r="D673" s="300"/>
      <c r="E673" s="302"/>
      <c r="F673" s="304"/>
      <c r="G673" s="276"/>
      <c r="H673" s="277"/>
      <c r="I673" s="290"/>
      <c r="J673" s="290"/>
      <c r="K673" s="291"/>
      <c r="L673" s="17"/>
      <c r="M673" s="286"/>
      <c r="N673" s="21"/>
      <c r="O673" s="286"/>
      <c r="P673" s="21"/>
      <c r="Q673" s="286"/>
      <c r="R673" s="248"/>
      <c r="S673" s="287"/>
      <c r="T673" s="248"/>
      <c r="U673" s="13"/>
      <c r="V673" s="282"/>
      <c r="W673" s="283"/>
      <c r="X673" s="284"/>
      <c r="Y673" s="245"/>
      <c r="Z673" s="245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BP673" s="391"/>
      <c r="BQ673" s="393"/>
      <c r="BS673" s="50" t="str">
        <f>Q1328</f>
        <v/>
      </c>
      <c r="BT673" s="50" t="e">
        <f>#REF!</f>
        <v>#REF!</v>
      </c>
      <c r="BU673" s="39" t="str">
        <f t="shared" si="1034"/>
        <v/>
      </c>
      <c r="BV673" s="39" t="str">
        <f t="shared" si="1027"/>
        <v/>
      </c>
    </row>
    <row r="674" spans="1:74" ht="14.25" customHeight="1" x14ac:dyDescent="0.35">
      <c r="A674" s="293">
        <v>329</v>
      </c>
      <c r="B674" s="295"/>
      <c r="C674" s="297"/>
      <c r="D674" s="299"/>
      <c r="E674" s="301"/>
      <c r="F674" s="303"/>
      <c r="G674" s="288"/>
      <c r="H674" s="289"/>
      <c r="I674" s="290"/>
      <c r="J674" s="290"/>
      <c r="K674" s="291"/>
      <c r="L674" s="18"/>
      <c r="M674" s="285" t="str">
        <f t="shared" ref="M674" si="1047">IF(COUNT(L674:L675)&lt;1,"",AVERAGE(L674:L675))</f>
        <v/>
      </c>
      <c r="N674" s="22"/>
      <c r="O674" s="285" t="str">
        <f t="shared" ref="O674" si="1048">IF(COUNT(N674:N675)&lt;1,"",AVERAGE(N674:N675))</f>
        <v/>
      </c>
      <c r="P674" s="22"/>
      <c r="Q674" s="285" t="str">
        <f t="shared" ref="Q674" si="1049">IF(COUNT(P674:P675)&lt;1,"",AVERAGE(P674:P675))</f>
        <v/>
      </c>
      <c r="R674" s="278" t="str">
        <f>IF($X$13="/28",IF(COUNT(P674:P675)&lt;=1,"",ABS(P674-P675)),IF($X$13="/90",IF(COUNT(#REF!)&lt;=1,"",ABS(#REF!-#REF!))))</f>
        <v/>
      </c>
      <c r="S674" s="278" t="str">
        <f>IF($X$13="/28",IF(Q674="","",IF(AVERAGE(Q670:Q675)&gt;=$W$13,ROUND(AVERAGE(Q670:Q675),1)&amp;" ≥ "&amp;$W$13&amp;" OK",ROUND(AVERAGE(Q670:Q675),1)&amp;" &lt; "&amp;$W$13&amp;" NC")),IF($X$13="/90",IF(#REF!="","",IF(AVERAGE(#REF!)&gt;=$W$13,ROUND(AVERAGE(#REF!),1)&amp;" ≥ "&amp;$W$13&amp;" OK",ROUND(AVERAGE(#REF!),1)&amp;" &lt; "&amp;$W$13&amp;" NC"))))</f>
        <v/>
      </c>
      <c r="T674" s="278" t="str">
        <f>IF($X$13="/28",IF(Q674="","",IF(Q674&gt;=$W$13-$S$12,ROUND((Q674),1)&amp;" ≥ "&amp;$W$13-$S$12&amp;" OK",ROUND((Q674),1)&amp;" &lt; "&amp;$W$13-$S$12&amp;" NC")),IF($X$13="/90",IF(#REF!="","",IF(#REF!&gt;=$W$13-$S$12,ROUND((#REF!),1)&amp;" ≥ "&amp;$W$13-$S$12&amp;" OK",ROUND((#REF!),1)&amp;" &lt; "&amp;$W$13-$S$12&amp;" NC"))))</f>
        <v/>
      </c>
      <c r="U674" s="14"/>
      <c r="V674" s="279"/>
      <c r="W674" s="280"/>
      <c r="X674" s="281"/>
      <c r="Y674" s="246"/>
      <c r="Z674" s="246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BP674" s="390" t="str">
        <f>IF($X$13="/28",IF(Q674="","",Q674),IF($X$13="/90",IF(#REF!="","",#REF!),"Falso"))</f>
        <v/>
      </c>
      <c r="BQ674" s="392" t="str">
        <f t="shared" si="974"/>
        <v/>
      </c>
      <c r="BS674" s="50" t="str">
        <f>Q1330</f>
        <v/>
      </c>
      <c r="BT674" s="50" t="e">
        <f>#REF!</f>
        <v>#REF!</v>
      </c>
      <c r="BU674" s="39" t="str">
        <f t="shared" si="1034"/>
        <v/>
      </c>
      <c r="BV674" s="39" t="str">
        <f t="shared" si="1027"/>
        <v/>
      </c>
    </row>
    <row r="675" spans="1:74" ht="14.25" customHeight="1" x14ac:dyDescent="0.35">
      <c r="A675" s="294"/>
      <c r="B675" s="296"/>
      <c r="C675" s="298"/>
      <c r="D675" s="300"/>
      <c r="E675" s="302"/>
      <c r="F675" s="304"/>
      <c r="G675" s="276"/>
      <c r="H675" s="277"/>
      <c r="I675" s="290"/>
      <c r="J675" s="290"/>
      <c r="K675" s="291"/>
      <c r="L675" s="17"/>
      <c r="M675" s="286"/>
      <c r="N675" s="21"/>
      <c r="O675" s="286"/>
      <c r="P675" s="21"/>
      <c r="Q675" s="286"/>
      <c r="R675" s="248"/>
      <c r="S675" s="287"/>
      <c r="T675" s="248"/>
      <c r="U675" s="13"/>
      <c r="V675" s="282"/>
      <c r="W675" s="283"/>
      <c r="X675" s="284"/>
      <c r="Y675" s="245"/>
      <c r="Z675" s="245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BP675" s="391"/>
      <c r="BQ675" s="393"/>
      <c r="BS675" s="50" t="str">
        <f>Q1332</f>
        <v/>
      </c>
      <c r="BT675" s="50" t="e">
        <f>#REF!</f>
        <v>#REF!</v>
      </c>
      <c r="BU675" s="39" t="str">
        <f t="shared" si="1034"/>
        <v/>
      </c>
      <c r="BV675" s="39" t="str">
        <f t="shared" si="1027"/>
        <v/>
      </c>
    </row>
    <row r="676" spans="1:74" ht="14.25" customHeight="1" x14ac:dyDescent="0.35">
      <c r="A676" s="293">
        <v>330</v>
      </c>
      <c r="B676" s="295"/>
      <c r="C676" s="297"/>
      <c r="D676" s="299"/>
      <c r="E676" s="301"/>
      <c r="F676" s="303"/>
      <c r="G676" s="288"/>
      <c r="H676" s="289"/>
      <c r="I676" s="290"/>
      <c r="J676" s="290"/>
      <c r="K676" s="291"/>
      <c r="L676" s="18"/>
      <c r="M676" s="285" t="str">
        <f t="shared" ref="M676" si="1050">IF(COUNT(L676:L677)&lt;1,"",AVERAGE(L676:L677))</f>
        <v/>
      </c>
      <c r="N676" s="22"/>
      <c r="O676" s="285" t="str">
        <f t="shared" ref="O676" si="1051">IF(COUNT(N676:N677)&lt;1,"",AVERAGE(N676:N677))</f>
        <v/>
      </c>
      <c r="P676" s="22"/>
      <c r="Q676" s="285" t="str">
        <f t="shared" ref="Q676" si="1052">IF(COUNT(P676:P677)&lt;1,"",AVERAGE(P676:P677))</f>
        <v/>
      </c>
      <c r="R676" s="278" t="str">
        <f>IF($X$13="/28",IF(COUNT(P676:P677)&lt;=1,"",ABS(P676-P677)),IF($X$13="/90",IF(COUNT(#REF!)&lt;=1,"",ABS(#REF!-#REF!))))</f>
        <v/>
      </c>
      <c r="S676" s="278" t="str">
        <f>IF($X$13="/28",IF(Q676="","",IF(AVERAGE(Q672:Q677)&gt;=$W$13,ROUND(AVERAGE(Q672:Q677),1)&amp;" ≥ "&amp;$W$13&amp;" OK",ROUND(AVERAGE(Q672:Q677),1)&amp;" &lt; "&amp;$W$13&amp;" NC")),IF($X$13="/90",IF(#REF!="","",IF(AVERAGE(#REF!)&gt;=$W$13,ROUND(AVERAGE(#REF!),1)&amp;" ≥ "&amp;$W$13&amp;" OK",ROUND(AVERAGE(#REF!),1)&amp;" &lt; "&amp;$W$13&amp;" NC"))))</f>
        <v/>
      </c>
      <c r="T676" s="278" t="str">
        <f>IF($X$13="/28",IF(Q676="","",IF(Q676&gt;=$W$13-$S$12,ROUND((Q676),1)&amp;" ≥ "&amp;$W$13-$S$12&amp;" OK",ROUND((Q676),1)&amp;" &lt; "&amp;$W$13-$S$12&amp;" NC")),IF($X$13="/90",IF(#REF!="","",IF(#REF!&gt;=$W$13-$S$12,ROUND((#REF!),1)&amp;" ≥ "&amp;$W$13-$S$12&amp;" OK",ROUND((#REF!),1)&amp;" &lt; "&amp;$W$13-$S$12&amp;" NC"))))</f>
        <v/>
      </c>
      <c r="U676" s="14"/>
      <c r="V676" s="279"/>
      <c r="W676" s="280"/>
      <c r="X676" s="281"/>
      <c r="Y676" s="246"/>
      <c r="Z676" s="246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BP676" s="390" t="str">
        <f>IF($X$13="/28",IF(Q676="","",Q676),IF($X$13="/90",IF(#REF!="","",#REF!),"Falso"))</f>
        <v/>
      </c>
      <c r="BQ676" s="392" t="str">
        <f t="shared" si="978"/>
        <v/>
      </c>
      <c r="BS676" s="50" t="str">
        <f>Q1334</f>
        <v/>
      </c>
      <c r="BT676" s="50" t="e">
        <f>#REF!</f>
        <v>#REF!</v>
      </c>
      <c r="BU676" s="39" t="str">
        <f t="shared" si="1034"/>
        <v/>
      </c>
      <c r="BV676" s="39" t="str">
        <f t="shared" si="1027"/>
        <v/>
      </c>
    </row>
    <row r="677" spans="1:74" ht="14.25" customHeight="1" thickBot="1" x14ac:dyDescent="0.4">
      <c r="A677" s="384"/>
      <c r="B677" s="385"/>
      <c r="C677" s="386"/>
      <c r="D677" s="387"/>
      <c r="E677" s="388"/>
      <c r="F677" s="389"/>
      <c r="G677" s="377"/>
      <c r="H677" s="378"/>
      <c r="I677" s="382"/>
      <c r="J677" s="382"/>
      <c r="K677" s="383"/>
      <c r="L677" s="19"/>
      <c r="M677" s="379"/>
      <c r="N677" s="23"/>
      <c r="O677" s="379"/>
      <c r="P677" s="23"/>
      <c r="Q677" s="379"/>
      <c r="R677" s="380"/>
      <c r="S677" s="381"/>
      <c r="T677" s="380"/>
      <c r="U677" s="15"/>
      <c r="V677" s="373"/>
      <c r="W677" s="374"/>
      <c r="X677" s="375"/>
      <c r="Y677" s="376"/>
      <c r="Z677" s="376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BP677" s="391"/>
      <c r="BQ677" s="393"/>
      <c r="BS677" s="50" t="str">
        <f>Q1336</f>
        <v/>
      </c>
      <c r="BT677" s="50" t="e">
        <f>#REF!</f>
        <v>#REF!</v>
      </c>
      <c r="BU677" s="39" t="str">
        <f t="shared" si="1034"/>
        <v/>
      </c>
      <c r="BV677" s="39" t="str">
        <f t="shared" si="1027"/>
        <v/>
      </c>
    </row>
    <row r="678" spans="1:74" ht="14.25" customHeight="1" x14ac:dyDescent="0.35">
      <c r="A678" s="311">
        <v>331</v>
      </c>
      <c r="B678" s="312"/>
      <c r="C678" s="313"/>
      <c r="D678" s="314"/>
      <c r="E678" s="315"/>
      <c r="F678" s="353"/>
      <c r="G678" s="354"/>
      <c r="H678" s="355"/>
      <c r="I678" s="356"/>
      <c r="J678" s="356"/>
      <c r="K678" s="357"/>
      <c r="L678" s="16"/>
      <c r="M678" s="352" t="str">
        <f t="shared" ref="M678" si="1053">IF(COUNT(L678:L679)&lt;1,"",AVERAGE(L678:L679))</f>
        <v/>
      </c>
      <c r="N678" s="20"/>
      <c r="O678" s="352" t="str">
        <f t="shared" ref="O678" si="1054">IF(COUNT(N678:N679)&lt;1,"",AVERAGE(N678:N679))</f>
        <v/>
      </c>
      <c r="P678" s="20"/>
      <c r="Q678" s="352" t="str">
        <f t="shared" ref="Q678" si="1055">IF(COUNT(P678:P679)&lt;1,"",AVERAGE(P678:P679))</f>
        <v/>
      </c>
      <c r="R678" s="247" t="str">
        <f>IF($X$13="/28",IF(COUNT(P678:P679)&lt;=1,"",ABS(P678-P679)),IF($X$13="/90",IF(COUNT(#REF!)&lt;=1,"",ABS(#REF!-#REF!))))</f>
        <v/>
      </c>
      <c r="S678" s="247" t="str">
        <f>IF($X$13="/28",IF(Q678="","",IF(AVERAGE(Q674:Q679)&gt;=$W$13,ROUND(AVERAGE(Q674:Q679),1)&amp;" ≥ "&amp;$W$13&amp;" OK",ROUND(AVERAGE(Q674:Q679),1)&amp;" &lt; "&amp;$W$13&amp;" NC")),IF($X$13="/90",IF(#REF!="","",IF(AVERAGE(#REF!)&gt;=$W$13,ROUND(AVERAGE(#REF!),1)&amp;" ≥ "&amp;$W$13&amp;" OK",ROUND(AVERAGE(#REF!),1)&amp;" &lt; "&amp;$W$13&amp;" NC"))))</f>
        <v/>
      </c>
      <c r="T678" s="247" t="str">
        <f>IF($X$13="/28",IF(Q678="","",IF(Q678&gt;=$W$13-$S$12,ROUND((Q678),1)&amp;" ≥ "&amp;$W$13-$S$12&amp;" OK",ROUND((Q678),1)&amp;" &lt; "&amp;$W$13-$S$12&amp;" NC")),IF($X$13="/90",IF(#REF!="","",IF(#REF!&gt;=$W$13-$S$12,ROUND((#REF!),1)&amp;" ≥ "&amp;$W$13-$S$12&amp;" OK",ROUND((#REF!),1)&amp;" &lt; "&amp;$W$13-$S$12&amp;" NC"))))</f>
        <v/>
      </c>
      <c r="U678" s="12"/>
      <c r="V678" s="349"/>
      <c r="W678" s="350"/>
      <c r="X678" s="351"/>
      <c r="Y678" s="244"/>
      <c r="Z678" s="244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BP678" s="390" t="str">
        <f>IF($X$13="/28",IF(Q678="","",Q678),IF($X$13="/90",IF(#REF!="","",#REF!),"Falso"))</f>
        <v/>
      </c>
      <c r="BQ678" s="392" t="str">
        <f t="shared" si="970"/>
        <v/>
      </c>
      <c r="BS678" s="50" t="str">
        <f>Q1338</f>
        <v/>
      </c>
      <c r="BT678" s="50" t="e">
        <f>#REF!</f>
        <v>#REF!</v>
      </c>
      <c r="BU678" s="39" t="str">
        <f t="shared" si="1034"/>
        <v/>
      </c>
      <c r="BV678" s="39" t="str">
        <f t="shared" si="1027"/>
        <v/>
      </c>
    </row>
    <row r="679" spans="1:74" ht="14.25" customHeight="1" x14ac:dyDescent="0.35">
      <c r="A679" s="294"/>
      <c r="B679" s="296"/>
      <c r="C679" s="298"/>
      <c r="D679" s="300"/>
      <c r="E679" s="302"/>
      <c r="F679" s="304"/>
      <c r="G679" s="276"/>
      <c r="H679" s="277"/>
      <c r="I679" s="290"/>
      <c r="J679" s="290"/>
      <c r="K679" s="291"/>
      <c r="L679" s="17"/>
      <c r="M679" s="286"/>
      <c r="N679" s="21"/>
      <c r="O679" s="286"/>
      <c r="P679" s="21"/>
      <c r="Q679" s="286"/>
      <c r="R679" s="248"/>
      <c r="S679" s="248"/>
      <c r="T679" s="248"/>
      <c r="U679" s="13"/>
      <c r="V679" s="282"/>
      <c r="W679" s="283"/>
      <c r="X679" s="284"/>
      <c r="Y679" s="245"/>
      <c r="Z679" s="245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BP679" s="391"/>
      <c r="BQ679" s="393"/>
      <c r="BS679" s="50" t="str">
        <f>Q1340</f>
        <v/>
      </c>
      <c r="BT679" s="50" t="e">
        <f>#REF!</f>
        <v>#REF!</v>
      </c>
      <c r="BU679" s="39" t="str">
        <f t="shared" si="1034"/>
        <v/>
      </c>
      <c r="BV679" s="39" t="str">
        <f t="shared" si="1027"/>
        <v/>
      </c>
    </row>
    <row r="680" spans="1:74" ht="14.25" customHeight="1" x14ac:dyDescent="0.35">
      <c r="A680" s="293">
        <v>332</v>
      </c>
      <c r="B680" s="295"/>
      <c r="C680" s="297"/>
      <c r="D680" s="299"/>
      <c r="E680" s="301"/>
      <c r="F680" s="303"/>
      <c r="G680" s="288"/>
      <c r="H680" s="289"/>
      <c r="I680" s="290"/>
      <c r="J680" s="290"/>
      <c r="K680" s="291"/>
      <c r="L680" s="18"/>
      <c r="M680" s="285" t="str">
        <f t="shared" ref="M680" si="1056">IF(COUNT(L680:L681)&lt;1,"",AVERAGE(L680:L681))</f>
        <v/>
      </c>
      <c r="N680" s="22"/>
      <c r="O680" s="285" t="str">
        <f t="shared" ref="O680" si="1057">IF(COUNT(N680:N681)&lt;1,"",AVERAGE(N680:N681))</f>
        <v/>
      </c>
      <c r="P680" s="22"/>
      <c r="Q680" s="285" t="str">
        <f t="shared" ref="Q680" si="1058">IF(COUNT(P680:P681)&lt;1,"",AVERAGE(P680:P681))</f>
        <v/>
      </c>
      <c r="R680" s="278" t="str">
        <f>IF($X$13="/28",IF(COUNT(P680:P681)&lt;=1,"",ABS(P680-P681)),IF($X$13="/90",IF(COUNT(#REF!)&lt;=1,"",ABS(#REF!-#REF!))))</f>
        <v/>
      </c>
      <c r="S680" s="278" t="str">
        <f>IF($X$13="/28",IF(Q680="","",IF(AVERAGE(Q676:Q681)&gt;=$W$13,ROUND(AVERAGE(Q676:Q681),1)&amp;" ≥ "&amp;$W$13&amp;" OK",ROUND(AVERAGE(Q676:Q681),1)&amp;" &lt; "&amp;$W$13&amp;" NC")),IF($X$13="/90",IF(#REF!="","",IF(AVERAGE(#REF!)&gt;=$W$13,ROUND(AVERAGE(#REF!),1)&amp;" ≥ "&amp;$W$13&amp;" OK",ROUND(AVERAGE(#REF!),1)&amp;" &lt; "&amp;$W$13&amp;" NC"))))</f>
        <v/>
      </c>
      <c r="T680" s="278" t="str">
        <f>IF($X$13="/28",IF(Q680="","",IF(Q680&gt;=$W$13-$S$12,ROUND((Q680),1)&amp;" ≥ "&amp;$W$13-$S$12&amp;" OK",ROUND((Q680),1)&amp;" &lt; "&amp;$W$13-$S$12&amp;" NC")),IF($X$13="/90",IF(#REF!="","",IF(#REF!&gt;=$W$13-$S$12,ROUND((#REF!),1)&amp;" ≥ "&amp;$W$13-$S$12&amp;" OK",ROUND((#REF!),1)&amp;" &lt; "&amp;$W$13-$S$12&amp;" NC"))))</f>
        <v/>
      </c>
      <c r="U680" s="14"/>
      <c r="V680" s="279"/>
      <c r="W680" s="280"/>
      <c r="X680" s="281"/>
      <c r="Y680" s="246"/>
      <c r="Z680" s="246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BP680" s="390" t="str">
        <f>IF($X$13="/28",IF(Q680="","",Q680),IF($X$13="/90",IF(#REF!="","",#REF!),"Falso"))</f>
        <v/>
      </c>
      <c r="BQ680" s="392" t="str">
        <f t="shared" si="974"/>
        <v/>
      </c>
      <c r="BS680" s="50" t="str">
        <f>Q1342</f>
        <v/>
      </c>
      <c r="BT680" s="50" t="e">
        <f>#REF!</f>
        <v>#REF!</v>
      </c>
      <c r="BU680" s="39" t="str">
        <f t="shared" si="1034"/>
        <v/>
      </c>
      <c r="BV680" s="39" t="str">
        <f t="shared" si="1027"/>
        <v/>
      </c>
    </row>
    <row r="681" spans="1:74" ht="14.25" customHeight="1" x14ac:dyDescent="0.35">
      <c r="A681" s="294"/>
      <c r="B681" s="296"/>
      <c r="C681" s="298"/>
      <c r="D681" s="300"/>
      <c r="E681" s="302"/>
      <c r="F681" s="304"/>
      <c r="G681" s="276"/>
      <c r="H681" s="277"/>
      <c r="I681" s="290"/>
      <c r="J681" s="290"/>
      <c r="K681" s="291"/>
      <c r="L681" s="17"/>
      <c r="M681" s="286"/>
      <c r="N681" s="21"/>
      <c r="O681" s="286"/>
      <c r="P681" s="21"/>
      <c r="Q681" s="286"/>
      <c r="R681" s="248"/>
      <c r="S681" s="248"/>
      <c r="T681" s="248"/>
      <c r="U681" s="13"/>
      <c r="V681" s="282"/>
      <c r="W681" s="283"/>
      <c r="X681" s="284"/>
      <c r="Y681" s="245"/>
      <c r="Z681" s="245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BP681" s="391"/>
      <c r="BQ681" s="393"/>
      <c r="BS681" s="50" t="str">
        <f>Q1344</f>
        <v/>
      </c>
      <c r="BT681" s="50" t="e">
        <f>#REF!</f>
        <v>#REF!</v>
      </c>
      <c r="BU681" s="39" t="str">
        <f t="shared" si="1034"/>
        <v/>
      </c>
      <c r="BV681" s="39" t="str">
        <f t="shared" si="1027"/>
        <v/>
      </c>
    </row>
    <row r="682" spans="1:74" ht="14.25" customHeight="1" x14ac:dyDescent="0.35">
      <c r="A682" s="293">
        <v>333</v>
      </c>
      <c r="B682" s="295"/>
      <c r="C682" s="297"/>
      <c r="D682" s="299"/>
      <c r="E682" s="301"/>
      <c r="F682" s="303"/>
      <c r="G682" s="288"/>
      <c r="H682" s="289"/>
      <c r="I682" s="290"/>
      <c r="J682" s="290"/>
      <c r="K682" s="291"/>
      <c r="L682" s="18"/>
      <c r="M682" s="285" t="str">
        <f t="shared" ref="M682" si="1059">IF(COUNT(L682:L683)&lt;1,"",AVERAGE(L682:L683))</f>
        <v/>
      </c>
      <c r="N682" s="22"/>
      <c r="O682" s="285" t="str">
        <f t="shared" ref="O682" si="1060">IF(COUNT(N682:N683)&lt;1,"",AVERAGE(N682:N683))</f>
        <v/>
      </c>
      <c r="P682" s="22"/>
      <c r="Q682" s="285" t="str">
        <f t="shared" ref="Q682" si="1061">IF(COUNT(P682:P683)&lt;1,"",AVERAGE(P682:P683))</f>
        <v/>
      </c>
      <c r="R682" s="278" t="str">
        <f>IF($X$13="/28",IF(COUNT(P682:P683)&lt;=1,"",ABS(P682-P683)),IF($X$13="/90",IF(COUNT(#REF!)&lt;=1,"",ABS(#REF!-#REF!))))</f>
        <v/>
      </c>
      <c r="S682" s="278" t="str">
        <f>IF($X$13="/28",IF(Q682="","",IF(AVERAGE(Q678:Q683)&gt;=$W$13,ROUND(AVERAGE(Q678:Q683),1)&amp;" ≥ "&amp;$W$13&amp;" OK",ROUND(AVERAGE(Q678:Q683),1)&amp;" &lt; "&amp;$W$13&amp;" NC")),IF($X$13="/90",IF(#REF!="","",IF(AVERAGE(#REF!)&gt;=$W$13,ROUND(AVERAGE(#REF!),1)&amp;" ≥ "&amp;$W$13&amp;" OK",ROUND(AVERAGE(#REF!),1)&amp;" &lt; "&amp;$W$13&amp;" NC"))))</f>
        <v/>
      </c>
      <c r="T682" s="278" t="str">
        <f>IF($X$13="/28",IF(Q682="","",IF(Q682&gt;=$W$13-$S$12,ROUND((Q682),1)&amp;" ≥ "&amp;$W$13-$S$12&amp;" OK",ROUND((Q682),1)&amp;" &lt; "&amp;$W$13-$S$12&amp;" NC")),IF($X$13="/90",IF(#REF!="","",IF(#REF!&gt;=$W$13-$S$12,ROUND((#REF!),1)&amp;" ≥ "&amp;$W$13-$S$12&amp;" OK",ROUND((#REF!),1)&amp;" &lt; "&amp;$W$13-$S$12&amp;" NC"))))</f>
        <v/>
      </c>
      <c r="U682" s="14"/>
      <c r="V682" s="279"/>
      <c r="W682" s="280"/>
      <c r="X682" s="281"/>
      <c r="Y682" s="246"/>
      <c r="Z682" s="246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BP682" s="390" t="str">
        <f>IF($X$13="/28",IF(Q682="","",Q682),IF($X$13="/90",IF(#REF!="","",#REF!),"Falso"))</f>
        <v/>
      </c>
      <c r="BQ682" s="392" t="str">
        <f t="shared" si="978"/>
        <v/>
      </c>
      <c r="BS682" s="50" t="str">
        <f>Q1346</f>
        <v/>
      </c>
      <c r="BT682" s="50" t="e">
        <f>#REF!</f>
        <v>#REF!</v>
      </c>
      <c r="BU682" s="39" t="str">
        <f t="shared" si="1034"/>
        <v/>
      </c>
      <c r="BV682" s="39" t="str">
        <f t="shared" si="1027"/>
        <v/>
      </c>
    </row>
    <row r="683" spans="1:74" ht="14.25" customHeight="1" x14ac:dyDescent="0.35">
      <c r="A683" s="294"/>
      <c r="B683" s="296"/>
      <c r="C683" s="298"/>
      <c r="D683" s="300"/>
      <c r="E683" s="302"/>
      <c r="F683" s="304"/>
      <c r="G683" s="276"/>
      <c r="H683" s="277"/>
      <c r="I683" s="290"/>
      <c r="J683" s="290"/>
      <c r="K683" s="291"/>
      <c r="L683" s="17"/>
      <c r="M683" s="286"/>
      <c r="N683" s="21"/>
      <c r="O683" s="286"/>
      <c r="P683" s="21"/>
      <c r="Q683" s="286"/>
      <c r="R683" s="248"/>
      <c r="S683" s="287"/>
      <c r="T683" s="248"/>
      <c r="U683" s="13"/>
      <c r="V683" s="282"/>
      <c r="W683" s="283"/>
      <c r="X683" s="284"/>
      <c r="Y683" s="245"/>
      <c r="Z683" s="245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BP683" s="391"/>
      <c r="BQ683" s="393"/>
      <c r="BS683" s="50" t="str">
        <f>Q1348</f>
        <v/>
      </c>
      <c r="BT683" s="50" t="e">
        <f>#REF!</f>
        <v>#REF!</v>
      </c>
      <c r="BU683" s="39" t="str">
        <f t="shared" si="1034"/>
        <v/>
      </c>
      <c r="BV683" s="39" t="str">
        <f t="shared" si="1027"/>
        <v/>
      </c>
    </row>
    <row r="684" spans="1:74" ht="14.25" customHeight="1" x14ac:dyDescent="0.35">
      <c r="A684" s="293">
        <v>334</v>
      </c>
      <c r="B684" s="295"/>
      <c r="C684" s="297"/>
      <c r="D684" s="299"/>
      <c r="E684" s="301"/>
      <c r="F684" s="303"/>
      <c r="G684" s="288"/>
      <c r="H684" s="289"/>
      <c r="I684" s="290"/>
      <c r="J684" s="290"/>
      <c r="K684" s="291"/>
      <c r="L684" s="18"/>
      <c r="M684" s="285" t="str">
        <f t="shared" ref="M684" si="1062">IF(COUNT(L684:L685)&lt;1,"",AVERAGE(L684:L685))</f>
        <v/>
      </c>
      <c r="N684" s="22"/>
      <c r="O684" s="285" t="str">
        <f t="shared" ref="O684" si="1063">IF(COUNT(N684:N685)&lt;1,"",AVERAGE(N684:N685))</f>
        <v/>
      </c>
      <c r="P684" s="22"/>
      <c r="Q684" s="285" t="str">
        <f t="shared" ref="Q684" si="1064">IF(COUNT(P684:P685)&lt;1,"",AVERAGE(P684:P685))</f>
        <v/>
      </c>
      <c r="R684" s="278" t="str">
        <f>IF($X$13="/28",IF(COUNT(P684:P685)&lt;=1,"",ABS(P684-P685)),IF($X$13="/90",IF(COUNT(#REF!)&lt;=1,"",ABS(#REF!-#REF!))))</f>
        <v/>
      </c>
      <c r="S684" s="278" t="str">
        <f>IF($X$13="/28",IF(Q684="","",IF(AVERAGE(Q680:Q685)&gt;=$W$13,ROUND(AVERAGE(Q680:Q685),1)&amp;" ≥ "&amp;$W$13&amp;" OK",ROUND(AVERAGE(Q680:Q685),1)&amp;" &lt; "&amp;$W$13&amp;" NC")),IF($X$13="/90",IF(#REF!="","",IF(AVERAGE(#REF!)&gt;=$W$13,ROUND(AVERAGE(#REF!),1)&amp;" ≥ "&amp;$W$13&amp;" OK",ROUND(AVERAGE(#REF!),1)&amp;" &lt; "&amp;$W$13&amp;" NC"))))</f>
        <v/>
      </c>
      <c r="T684" s="278" t="str">
        <f>IF($X$13="/28",IF(Q684="","",IF(Q684&gt;=$W$13-$S$12,ROUND((Q684),1)&amp;" ≥ "&amp;$W$13-$S$12&amp;" OK",ROUND((Q684),1)&amp;" &lt; "&amp;$W$13-$S$12&amp;" NC")),IF($X$13="/90",IF(#REF!="","",IF(#REF!&gt;=$W$13-$S$12,ROUND((#REF!),1)&amp;" ≥ "&amp;$W$13-$S$12&amp;" OK",ROUND((#REF!),1)&amp;" &lt; "&amp;$W$13-$S$12&amp;" NC"))))</f>
        <v/>
      </c>
      <c r="U684" s="14"/>
      <c r="V684" s="279"/>
      <c r="W684" s="280"/>
      <c r="X684" s="281"/>
      <c r="Y684" s="246"/>
      <c r="Z684" s="246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BP684" s="390" t="str">
        <f>IF($X$13="/28",IF(Q684="","",Q684),IF($X$13="/90",IF(#REF!="","",#REF!),"Falso"))</f>
        <v/>
      </c>
      <c r="BQ684" s="392" t="str">
        <f t="shared" si="970"/>
        <v/>
      </c>
      <c r="BS684" s="50" t="str">
        <f>Q1350</f>
        <v/>
      </c>
      <c r="BT684" s="50" t="e">
        <f>#REF!</f>
        <v>#REF!</v>
      </c>
      <c r="BU684" s="39" t="str">
        <f t="shared" si="1034"/>
        <v/>
      </c>
      <c r="BV684" s="39" t="str">
        <f t="shared" si="1027"/>
        <v/>
      </c>
    </row>
    <row r="685" spans="1:74" ht="14.25" customHeight="1" x14ac:dyDescent="0.35">
      <c r="A685" s="294"/>
      <c r="B685" s="296"/>
      <c r="C685" s="298"/>
      <c r="D685" s="300"/>
      <c r="E685" s="302"/>
      <c r="F685" s="304"/>
      <c r="G685" s="276"/>
      <c r="H685" s="277"/>
      <c r="I685" s="290"/>
      <c r="J685" s="290"/>
      <c r="K685" s="291"/>
      <c r="L685" s="17"/>
      <c r="M685" s="286"/>
      <c r="N685" s="21"/>
      <c r="O685" s="286"/>
      <c r="P685" s="21"/>
      <c r="Q685" s="286"/>
      <c r="R685" s="248"/>
      <c r="S685" s="287"/>
      <c r="T685" s="248"/>
      <c r="U685" s="13"/>
      <c r="V685" s="282"/>
      <c r="W685" s="283"/>
      <c r="X685" s="284"/>
      <c r="Y685" s="245"/>
      <c r="Z685" s="245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BP685" s="391"/>
      <c r="BQ685" s="393"/>
      <c r="BS685" s="50" t="str">
        <f>Q1352</f>
        <v/>
      </c>
      <c r="BT685" s="50" t="e">
        <f>#REF!</f>
        <v>#REF!</v>
      </c>
      <c r="BU685" s="39" t="str">
        <f t="shared" si="1034"/>
        <v/>
      </c>
      <c r="BV685" s="39" t="str">
        <f t="shared" si="1027"/>
        <v/>
      </c>
    </row>
    <row r="686" spans="1:74" ht="14.25" customHeight="1" x14ac:dyDescent="0.35">
      <c r="A686" s="293">
        <v>335</v>
      </c>
      <c r="B686" s="295"/>
      <c r="C686" s="297"/>
      <c r="D686" s="299"/>
      <c r="E686" s="301"/>
      <c r="F686" s="303"/>
      <c r="G686" s="288"/>
      <c r="H686" s="289"/>
      <c r="I686" s="290"/>
      <c r="J686" s="290"/>
      <c r="K686" s="291"/>
      <c r="L686" s="18"/>
      <c r="M686" s="285" t="str">
        <f t="shared" ref="M686" si="1065">IF(COUNT(L686:L687)&lt;1,"",AVERAGE(L686:L687))</f>
        <v/>
      </c>
      <c r="N686" s="22"/>
      <c r="O686" s="285" t="str">
        <f t="shared" ref="O686" si="1066">IF(COUNT(N686:N687)&lt;1,"",AVERAGE(N686:N687))</f>
        <v/>
      </c>
      <c r="P686" s="22"/>
      <c r="Q686" s="285" t="str">
        <f t="shared" ref="Q686" si="1067">IF(COUNT(P686:P687)&lt;1,"",AVERAGE(P686:P687))</f>
        <v/>
      </c>
      <c r="R686" s="278" t="str">
        <f>IF($X$13="/28",IF(COUNT(P686:P687)&lt;=1,"",ABS(P686-P687)),IF($X$13="/90",IF(COUNT(#REF!)&lt;=1,"",ABS(#REF!-#REF!))))</f>
        <v/>
      </c>
      <c r="S686" s="278" t="str">
        <f>IF($X$13="/28",IF(Q686="","",IF(AVERAGE(Q682:Q687)&gt;=$W$13,ROUND(AVERAGE(Q682:Q687),1)&amp;" ≥ "&amp;$W$13&amp;" OK",ROUND(AVERAGE(Q682:Q687),1)&amp;" &lt; "&amp;$W$13&amp;" NC")),IF($X$13="/90",IF(#REF!="","",IF(AVERAGE(#REF!)&gt;=$W$13,ROUND(AVERAGE(#REF!),1)&amp;" ≥ "&amp;$W$13&amp;" OK",ROUND(AVERAGE(#REF!),1)&amp;" &lt; "&amp;$W$13&amp;" NC"))))</f>
        <v/>
      </c>
      <c r="T686" s="278" t="str">
        <f>IF($X$13="/28",IF(Q686="","",IF(Q686&gt;=$W$13-$S$12,ROUND((Q686),1)&amp;" ≥ "&amp;$W$13-$S$12&amp;" OK",ROUND((Q686),1)&amp;" &lt; "&amp;$W$13-$S$12&amp;" NC")),IF($X$13="/90",IF(#REF!="","",IF(#REF!&gt;=$W$13-$S$12,ROUND((#REF!),1)&amp;" ≥ "&amp;$W$13-$S$12&amp;" OK",ROUND((#REF!),1)&amp;" &lt; "&amp;$W$13-$S$12&amp;" NC"))))</f>
        <v/>
      </c>
      <c r="U686" s="14"/>
      <c r="V686" s="279"/>
      <c r="W686" s="280"/>
      <c r="X686" s="281"/>
      <c r="Y686" s="246"/>
      <c r="Z686" s="246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BP686" s="390" t="str">
        <f>IF($X$13="/28",IF(Q686="","",Q686),IF($X$13="/90",IF(#REF!="","",#REF!),"Falso"))</f>
        <v/>
      </c>
      <c r="BQ686" s="392" t="str">
        <f t="shared" si="974"/>
        <v/>
      </c>
      <c r="BS686" s="50" t="str">
        <f>Q1354</f>
        <v/>
      </c>
      <c r="BT686" s="50" t="e">
        <f>#REF!</f>
        <v>#REF!</v>
      </c>
      <c r="BU686" s="39" t="str">
        <f t="shared" si="1034"/>
        <v/>
      </c>
      <c r="BV686" s="39" t="str">
        <f t="shared" si="1027"/>
        <v/>
      </c>
    </row>
    <row r="687" spans="1:74" ht="14.25" customHeight="1" x14ac:dyDescent="0.35">
      <c r="A687" s="294"/>
      <c r="B687" s="296"/>
      <c r="C687" s="298"/>
      <c r="D687" s="300"/>
      <c r="E687" s="302"/>
      <c r="F687" s="304"/>
      <c r="G687" s="276"/>
      <c r="H687" s="277"/>
      <c r="I687" s="290"/>
      <c r="J687" s="290"/>
      <c r="K687" s="291"/>
      <c r="L687" s="17"/>
      <c r="M687" s="286"/>
      <c r="N687" s="21"/>
      <c r="O687" s="286"/>
      <c r="P687" s="21"/>
      <c r="Q687" s="286"/>
      <c r="R687" s="248"/>
      <c r="S687" s="287"/>
      <c r="T687" s="248"/>
      <c r="U687" s="13"/>
      <c r="V687" s="282"/>
      <c r="W687" s="283"/>
      <c r="X687" s="284"/>
      <c r="Y687" s="245"/>
      <c r="Z687" s="245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BP687" s="391"/>
      <c r="BQ687" s="393"/>
      <c r="BS687" s="50" t="str">
        <f>Q1356</f>
        <v/>
      </c>
      <c r="BT687" s="50" t="e">
        <f>#REF!</f>
        <v>#REF!</v>
      </c>
      <c r="BU687" s="39" t="str">
        <f t="shared" si="1034"/>
        <v/>
      </c>
      <c r="BV687" s="39" t="str">
        <f t="shared" si="1027"/>
        <v/>
      </c>
    </row>
    <row r="688" spans="1:74" ht="14.25" customHeight="1" x14ac:dyDescent="0.35">
      <c r="A688" s="293">
        <v>336</v>
      </c>
      <c r="B688" s="295"/>
      <c r="C688" s="297"/>
      <c r="D688" s="299"/>
      <c r="E688" s="301"/>
      <c r="F688" s="303"/>
      <c r="G688" s="288"/>
      <c r="H688" s="289"/>
      <c r="I688" s="290"/>
      <c r="J688" s="290"/>
      <c r="K688" s="291"/>
      <c r="L688" s="18"/>
      <c r="M688" s="285" t="str">
        <f t="shared" ref="M688" si="1068">IF(COUNT(L688:L689)&lt;1,"",AVERAGE(L688:L689))</f>
        <v/>
      </c>
      <c r="N688" s="22"/>
      <c r="O688" s="285" t="str">
        <f t="shared" ref="O688" si="1069">IF(COUNT(N688:N689)&lt;1,"",AVERAGE(N688:N689))</f>
        <v/>
      </c>
      <c r="P688" s="22"/>
      <c r="Q688" s="285" t="str">
        <f t="shared" ref="Q688" si="1070">IF(COUNT(P688:P689)&lt;1,"",AVERAGE(P688:P689))</f>
        <v/>
      </c>
      <c r="R688" s="278" t="str">
        <f>IF($X$13="/28",IF(COUNT(P688:P689)&lt;=1,"",ABS(P688-P689)),IF($X$13="/90",IF(COUNT(#REF!)&lt;=1,"",ABS(#REF!-#REF!))))</f>
        <v/>
      </c>
      <c r="S688" s="278" t="str">
        <f>IF($X$13="/28",IF(Q688="","",IF(AVERAGE(Q684:Q689)&gt;=$W$13,ROUND(AVERAGE(Q684:Q689),1)&amp;" ≥ "&amp;$W$13&amp;" OK",ROUND(AVERAGE(Q684:Q689),1)&amp;" &lt; "&amp;$W$13&amp;" NC")),IF($X$13="/90",IF(#REF!="","",IF(AVERAGE(#REF!)&gt;=$W$13,ROUND(AVERAGE(#REF!),1)&amp;" ≥ "&amp;$W$13&amp;" OK",ROUND(AVERAGE(#REF!),1)&amp;" &lt; "&amp;$W$13&amp;" NC"))))</f>
        <v/>
      </c>
      <c r="T688" s="278" t="str">
        <f>IF($X$13="/28",IF(Q688="","",IF(Q688&gt;=$W$13-$S$12,ROUND((Q688),1)&amp;" ≥ "&amp;$W$13-$S$12&amp;" OK",ROUND((Q688),1)&amp;" &lt; "&amp;$W$13-$S$12&amp;" NC")),IF($X$13="/90",IF(#REF!="","",IF(#REF!&gt;=$W$13-$S$12,ROUND((#REF!),1)&amp;" ≥ "&amp;$W$13-$S$12&amp;" OK",ROUND((#REF!),1)&amp;" &lt; "&amp;$W$13-$S$12&amp;" NC"))))</f>
        <v/>
      </c>
      <c r="U688" s="14"/>
      <c r="V688" s="279"/>
      <c r="W688" s="280"/>
      <c r="X688" s="281"/>
      <c r="Y688" s="246"/>
      <c r="Z688" s="246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BP688" s="390" t="str">
        <f>IF($X$13="/28",IF(Q688="","",Q688),IF($X$13="/90",IF(#REF!="","",#REF!),"Falso"))</f>
        <v/>
      </c>
      <c r="BQ688" s="392" t="str">
        <f t="shared" si="978"/>
        <v/>
      </c>
      <c r="BS688" s="50" t="str">
        <f>Q1358</f>
        <v/>
      </c>
      <c r="BT688" s="50" t="e">
        <f>#REF!</f>
        <v>#REF!</v>
      </c>
      <c r="BU688" s="39" t="str">
        <f t="shared" si="1034"/>
        <v/>
      </c>
      <c r="BV688" s="39" t="str">
        <f t="shared" si="1027"/>
        <v/>
      </c>
    </row>
    <row r="689" spans="1:74" ht="14.25" customHeight="1" x14ac:dyDescent="0.35">
      <c r="A689" s="294"/>
      <c r="B689" s="296"/>
      <c r="C689" s="298"/>
      <c r="D689" s="300"/>
      <c r="E689" s="302"/>
      <c r="F689" s="304"/>
      <c r="G689" s="276"/>
      <c r="H689" s="277"/>
      <c r="I689" s="290"/>
      <c r="J689" s="290"/>
      <c r="K689" s="291"/>
      <c r="L689" s="17"/>
      <c r="M689" s="286"/>
      <c r="N689" s="21"/>
      <c r="O689" s="286"/>
      <c r="P689" s="21"/>
      <c r="Q689" s="286"/>
      <c r="R689" s="248"/>
      <c r="S689" s="287"/>
      <c r="T689" s="248"/>
      <c r="U689" s="13"/>
      <c r="V689" s="282"/>
      <c r="W689" s="283"/>
      <c r="X689" s="284"/>
      <c r="Y689" s="245"/>
      <c r="Z689" s="245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BP689" s="391"/>
      <c r="BQ689" s="393"/>
      <c r="BS689" s="50" t="str">
        <f>Q1360</f>
        <v/>
      </c>
      <c r="BT689" s="50" t="e">
        <f>#REF!</f>
        <v>#REF!</v>
      </c>
      <c r="BU689" s="39" t="str">
        <f t="shared" si="1034"/>
        <v/>
      </c>
      <c r="BV689" s="39" t="str">
        <f t="shared" si="1027"/>
        <v/>
      </c>
    </row>
    <row r="690" spans="1:74" ht="14.25" customHeight="1" x14ac:dyDescent="0.35">
      <c r="A690" s="293">
        <v>337</v>
      </c>
      <c r="B690" s="295"/>
      <c r="C690" s="297"/>
      <c r="D690" s="299"/>
      <c r="E690" s="301"/>
      <c r="F690" s="303"/>
      <c r="G690" s="288"/>
      <c r="H690" s="289"/>
      <c r="I690" s="290"/>
      <c r="J690" s="290"/>
      <c r="K690" s="291"/>
      <c r="L690" s="18"/>
      <c r="M690" s="285" t="str">
        <f t="shared" ref="M690" si="1071">IF(COUNT(L690:L691)&lt;1,"",AVERAGE(L690:L691))</f>
        <v/>
      </c>
      <c r="N690" s="22"/>
      <c r="O690" s="285" t="str">
        <f t="shared" ref="O690" si="1072">IF(COUNT(N690:N691)&lt;1,"",AVERAGE(N690:N691))</f>
        <v/>
      </c>
      <c r="P690" s="22"/>
      <c r="Q690" s="285" t="str">
        <f t="shared" ref="Q690" si="1073">IF(COUNT(P690:P691)&lt;1,"",AVERAGE(P690:P691))</f>
        <v/>
      </c>
      <c r="R690" s="278" t="str">
        <f>IF($X$13="/28",IF(COUNT(P690:P691)&lt;=1,"",ABS(P690-P691)),IF($X$13="/90",IF(COUNT(#REF!)&lt;=1,"",ABS(#REF!-#REF!))))</f>
        <v/>
      </c>
      <c r="S690" s="278" t="str">
        <f>IF($X$13="/28",IF(Q690="","",IF(AVERAGE(Q686:Q691)&gt;=$W$13,ROUND(AVERAGE(Q686:Q691),1)&amp;" ≥ "&amp;$W$13&amp;" OK",ROUND(AVERAGE(Q686:Q691),1)&amp;" &lt; "&amp;$W$13&amp;" NC")),IF($X$13="/90",IF(#REF!="","",IF(AVERAGE(#REF!)&gt;=$W$13,ROUND(AVERAGE(#REF!),1)&amp;" ≥ "&amp;$W$13&amp;" OK",ROUND(AVERAGE(#REF!),1)&amp;" &lt; "&amp;$W$13&amp;" NC"))))</f>
        <v/>
      </c>
      <c r="T690" s="278" t="str">
        <f>IF($X$13="/28",IF(Q690="","",IF(Q690&gt;=$W$13-$S$12,ROUND((Q690),1)&amp;" ≥ "&amp;$W$13-$S$12&amp;" OK",ROUND((Q690),1)&amp;" &lt; "&amp;$W$13-$S$12&amp;" NC")),IF($X$13="/90",IF(#REF!="","",IF(#REF!&gt;=$W$13-$S$12,ROUND((#REF!),1)&amp;" ≥ "&amp;$W$13-$S$12&amp;" OK",ROUND((#REF!),1)&amp;" &lt; "&amp;$W$13-$S$12&amp;" NC"))))</f>
        <v/>
      </c>
      <c r="U690" s="14"/>
      <c r="V690" s="279"/>
      <c r="W690" s="280"/>
      <c r="X690" s="281"/>
      <c r="Y690" s="246"/>
      <c r="Z690" s="246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BP690" s="390" t="str">
        <f>IF($X$13="/28",IF(Q690="","",Q690),IF($X$13="/90",IF(#REF!="","",#REF!),"Falso"))</f>
        <v/>
      </c>
      <c r="BQ690" s="392" t="str">
        <f t="shared" ref="BQ690:BQ750" si="1074">IF(BP690="","",BQ688+1)</f>
        <v/>
      </c>
      <c r="BS690" s="50" t="str">
        <f>Q1362</f>
        <v/>
      </c>
      <c r="BT690" s="50" t="e">
        <f>#REF!</f>
        <v>#REF!</v>
      </c>
      <c r="BU690" s="39" t="str">
        <f t="shared" si="1034"/>
        <v/>
      </c>
      <c r="BV690" s="39" t="str">
        <f t="shared" si="1027"/>
        <v/>
      </c>
    </row>
    <row r="691" spans="1:74" ht="14.25" customHeight="1" x14ac:dyDescent="0.35">
      <c r="A691" s="294"/>
      <c r="B691" s="296"/>
      <c r="C691" s="298"/>
      <c r="D691" s="300"/>
      <c r="E691" s="302"/>
      <c r="F691" s="304"/>
      <c r="G691" s="276"/>
      <c r="H691" s="277"/>
      <c r="I691" s="290"/>
      <c r="J691" s="290"/>
      <c r="K691" s="291"/>
      <c r="L691" s="17"/>
      <c r="M691" s="286"/>
      <c r="N691" s="21"/>
      <c r="O691" s="286"/>
      <c r="P691" s="21"/>
      <c r="Q691" s="286"/>
      <c r="R691" s="248"/>
      <c r="S691" s="287"/>
      <c r="T691" s="248"/>
      <c r="U691" s="13"/>
      <c r="V691" s="282"/>
      <c r="W691" s="283"/>
      <c r="X691" s="284"/>
      <c r="Y691" s="245"/>
      <c r="Z691" s="245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BP691" s="391"/>
      <c r="BQ691" s="393"/>
      <c r="BS691" s="50" t="str">
        <f>Q1364</f>
        <v/>
      </c>
      <c r="BT691" s="50" t="e">
        <f>#REF!</f>
        <v>#REF!</v>
      </c>
      <c r="BU691" s="39" t="str">
        <f t="shared" si="1034"/>
        <v/>
      </c>
      <c r="BV691" s="39" t="str">
        <f t="shared" si="1027"/>
        <v/>
      </c>
    </row>
    <row r="692" spans="1:74" ht="14.25" customHeight="1" x14ac:dyDescent="0.35">
      <c r="A692" s="293">
        <v>338</v>
      </c>
      <c r="B692" s="295"/>
      <c r="C692" s="297"/>
      <c r="D692" s="299"/>
      <c r="E692" s="301"/>
      <c r="F692" s="303"/>
      <c r="G692" s="288"/>
      <c r="H692" s="289"/>
      <c r="I692" s="290"/>
      <c r="J692" s="290"/>
      <c r="K692" s="291"/>
      <c r="L692" s="18"/>
      <c r="M692" s="285" t="str">
        <f t="shared" ref="M692" si="1075">IF(COUNT(L692:L693)&lt;1,"",AVERAGE(L692:L693))</f>
        <v/>
      </c>
      <c r="N692" s="22"/>
      <c r="O692" s="285" t="str">
        <f t="shared" ref="O692" si="1076">IF(COUNT(N692:N693)&lt;1,"",AVERAGE(N692:N693))</f>
        <v/>
      </c>
      <c r="P692" s="22"/>
      <c r="Q692" s="285" t="str">
        <f t="shared" ref="Q692" si="1077">IF(COUNT(P692:P693)&lt;1,"",AVERAGE(P692:P693))</f>
        <v/>
      </c>
      <c r="R692" s="278" t="str">
        <f>IF($X$13="/28",IF(COUNT(P692:P693)&lt;=1,"",ABS(P692-P693)),IF($X$13="/90",IF(COUNT(#REF!)&lt;=1,"",ABS(#REF!-#REF!))))</f>
        <v/>
      </c>
      <c r="S692" s="278" t="str">
        <f>IF($X$13="/28",IF(Q692="","",IF(AVERAGE(Q688:Q693)&gt;=$W$13,ROUND(AVERAGE(Q688:Q693),1)&amp;" ≥ "&amp;$W$13&amp;" OK",ROUND(AVERAGE(Q688:Q693),1)&amp;" &lt; "&amp;$W$13&amp;" NC")),IF($X$13="/90",IF(#REF!="","",IF(AVERAGE(#REF!)&gt;=$W$13,ROUND(AVERAGE(#REF!),1)&amp;" ≥ "&amp;$W$13&amp;" OK",ROUND(AVERAGE(#REF!),1)&amp;" &lt; "&amp;$W$13&amp;" NC"))))</f>
        <v/>
      </c>
      <c r="T692" s="278" t="str">
        <f>IF($X$13="/28",IF(Q692="","",IF(Q692&gt;=$W$13-$S$12,ROUND((Q692),1)&amp;" ≥ "&amp;$W$13-$S$12&amp;" OK",ROUND((Q692),1)&amp;" &lt; "&amp;$W$13-$S$12&amp;" NC")),IF($X$13="/90",IF(#REF!="","",IF(#REF!&gt;=$W$13-$S$12,ROUND((#REF!),1)&amp;" ≥ "&amp;$W$13-$S$12&amp;" OK",ROUND((#REF!),1)&amp;" &lt; "&amp;$W$13-$S$12&amp;" NC"))))</f>
        <v/>
      </c>
      <c r="U692" s="14"/>
      <c r="V692" s="279"/>
      <c r="W692" s="280"/>
      <c r="X692" s="281"/>
      <c r="Y692" s="246"/>
      <c r="Z692" s="246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BP692" s="390" t="str">
        <f>IF($X$13="/28",IF(Q692="","",Q692),IF($X$13="/90",IF(#REF!="","",#REF!),"Falso"))</f>
        <v/>
      </c>
      <c r="BQ692" s="392" t="str">
        <f t="shared" ref="BQ692:BQ752" si="1078">IF(BP692="","",BQ690+1)</f>
        <v/>
      </c>
      <c r="BS692" s="50" t="str">
        <f>Q1366</f>
        <v/>
      </c>
      <c r="BT692" s="50" t="e">
        <f>#REF!</f>
        <v>#REF!</v>
      </c>
      <c r="BU692" s="39" t="str">
        <f t="shared" si="1034"/>
        <v/>
      </c>
      <c r="BV692" s="39" t="str">
        <f t="shared" si="1027"/>
        <v/>
      </c>
    </row>
    <row r="693" spans="1:74" ht="14.25" customHeight="1" x14ac:dyDescent="0.35">
      <c r="A693" s="294"/>
      <c r="B693" s="296"/>
      <c r="C693" s="298"/>
      <c r="D693" s="300"/>
      <c r="E693" s="302"/>
      <c r="F693" s="304"/>
      <c r="G693" s="276"/>
      <c r="H693" s="277"/>
      <c r="I693" s="290"/>
      <c r="J693" s="290"/>
      <c r="K693" s="291"/>
      <c r="L693" s="17"/>
      <c r="M693" s="286"/>
      <c r="N693" s="21"/>
      <c r="O693" s="286"/>
      <c r="P693" s="21"/>
      <c r="Q693" s="286"/>
      <c r="R693" s="248"/>
      <c r="S693" s="287"/>
      <c r="T693" s="248"/>
      <c r="U693" s="13"/>
      <c r="V693" s="282"/>
      <c r="W693" s="283"/>
      <c r="X693" s="284"/>
      <c r="Y693" s="245"/>
      <c r="Z693" s="245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BP693" s="391"/>
      <c r="BQ693" s="393"/>
      <c r="BS693" s="50" t="str">
        <f>Q1368</f>
        <v/>
      </c>
      <c r="BT693" s="50" t="e">
        <f>#REF!</f>
        <v>#REF!</v>
      </c>
      <c r="BU693" s="39" t="str">
        <f t="shared" si="1034"/>
        <v/>
      </c>
      <c r="BV693" s="39" t="str">
        <f t="shared" si="1027"/>
        <v/>
      </c>
    </row>
    <row r="694" spans="1:74" ht="14.25" customHeight="1" x14ac:dyDescent="0.35">
      <c r="A694" s="293">
        <v>339</v>
      </c>
      <c r="B694" s="295"/>
      <c r="C694" s="297"/>
      <c r="D694" s="299"/>
      <c r="E694" s="301"/>
      <c r="F694" s="303"/>
      <c r="G694" s="288"/>
      <c r="H694" s="289"/>
      <c r="I694" s="290"/>
      <c r="J694" s="290"/>
      <c r="K694" s="291"/>
      <c r="L694" s="18"/>
      <c r="M694" s="285" t="str">
        <f t="shared" ref="M694" si="1079">IF(COUNT(L694:L695)&lt;1,"",AVERAGE(L694:L695))</f>
        <v/>
      </c>
      <c r="N694" s="22"/>
      <c r="O694" s="285" t="str">
        <f t="shared" ref="O694" si="1080">IF(COUNT(N694:N695)&lt;1,"",AVERAGE(N694:N695))</f>
        <v/>
      </c>
      <c r="P694" s="22"/>
      <c r="Q694" s="285" t="str">
        <f t="shared" ref="Q694" si="1081">IF(COUNT(P694:P695)&lt;1,"",AVERAGE(P694:P695))</f>
        <v/>
      </c>
      <c r="R694" s="278" t="str">
        <f>IF($X$13="/28",IF(COUNT(P694:P695)&lt;=1,"",ABS(P694-P695)),IF($X$13="/90",IF(COUNT(#REF!)&lt;=1,"",ABS(#REF!-#REF!))))</f>
        <v/>
      </c>
      <c r="S694" s="278" t="str">
        <f>IF($X$13="/28",IF(Q694="","",IF(AVERAGE(Q690:Q695)&gt;=$W$13,ROUND(AVERAGE(Q690:Q695),1)&amp;" ≥ "&amp;$W$13&amp;" OK",ROUND(AVERAGE(Q690:Q695),1)&amp;" &lt; "&amp;$W$13&amp;" NC")),IF($X$13="/90",IF(#REF!="","",IF(AVERAGE(#REF!)&gt;=$W$13,ROUND(AVERAGE(#REF!),1)&amp;" ≥ "&amp;$W$13&amp;" OK",ROUND(AVERAGE(#REF!),1)&amp;" &lt; "&amp;$W$13&amp;" NC"))))</f>
        <v/>
      </c>
      <c r="T694" s="278" t="str">
        <f>IF($X$13="/28",IF(Q694="","",IF(Q694&gt;=$W$13-$S$12,ROUND((Q694),1)&amp;" ≥ "&amp;$W$13-$S$12&amp;" OK",ROUND((Q694),1)&amp;" &lt; "&amp;$W$13-$S$12&amp;" NC")),IF($X$13="/90",IF(#REF!="","",IF(#REF!&gt;=$W$13-$S$12,ROUND((#REF!),1)&amp;" ≥ "&amp;$W$13-$S$12&amp;" OK",ROUND((#REF!),1)&amp;" &lt; "&amp;$W$13-$S$12&amp;" NC"))))</f>
        <v/>
      </c>
      <c r="U694" s="14"/>
      <c r="V694" s="279"/>
      <c r="W694" s="280"/>
      <c r="X694" s="281"/>
      <c r="Y694" s="246"/>
      <c r="Z694" s="246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BP694" s="390" t="str">
        <f>IF($X$13="/28",IF(Q694="","",Q694),IF($X$13="/90",IF(#REF!="","",#REF!),"Falso"))</f>
        <v/>
      </c>
      <c r="BQ694" s="392" t="str">
        <f t="shared" ref="BQ694:BQ754" si="1082">IF(BP694="","",BQ692+1)</f>
        <v/>
      </c>
      <c r="BS694" s="50" t="str">
        <f>Q1370</f>
        <v/>
      </c>
      <c r="BT694" s="50" t="e">
        <f>#REF!</f>
        <v>#REF!</v>
      </c>
      <c r="BU694" s="39" t="str">
        <f t="shared" si="1034"/>
        <v/>
      </c>
      <c r="BV694" s="39" t="str">
        <f t="shared" si="1027"/>
        <v/>
      </c>
    </row>
    <row r="695" spans="1:74" ht="14.25" customHeight="1" x14ac:dyDescent="0.35">
      <c r="A695" s="294"/>
      <c r="B695" s="296"/>
      <c r="C695" s="298"/>
      <c r="D695" s="300"/>
      <c r="E695" s="302"/>
      <c r="F695" s="304"/>
      <c r="G695" s="276"/>
      <c r="H695" s="277"/>
      <c r="I695" s="290"/>
      <c r="J695" s="290"/>
      <c r="K695" s="291"/>
      <c r="L695" s="17"/>
      <c r="M695" s="286"/>
      <c r="N695" s="21"/>
      <c r="O695" s="286"/>
      <c r="P695" s="21"/>
      <c r="Q695" s="286"/>
      <c r="R695" s="248"/>
      <c r="S695" s="287"/>
      <c r="T695" s="248"/>
      <c r="U695" s="13"/>
      <c r="V695" s="282"/>
      <c r="W695" s="283"/>
      <c r="X695" s="284"/>
      <c r="Y695" s="245"/>
      <c r="Z695" s="245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BP695" s="391"/>
      <c r="BQ695" s="393"/>
      <c r="BS695" s="50" t="str">
        <f>Q1372</f>
        <v/>
      </c>
      <c r="BT695" s="50" t="e">
        <f>#REF!</f>
        <v>#REF!</v>
      </c>
      <c r="BU695" s="39" t="str">
        <f t="shared" si="1034"/>
        <v/>
      </c>
      <c r="BV695" s="39" t="str">
        <f t="shared" si="1027"/>
        <v/>
      </c>
    </row>
    <row r="696" spans="1:74" ht="14.25" customHeight="1" x14ac:dyDescent="0.35">
      <c r="A696" s="293">
        <v>340</v>
      </c>
      <c r="B696" s="295"/>
      <c r="C696" s="297"/>
      <c r="D696" s="299"/>
      <c r="E696" s="301"/>
      <c r="F696" s="303"/>
      <c r="G696" s="288"/>
      <c r="H696" s="289"/>
      <c r="I696" s="290"/>
      <c r="J696" s="290"/>
      <c r="K696" s="291"/>
      <c r="L696" s="18"/>
      <c r="M696" s="285" t="str">
        <f t="shared" ref="M696" si="1083">IF(COUNT(L696:L697)&lt;1,"",AVERAGE(L696:L697))</f>
        <v/>
      </c>
      <c r="N696" s="22"/>
      <c r="O696" s="285" t="str">
        <f t="shared" ref="O696" si="1084">IF(COUNT(N696:N697)&lt;1,"",AVERAGE(N696:N697))</f>
        <v/>
      </c>
      <c r="P696" s="22"/>
      <c r="Q696" s="285" t="str">
        <f t="shared" ref="Q696" si="1085">IF(COUNT(P696:P697)&lt;1,"",AVERAGE(P696:P697))</f>
        <v/>
      </c>
      <c r="R696" s="278" t="str">
        <f>IF($X$13="/28",IF(COUNT(P696:P697)&lt;=1,"",ABS(P696-P697)),IF($X$13="/90",IF(COUNT(#REF!)&lt;=1,"",ABS(#REF!-#REF!))))</f>
        <v/>
      </c>
      <c r="S696" s="278" t="str">
        <f>IF($X$13="/28",IF(Q696="","",IF(AVERAGE(Q692:Q697)&gt;=$W$13,ROUND(AVERAGE(Q692:Q697),1)&amp;" ≥ "&amp;$W$13&amp;" OK",ROUND(AVERAGE(Q692:Q697),1)&amp;" &lt; "&amp;$W$13&amp;" NC")),IF($X$13="/90",IF(#REF!="","",IF(AVERAGE(#REF!)&gt;=$W$13,ROUND(AVERAGE(#REF!),1)&amp;" ≥ "&amp;$W$13&amp;" OK",ROUND(AVERAGE(#REF!),1)&amp;" &lt; "&amp;$W$13&amp;" NC"))))</f>
        <v/>
      </c>
      <c r="T696" s="278" t="str">
        <f>IF($X$13="/28",IF(Q696="","",IF(Q696&gt;=$W$13-$S$12,ROUND((Q696),1)&amp;" ≥ "&amp;$W$13-$S$12&amp;" OK",ROUND((Q696),1)&amp;" &lt; "&amp;$W$13-$S$12&amp;" NC")),IF($X$13="/90",IF(#REF!="","",IF(#REF!&gt;=$W$13-$S$12,ROUND((#REF!),1)&amp;" ≥ "&amp;$W$13-$S$12&amp;" OK",ROUND((#REF!),1)&amp;" &lt; "&amp;$W$13-$S$12&amp;" NC"))))</f>
        <v/>
      </c>
      <c r="U696" s="14"/>
      <c r="V696" s="279"/>
      <c r="W696" s="280"/>
      <c r="X696" s="281"/>
      <c r="Y696" s="246"/>
      <c r="Z696" s="246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BP696" s="390" t="str">
        <f>IF($X$13="/28",IF(Q696="","",Q696),IF($X$13="/90",IF(#REF!="","",#REF!),"Falso"))</f>
        <v/>
      </c>
      <c r="BQ696" s="392" t="str">
        <f t="shared" si="1074"/>
        <v/>
      </c>
      <c r="BS696" s="50" t="str">
        <f>Q1374</f>
        <v/>
      </c>
      <c r="BT696" s="50" t="e">
        <f>#REF!</f>
        <v>#REF!</v>
      </c>
      <c r="BU696" s="39" t="str">
        <f t="shared" si="1034"/>
        <v/>
      </c>
      <c r="BV696" s="39" t="str">
        <f t="shared" si="1027"/>
        <v/>
      </c>
    </row>
    <row r="697" spans="1:74" ht="14.25" customHeight="1" x14ac:dyDescent="0.35">
      <c r="A697" s="294"/>
      <c r="B697" s="296"/>
      <c r="C697" s="298"/>
      <c r="D697" s="300"/>
      <c r="E697" s="302"/>
      <c r="F697" s="304"/>
      <c r="G697" s="276"/>
      <c r="H697" s="277"/>
      <c r="I697" s="290"/>
      <c r="J697" s="290"/>
      <c r="K697" s="291"/>
      <c r="L697" s="17"/>
      <c r="M697" s="286"/>
      <c r="N697" s="21"/>
      <c r="O697" s="286"/>
      <c r="P697" s="21"/>
      <c r="Q697" s="286"/>
      <c r="R697" s="248"/>
      <c r="S697" s="287"/>
      <c r="T697" s="248"/>
      <c r="U697" s="13"/>
      <c r="V697" s="282"/>
      <c r="W697" s="283"/>
      <c r="X697" s="284"/>
      <c r="Y697" s="245"/>
      <c r="Z697" s="245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BP697" s="391"/>
      <c r="BQ697" s="393"/>
      <c r="BS697" s="50" t="str">
        <f>Q1376</f>
        <v/>
      </c>
      <c r="BT697" s="50" t="e">
        <f>#REF!</f>
        <v>#REF!</v>
      </c>
      <c r="BU697" s="39" t="str">
        <f t="shared" si="1034"/>
        <v/>
      </c>
      <c r="BV697" s="39" t="str">
        <f t="shared" si="1027"/>
        <v/>
      </c>
    </row>
    <row r="698" spans="1:74" ht="14.25" customHeight="1" x14ac:dyDescent="0.35">
      <c r="A698" s="293">
        <v>341</v>
      </c>
      <c r="B698" s="295"/>
      <c r="C698" s="297"/>
      <c r="D698" s="299"/>
      <c r="E698" s="301"/>
      <c r="F698" s="303"/>
      <c r="G698" s="288"/>
      <c r="H698" s="289"/>
      <c r="I698" s="290"/>
      <c r="J698" s="290"/>
      <c r="K698" s="291"/>
      <c r="L698" s="18"/>
      <c r="M698" s="285" t="str">
        <f t="shared" ref="M698" si="1086">IF(COUNT(L698:L699)&lt;1,"",AVERAGE(L698:L699))</f>
        <v/>
      </c>
      <c r="N698" s="22"/>
      <c r="O698" s="285" t="str">
        <f t="shared" ref="O698" si="1087">IF(COUNT(N698:N699)&lt;1,"",AVERAGE(N698:N699))</f>
        <v/>
      </c>
      <c r="P698" s="22"/>
      <c r="Q698" s="285" t="str">
        <f t="shared" ref="Q698" si="1088">IF(COUNT(P698:P699)&lt;1,"",AVERAGE(P698:P699))</f>
        <v/>
      </c>
      <c r="R698" s="278" t="str">
        <f>IF($X$13="/28",IF(COUNT(P698:P699)&lt;=1,"",ABS(P698-P699)),IF($X$13="/90",IF(COUNT(#REF!)&lt;=1,"",ABS(#REF!-#REF!))))</f>
        <v/>
      </c>
      <c r="S698" s="278" t="str">
        <f>IF($X$13="/28",IF(Q698="","",IF(AVERAGE(Q694:Q699)&gt;=$W$13,ROUND(AVERAGE(Q694:Q699),1)&amp;" ≥ "&amp;$W$13&amp;" OK",ROUND(AVERAGE(Q694:Q699),1)&amp;" &lt; "&amp;$W$13&amp;" NC")),IF($X$13="/90",IF(#REF!="","",IF(AVERAGE(#REF!)&gt;=$W$13,ROUND(AVERAGE(#REF!),1)&amp;" ≥ "&amp;$W$13&amp;" OK",ROUND(AVERAGE(#REF!),1)&amp;" &lt; "&amp;$W$13&amp;" NC"))))</f>
        <v/>
      </c>
      <c r="T698" s="278" t="str">
        <f>IF($X$13="/28",IF(Q698="","",IF(Q698&gt;=$W$13-$S$12,ROUND((Q698),1)&amp;" ≥ "&amp;$W$13-$S$12&amp;" OK",ROUND((Q698),1)&amp;" &lt; "&amp;$W$13-$S$12&amp;" NC")),IF($X$13="/90",IF(#REF!="","",IF(#REF!&gt;=$W$13-$S$12,ROUND((#REF!),1)&amp;" ≥ "&amp;$W$13-$S$12&amp;" OK",ROUND((#REF!),1)&amp;" &lt; "&amp;$W$13-$S$12&amp;" NC"))))</f>
        <v/>
      </c>
      <c r="U698" s="14"/>
      <c r="V698" s="279"/>
      <c r="W698" s="280"/>
      <c r="X698" s="281"/>
      <c r="Y698" s="246"/>
      <c r="Z698" s="246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BP698" s="390" t="str">
        <f>IF($X$13="/28",IF(Q698="","",Q698),IF($X$13="/90",IF(#REF!="","",#REF!),"Falso"))</f>
        <v/>
      </c>
      <c r="BQ698" s="392" t="str">
        <f t="shared" si="1078"/>
        <v/>
      </c>
      <c r="BS698" s="50" t="str">
        <f>Q1378</f>
        <v/>
      </c>
      <c r="BT698" s="50" t="e">
        <f>#REF!</f>
        <v>#REF!</v>
      </c>
      <c r="BU698" s="39" t="str">
        <f t="shared" si="1034"/>
        <v/>
      </c>
      <c r="BV698" s="39" t="str">
        <f t="shared" si="1027"/>
        <v/>
      </c>
    </row>
    <row r="699" spans="1:74" ht="14.25" customHeight="1" x14ac:dyDescent="0.35">
      <c r="A699" s="294"/>
      <c r="B699" s="296"/>
      <c r="C699" s="298"/>
      <c r="D699" s="300"/>
      <c r="E699" s="302"/>
      <c r="F699" s="304"/>
      <c r="G699" s="276"/>
      <c r="H699" s="277"/>
      <c r="I699" s="290"/>
      <c r="J699" s="290"/>
      <c r="K699" s="291"/>
      <c r="L699" s="17"/>
      <c r="M699" s="286"/>
      <c r="N699" s="21"/>
      <c r="O699" s="286"/>
      <c r="P699" s="21"/>
      <c r="Q699" s="286"/>
      <c r="R699" s="248"/>
      <c r="S699" s="287"/>
      <c r="T699" s="248"/>
      <c r="U699" s="13"/>
      <c r="V699" s="282"/>
      <c r="W699" s="283"/>
      <c r="X699" s="284"/>
      <c r="Y699" s="245"/>
      <c r="Z699" s="245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BP699" s="391"/>
      <c r="BQ699" s="393"/>
      <c r="BS699" s="50" t="str">
        <f>Q1380</f>
        <v/>
      </c>
      <c r="BT699" s="50" t="e">
        <f>#REF!</f>
        <v>#REF!</v>
      </c>
      <c r="BU699" s="39" t="str">
        <f t="shared" si="1034"/>
        <v/>
      </c>
      <c r="BV699" s="39" t="str">
        <f t="shared" si="1027"/>
        <v/>
      </c>
    </row>
    <row r="700" spans="1:74" ht="14.25" customHeight="1" x14ac:dyDescent="0.35">
      <c r="A700" s="293">
        <v>342</v>
      </c>
      <c r="B700" s="295"/>
      <c r="C700" s="297"/>
      <c r="D700" s="299"/>
      <c r="E700" s="301"/>
      <c r="F700" s="303"/>
      <c r="G700" s="288"/>
      <c r="H700" s="289"/>
      <c r="I700" s="290"/>
      <c r="J700" s="290"/>
      <c r="K700" s="291"/>
      <c r="L700" s="18"/>
      <c r="M700" s="285" t="str">
        <f t="shared" ref="M700" si="1089">IF(COUNT(L700:L701)&lt;1,"",AVERAGE(L700:L701))</f>
        <v/>
      </c>
      <c r="N700" s="22"/>
      <c r="O700" s="285" t="str">
        <f t="shared" ref="O700" si="1090">IF(COUNT(N700:N701)&lt;1,"",AVERAGE(N700:N701))</f>
        <v/>
      </c>
      <c r="P700" s="22"/>
      <c r="Q700" s="285" t="str">
        <f t="shared" ref="Q700" si="1091">IF(COUNT(P700:P701)&lt;1,"",AVERAGE(P700:P701))</f>
        <v/>
      </c>
      <c r="R700" s="278" t="str">
        <f>IF($X$13="/28",IF(COUNT(P700:P701)&lt;=1,"",ABS(P700-P701)),IF($X$13="/90",IF(COUNT(#REF!)&lt;=1,"",ABS(#REF!-#REF!))))</f>
        <v/>
      </c>
      <c r="S700" s="278" t="str">
        <f>IF($X$13="/28",IF(Q700="","",IF(AVERAGE(Q696:Q701)&gt;=$W$13,ROUND(AVERAGE(Q696:Q701),1)&amp;" ≥ "&amp;$W$13&amp;" OK",ROUND(AVERAGE(Q696:Q701),1)&amp;" &lt; "&amp;$W$13&amp;" NC")),IF($X$13="/90",IF(#REF!="","",IF(AVERAGE(#REF!)&gt;=$W$13,ROUND(AVERAGE(#REF!),1)&amp;" ≥ "&amp;$W$13&amp;" OK",ROUND(AVERAGE(#REF!),1)&amp;" &lt; "&amp;$W$13&amp;" NC"))))</f>
        <v/>
      </c>
      <c r="T700" s="278" t="str">
        <f>IF($X$13="/28",IF(Q700="","",IF(Q700&gt;=$W$13-$S$12,ROUND((Q700),1)&amp;" ≥ "&amp;$W$13-$S$12&amp;" OK",ROUND((Q700),1)&amp;" &lt; "&amp;$W$13-$S$12&amp;" NC")),IF($X$13="/90",IF(#REF!="","",IF(#REF!&gt;=$W$13-$S$12,ROUND((#REF!),1)&amp;" ≥ "&amp;$W$13-$S$12&amp;" OK",ROUND((#REF!),1)&amp;" &lt; "&amp;$W$13-$S$12&amp;" NC"))))</f>
        <v/>
      </c>
      <c r="U700" s="14"/>
      <c r="V700" s="279"/>
      <c r="W700" s="280"/>
      <c r="X700" s="281"/>
      <c r="Y700" s="246"/>
      <c r="Z700" s="246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BP700" s="390" t="str">
        <f>IF($X$13="/28",IF(Q700="","",Q700),IF($X$13="/90",IF(#REF!="","",#REF!),"Falso"))</f>
        <v/>
      </c>
      <c r="BQ700" s="392" t="str">
        <f t="shared" si="1082"/>
        <v/>
      </c>
      <c r="BS700" s="50" t="str">
        <f>Q1382</f>
        <v/>
      </c>
      <c r="BT700" s="50" t="e">
        <f>#REF!</f>
        <v>#REF!</v>
      </c>
      <c r="BU700" s="39" t="str">
        <f t="shared" si="1034"/>
        <v/>
      </c>
      <c r="BV700" s="39" t="str">
        <f t="shared" si="1027"/>
        <v/>
      </c>
    </row>
    <row r="701" spans="1:74" ht="14.25" customHeight="1" x14ac:dyDescent="0.35">
      <c r="A701" s="294"/>
      <c r="B701" s="296"/>
      <c r="C701" s="298"/>
      <c r="D701" s="300"/>
      <c r="E701" s="302"/>
      <c r="F701" s="304"/>
      <c r="G701" s="276"/>
      <c r="H701" s="277"/>
      <c r="I701" s="290"/>
      <c r="J701" s="290"/>
      <c r="K701" s="291"/>
      <c r="L701" s="17"/>
      <c r="M701" s="286"/>
      <c r="N701" s="21"/>
      <c r="O701" s="286"/>
      <c r="P701" s="21"/>
      <c r="Q701" s="286"/>
      <c r="R701" s="248"/>
      <c r="S701" s="287"/>
      <c r="T701" s="248"/>
      <c r="U701" s="13"/>
      <c r="V701" s="282"/>
      <c r="W701" s="283"/>
      <c r="X701" s="284"/>
      <c r="Y701" s="245"/>
      <c r="Z701" s="245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BP701" s="391"/>
      <c r="BQ701" s="393"/>
      <c r="BS701" s="50" t="str">
        <f>Q1384</f>
        <v/>
      </c>
      <c r="BT701" s="50" t="e">
        <f>#REF!</f>
        <v>#REF!</v>
      </c>
      <c r="BU701" s="39" t="str">
        <f t="shared" si="1034"/>
        <v/>
      </c>
      <c r="BV701" s="39" t="str">
        <f t="shared" si="1027"/>
        <v/>
      </c>
    </row>
    <row r="702" spans="1:74" ht="14.25" customHeight="1" x14ac:dyDescent="0.35">
      <c r="A702" s="293">
        <v>343</v>
      </c>
      <c r="B702" s="295"/>
      <c r="C702" s="297"/>
      <c r="D702" s="299"/>
      <c r="E702" s="301"/>
      <c r="F702" s="303"/>
      <c r="G702" s="288"/>
      <c r="H702" s="289"/>
      <c r="I702" s="290"/>
      <c r="J702" s="290"/>
      <c r="K702" s="291"/>
      <c r="L702" s="18"/>
      <c r="M702" s="285" t="str">
        <f t="shared" ref="M702" si="1092">IF(COUNT(L702:L703)&lt;1,"",AVERAGE(L702:L703))</f>
        <v/>
      </c>
      <c r="N702" s="22"/>
      <c r="O702" s="285" t="str">
        <f t="shared" ref="O702" si="1093">IF(COUNT(N702:N703)&lt;1,"",AVERAGE(N702:N703))</f>
        <v/>
      </c>
      <c r="P702" s="22"/>
      <c r="Q702" s="285" t="str">
        <f t="shared" ref="Q702" si="1094">IF(COUNT(P702:P703)&lt;1,"",AVERAGE(P702:P703))</f>
        <v/>
      </c>
      <c r="R702" s="278" t="str">
        <f>IF($X$13="/28",IF(COUNT(P702:P703)&lt;=1,"",ABS(P702-P703)),IF($X$13="/90",IF(COUNT(#REF!)&lt;=1,"",ABS(#REF!-#REF!))))</f>
        <v/>
      </c>
      <c r="S702" s="278" t="str">
        <f>IF($X$13="/28",IF(Q702="","",IF(AVERAGE(Q698:Q703)&gt;=$W$13,ROUND(AVERAGE(Q698:Q703),1)&amp;" ≥ "&amp;$W$13&amp;" OK",ROUND(AVERAGE(Q698:Q703),1)&amp;" &lt; "&amp;$W$13&amp;" NC")),IF($X$13="/90",IF(#REF!="","",IF(AVERAGE(#REF!)&gt;=$W$13,ROUND(AVERAGE(#REF!),1)&amp;" ≥ "&amp;$W$13&amp;" OK",ROUND(AVERAGE(#REF!),1)&amp;" &lt; "&amp;$W$13&amp;" NC"))))</f>
        <v/>
      </c>
      <c r="T702" s="278" t="str">
        <f>IF($X$13="/28",IF(Q702="","",IF(Q702&gt;=$W$13-$S$12,ROUND((Q702),1)&amp;" ≥ "&amp;$W$13-$S$12&amp;" OK",ROUND((Q702),1)&amp;" &lt; "&amp;$W$13-$S$12&amp;" NC")),IF($X$13="/90",IF(#REF!="","",IF(#REF!&gt;=$W$13-$S$12,ROUND((#REF!),1)&amp;" ≥ "&amp;$W$13-$S$12&amp;" OK",ROUND((#REF!),1)&amp;" &lt; "&amp;$W$13-$S$12&amp;" NC"))))</f>
        <v/>
      </c>
      <c r="U702" s="14"/>
      <c r="V702" s="279"/>
      <c r="W702" s="280"/>
      <c r="X702" s="281"/>
      <c r="Y702" s="246"/>
      <c r="Z702" s="246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BP702" s="390" t="str">
        <f>IF($X$13="/28",IF(Q702="","",Q702),IF($X$13="/90",IF(#REF!="","",#REF!),"Falso"))</f>
        <v/>
      </c>
      <c r="BQ702" s="392" t="str">
        <f t="shared" si="1074"/>
        <v/>
      </c>
      <c r="BS702" s="50" t="str">
        <f>Q1386</f>
        <v/>
      </c>
      <c r="BT702" s="50" t="e">
        <f>#REF!</f>
        <v>#REF!</v>
      </c>
      <c r="BU702" s="39" t="str">
        <f t="shared" si="1034"/>
        <v/>
      </c>
      <c r="BV702" s="39" t="str">
        <f t="shared" si="1027"/>
        <v/>
      </c>
    </row>
    <row r="703" spans="1:74" ht="14.25" customHeight="1" x14ac:dyDescent="0.35">
      <c r="A703" s="294"/>
      <c r="B703" s="296"/>
      <c r="C703" s="298"/>
      <c r="D703" s="300"/>
      <c r="E703" s="302"/>
      <c r="F703" s="304"/>
      <c r="G703" s="276"/>
      <c r="H703" s="277"/>
      <c r="I703" s="290"/>
      <c r="J703" s="290"/>
      <c r="K703" s="291"/>
      <c r="L703" s="17"/>
      <c r="M703" s="286"/>
      <c r="N703" s="21"/>
      <c r="O703" s="286"/>
      <c r="P703" s="21"/>
      <c r="Q703" s="286"/>
      <c r="R703" s="248"/>
      <c r="S703" s="287"/>
      <c r="T703" s="248"/>
      <c r="U703" s="13"/>
      <c r="V703" s="282"/>
      <c r="W703" s="283"/>
      <c r="X703" s="284"/>
      <c r="Y703" s="245"/>
      <c r="Z703" s="245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BP703" s="391"/>
      <c r="BQ703" s="393"/>
      <c r="BS703" s="50" t="str">
        <f>Q1388</f>
        <v/>
      </c>
      <c r="BT703" s="50" t="e">
        <f>#REF!</f>
        <v>#REF!</v>
      </c>
      <c r="BU703" s="39" t="str">
        <f t="shared" si="1034"/>
        <v/>
      </c>
      <c r="BV703" s="39" t="str">
        <f t="shared" si="1027"/>
        <v/>
      </c>
    </row>
    <row r="704" spans="1:74" ht="14.25" customHeight="1" x14ac:dyDescent="0.35">
      <c r="A704" s="293">
        <v>344</v>
      </c>
      <c r="B704" s="295"/>
      <c r="C704" s="297"/>
      <c r="D704" s="299"/>
      <c r="E704" s="301"/>
      <c r="F704" s="303"/>
      <c r="G704" s="288"/>
      <c r="H704" s="289"/>
      <c r="I704" s="290"/>
      <c r="J704" s="290"/>
      <c r="K704" s="291"/>
      <c r="L704" s="18"/>
      <c r="M704" s="285" t="str">
        <f t="shared" ref="M704" si="1095">IF(COUNT(L704:L705)&lt;1,"",AVERAGE(L704:L705))</f>
        <v/>
      </c>
      <c r="N704" s="22"/>
      <c r="O704" s="285" t="str">
        <f t="shared" ref="O704" si="1096">IF(COUNT(N704:N705)&lt;1,"",AVERAGE(N704:N705))</f>
        <v/>
      </c>
      <c r="P704" s="22"/>
      <c r="Q704" s="285" t="str">
        <f t="shared" ref="Q704" si="1097">IF(COUNT(P704:P705)&lt;1,"",AVERAGE(P704:P705))</f>
        <v/>
      </c>
      <c r="R704" s="278" t="str">
        <f>IF($X$13="/28",IF(COUNT(P704:P705)&lt;=1,"",ABS(P704-P705)),IF($X$13="/90",IF(COUNT(#REF!)&lt;=1,"",ABS(#REF!-#REF!))))</f>
        <v/>
      </c>
      <c r="S704" s="278" t="str">
        <f>IF($X$13="/28",IF(Q704="","",IF(AVERAGE(Q700:Q705)&gt;=$W$13,ROUND(AVERAGE(Q700:Q705),1)&amp;" ≥ "&amp;$W$13&amp;" OK",ROUND(AVERAGE(Q700:Q705),1)&amp;" &lt; "&amp;$W$13&amp;" NC")),IF($X$13="/90",IF(#REF!="","",IF(AVERAGE(#REF!)&gt;=$W$13,ROUND(AVERAGE(#REF!),1)&amp;" ≥ "&amp;$W$13&amp;" OK",ROUND(AVERAGE(#REF!),1)&amp;" &lt; "&amp;$W$13&amp;" NC"))))</f>
        <v/>
      </c>
      <c r="T704" s="278" t="str">
        <f>IF($X$13="/28",IF(Q704="","",IF(Q704&gt;=$W$13-$S$12,ROUND((Q704),1)&amp;" ≥ "&amp;$W$13-$S$12&amp;" OK",ROUND((Q704),1)&amp;" &lt; "&amp;$W$13-$S$12&amp;" NC")),IF($X$13="/90",IF(#REF!="","",IF(#REF!&gt;=$W$13-$S$12,ROUND((#REF!),1)&amp;" ≥ "&amp;$W$13-$S$12&amp;" OK",ROUND((#REF!),1)&amp;" &lt; "&amp;$W$13-$S$12&amp;" NC"))))</f>
        <v/>
      </c>
      <c r="U704" s="14"/>
      <c r="V704" s="279"/>
      <c r="W704" s="280"/>
      <c r="X704" s="281"/>
      <c r="Y704" s="246"/>
      <c r="Z704" s="246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BP704" s="390" t="str">
        <f>IF($X$13="/28",IF(Q704="","",Q704),IF($X$13="/90",IF(#REF!="","",#REF!),"Falso"))</f>
        <v/>
      </c>
      <c r="BQ704" s="392" t="str">
        <f t="shared" si="1078"/>
        <v/>
      </c>
      <c r="BS704" s="50" t="str">
        <f>Q1390</f>
        <v/>
      </c>
      <c r="BT704" s="50" t="e">
        <f>#REF!</f>
        <v>#REF!</v>
      </c>
      <c r="BU704" s="39" t="str">
        <f t="shared" si="1034"/>
        <v/>
      </c>
      <c r="BV704" s="39" t="str">
        <f t="shared" si="1027"/>
        <v/>
      </c>
    </row>
    <row r="705" spans="1:74" ht="14.25" customHeight="1" x14ac:dyDescent="0.35">
      <c r="A705" s="294"/>
      <c r="B705" s="296"/>
      <c r="C705" s="298"/>
      <c r="D705" s="300"/>
      <c r="E705" s="302"/>
      <c r="F705" s="304"/>
      <c r="G705" s="276"/>
      <c r="H705" s="277"/>
      <c r="I705" s="290"/>
      <c r="J705" s="290"/>
      <c r="K705" s="291"/>
      <c r="L705" s="17"/>
      <c r="M705" s="286"/>
      <c r="N705" s="21"/>
      <c r="O705" s="286"/>
      <c r="P705" s="21"/>
      <c r="Q705" s="286"/>
      <c r="R705" s="248"/>
      <c r="S705" s="287"/>
      <c r="T705" s="248"/>
      <c r="U705" s="13"/>
      <c r="V705" s="282"/>
      <c r="W705" s="283"/>
      <c r="X705" s="284"/>
      <c r="Y705" s="245"/>
      <c r="Z705" s="245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BP705" s="391"/>
      <c r="BQ705" s="393"/>
      <c r="BS705" s="50" t="str">
        <f>Q1392</f>
        <v/>
      </c>
      <c r="BT705" s="50" t="e">
        <f>#REF!</f>
        <v>#REF!</v>
      </c>
      <c r="BU705" s="39" t="str">
        <f t="shared" si="1034"/>
        <v/>
      </c>
      <c r="BV705" s="39" t="str">
        <f t="shared" si="1027"/>
        <v/>
      </c>
    </row>
    <row r="706" spans="1:74" ht="14.25" customHeight="1" x14ac:dyDescent="0.35">
      <c r="A706" s="293">
        <v>345</v>
      </c>
      <c r="B706" s="295"/>
      <c r="C706" s="297"/>
      <c r="D706" s="299"/>
      <c r="E706" s="301"/>
      <c r="F706" s="303"/>
      <c r="G706" s="288"/>
      <c r="H706" s="289"/>
      <c r="I706" s="290"/>
      <c r="J706" s="290"/>
      <c r="K706" s="291"/>
      <c r="L706" s="18"/>
      <c r="M706" s="285" t="str">
        <f t="shared" ref="M706" si="1098">IF(COUNT(L706:L707)&lt;1,"",AVERAGE(L706:L707))</f>
        <v/>
      </c>
      <c r="N706" s="22"/>
      <c r="O706" s="285" t="str">
        <f t="shared" ref="O706" si="1099">IF(COUNT(N706:N707)&lt;1,"",AVERAGE(N706:N707))</f>
        <v/>
      </c>
      <c r="P706" s="22"/>
      <c r="Q706" s="285" t="str">
        <f t="shared" ref="Q706" si="1100">IF(COUNT(P706:P707)&lt;1,"",AVERAGE(P706:P707))</f>
        <v/>
      </c>
      <c r="R706" s="278" t="str">
        <f>IF($X$13="/28",IF(COUNT(P706:P707)&lt;=1,"",ABS(P706-P707)),IF($X$13="/90",IF(COUNT(#REF!)&lt;=1,"",ABS(#REF!-#REF!))))</f>
        <v/>
      </c>
      <c r="S706" s="278" t="str">
        <f>IF($X$13="/28",IF(Q706="","",IF(AVERAGE(Q702:Q707)&gt;=$W$13,ROUND(AVERAGE(Q702:Q707),1)&amp;" ≥ "&amp;$W$13&amp;" OK",ROUND(AVERAGE(Q702:Q707),1)&amp;" &lt; "&amp;$W$13&amp;" NC")),IF($X$13="/90",IF(#REF!="","",IF(AVERAGE(#REF!)&gt;=$W$13,ROUND(AVERAGE(#REF!),1)&amp;" ≥ "&amp;$W$13&amp;" OK",ROUND(AVERAGE(#REF!),1)&amp;" &lt; "&amp;$W$13&amp;" NC"))))</f>
        <v/>
      </c>
      <c r="T706" s="278" t="str">
        <f>IF($X$13="/28",IF(Q706="","",IF(Q706&gt;=$W$13-$S$12,ROUND((Q706),1)&amp;" ≥ "&amp;$W$13-$S$12&amp;" OK",ROUND((Q706),1)&amp;" &lt; "&amp;$W$13-$S$12&amp;" NC")),IF($X$13="/90",IF(#REF!="","",IF(#REF!&gt;=$W$13-$S$12,ROUND((#REF!),1)&amp;" ≥ "&amp;$W$13-$S$12&amp;" OK",ROUND((#REF!),1)&amp;" &lt; "&amp;$W$13-$S$12&amp;" NC"))))</f>
        <v/>
      </c>
      <c r="U706" s="14"/>
      <c r="V706" s="279"/>
      <c r="W706" s="280"/>
      <c r="X706" s="281"/>
      <c r="Y706" s="246"/>
      <c r="Z706" s="246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BP706" s="390" t="str">
        <f>IF($X$13="/28",IF(Q706="","",Q706),IF($X$13="/90",IF(#REF!="","",#REF!),"Falso"))</f>
        <v/>
      </c>
      <c r="BQ706" s="392" t="str">
        <f t="shared" si="1082"/>
        <v/>
      </c>
      <c r="BS706" s="50" t="str">
        <f>Q1394</f>
        <v/>
      </c>
      <c r="BT706" s="50" t="e">
        <f>#REF!</f>
        <v>#REF!</v>
      </c>
      <c r="BU706" s="39" t="str">
        <f t="shared" si="1034"/>
        <v/>
      </c>
      <c r="BV706" s="39" t="str">
        <f t="shared" si="1027"/>
        <v/>
      </c>
    </row>
    <row r="707" spans="1:74" ht="14.25" customHeight="1" x14ac:dyDescent="0.35">
      <c r="A707" s="294"/>
      <c r="B707" s="296"/>
      <c r="C707" s="298"/>
      <c r="D707" s="300"/>
      <c r="E707" s="302"/>
      <c r="F707" s="304"/>
      <c r="G707" s="276"/>
      <c r="H707" s="277"/>
      <c r="I707" s="290"/>
      <c r="J707" s="290"/>
      <c r="K707" s="291"/>
      <c r="L707" s="17"/>
      <c r="M707" s="286"/>
      <c r="N707" s="21"/>
      <c r="O707" s="286"/>
      <c r="P707" s="21"/>
      <c r="Q707" s="286"/>
      <c r="R707" s="248"/>
      <c r="S707" s="287"/>
      <c r="T707" s="248"/>
      <c r="U707" s="13"/>
      <c r="V707" s="282"/>
      <c r="W707" s="283"/>
      <c r="X707" s="284"/>
      <c r="Y707" s="245"/>
      <c r="Z707" s="245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BP707" s="391"/>
      <c r="BQ707" s="393"/>
      <c r="BS707" s="50" t="str">
        <f>Q1396</f>
        <v/>
      </c>
      <c r="BT707" s="50" t="e">
        <f>#REF!</f>
        <v>#REF!</v>
      </c>
      <c r="BU707" s="39" t="str">
        <f t="shared" si="1034"/>
        <v/>
      </c>
      <c r="BV707" s="39" t="str">
        <f t="shared" si="1027"/>
        <v/>
      </c>
    </row>
    <row r="708" spans="1:74" ht="14.25" customHeight="1" x14ac:dyDescent="0.35">
      <c r="A708" s="293">
        <v>346</v>
      </c>
      <c r="B708" s="295"/>
      <c r="C708" s="297"/>
      <c r="D708" s="299"/>
      <c r="E708" s="301"/>
      <c r="F708" s="303"/>
      <c r="G708" s="288"/>
      <c r="H708" s="289"/>
      <c r="I708" s="290"/>
      <c r="J708" s="290"/>
      <c r="K708" s="291"/>
      <c r="L708" s="18"/>
      <c r="M708" s="285" t="str">
        <f t="shared" ref="M708" si="1101">IF(COUNT(L708:L709)&lt;1,"",AVERAGE(L708:L709))</f>
        <v/>
      </c>
      <c r="N708" s="22"/>
      <c r="O708" s="285" t="str">
        <f t="shared" ref="O708" si="1102">IF(COUNT(N708:N709)&lt;1,"",AVERAGE(N708:N709))</f>
        <v/>
      </c>
      <c r="P708" s="22"/>
      <c r="Q708" s="285" t="str">
        <f t="shared" ref="Q708" si="1103">IF(COUNT(P708:P709)&lt;1,"",AVERAGE(P708:P709))</f>
        <v/>
      </c>
      <c r="R708" s="278" t="str">
        <f>IF($X$13="/28",IF(COUNT(P708:P709)&lt;=1,"",ABS(P708-P709)),IF($X$13="/90",IF(COUNT(#REF!)&lt;=1,"",ABS(#REF!-#REF!))))</f>
        <v/>
      </c>
      <c r="S708" s="278" t="str">
        <f>IF($X$13="/28",IF(Q708="","",IF(AVERAGE(Q704:Q709)&gt;=$W$13,ROUND(AVERAGE(Q704:Q709),1)&amp;" ≥ "&amp;$W$13&amp;" OK",ROUND(AVERAGE(Q704:Q709),1)&amp;" &lt; "&amp;$W$13&amp;" NC")),IF($X$13="/90",IF(#REF!="","",IF(AVERAGE(#REF!)&gt;=$W$13,ROUND(AVERAGE(#REF!),1)&amp;" ≥ "&amp;$W$13&amp;" OK",ROUND(AVERAGE(#REF!),1)&amp;" &lt; "&amp;$W$13&amp;" NC"))))</f>
        <v/>
      </c>
      <c r="T708" s="278" t="str">
        <f>IF($X$13="/28",IF(Q708="","",IF(Q708&gt;=$W$13-$S$12,ROUND((Q708),1)&amp;" ≥ "&amp;$W$13-$S$12&amp;" OK",ROUND((Q708),1)&amp;" &lt; "&amp;$W$13-$S$12&amp;" NC")),IF($X$13="/90",IF(#REF!="","",IF(#REF!&gt;=$W$13-$S$12,ROUND((#REF!),1)&amp;" ≥ "&amp;$W$13-$S$12&amp;" OK",ROUND((#REF!),1)&amp;" &lt; "&amp;$W$13-$S$12&amp;" NC"))))</f>
        <v/>
      </c>
      <c r="U708" s="14"/>
      <c r="V708" s="279"/>
      <c r="W708" s="280"/>
      <c r="X708" s="281"/>
      <c r="Y708" s="246"/>
      <c r="Z708" s="246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BP708" s="390" t="str">
        <f>IF($X$13="/28",IF(Q708="","",Q708),IF($X$13="/90",IF(#REF!="","",#REF!),"Falso"))</f>
        <v/>
      </c>
      <c r="BQ708" s="392" t="str">
        <f t="shared" si="1074"/>
        <v/>
      </c>
      <c r="BS708" s="50" t="str">
        <f>Q1398</f>
        <v/>
      </c>
      <c r="BT708" s="50" t="e">
        <f>#REF!</f>
        <v>#REF!</v>
      </c>
      <c r="BU708" s="39" t="str">
        <f t="shared" si="1034"/>
        <v/>
      </c>
      <c r="BV708" s="39" t="str">
        <f t="shared" si="1027"/>
        <v/>
      </c>
    </row>
    <row r="709" spans="1:74" ht="14.25" customHeight="1" x14ac:dyDescent="0.35">
      <c r="A709" s="294"/>
      <c r="B709" s="296"/>
      <c r="C709" s="298"/>
      <c r="D709" s="300"/>
      <c r="E709" s="302"/>
      <c r="F709" s="304"/>
      <c r="G709" s="276"/>
      <c r="H709" s="277"/>
      <c r="I709" s="290"/>
      <c r="J709" s="290"/>
      <c r="K709" s="291"/>
      <c r="L709" s="17"/>
      <c r="M709" s="286"/>
      <c r="N709" s="21"/>
      <c r="O709" s="286"/>
      <c r="P709" s="21"/>
      <c r="Q709" s="286"/>
      <c r="R709" s="248"/>
      <c r="S709" s="287"/>
      <c r="T709" s="248"/>
      <c r="U709" s="13"/>
      <c r="V709" s="282"/>
      <c r="W709" s="283"/>
      <c r="X709" s="284"/>
      <c r="Y709" s="245"/>
      <c r="Z709" s="245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BP709" s="391"/>
      <c r="BQ709" s="393"/>
      <c r="BS709" s="50" t="str">
        <f>Q1400</f>
        <v/>
      </c>
      <c r="BT709" s="50" t="e">
        <f>#REF!</f>
        <v>#REF!</v>
      </c>
      <c r="BU709" s="39" t="str">
        <f t="shared" si="1034"/>
        <v/>
      </c>
      <c r="BV709" s="39" t="str">
        <f t="shared" si="1027"/>
        <v/>
      </c>
    </row>
    <row r="710" spans="1:74" ht="14.25" customHeight="1" x14ac:dyDescent="0.35">
      <c r="A710" s="293">
        <v>347</v>
      </c>
      <c r="B710" s="295"/>
      <c r="C710" s="297"/>
      <c r="D710" s="299"/>
      <c r="E710" s="301"/>
      <c r="F710" s="303"/>
      <c r="G710" s="288"/>
      <c r="H710" s="289"/>
      <c r="I710" s="290"/>
      <c r="J710" s="290"/>
      <c r="K710" s="291"/>
      <c r="L710" s="18"/>
      <c r="M710" s="285" t="str">
        <f t="shared" ref="M710" si="1104">IF(COUNT(L710:L711)&lt;1,"",AVERAGE(L710:L711))</f>
        <v/>
      </c>
      <c r="N710" s="22"/>
      <c r="O710" s="285" t="str">
        <f t="shared" ref="O710" si="1105">IF(COUNT(N710:N711)&lt;1,"",AVERAGE(N710:N711))</f>
        <v/>
      </c>
      <c r="P710" s="22"/>
      <c r="Q710" s="285" t="str">
        <f t="shared" ref="Q710" si="1106">IF(COUNT(P710:P711)&lt;1,"",AVERAGE(P710:P711))</f>
        <v/>
      </c>
      <c r="R710" s="278" t="str">
        <f>IF($X$13="/28",IF(COUNT(P710:P711)&lt;=1,"",ABS(P710-P711)),IF($X$13="/90",IF(COUNT(#REF!)&lt;=1,"",ABS(#REF!-#REF!))))</f>
        <v/>
      </c>
      <c r="S710" s="278" t="str">
        <f>IF($X$13="/28",IF(Q710="","",IF(AVERAGE(Q706:Q711)&gt;=$W$13,ROUND(AVERAGE(Q706:Q711),1)&amp;" ≥ "&amp;$W$13&amp;" OK",ROUND(AVERAGE(Q706:Q711),1)&amp;" &lt; "&amp;$W$13&amp;" NC")),IF($X$13="/90",IF(#REF!="","",IF(AVERAGE(#REF!)&gt;=$W$13,ROUND(AVERAGE(#REF!),1)&amp;" ≥ "&amp;$W$13&amp;" OK",ROUND(AVERAGE(#REF!),1)&amp;" &lt; "&amp;$W$13&amp;" NC"))))</f>
        <v/>
      </c>
      <c r="T710" s="278" t="str">
        <f>IF($X$13="/28",IF(Q710="","",IF(Q710&gt;=$W$13-$S$12,ROUND((Q710),1)&amp;" ≥ "&amp;$W$13-$S$12&amp;" OK",ROUND((Q710),1)&amp;" &lt; "&amp;$W$13-$S$12&amp;" NC")),IF($X$13="/90",IF(#REF!="","",IF(#REF!&gt;=$W$13-$S$12,ROUND((#REF!),1)&amp;" ≥ "&amp;$W$13-$S$12&amp;" OK",ROUND((#REF!),1)&amp;" &lt; "&amp;$W$13-$S$12&amp;" NC"))))</f>
        <v/>
      </c>
      <c r="U710" s="14"/>
      <c r="V710" s="279"/>
      <c r="W710" s="280"/>
      <c r="X710" s="281"/>
      <c r="Y710" s="246"/>
      <c r="Z710" s="246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BP710" s="390" t="str">
        <f>IF($X$13="/28",IF(Q710="","",Q710),IF($X$13="/90",IF(#REF!="","",#REF!),"Falso"))</f>
        <v/>
      </c>
      <c r="BQ710" s="392" t="str">
        <f t="shared" si="1078"/>
        <v/>
      </c>
      <c r="BS710" s="50" t="str">
        <f>Q1402</f>
        <v/>
      </c>
      <c r="BT710" s="50" t="e">
        <f>#REF!</f>
        <v>#REF!</v>
      </c>
      <c r="BU710" s="39" t="str">
        <f t="shared" si="1034"/>
        <v/>
      </c>
      <c r="BV710" s="39" t="str">
        <f t="shared" si="1027"/>
        <v/>
      </c>
    </row>
    <row r="711" spans="1:74" ht="14.25" customHeight="1" x14ac:dyDescent="0.35">
      <c r="A711" s="294"/>
      <c r="B711" s="296"/>
      <c r="C711" s="298"/>
      <c r="D711" s="300"/>
      <c r="E711" s="302"/>
      <c r="F711" s="304"/>
      <c r="G711" s="276"/>
      <c r="H711" s="277"/>
      <c r="I711" s="290"/>
      <c r="J711" s="290"/>
      <c r="K711" s="291"/>
      <c r="L711" s="17"/>
      <c r="M711" s="286"/>
      <c r="N711" s="21"/>
      <c r="O711" s="286"/>
      <c r="P711" s="21"/>
      <c r="Q711" s="286"/>
      <c r="R711" s="248"/>
      <c r="S711" s="287"/>
      <c r="T711" s="248"/>
      <c r="U711" s="13"/>
      <c r="V711" s="282"/>
      <c r="W711" s="283"/>
      <c r="X711" s="284"/>
      <c r="Y711" s="245"/>
      <c r="Z711" s="245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BP711" s="391"/>
      <c r="BQ711" s="393"/>
      <c r="BS711" s="50" t="str">
        <f>Q1404</f>
        <v/>
      </c>
      <c r="BT711" s="50" t="e">
        <f>#REF!</f>
        <v>#REF!</v>
      </c>
      <c r="BU711" s="39" t="str">
        <f t="shared" si="1034"/>
        <v/>
      </c>
      <c r="BV711" s="39" t="str">
        <f t="shared" si="1027"/>
        <v/>
      </c>
    </row>
    <row r="712" spans="1:74" ht="14.25" customHeight="1" x14ac:dyDescent="0.35">
      <c r="A712" s="293">
        <v>348</v>
      </c>
      <c r="B712" s="295"/>
      <c r="C712" s="297"/>
      <c r="D712" s="299"/>
      <c r="E712" s="301"/>
      <c r="F712" s="303"/>
      <c r="G712" s="288"/>
      <c r="H712" s="289"/>
      <c r="I712" s="290"/>
      <c r="J712" s="290"/>
      <c r="K712" s="291"/>
      <c r="L712" s="18"/>
      <c r="M712" s="285" t="str">
        <f t="shared" ref="M712" si="1107">IF(COUNT(L712:L713)&lt;1,"",AVERAGE(L712:L713))</f>
        <v/>
      </c>
      <c r="N712" s="22"/>
      <c r="O712" s="285" t="str">
        <f t="shared" ref="O712" si="1108">IF(COUNT(N712:N713)&lt;1,"",AVERAGE(N712:N713))</f>
        <v/>
      </c>
      <c r="P712" s="22"/>
      <c r="Q712" s="285" t="str">
        <f t="shared" ref="Q712" si="1109">IF(COUNT(P712:P713)&lt;1,"",AVERAGE(P712:P713))</f>
        <v/>
      </c>
      <c r="R712" s="278" t="str">
        <f>IF($X$13="/28",IF(COUNT(P712:P713)&lt;=1,"",ABS(P712-P713)),IF($X$13="/90",IF(COUNT(#REF!)&lt;=1,"",ABS(#REF!-#REF!))))</f>
        <v/>
      </c>
      <c r="S712" s="278" t="str">
        <f>IF($X$13="/28",IF(Q712="","",IF(AVERAGE(Q708:Q713)&gt;=$W$13,ROUND(AVERAGE(Q708:Q713),1)&amp;" ≥ "&amp;$W$13&amp;" OK",ROUND(AVERAGE(Q708:Q713),1)&amp;" &lt; "&amp;$W$13&amp;" NC")),IF($X$13="/90",IF(#REF!="","",IF(AVERAGE(#REF!)&gt;=$W$13,ROUND(AVERAGE(#REF!),1)&amp;" ≥ "&amp;$W$13&amp;" OK",ROUND(AVERAGE(#REF!),1)&amp;" &lt; "&amp;$W$13&amp;" NC"))))</f>
        <v/>
      </c>
      <c r="T712" s="278" t="str">
        <f>IF($X$13="/28",IF(Q712="","",IF(Q712&gt;=$W$13-$S$12,ROUND((Q712),1)&amp;" ≥ "&amp;$W$13-$S$12&amp;" OK",ROUND((Q712),1)&amp;" &lt; "&amp;$W$13-$S$12&amp;" NC")),IF($X$13="/90",IF(#REF!="","",IF(#REF!&gt;=$W$13-$S$12,ROUND((#REF!),1)&amp;" ≥ "&amp;$W$13-$S$12&amp;" OK",ROUND((#REF!),1)&amp;" &lt; "&amp;$W$13-$S$12&amp;" NC"))))</f>
        <v/>
      </c>
      <c r="U712" s="14"/>
      <c r="V712" s="279"/>
      <c r="W712" s="280"/>
      <c r="X712" s="281"/>
      <c r="Y712" s="246"/>
      <c r="Z712" s="246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BP712" s="390" t="str">
        <f>IF($X$13="/28",IF(Q712="","",Q712),IF($X$13="/90",IF(#REF!="","",#REF!),"Falso"))</f>
        <v/>
      </c>
      <c r="BQ712" s="392" t="str">
        <f t="shared" si="1082"/>
        <v/>
      </c>
      <c r="BS712" s="50" t="str">
        <f>Q1406</f>
        <v/>
      </c>
      <c r="BT712" s="50" t="e">
        <f>#REF!</f>
        <v>#REF!</v>
      </c>
      <c r="BU712" s="39" t="str">
        <f t="shared" si="1034"/>
        <v/>
      </c>
      <c r="BV712" s="39" t="str">
        <f t="shared" si="1027"/>
        <v/>
      </c>
    </row>
    <row r="713" spans="1:74" ht="14.25" customHeight="1" x14ac:dyDescent="0.35">
      <c r="A713" s="294"/>
      <c r="B713" s="296"/>
      <c r="C713" s="298"/>
      <c r="D713" s="300"/>
      <c r="E713" s="302"/>
      <c r="F713" s="304"/>
      <c r="G713" s="276"/>
      <c r="H713" s="277"/>
      <c r="I713" s="290"/>
      <c r="J713" s="290"/>
      <c r="K713" s="291"/>
      <c r="L713" s="17"/>
      <c r="M713" s="286"/>
      <c r="N713" s="21"/>
      <c r="O713" s="286"/>
      <c r="P713" s="21"/>
      <c r="Q713" s="286"/>
      <c r="R713" s="248"/>
      <c r="S713" s="287"/>
      <c r="T713" s="248"/>
      <c r="U713" s="13"/>
      <c r="V713" s="282"/>
      <c r="W713" s="283"/>
      <c r="X713" s="284"/>
      <c r="Y713" s="245"/>
      <c r="Z713" s="245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BP713" s="391"/>
      <c r="BQ713" s="393"/>
      <c r="BS713" s="50" t="str">
        <f>Q1408</f>
        <v/>
      </c>
      <c r="BT713" s="50" t="e">
        <f>#REF!</f>
        <v>#REF!</v>
      </c>
      <c r="BU713" s="39" t="str">
        <f t="shared" si="1034"/>
        <v/>
      </c>
      <c r="BV713" s="39" t="str">
        <f t="shared" si="1027"/>
        <v/>
      </c>
    </row>
    <row r="714" spans="1:74" ht="14.25" customHeight="1" x14ac:dyDescent="0.35">
      <c r="A714" s="293">
        <v>349</v>
      </c>
      <c r="B714" s="295"/>
      <c r="C714" s="297"/>
      <c r="D714" s="299"/>
      <c r="E714" s="301"/>
      <c r="F714" s="303"/>
      <c r="G714" s="288"/>
      <c r="H714" s="289"/>
      <c r="I714" s="290"/>
      <c r="J714" s="290"/>
      <c r="K714" s="291"/>
      <c r="L714" s="18"/>
      <c r="M714" s="285" t="str">
        <f t="shared" ref="M714" si="1110">IF(COUNT(L714:L715)&lt;1,"",AVERAGE(L714:L715))</f>
        <v/>
      </c>
      <c r="N714" s="22"/>
      <c r="O714" s="285" t="str">
        <f t="shared" ref="O714" si="1111">IF(COUNT(N714:N715)&lt;1,"",AVERAGE(N714:N715))</f>
        <v/>
      </c>
      <c r="P714" s="22"/>
      <c r="Q714" s="285" t="str">
        <f t="shared" ref="Q714" si="1112">IF(COUNT(P714:P715)&lt;1,"",AVERAGE(P714:P715))</f>
        <v/>
      </c>
      <c r="R714" s="278" t="str">
        <f>IF($X$13="/28",IF(COUNT(P714:P715)&lt;=1,"",ABS(P714-P715)),IF($X$13="/90",IF(COUNT(#REF!)&lt;=1,"",ABS(#REF!-#REF!))))</f>
        <v/>
      </c>
      <c r="S714" s="278" t="str">
        <f>IF($X$13="/28",IF(Q714="","",IF(AVERAGE(Q710:Q715)&gt;=$W$13,ROUND(AVERAGE(Q710:Q715),1)&amp;" ≥ "&amp;$W$13&amp;" OK",ROUND(AVERAGE(Q710:Q715),1)&amp;" &lt; "&amp;$W$13&amp;" NC")),IF($X$13="/90",IF(#REF!="","",IF(AVERAGE(#REF!)&gt;=$W$13,ROUND(AVERAGE(#REF!),1)&amp;" ≥ "&amp;$W$13&amp;" OK",ROUND(AVERAGE(#REF!),1)&amp;" &lt; "&amp;$W$13&amp;" NC"))))</f>
        <v/>
      </c>
      <c r="T714" s="278" t="str">
        <f>IF($X$13="/28",IF(Q714="","",IF(Q714&gt;=$W$13-$S$12,ROUND((Q714),1)&amp;" ≥ "&amp;$W$13-$S$12&amp;" OK",ROUND((Q714),1)&amp;" &lt; "&amp;$W$13-$S$12&amp;" NC")),IF($X$13="/90",IF(#REF!="","",IF(#REF!&gt;=$W$13-$S$12,ROUND((#REF!),1)&amp;" ≥ "&amp;$W$13-$S$12&amp;" OK",ROUND((#REF!),1)&amp;" &lt; "&amp;$W$13-$S$12&amp;" NC"))))</f>
        <v/>
      </c>
      <c r="U714" s="14"/>
      <c r="V714" s="279"/>
      <c r="W714" s="280"/>
      <c r="X714" s="281"/>
      <c r="Y714" s="246"/>
      <c r="Z714" s="246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BP714" s="390" t="str">
        <f>IF($X$13="/28",IF(Q714="","",Q714),IF($X$13="/90",IF(#REF!="","",#REF!),"Falso"))</f>
        <v/>
      </c>
      <c r="BQ714" s="392" t="str">
        <f t="shared" si="1074"/>
        <v/>
      </c>
      <c r="BS714" s="50" t="str">
        <f>Q1410</f>
        <v/>
      </c>
      <c r="BT714" s="50" t="e">
        <f>#REF!</f>
        <v>#REF!</v>
      </c>
      <c r="BU714" s="39" t="str">
        <f t="shared" si="1034"/>
        <v/>
      </c>
      <c r="BV714" s="39" t="str">
        <f t="shared" si="1027"/>
        <v/>
      </c>
    </row>
    <row r="715" spans="1:74" ht="14.25" customHeight="1" x14ac:dyDescent="0.35">
      <c r="A715" s="294"/>
      <c r="B715" s="296"/>
      <c r="C715" s="298"/>
      <c r="D715" s="300"/>
      <c r="E715" s="302"/>
      <c r="F715" s="304"/>
      <c r="G715" s="276"/>
      <c r="H715" s="277"/>
      <c r="I715" s="290"/>
      <c r="J715" s="290"/>
      <c r="K715" s="291"/>
      <c r="L715" s="17"/>
      <c r="M715" s="286"/>
      <c r="N715" s="21"/>
      <c r="O715" s="286"/>
      <c r="P715" s="21"/>
      <c r="Q715" s="286"/>
      <c r="R715" s="248"/>
      <c r="S715" s="287"/>
      <c r="T715" s="248"/>
      <c r="U715" s="13"/>
      <c r="V715" s="282"/>
      <c r="W715" s="283"/>
      <c r="X715" s="284"/>
      <c r="Y715" s="245"/>
      <c r="Z715" s="245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BP715" s="391"/>
      <c r="BQ715" s="393"/>
      <c r="BS715" s="50" t="str">
        <f>Q1412</f>
        <v/>
      </c>
      <c r="BT715" s="50" t="e">
        <f>#REF!</f>
        <v>#REF!</v>
      </c>
      <c r="BU715" s="39" t="str">
        <f t="shared" si="1034"/>
        <v/>
      </c>
      <c r="BV715" s="39" t="str">
        <f t="shared" si="1027"/>
        <v/>
      </c>
    </row>
    <row r="716" spans="1:74" ht="14.25" customHeight="1" x14ac:dyDescent="0.35">
      <c r="A716" s="293">
        <v>350</v>
      </c>
      <c r="B716" s="295"/>
      <c r="C716" s="297"/>
      <c r="D716" s="299"/>
      <c r="E716" s="301"/>
      <c r="F716" s="303"/>
      <c r="G716" s="288"/>
      <c r="H716" s="289"/>
      <c r="I716" s="290"/>
      <c r="J716" s="290"/>
      <c r="K716" s="291"/>
      <c r="L716" s="18"/>
      <c r="M716" s="285" t="str">
        <f t="shared" ref="M716" si="1113">IF(COUNT(L716:L717)&lt;1,"",AVERAGE(L716:L717))</f>
        <v/>
      </c>
      <c r="N716" s="22"/>
      <c r="O716" s="285" t="str">
        <f t="shared" ref="O716" si="1114">IF(COUNT(N716:N717)&lt;1,"",AVERAGE(N716:N717))</f>
        <v/>
      </c>
      <c r="P716" s="22"/>
      <c r="Q716" s="285" t="str">
        <f t="shared" ref="Q716" si="1115">IF(COUNT(P716:P717)&lt;1,"",AVERAGE(P716:P717))</f>
        <v/>
      </c>
      <c r="R716" s="278" t="str">
        <f>IF($X$13="/28",IF(COUNT(P716:P717)&lt;=1,"",ABS(P716-P717)),IF($X$13="/90",IF(COUNT(#REF!)&lt;=1,"",ABS(#REF!-#REF!))))</f>
        <v/>
      </c>
      <c r="S716" s="278" t="str">
        <f>IF($X$13="/28",IF(Q716="","",IF(AVERAGE(Q712:Q717)&gt;=$W$13,ROUND(AVERAGE(Q712:Q717),1)&amp;" ≥ "&amp;$W$13&amp;" OK",ROUND(AVERAGE(Q712:Q717),1)&amp;" &lt; "&amp;$W$13&amp;" NC")),IF($X$13="/90",IF(#REF!="","",IF(AVERAGE(#REF!)&gt;=$W$13,ROUND(AVERAGE(#REF!),1)&amp;" ≥ "&amp;$W$13&amp;" OK",ROUND(AVERAGE(#REF!),1)&amp;" &lt; "&amp;$W$13&amp;" NC"))))</f>
        <v/>
      </c>
      <c r="T716" s="278" t="str">
        <f>IF($X$13="/28",IF(Q716="","",IF(Q716&gt;=$W$13-$S$12,ROUND((Q716),1)&amp;" ≥ "&amp;$W$13-$S$12&amp;" OK",ROUND((Q716),1)&amp;" &lt; "&amp;$W$13-$S$12&amp;" NC")),IF($X$13="/90",IF(#REF!="","",IF(#REF!&gt;=$W$13-$S$12,ROUND((#REF!),1)&amp;" ≥ "&amp;$W$13-$S$12&amp;" OK",ROUND((#REF!),1)&amp;" &lt; "&amp;$W$13-$S$12&amp;" NC"))))</f>
        <v/>
      </c>
      <c r="U716" s="14"/>
      <c r="V716" s="279"/>
      <c r="W716" s="280"/>
      <c r="X716" s="281"/>
      <c r="Y716" s="246"/>
      <c r="Z716" s="246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BP716" s="390" t="str">
        <f>IF($X$13="/28",IF(Q716="","",Q716),IF($X$13="/90",IF(#REF!="","",#REF!),"Falso"))</f>
        <v/>
      </c>
      <c r="BQ716" s="392" t="str">
        <f t="shared" si="1078"/>
        <v/>
      </c>
      <c r="BS716" s="50" t="str">
        <f>Q1414</f>
        <v/>
      </c>
      <c r="BT716" s="50" t="e">
        <f>#REF!</f>
        <v>#REF!</v>
      </c>
      <c r="BU716" s="39" t="str">
        <f t="shared" si="1034"/>
        <v/>
      </c>
      <c r="BV716" s="39" t="str">
        <f t="shared" si="1027"/>
        <v/>
      </c>
    </row>
    <row r="717" spans="1:74" ht="14.25" customHeight="1" x14ac:dyDescent="0.35">
      <c r="A717" s="294"/>
      <c r="B717" s="296"/>
      <c r="C717" s="298"/>
      <c r="D717" s="300"/>
      <c r="E717" s="302"/>
      <c r="F717" s="304"/>
      <c r="G717" s="276"/>
      <c r="H717" s="277"/>
      <c r="I717" s="290"/>
      <c r="J717" s="290"/>
      <c r="K717" s="291"/>
      <c r="L717" s="17"/>
      <c r="M717" s="286"/>
      <c r="N717" s="21"/>
      <c r="O717" s="286"/>
      <c r="P717" s="21"/>
      <c r="Q717" s="286"/>
      <c r="R717" s="248"/>
      <c r="S717" s="287"/>
      <c r="T717" s="248"/>
      <c r="U717" s="13"/>
      <c r="V717" s="282"/>
      <c r="W717" s="283"/>
      <c r="X717" s="284"/>
      <c r="Y717" s="245"/>
      <c r="Z717" s="245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BP717" s="391"/>
      <c r="BQ717" s="393"/>
      <c r="BS717" s="50" t="str">
        <f>Q1416</f>
        <v/>
      </c>
      <c r="BT717" s="50" t="e">
        <f>#REF!</f>
        <v>#REF!</v>
      </c>
      <c r="BU717" s="39" t="str">
        <f t="shared" si="1034"/>
        <v/>
      </c>
      <c r="BV717" s="39" t="str">
        <f t="shared" si="1027"/>
        <v/>
      </c>
    </row>
    <row r="718" spans="1:74" ht="14.25" customHeight="1" x14ac:dyDescent="0.35">
      <c r="A718" s="293">
        <v>351</v>
      </c>
      <c r="B718" s="295"/>
      <c r="C718" s="297"/>
      <c r="D718" s="299"/>
      <c r="E718" s="301"/>
      <c r="F718" s="303"/>
      <c r="G718" s="288"/>
      <c r="H718" s="289"/>
      <c r="I718" s="290"/>
      <c r="J718" s="290"/>
      <c r="K718" s="291"/>
      <c r="L718" s="18"/>
      <c r="M718" s="285" t="str">
        <f t="shared" ref="M718" si="1116">IF(COUNT(L718:L719)&lt;1,"",AVERAGE(L718:L719))</f>
        <v/>
      </c>
      <c r="N718" s="22"/>
      <c r="O718" s="285" t="str">
        <f t="shared" ref="O718" si="1117">IF(COUNT(N718:N719)&lt;1,"",AVERAGE(N718:N719))</f>
        <v/>
      </c>
      <c r="P718" s="22"/>
      <c r="Q718" s="285" t="str">
        <f t="shared" ref="Q718" si="1118">IF(COUNT(P718:P719)&lt;1,"",AVERAGE(P718:P719))</f>
        <v/>
      </c>
      <c r="R718" s="278" t="str">
        <f>IF($X$13="/28",IF(COUNT(P718:P719)&lt;=1,"",ABS(P718-P719)),IF($X$13="/90",IF(COUNT(#REF!)&lt;=1,"",ABS(#REF!-#REF!))))</f>
        <v/>
      </c>
      <c r="S718" s="278" t="str">
        <f>IF($X$13="/28",IF(Q718="","",IF(AVERAGE(Q714:Q719)&gt;=$W$13,ROUND(AVERAGE(Q714:Q719),1)&amp;" ≥ "&amp;$W$13&amp;" OK",ROUND(AVERAGE(Q714:Q719),1)&amp;" &lt; "&amp;$W$13&amp;" NC")),IF($X$13="/90",IF(#REF!="","",IF(AVERAGE(#REF!)&gt;=$W$13,ROUND(AVERAGE(#REF!),1)&amp;" ≥ "&amp;$W$13&amp;" OK",ROUND(AVERAGE(#REF!),1)&amp;" &lt; "&amp;$W$13&amp;" NC"))))</f>
        <v/>
      </c>
      <c r="T718" s="278" t="str">
        <f>IF($X$13="/28",IF(Q718="","",IF(Q718&gt;=$W$13-$S$12,ROUND((Q718),1)&amp;" ≥ "&amp;$W$13-$S$12&amp;" OK",ROUND((Q718),1)&amp;" &lt; "&amp;$W$13-$S$12&amp;" NC")),IF($X$13="/90",IF(#REF!="","",IF(#REF!&gt;=$W$13-$S$12,ROUND((#REF!),1)&amp;" ≥ "&amp;$W$13-$S$12&amp;" OK",ROUND((#REF!),1)&amp;" &lt; "&amp;$W$13-$S$12&amp;" NC"))))</f>
        <v/>
      </c>
      <c r="U718" s="14"/>
      <c r="V718" s="279"/>
      <c r="W718" s="280"/>
      <c r="X718" s="281"/>
      <c r="Y718" s="246"/>
      <c r="Z718" s="246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BP718" s="390" t="str">
        <f>IF($X$13="/28",IF(Q718="","",Q718),IF($X$13="/90",IF(#REF!="","",#REF!),"Falso"))</f>
        <v/>
      </c>
      <c r="BQ718" s="392" t="str">
        <f t="shared" si="1082"/>
        <v/>
      </c>
      <c r="BS718" s="50" t="str">
        <f>Q1418</f>
        <v/>
      </c>
      <c r="BT718" s="50" t="e">
        <f>#REF!</f>
        <v>#REF!</v>
      </c>
      <c r="BU718" s="39" t="str">
        <f t="shared" si="1034"/>
        <v/>
      </c>
      <c r="BV718" s="39" t="str">
        <f t="shared" si="1027"/>
        <v/>
      </c>
    </row>
    <row r="719" spans="1:74" ht="14.25" customHeight="1" x14ac:dyDescent="0.35">
      <c r="A719" s="294"/>
      <c r="B719" s="296"/>
      <c r="C719" s="298"/>
      <c r="D719" s="300"/>
      <c r="E719" s="302"/>
      <c r="F719" s="304"/>
      <c r="G719" s="276"/>
      <c r="H719" s="277"/>
      <c r="I719" s="290"/>
      <c r="J719" s="290"/>
      <c r="K719" s="291"/>
      <c r="L719" s="17"/>
      <c r="M719" s="286"/>
      <c r="N719" s="21"/>
      <c r="O719" s="286"/>
      <c r="P719" s="21"/>
      <c r="Q719" s="286"/>
      <c r="R719" s="248"/>
      <c r="S719" s="287"/>
      <c r="T719" s="248"/>
      <c r="U719" s="13"/>
      <c r="V719" s="282"/>
      <c r="W719" s="283"/>
      <c r="X719" s="284"/>
      <c r="Y719" s="245"/>
      <c r="Z719" s="245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BP719" s="391"/>
      <c r="BQ719" s="393"/>
      <c r="BS719" s="50" t="str">
        <f>Q1420</f>
        <v/>
      </c>
      <c r="BT719" s="50" t="e">
        <f>#REF!</f>
        <v>#REF!</v>
      </c>
      <c r="BU719" s="39" t="str">
        <f t="shared" si="1034"/>
        <v/>
      </c>
      <c r="BV719" s="39" t="str">
        <f t="shared" si="1027"/>
        <v/>
      </c>
    </row>
    <row r="720" spans="1:74" ht="14.25" customHeight="1" x14ac:dyDescent="0.35">
      <c r="A720" s="293">
        <v>352</v>
      </c>
      <c r="B720" s="295"/>
      <c r="C720" s="297"/>
      <c r="D720" s="299"/>
      <c r="E720" s="301"/>
      <c r="F720" s="303"/>
      <c r="G720" s="288"/>
      <c r="H720" s="289"/>
      <c r="I720" s="290"/>
      <c r="J720" s="290"/>
      <c r="K720" s="291"/>
      <c r="L720" s="18"/>
      <c r="M720" s="285" t="str">
        <f t="shared" ref="M720" si="1119">IF(COUNT(L720:L721)&lt;1,"",AVERAGE(L720:L721))</f>
        <v/>
      </c>
      <c r="N720" s="22"/>
      <c r="O720" s="285" t="str">
        <f t="shared" ref="O720" si="1120">IF(COUNT(N720:N721)&lt;1,"",AVERAGE(N720:N721))</f>
        <v/>
      </c>
      <c r="P720" s="22"/>
      <c r="Q720" s="285" t="str">
        <f t="shared" ref="Q720" si="1121">IF(COUNT(P720:P721)&lt;1,"",AVERAGE(P720:P721))</f>
        <v/>
      </c>
      <c r="R720" s="278" t="str">
        <f>IF($X$13="/28",IF(COUNT(P720:P721)&lt;=1,"",ABS(P720-P721)),IF($X$13="/90",IF(COUNT(#REF!)&lt;=1,"",ABS(#REF!-#REF!))))</f>
        <v/>
      </c>
      <c r="S720" s="278" t="str">
        <f>IF($X$13="/28",IF(Q720="","",IF(AVERAGE(Q716:Q721)&gt;=$W$13,ROUND(AVERAGE(Q716:Q721),1)&amp;" ≥ "&amp;$W$13&amp;" OK",ROUND(AVERAGE(Q716:Q721),1)&amp;" &lt; "&amp;$W$13&amp;" NC")),IF($X$13="/90",IF(#REF!="","",IF(AVERAGE(#REF!)&gt;=$W$13,ROUND(AVERAGE(#REF!),1)&amp;" ≥ "&amp;$W$13&amp;" OK",ROUND(AVERAGE(#REF!),1)&amp;" &lt; "&amp;$W$13&amp;" NC"))))</f>
        <v/>
      </c>
      <c r="T720" s="278" t="str">
        <f>IF($X$13="/28",IF(Q720="","",IF(Q720&gt;=$W$13-$S$12,ROUND((Q720),1)&amp;" ≥ "&amp;$W$13-$S$12&amp;" OK",ROUND((Q720),1)&amp;" &lt; "&amp;$W$13-$S$12&amp;" NC")),IF($X$13="/90",IF(#REF!="","",IF(#REF!&gt;=$W$13-$S$12,ROUND((#REF!),1)&amp;" ≥ "&amp;$W$13-$S$12&amp;" OK",ROUND((#REF!),1)&amp;" &lt; "&amp;$W$13-$S$12&amp;" NC"))))</f>
        <v/>
      </c>
      <c r="U720" s="14"/>
      <c r="V720" s="279"/>
      <c r="W720" s="280"/>
      <c r="X720" s="281"/>
      <c r="Y720" s="246"/>
      <c r="Z720" s="246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BP720" s="390" t="str">
        <f>IF($X$13="/28",IF(Q720="","",Q720),IF($X$13="/90",IF(#REF!="","",#REF!),"Falso"))</f>
        <v/>
      </c>
      <c r="BQ720" s="392" t="str">
        <f t="shared" si="1074"/>
        <v/>
      </c>
      <c r="BS720" s="50" t="str">
        <f>Q1422</f>
        <v/>
      </c>
      <c r="BT720" s="50" t="e">
        <f>#REF!</f>
        <v>#REF!</v>
      </c>
      <c r="BU720" s="39" t="str">
        <f t="shared" si="1034"/>
        <v/>
      </c>
      <c r="BV720" s="39" t="str">
        <f t="shared" si="1027"/>
        <v/>
      </c>
    </row>
    <row r="721" spans="1:74" ht="14.25" customHeight="1" x14ac:dyDescent="0.35">
      <c r="A721" s="294"/>
      <c r="B721" s="296"/>
      <c r="C721" s="298"/>
      <c r="D721" s="300"/>
      <c r="E721" s="302"/>
      <c r="F721" s="304"/>
      <c r="G721" s="276"/>
      <c r="H721" s="277"/>
      <c r="I721" s="290"/>
      <c r="J721" s="290"/>
      <c r="K721" s="291"/>
      <c r="L721" s="17"/>
      <c r="M721" s="286"/>
      <c r="N721" s="21"/>
      <c r="O721" s="286"/>
      <c r="P721" s="21"/>
      <c r="Q721" s="286"/>
      <c r="R721" s="248"/>
      <c r="S721" s="287"/>
      <c r="T721" s="248"/>
      <c r="U721" s="13"/>
      <c r="V721" s="282"/>
      <c r="W721" s="283"/>
      <c r="X721" s="284"/>
      <c r="Y721" s="245"/>
      <c r="Z721" s="245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BP721" s="391"/>
      <c r="BQ721" s="393"/>
      <c r="BS721" s="50" t="str">
        <f>Q1424</f>
        <v/>
      </c>
      <c r="BT721" s="50" t="e">
        <f>#REF!</f>
        <v>#REF!</v>
      </c>
      <c r="BU721" s="39" t="str">
        <f t="shared" si="1034"/>
        <v/>
      </c>
      <c r="BV721" s="39" t="str">
        <f t="shared" si="1027"/>
        <v/>
      </c>
    </row>
    <row r="722" spans="1:74" ht="14.25" customHeight="1" x14ac:dyDescent="0.35">
      <c r="A722" s="293">
        <v>353</v>
      </c>
      <c r="B722" s="295"/>
      <c r="C722" s="297"/>
      <c r="D722" s="299"/>
      <c r="E722" s="301"/>
      <c r="F722" s="303"/>
      <c r="G722" s="288"/>
      <c r="H722" s="289"/>
      <c r="I722" s="290"/>
      <c r="J722" s="290"/>
      <c r="K722" s="291"/>
      <c r="L722" s="18"/>
      <c r="M722" s="285" t="str">
        <f t="shared" ref="M722" si="1122">IF(COUNT(L722:L723)&lt;1,"",AVERAGE(L722:L723))</f>
        <v/>
      </c>
      <c r="N722" s="22"/>
      <c r="O722" s="285" t="str">
        <f t="shared" ref="O722" si="1123">IF(COUNT(N722:N723)&lt;1,"",AVERAGE(N722:N723))</f>
        <v/>
      </c>
      <c r="P722" s="22"/>
      <c r="Q722" s="285" t="str">
        <f t="shared" ref="Q722" si="1124">IF(COUNT(P722:P723)&lt;1,"",AVERAGE(P722:P723))</f>
        <v/>
      </c>
      <c r="R722" s="278" t="str">
        <f>IF($X$13="/28",IF(COUNT(P722:P723)&lt;=1,"",ABS(P722-P723)),IF($X$13="/90",IF(COUNT(#REF!)&lt;=1,"",ABS(#REF!-#REF!))))</f>
        <v/>
      </c>
      <c r="S722" s="278" t="str">
        <f>IF($X$13="/28",IF(Q722="","",IF(AVERAGE(Q718:Q723)&gt;=$W$13,ROUND(AVERAGE(Q718:Q723),1)&amp;" ≥ "&amp;$W$13&amp;" OK",ROUND(AVERAGE(Q718:Q723),1)&amp;" &lt; "&amp;$W$13&amp;" NC")),IF($X$13="/90",IF(#REF!="","",IF(AVERAGE(#REF!)&gt;=$W$13,ROUND(AVERAGE(#REF!),1)&amp;" ≥ "&amp;$W$13&amp;" OK",ROUND(AVERAGE(#REF!),1)&amp;" &lt; "&amp;$W$13&amp;" NC"))))</f>
        <v/>
      </c>
      <c r="T722" s="278" t="str">
        <f>IF($X$13="/28",IF(Q722="","",IF(Q722&gt;=$W$13-$S$12,ROUND((Q722),1)&amp;" ≥ "&amp;$W$13-$S$12&amp;" OK",ROUND((Q722),1)&amp;" &lt; "&amp;$W$13-$S$12&amp;" NC")),IF($X$13="/90",IF(#REF!="","",IF(#REF!&gt;=$W$13-$S$12,ROUND((#REF!),1)&amp;" ≥ "&amp;$W$13-$S$12&amp;" OK",ROUND((#REF!),1)&amp;" &lt; "&amp;$W$13-$S$12&amp;" NC"))))</f>
        <v/>
      </c>
      <c r="U722" s="14"/>
      <c r="V722" s="279"/>
      <c r="W722" s="280"/>
      <c r="X722" s="281"/>
      <c r="Y722" s="246"/>
      <c r="Z722" s="246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BP722" s="390" t="str">
        <f>IF($X$13="/28",IF(Q722="","",Q722),IF($X$13="/90",IF(#REF!="","",#REF!),"Falso"))</f>
        <v/>
      </c>
      <c r="BQ722" s="392" t="str">
        <f t="shared" si="1078"/>
        <v/>
      </c>
      <c r="BS722" s="50" t="str">
        <f>Q1426</f>
        <v/>
      </c>
      <c r="BT722" s="50" t="e">
        <f>#REF!</f>
        <v>#REF!</v>
      </c>
      <c r="BU722" s="39" t="str">
        <f t="shared" si="1034"/>
        <v/>
      </c>
      <c r="BV722" s="39" t="str">
        <f t="shared" si="1027"/>
        <v/>
      </c>
    </row>
    <row r="723" spans="1:74" ht="14.25" customHeight="1" x14ac:dyDescent="0.35">
      <c r="A723" s="294"/>
      <c r="B723" s="296"/>
      <c r="C723" s="298"/>
      <c r="D723" s="300"/>
      <c r="E723" s="302"/>
      <c r="F723" s="304"/>
      <c r="G723" s="276"/>
      <c r="H723" s="277"/>
      <c r="I723" s="290"/>
      <c r="J723" s="290"/>
      <c r="K723" s="291"/>
      <c r="L723" s="17"/>
      <c r="M723" s="286"/>
      <c r="N723" s="21"/>
      <c r="O723" s="286"/>
      <c r="P723" s="21"/>
      <c r="Q723" s="286"/>
      <c r="R723" s="248"/>
      <c r="S723" s="287"/>
      <c r="T723" s="248"/>
      <c r="U723" s="13"/>
      <c r="V723" s="282"/>
      <c r="W723" s="283"/>
      <c r="X723" s="284"/>
      <c r="Y723" s="245"/>
      <c r="Z723" s="245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BP723" s="391"/>
      <c r="BQ723" s="393"/>
      <c r="BS723" s="50" t="str">
        <f>Q1428</f>
        <v/>
      </c>
      <c r="BT723" s="50" t="e">
        <f>#REF!</f>
        <v>#REF!</v>
      </c>
      <c r="BU723" s="39" t="str">
        <f t="shared" si="1034"/>
        <v/>
      </c>
      <c r="BV723" s="39" t="str">
        <f t="shared" si="1027"/>
        <v/>
      </c>
    </row>
    <row r="724" spans="1:74" ht="14.25" customHeight="1" x14ac:dyDescent="0.35">
      <c r="A724" s="293">
        <v>354</v>
      </c>
      <c r="B724" s="295"/>
      <c r="C724" s="297"/>
      <c r="D724" s="299"/>
      <c r="E724" s="301"/>
      <c r="F724" s="303"/>
      <c r="G724" s="288"/>
      <c r="H724" s="289"/>
      <c r="I724" s="290"/>
      <c r="J724" s="290"/>
      <c r="K724" s="291"/>
      <c r="L724" s="18"/>
      <c r="M724" s="285" t="str">
        <f t="shared" ref="M724" si="1125">IF(COUNT(L724:L725)&lt;1,"",AVERAGE(L724:L725))</f>
        <v/>
      </c>
      <c r="N724" s="22"/>
      <c r="O724" s="285" t="str">
        <f t="shared" ref="O724" si="1126">IF(COUNT(N724:N725)&lt;1,"",AVERAGE(N724:N725))</f>
        <v/>
      </c>
      <c r="P724" s="22"/>
      <c r="Q724" s="285" t="str">
        <f t="shared" ref="Q724" si="1127">IF(COUNT(P724:P725)&lt;1,"",AVERAGE(P724:P725))</f>
        <v/>
      </c>
      <c r="R724" s="278" t="str">
        <f>IF($X$13="/28",IF(COUNT(P724:P725)&lt;=1,"",ABS(P724-P725)),IF($X$13="/90",IF(COUNT(#REF!)&lt;=1,"",ABS(#REF!-#REF!))))</f>
        <v/>
      </c>
      <c r="S724" s="278" t="str">
        <f>IF($X$13="/28",IF(Q724="","",IF(AVERAGE(Q720:Q725)&gt;=$W$13,ROUND(AVERAGE(Q720:Q725),1)&amp;" ≥ "&amp;$W$13&amp;" OK",ROUND(AVERAGE(Q720:Q725),1)&amp;" &lt; "&amp;$W$13&amp;" NC")),IF($X$13="/90",IF(#REF!="","",IF(AVERAGE(#REF!)&gt;=$W$13,ROUND(AVERAGE(#REF!),1)&amp;" ≥ "&amp;$W$13&amp;" OK",ROUND(AVERAGE(#REF!),1)&amp;" &lt; "&amp;$W$13&amp;" NC"))))</f>
        <v/>
      </c>
      <c r="T724" s="278" t="str">
        <f>IF($X$13="/28",IF(Q724="","",IF(Q724&gt;=$W$13-$S$12,ROUND((Q724),1)&amp;" ≥ "&amp;$W$13-$S$12&amp;" OK",ROUND((Q724),1)&amp;" &lt; "&amp;$W$13-$S$12&amp;" NC")),IF($X$13="/90",IF(#REF!="","",IF(#REF!&gt;=$W$13-$S$12,ROUND((#REF!),1)&amp;" ≥ "&amp;$W$13-$S$12&amp;" OK",ROUND((#REF!),1)&amp;" &lt; "&amp;$W$13-$S$12&amp;" NC"))))</f>
        <v/>
      </c>
      <c r="U724" s="14"/>
      <c r="V724" s="279"/>
      <c r="W724" s="280"/>
      <c r="X724" s="281"/>
      <c r="Y724" s="246"/>
      <c r="Z724" s="246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BP724" s="390" t="str">
        <f>IF($X$13="/28",IF(Q724="","",Q724),IF($X$13="/90",IF(#REF!="","",#REF!),"Falso"))</f>
        <v/>
      </c>
      <c r="BQ724" s="392" t="str">
        <f t="shared" si="1082"/>
        <v/>
      </c>
      <c r="BS724" s="50" t="str">
        <f>Q1430</f>
        <v/>
      </c>
      <c r="BT724" s="50" t="e">
        <f>#REF!</f>
        <v>#REF!</v>
      </c>
      <c r="BU724" s="39" t="str">
        <f t="shared" si="1034"/>
        <v/>
      </c>
      <c r="BV724" s="39" t="str">
        <f t="shared" ref="BV724:BV787" si="1128">IF(BU724="","",BV723+1)</f>
        <v/>
      </c>
    </row>
    <row r="725" spans="1:74" ht="14.25" customHeight="1" x14ac:dyDescent="0.35">
      <c r="A725" s="294"/>
      <c r="B725" s="296"/>
      <c r="C725" s="298"/>
      <c r="D725" s="300"/>
      <c r="E725" s="302"/>
      <c r="F725" s="304"/>
      <c r="G725" s="276"/>
      <c r="H725" s="277"/>
      <c r="I725" s="290"/>
      <c r="J725" s="290"/>
      <c r="K725" s="291"/>
      <c r="L725" s="17"/>
      <c r="M725" s="286"/>
      <c r="N725" s="21"/>
      <c r="O725" s="286"/>
      <c r="P725" s="21"/>
      <c r="Q725" s="286"/>
      <c r="R725" s="248"/>
      <c r="S725" s="287"/>
      <c r="T725" s="248"/>
      <c r="U725" s="13"/>
      <c r="V725" s="282"/>
      <c r="W725" s="283"/>
      <c r="X725" s="284"/>
      <c r="Y725" s="245"/>
      <c r="Z725" s="245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BP725" s="391"/>
      <c r="BQ725" s="393"/>
      <c r="BS725" s="50" t="str">
        <f>Q1432</f>
        <v/>
      </c>
      <c r="BT725" s="50" t="e">
        <f>#REF!</f>
        <v>#REF!</v>
      </c>
      <c r="BU725" s="39" t="str">
        <f t="shared" si="1034"/>
        <v/>
      </c>
      <c r="BV725" s="39" t="str">
        <f t="shared" si="1128"/>
        <v/>
      </c>
    </row>
    <row r="726" spans="1:74" ht="14.25" customHeight="1" x14ac:dyDescent="0.35">
      <c r="A726" s="293">
        <v>355</v>
      </c>
      <c r="B726" s="295"/>
      <c r="C726" s="297"/>
      <c r="D726" s="299"/>
      <c r="E726" s="301"/>
      <c r="F726" s="303"/>
      <c r="G726" s="288"/>
      <c r="H726" s="289"/>
      <c r="I726" s="290"/>
      <c r="J726" s="290"/>
      <c r="K726" s="291"/>
      <c r="L726" s="18"/>
      <c r="M726" s="285" t="str">
        <f t="shared" ref="M726" si="1129">IF(COUNT(L726:L727)&lt;1,"",AVERAGE(L726:L727))</f>
        <v/>
      </c>
      <c r="N726" s="22"/>
      <c r="O726" s="285" t="str">
        <f t="shared" ref="O726" si="1130">IF(COUNT(N726:N727)&lt;1,"",AVERAGE(N726:N727))</f>
        <v/>
      </c>
      <c r="P726" s="22"/>
      <c r="Q726" s="285" t="str">
        <f t="shared" ref="Q726" si="1131">IF(COUNT(P726:P727)&lt;1,"",AVERAGE(P726:P727))</f>
        <v/>
      </c>
      <c r="R726" s="278" t="str">
        <f>IF($X$13="/28",IF(COUNT(P726:P727)&lt;=1,"",ABS(P726-P727)),IF($X$13="/90",IF(COUNT(#REF!)&lt;=1,"",ABS(#REF!-#REF!))))</f>
        <v/>
      </c>
      <c r="S726" s="278" t="str">
        <f>IF($X$13="/28",IF(Q726="","",IF(AVERAGE(Q722:Q727)&gt;=$W$13,ROUND(AVERAGE(Q722:Q727),1)&amp;" ≥ "&amp;$W$13&amp;" OK",ROUND(AVERAGE(Q722:Q727),1)&amp;" &lt; "&amp;$W$13&amp;" NC")),IF($X$13="/90",IF(#REF!="","",IF(AVERAGE(#REF!)&gt;=$W$13,ROUND(AVERAGE(#REF!),1)&amp;" ≥ "&amp;$W$13&amp;" OK",ROUND(AVERAGE(#REF!),1)&amp;" &lt; "&amp;$W$13&amp;" NC"))))</f>
        <v/>
      </c>
      <c r="T726" s="278" t="str">
        <f>IF($X$13="/28",IF(Q726="","",IF(Q726&gt;=$W$13-$S$12,ROUND((Q726),1)&amp;" ≥ "&amp;$W$13-$S$12&amp;" OK",ROUND((Q726),1)&amp;" &lt; "&amp;$W$13-$S$12&amp;" NC")),IF($X$13="/90",IF(#REF!="","",IF(#REF!&gt;=$W$13-$S$12,ROUND((#REF!),1)&amp;" ≥ "&amp;$W$13-$S$12&amp;" OK",ROUND((#REF!),1)&amp;" &lt; "&amp;$W$13-$S$12&amp;" NC"))))</f>
        <v/>
      </c>
      <c r="U726" s="14"/>
      <c r="V726" s="279"/>
      <c r="W726" s="280"/>
      <c r="X726" s="281"/>
      <c r="Y726" s="246"/>
      <c r="Z726" s="246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BP726" s="390" t="str">
        <f>IF($X$13="/28",IF(Q726="","",Q726),IF($X$13="/90",IF(#REF!="","",#REF!),"Falso"))</f>
        <v/>
      </c>
      <c r="BQ726" s="392" t="str">
        <f t="shared" si="1074"/>
        <v/>
      </c>
      <c r="BS726" s="50" t="str">
        <f>Q1434</f>
        <v/>
      </c>
      <c r="BT726" s="50" t="e">
        <f>#REF!</f>
        <v>#REF!</v>
      </c>
      <c r="BU726" s="39" t="str">
        <f t="shared" si="1034"/>
        <v/>
      </c>
      <c r="BV726" s="39" t="str">
        <f t="shared" si="1128"/>
        <v/>
      </c>
    </row>
    <row r="727" spans="1:74" ht="14.25" customHeight="1" x14ac:dyDescent="0.35">
      <c r="A727" s="294"/>
      <c r="B727" s="296"/>
      <c r="C727" s="298"/>
      <c r="D727" s="300"/>
      <c r="E727" s="302"/>
      <c r="F727" s="304"/>
      <c r="G727" s="276"/>
      <c r="H727" s="277"/>
      <c r="I727" s="290"/>
      <c r="J727" s="290"/>
      <c r="K727" s="291"/>
      <c r="L727" s="17"/>
      <c r="M727" s="286"/>
      <c r="N727" s="21"/>
      <c r="O727" s="286"/>
      <c r="P727" s="21"/>
      <c r="Q727" s="286"/>
      <c r="R727" s="248"/>
      <c r="S727" s="287"/>
      <c r="T727" s="248"/>
      <c r="U727" s="13"/>
      <c r="V727" s="282"/>
      <c r="W727" s="283"/>
      <c r="X727" s="284"/>
      <c r="Y727" s="245"/>
      <c r="Z727" s="245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BP727" s="391"/>
      <c r="BQ727" s="393"/>
      <c r="BS727" s="50" t="str">
        <f>Q1436</f>
        <v/>
      </c>
      <c r="BT727" s="50" t="e">
        <f>#REF!</f>
        <v>#REF!</v>
      </c>
      <c r="BU727" s="39" t="str">
        <f t="shared" si="1034"/>
        <v/>
      </c>
      <c r="BV727" s="39" t="str">
        <f t="shared" si="1128"/>
        <v/>
      </c>
    </row>
    <row r="728" spans="1:74" ht="14.25" customHeight="1" x14ac:dyDescent="0.35">
      <c r="A728" s="293">
        <v>356</v>
      </c>
      <c r="B728" s="295"/>
      <c r="C728" s="297"/>
      <c r="D728" s="299"/>
      <c r="E728" s="301"/>
      <c r="F728" s="303"/>
      <c r="G728" s="288"/>
      <c r="H728" s="289"/>
      <c r="I728" s="290"/>
      <c r="J728" s="290"/>
      <c r="K728" s="291"/>
      <c r="L728" s="18"/>
      <c r="M728" s="285" t="str">
        <f t="shared" ref="M728" si="1132">IF(COUNT(L728:L729)&lt;1,"",AVERAGE(L728:L729))</f>
        <v/>
      </c>
      <c r="N728" s="22"/>
      <c r="O728" s="285" t="str">
        <f t="shared" ref="O728" si="1133">IF(COUNT(N728:N729)&lt;1,"",AVERAGE(N728:N729))</f>
        <v/>
      </c>
      <c r="P728" s="22"/>
      <c r="Q728" s="285" t="str">
        <f t="shared" ref="Q728" si="1134">IF(COUNT(P728:P729)&lt;1,"",AVERAGE(P728:P729))</f>
        <v/>
      </c>
      <c r="R728" s="278" t="str">
        <f>IF($X$13="/28",IF(COUNT(P728:P729)&lt;=1,"",ABS(P728-P729)),IF($X$13="/90",IF(COUNT(#REF!)&lt;=1,"",ABS(#REF!-#REF!))))</f>
        <v/>
      </c>
      <c r="S728" s="278" t="str">
        <f>IF($X$13="/28",IF(Q728="","",IF(AVERAGE(Q724:Q729)&gt;=$W$13,ROUND(AVERAGE(Q724:Q729),1)&amp;" ≥ "&amp;$W$13&amp;" OK",ROUND(AVERAGE(Q724:Q729),1)&amp;" &lt; "&amp;$W$13&amp;" NC")),IF($X$13="/90",IF(#REF!="","",IF(AVERAGE(#REF!)&gt;=$W$13,ROUND(AVERAGE(#REF!),1)&amp;" ≥ "&amp;$W$13&amp;" OK",ROUND(AVERAGE(#REF!),1)&amp;" &lt; "&amp;$W$13&amp;" NC"))))</f>
        <v/>
      </c>
      <c r="T728" s="278" t="str">
        <f>IF($X$13="/28",IF(Q728="","",IF(Q728&gt;=$W$13-$S$12,ROUND((Q728),1)&amp;" ≥ "&amp;$W$13-$S$12&amp;" OK",ROUND((Q728),1)&amp;" &lt; "&amp;$W$13-$S$12&amp;" NC")),IF($X$13="/90",IF(#REF!="","",IF(#REF!&gt;=$W$13-$S$12,ROUND((#REF!),1)&amp;" ≥ "&amp;$W$13-$S$12&amp;" OK",ROUND((#REF!),1)&amp;" &lt; "&amp;$W$13-$S$12&amp;" NC"))))</f>
        <v/>
      </c>
      <c r="U728" s="14"/>
      <c r="V728" s="279"/>
      <c r="W728" s="280"/>
      <c r="X728" s="281"/>
      <c r="Y728" s="246"/>
      <c r="Z728" s="246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BP728" s="390" t="str">
        <f>IF($X$13="/28",IF(Q728="","",Q728),IF($X$13="/90",IF(#REF!="","",#REF!),"Falso"))</f>
        <v/>
      </c>
      <c r="BQ728" s="392" t="str">
        <f t="shared" si="1078"/>
        <v/>
      </c>
      <c r="BS728" s="50" t="str">
        <f>Q1438</f>
        <v/>
      </c>
      <c r="BT728" s="50" t="e">
        <f>#REF!</f>
        <v>#REF!</v>
      </c>
      <c r="BU728" s="39" t="str">
        <f t="shared" ref="BU728:BU791" si="1135">IF($X$13="/28",IF(BS728="","",BS728),IF($X$13="/90",IF(BT728="","",BT728),"Falso"))</f>
        <v/>
      </c>
      <c r="BV728" s="39" t="str">
        <f t="shared" si="1128"/>
        <v/>
      </c>
    </row>
    <row r="729" spans="1:74" ht="14.25" customHeight="1" x14ac:dyDescent="0.35">
      <c r="A729" s="294"/>
      <c r="B729" s="296"/>
      <c r="C729" s="298"/>
      <c r="D729" s="300"/>
      <c r="E729" s="302"/>
      <c r="F729" s="304"/>
      <c r="G729" s="276"/>
      <c r="H729" s="277"/>
      <c r="I729" s="290"/>
      <c r="J729" s="290"/>
      <c r="K729" s="291"/>
      <c r="L729" s="17"/>
      <c r="M729" s="286"/>
      <c r="N729" s="21"/>
      <c r="O729" s="286"/>
      <c r="P729" s="21"/>
      <c r="Q729" s="286"/>
      <c r="R729" s="248"/>
      <c r="S729" s="287"/>
      <c r="T729" s="248"/>
      <c r="U729" s="13"/>
      <c r="V729" s="282"/>
      <c r="W729" s="283"/>
      <c r="X729" s="284"/>
      <c r="Y729" s="245"/>
      <c r="Z729" s="245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BP729" s="391"/>
      <c r="BQ729" s="393"/>
      <c r="BS729" s="50" t="str">
        <f>Q1440</f>
        <v/>
      </c>
      <c r="BT729" s="50" t="e">
        <f>#REF!</f>
        <v>#REF!</v>
      </c>
      <c r="BU729" s="39" t="str">
        <f t="shared" si="1135"/>
        <v/>
      </c>
      <c r="BV729" s="39" t="str">
        <f t="shared" si="1128"/>
        <v/>
      </c>
    </row>
    <row r="730" spans="1:74" ht="14.25" customHeight="1" x14ac:dyDescent="0.35">
      <c r="A730" s="293">
        <v>357</v>
      </c>
      <c r="B730" s="295"/>
      <c r="C730" s="297"/>
      <c r="D730" s="299"/>
      <c r="E730" s="301"/>
      <c r="F730" s="303"/>
      <c r="G730" s="288"/>
      <c r="H730" s="289"/>
      <c r="I730" s="290"/>
      <c r="J730" s="290"/>
      <c r="K730" s="291"/>
      <c r="L730" s="18"/>
      <c r="M730" s="285" t="str">
        <f t="shared" ref="M730" si="1136">IF(COUNT(L730:L731)&lt;1,"",AVERAGE(L730:L731))</f>
        <v/>
      </c>
      <c r="N730" s="22"/>
      <c r="O730" s="285" t="str">
        <f t="shared" ref="O730" si="1137">IF(COUNT(N730:N731)&lt;1,"",AVERAGE(N730:N731))</f>
        <v/>
      </c>
      <c r="P730" s="22"/>
      <c r="Q730" s="285" t="str">
        <f t="shared" ref="Q730" si="1138">IF(COUNT(P730:P731)&lt;1,"",AVERAGE(P730:P731))</f>
        <v/>
      </c>
      <c r="R730" s="278" t="str">
        <f>IF($X$13="/28",IF(COUNT(P730:P731)&lt;=1,"",ABS(P730-P731)),IF($X$13="/90",IF(COUNT(#REF!)&lt;=1,"",ABS(#REF!-#REF!))))</f>
        <v/>
      </c>
      <c r="S730" s="278" t="str">
        <f>IF($X$13="/28",IF(Q730="","",IF(AVERAGE(Q726:Q731)&gt;=$W$13,ROUND(AVERAGE(Q726:Q731),1)&amp;" ≥ "&amp;$W$13&amp;" OK",ROUND(AVERAGE(Q726:Q731),1)&amp;" &lt; "&amp;$W$13&amp;" NC")),IF($X$13="/90",IF(#REF!="","",IF(AVERAGE(#REF!)&gt;=$W$13,ROUND(AVERAGE(#REF!),1)&amp;" ≥ "&amp;$W$13&amp;" OK",ROUND(AVERAGE(#REF!),1)&amp;" &lt; "&amp;$W$13&amp;" NC"))))</f>
        <v/>
      </c>
      <c r="T730" s="278" t="str">
        <f>IF($X$13="/28",IF(Q730="","",IF(Q730&gt;=$W$13-$S$12,ROUND((Q730),1)&amp;" ≥ "&amp;$W$13-$S$12&amp;" OK",ROUND((Q730),1)&amp;" &lt; "&amp;$W$13-$S$12&amp;" NC")),IF($X$13="/90",IF(#REF!="","",IF(#REF!&gt;=$W$13-$S$12,ROUND((#REF!),1)&amp;" ≥ "&amp;$W$13-$S$12&amp;" OK",ROUND((#REF!),1)&amp;" &lt; "&amp;$W$13-$S$12&amp;" NC"))))</f>
        <v/>
      </c>
      <c r="U730" s="14"/>
      <c r="V730" s="279"/>
      <c r="W730" s="280"/>
      <c r="X730" s="281"/>
      <c r="Y730" s="246"/>
      <c r="Z730" s="246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BP730" s="390" t="str">
        <f>IF($X$13="/28",IF(Q730="","",Q730),IF($X$13="/90",IF(#REF!="","",#REF!),"Falso"))</f>
        <v/>
      </c>
      <c r="BQ730" s="392" t="str">
        <f t="shared" si="1082"/>
        <v/>
      </c>
      <c r="BS730" s="50" t="str">
        <f>Q1442</f>
        <v/>
      </c>
      <c r="BT730" s="50" t="e">
        <f>#REF!</f>
        <v>#REF!</v>
      </c>
      <c r="BU730" s="39" t="str">
        <f t="shared" si="1135"/>
        <v/>
      </c>
      <c r="BV730" s="39" t="str">
        <f t="shared" si="1128"/>
        <v/>
      </c>
    </row>
    <row r="731" spans="1:74" ht="14.25" customHeight="1" x14ac:dyDescent="0.35">
      <c r="A731" s="294"/>
      <c r="B731" s="296"/>
      <c r="C731" s="298"/>
      <c r="D731" s="300"/>
      <c r="E731" s="302"/>
      <c r="F731" s="304"/>
      <c r="G731" s="276"/>
      <c r="H731" s="277"/>
      <c r="I731" s="290"/>
      <c r="J731" s="290"/>
      <c r="K731" s="291"/>
      <c r="L731" s="17"/>
      <c r="M731" s="286"/>
      <c r="N731" s="21"/>
      <c r="O731" s="286"/>
      <c r="P731" s="21"/>
      <c r="Q731" s="286"/>
      <c r="R731" s="248"/>
      <c r="S731" s="287"/>
      <c r="T731" s="248"/>
      <c r="U731" s="13"/>
      <c r="V731" s="282"/>
      <c r="W731" s="283"/>
      <c r="X731" s="284"/>
      <c r="Y731" s="245"/>
      <c r="Z731" s="245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BP731" s="391"/>
      <c r="BQ731" s="393"/>
      <c r="BS731" s="50" t="str">
        <f>Q1444</f>
        <v/>
      </c>
      <c r="BT731" s="50" t="e">
        <f>#REF!</f>
        <v>#REF!</v>
      </c>
      <c r="BU731" s="39" t="str">
        <f t="shared" si="1135"/>
        <v/>
      </c>
      <c r="BV731" s="39" t="str">
        <f t="shared" si="1128"/>
        <v/>
      </c>
    </row>
    <row r="732" spans="1:74" ht="14.25" customHeight="1" x14ac:dyDescent="0.35">
      <c r="A732" s="293">
        <v>358</v>
      </c>
      <c r="B732" s="295"/>
      <c r="C732" s="297"/>
      <c r="D732" s="299"/>
      <c r="E732" s="301"/>
      <c r="F732" s="303"/>
      <c r="G732" s="288"/>
      <c r="H732" s="289"/>
      <c r="I732" s="290"/>
      <c r="J732" s="290"/>
      <c r="K732" s="291"/>
      <c r="L732" s="18"/>
      <c r="M732" s="285" t="str">
        <f t="shared" ref="M732" si="1139">IF(COUNT(L732:L733)&lt;1,"",AVERAGE(L732:L733))</f>
        <v/>
      </c>
      <c r="N732" s="22"/>
      <c r="O732" s="285" t="str">
        <f t="shared" ref="O732" si="1140">IF(COUNT(N732:N733)&lt;1,"",AVERAGE(N732:N733))</f>
        <v/>
      </c>
      <c r="P732" s="22"/>
      <c r="Q732" s="285" t="str">
        <f t="shared" ref="Q732" si="1141">IF(COUNT(P732:P733)&lt;1,"",AVERAGE(P732:P733))</f>
        <v/>
      </c>
      <c r="R732" s="278" t="str">
        <f>IF($X$13="/28",IF(COUNT(P732:P733)&lt;=1,"",ABS(P732-P733)),IF($X$13="/90",IF(COUNT(#REF!)&lt;=1,"",ABS(#REF!-#REF!))))</f>
        <v/>
      </c>
      <c r="S732" s="278" t="str">
        <f>IF($X$13="/28",IF(Q732="","",IF(AVERAGE(Q728:Q733)&gt;=$W$13,ROUND(AVERAGE(Q728:Q733),1)&amp;" ≥ "&amp;$W$13&amp;" OK",ROUND(AVERAGE(Q728:Q733),1)&amp;" &lt; "&amp;$W$13&amp;" NC")),IF($X$13="/90",IF(#REF!="","",IF(AVERAGE(#REF!)&gt;=$W$13,ROUND(AVERAGE(#REF!),1)&amp;" ≥ "&amp;$W$13&amp;" OK",ROUND(AVERAGE(#REF!),1)&amp;" &lt; "&amp;$W$13&amp;" NC"))))</f>
        <v/>
      </c>
      <c r="T732" s="278" t="str">
        <f>IF($X$13="/28",IF(Q732="","",IF(Q732&gt;=$W$13-$S$12,ROUND((Q732),1)&amp;" ≥ "&amp;$W$13-$S$12&amp;" OK",ROUND((Q732),1)&amp;" &lt; "&amp;$W$13-$S$12&amp;" NC")),IF($X$13="/90",IF(#REF!="","",IF(#REF!&gt;=$W$13-$S$12,ROUND((#REF!),1)&amp;" ≥ "&amp;$W$13-$S$12&amp;" OK",ROUND((#REF!),1)&amp;" &lt; "&amp;$W$13-$S$12&amp;" NC"))))</f>
        <v/>
      </c>
      <c r="U732" s="14"/>
      <c r="V732" s="279"/>
      <c r="W732" s="280"/>
      <c r="X732" s="281"/>
      <c r="Y732" s="246"/>
      <c r="Z732" s="246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BP732" s="390" t="str">
        <f>IF($X$13="/28",IF(Q732="","",Q732),IF($X$13="/90",IF(#REF!="","",#REF!),"Falso"))</f>
        <v/>
      </c>
      <c r="BQ732" s="392" t="str">
        <f t="shared" si="1074"/>
        <v/>
      </c>
      <c r="BS732" s="50" t="str">
        <f>Q1446</f>
        <v/>
      </c>
      <c r="BT732" s="50" t="e">
        <f>#REF!</f>
        <v>#REF!</v>
      </c>
      <c r="BU732" s="39" t="str">
        <f t="shared" si="1135"/>
        <v/>
      </c>
      <c r="BV732" s="39" t="str">
        <f t="shared" si="1128"/>
        <v/>
      </c>
    </row>
    <row r="733" spans="1:74" ht="14.25" customHeight="1" x14ac:dyDescent="0.35">
      <c r="A733" s="294"/>
      <c r="B733" s="296"/>
      <c r="C733" s="298"/>
      <c r="D733" s="300"/>
      <c r="E733" s="302"/>
      <c r="F733" s="304"/>
      <c r="G733" s="276"/>
      <c r="H733" s="277"/>
      <c r="I733" s="290"/>
      <c r="J733" s="290"/>
      <c r="K733" s="291"/>
      <c r="L733" s="17"/>
      <c r="M733" s="286"/>
      <c r="N733" s="21"/>
      <c r="O733" s="286"/>
      <c r="P733" s="21"/>
      <c r="Q733" s="286"/>
      <c r="R733" s="248"/>
      <c r="S733" s="287"/>
      <c r="T733" s="248"/>
      <c r="U733" s="13"/>
      <c r="V733" s="282"/>
      <c r="W733" s="283"/>
      <c r="X733" s="284"/>
      <c r="Y733" s="245"/>
      <c r="Z733" s="245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BP733" s="391"/>
      <c r="BQ733" s="393"/>
      <c r="BS733" s="50" t="str">
        <f>Q1448</f>
        <v/>
      </c>
      <c r="BT733" s="50" t="e">
        <f>#REF!</f>
        <v>#REF!</v>
      </c>
      <c r="BU733" s="39" t="str">
        <f t="shared" si="1135"/>
        <v/>
      </c>
      <c r="BV733" s="39" t="str">
        <f t="shared" si="1128"/>
        <v/>
      </c>
    </row>
    <row r="734" spans="1:74" ht="14.25" customHeight="1" x14ac:dyDescent="0.35">
      <c r="A734" s="293">
        <v>359</v>
      </c>
      <c r="B734" s="295"/>
      <c r="C734" s="297"/>
      <c r="D734" s="299"/>
      <c r="E734" s="301"/>
      <c r="F734" s="303"/>
      <c r="G734" s="288"/>
      <c r="H734" s="289"/>
      <c r="I734" s="290"/>
      <c r="J734" s="290"/>
      <c r="K734" s="291"/>
      <c r="L734" s="18"/>
      <c r="M734" s="285" t="str">
        <f t="shared" ref="M734" si="1142">IF(COUNT(L734:L735)&lt;1,"",AVERAGE(L734:L735))</f>
        <v/>
      </c>
      <c r="N734" s="22"/>
      <c r="O734" s="285" t="str">
        <f t="shared" ref="O734" si="1143">IF(COUNT(N734:N735)&lt;1,"",AVERAGE(N734:N735))</f>
        <v/>
      </c>
      <c r="P734" s="22"/>
      <c r="Q734" s="285" t="str">
        <f t="shared" ref="Q734" si="1144">IF(COUNT(P734:P735)&lt;1,"",AVERAGE(P734:P735))</f>
        <v/>
      </c>
      <c r="R734" s="278" t="str">
        <f>IF($X$13="/28",IF(COUNT(P734:P735)&lt;=1,"",ABS(P734-P735)),IF($X$13="/90",IF(COUNT(#REF!)&lt;=1,"",ABS(#REF!-#REF!))))</f>
        <v/>
      </c>
      <c r="S734" s="278" t="str">
        <f>IF($X$13="/28",IF(Q734="","",IF(AVERAGE(Q730:Q735)&gt;=$W$13,ROUND(AVERAGE(Q730:Q735),1)&amp;" ≥ "&amp;$W$13&amp;" OK",ROUND(AVERAGE(Q730:Q735),1)&amp;" &lt; "&amp;$W$13&amp;" NC")),IF($X$13="/90",IF(#REF!="","",IF(AVERAGE(#REF!)&gt;=$W$13,ROUND(AVERAGE(#REF!),1)&amp;" ≥ "&amp;$W$13&amp;" OK",ROUND(AVERAGE(#REF!),1)&amp;" &lt; "&amp;$W$13&amp;" NC"))))</f>
        <v/>
      </c>
      <c r="T734" s="278" t="str">
        <f>IF($X$13="/28",IF(Q734="","",IF(Q734&gt;=$W$13-$S$12,ROUND((Q734),1)&amp;" ≥ "&amp;$W$13-$S$12&amp;" OK",ROUND((Q734),1)&amp;" &lt; "&amp;$W$13-$S$12&amp;" NC")),IF($X$13="/90",IF(#REF!="","",IF(#REF!&gt;=$W$13-$S$12,ROUND((#REF!),1)&amp;" ≥ "&amp;$W$13-$S$12&amp;" OK",ROUND((#REF!),1)&amp;" &lt; "&amp;$W$13-$S$12&amp;" NC"))))</f>
        <v/>
      </c>
      <c r="U734" s="14"/>
      <c r="V734" s="279"/>
      <c r="W734" s="280"/>
      <c r="X734" s="281"/>
      <c r="Y734" s="246"/>
      <c r="Z734" s="246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BP734" s="390" t="str">
        <f>IF($X$13="/28",IF(Q734="","",Q734),IF($X$13="/90",IF(#REF!="","",#REF!),"Falso"))</f>
        <v/>
      </c>
      <c r="BQ734" s="392" t="str">
        <f t="shared" si="1078"/>
        <v/>
      </c>
      <c r="BS734" s="50" t="str">
        <f>Q1450</f>
        <v/>
      </c>
      <c r="BT734" s="50" t="e">
        <f>#REF!</f>
        <v>#REF!</v>
      </c>
      <c r="BU734" s="39" t="str">
        <f t="shared" si="1135"/>
        <v/>
      </c>
      <c r="BV734" s="39" t="str">
        <f t="shared" si="1128"/>
        <v/>
      </c>
    </row>
    <row r="735" spans="1:74" ht="14.25" customHeight="1" x14ac:dyDescent="0.35">
      <c r="A735" s="294"/>
      <c r="B735" s="296"/>
      <c r="C735" s="298"/>
      <c r="D735" s="300"/>
      <c r="E735" s="302"/>
      <c r="F735" s="304"/>
      <c r="G735" s="276"/>
      <c r="H735" s="277"/>
      <c r="I735" s="290"/>
      <c r="J735" s="290"/>
      <c r="K735" s="291"/>
      <c r="L735" s="17"/>
      <c r="M735" s="286"/>
      <c r="N735" s="21"/>
      <c r="O735" s="286"/>
      <c r="P735" s="21"/>
      <c r="Q735" s="286"/>
      <c r="R735" s="248"/>
      <c r="S735" s="287"/>
      <c r="T735" s="248"/>
      <c r="U735" s="13"/>
      <c r="V735" s="282"/>
      <c r="W735" s="283"/>
      <c r="X735" s="284"/>
      <c r="Y735" s="245"/>
      <c r="Z735" s="245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BP735" s="391"/>
      <c r="BQ735" s="393"/>
      <c r="BS735" s="50" t="str">
        <f>Q1452</f>
        <v/>
      </c>
      <c r="BT735" s="50" t="e">
        <f>#REF!</f>
        <v>#REF!</v>
      </c>
      <c r="BU735" s="39" t="str">
        <f t="shared" si="1135"/>
        <v/>
      </c>
      <c r="BV735" s="39" t="str">
        <f t="shared" si="1128"/>
        <v/>
      </c>
    </row>
    <row r="736" spans="1:74" ht="14.25" customHeight="1" x14ac:dyDescent="0.35">
      <c r="A736" s="293">
        <v>360</v>
      </c>
      <c r="B736" s="295"/>
      <c r="C736" s="297"/>
      <c r="D736" s="299"/>
      <c r="E736" s="301"/>
      <c r="F736" s="303"/>
      <c r="G736" s="288"/>
      <c r="H736" s="289"/>
      <c r="I736" s="290"/>
      <c r="J736" s="290"/>
      <c r="K736" s="291"/>
      <c r="L736" s="18"/>
      <c r="M736" s="285" t="str">
        <f t="shared" ref="M736" si="1145">IF(COUNT(L736:L737)&lt;1,"",AVERAGE(L736:L737))</f>
        <v/>
      </c>
      <c r="N736" s="22"/>
      <c r="O736" s="285" t="str">
        <f t="shared" ref="O736" si="1146">IF(COUNT(N736:N737)&lt;1,"",AVERAGE(N736:N737))</f>
        <v/>
      </c>
      <c r="P736" s="22"/>
      <c r="Q736" s="285" t="str">
        <f t="shared" ref="Q736" si="1147">IF(COUNT(P736:P737)&lt;1,"",AVERAGE(P736:P737))</f>
        <v/>
      </c>
      <c r="R736" s="278" t="str">
        <f>IF($X$13="/28",IF(COUNT(P736:P737)&lt;=1,"",ABS(P736-P737)),IF($X$13="/90",IF(COUNT(#REF!)&lt;=1,"",ABS(#REF!-#REF!))))</f>
        <v/>
      </c>
      <c r="S736" s="278" t="str">
        <f>IF($X$13="/28",IF(Q736="","",IF(AVERAGE(Q732:Q737)&gt;=$W$13,ROUND(AVERAGE(Q732:Q737),1)&amp;" ≥ "&amp;$W$13&amp;" OK",ROUND(AVERAGE(Q732:Q737),1)&amp;" &lt; "&amp;$W$13&amp;" NC")),IF($X$13="/90",IF(#REF!="","",IF(AVERAGE(#REF!)&gt;=$W$13,ROUND(AVERAGE(#REF!),1)&amp;" ≥ "&amp;$W$13&amp;" OK",ROUND(AVERAGE(#REF!),1)&amp;" &lt; "&amp;$W$13&amp;" NC"))))</f>
        <v/>
      </c>
      <c r="T736" s="278" t="str">
        <f>IF($X$13="/28",IF(Q736="","",IF(Q736&gt;=$W$13-$S$12,ROUND((Q736),1)&amp;" ≥ "&amp;$W$13-$S$12&amp;" OK",ROUND((Q736),1)&amp;" &lt; "&amp;$W$13-$S$12&amp;" NC")),IF($X$13="/90",IF(#REF!="","",IF(#REF!&gt;=$W$13-$S$12,ROUND((#REF!),1)&amp;" ≥ "&amp;$W$13-$S$12&amp;" OK",ROUND((#REF!),1)&amp;" &lt; "&amp;$W$13-$S$12&amp;" NC"))))</f>
        <v/>
      </c>
      <c r="U736" s="14"/>
      <c r="V736" s="279"/>
      <c r="W736" s="280"/>
      <c r="X736" s="281"/>
      <c r="Y736" s="246"/>
      <c r="Z736" s="246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BP736" s="390" t="str">
        <f>IF($X$13="/28",IF(Q736="","",Q736),IF($X$13="/90",IF(#REF!="","",#REF!),"Falso"))</f>
        <v/>
      </c>
      <c r="BQ736" s="392" t="str">
        <f t="shared" si="1082"/>
        <v/>
      </c>
      <c r="BS736" s="50" t="str">
        <f>Q1454</f>
        <v/>
      </c>
      <c r="BT736" s="50" t="e">
        <f>#REF!</f>
        <v>#REF!</v>
      </c>
      <c r="BU736" s="39" t="str">
        <f t="shared" si="1135"/>
        <v/>
      </c>
      <c r="BV736" s="39" t="str">
        <f t="shared" si="1128"/>
        <v/>
      </c>
    </row>
    <row r="737" spans="1:74" ht="14.25" customHeight="1" thickBot="1" x14ac:dyDescent="0.4">
      <c r="A737" s="384"/>
      <c r="B737" s="385"/>
      <c r="C737" s="386"/>
      <c r="D737" s="387"/>
      <c r="E737" s="388"/>
      <c r="F737" s="389"/>
      <c r="G737" s="377"/>
      <c r="H737" s="378"/>
      <c r="I737" s="382"/>
      <c r="J737" s="382"/>
      <c r="K737" s="383"/>
      <c r="L737" s="19"/>
      <c r="M737" s="379"/>
      <c r="N737" s="23"/>
      <c r="O737" s="379"/>
      <c r="P737" s="23"/>
      <c r="Q737" s="379"/>
      <c r="R737" s="380"/>
      <c r="S737" s="381"/>
      <c r="T737" s="380"/>
      <c r="U737" s="15"/>
      <c r="V737" s="373"/>
      <c r="W737" s="374"/>
      <c r="X737" s="375"/>
      <c r="Y737" s="376"/>
      <c r="Z737" s="376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BP737" s="391"/>
      <c r="BQ737" s="393"/>
      <c r="BS737" s="50" t="str">
        <f>Q1456</f>
        <v/>
      </c>
      <c r="BT737" s="50" t="e">
        <f>#REF!</f>
        <v>#REF!</v>
      </c>
      <c r="BU737" s="39" t="str">
        <f t="shared" si="1135"/>
        <v/>
      </c>
      <c r="BV737" s="39" t="str">
        <f t="shared" si="1128"/>
        <v/>
      </c>
    </row>
    <row r="738" spans="1:74" ht="14.25" customHeight="1" x14ac:dyDescent="0.35">
      <c r="A738" s="311">
        <v>361</v>
      </c>
      <c r="B738" s="312"/>
      <c r="C738" s="313"/>
      <c r="D738" s="314"/>
      <c r="E738" s="315"/>
      <c r="F738" s="353"/>
      <c r="G738" s="354"/>
      <c r="H738" s="355"/>
      <c r="I738" s="356"/>
      <c r="J738" s="356"/>
      <c r="K738" s="357"/>
      <c r="L738" s="16"/>
      <c r="M738" s="352" t="str">
        <f t="shared" ref="M738" si="1148">IF(COUNT(L738:L739)&lt;1,"",AVERAGE(L738:L739))</f>
        <v/>
      </c>
      <c r="N738" s="20"/>
      <c r="O738" s="352" t="str">
        <f t="shared" ref="O738" si="1149">IF(COUNT(N738:N739)&lt;1,"",AVERAGE(N738:N739))</f>
        <v/>
      </c>
      <c r="P738" s="20"/>
      <c r="Q738" s="352" t="str">
        <f t="shared" ref="Q738" si="1150">IF(COUNT(P738:P739)&lt;1,"",AVERAGE(P738:P739))</f>
        <v/>
      </c>
      <c r="R738" s="247" t="str">
        <f>IF($X$13="/28",IF(COUNT(P738:P739)&lt;=1,"",ABS(P738-P739)),IF($X$13="/90",IF(COUNT(#REF!)&lt;=1,"",ABS(#REF!-#REF!))))</f>
        <v/>
      </c>
      <c r="S738" s="247" t="str">
        <f>IF($X$13="/28",IF(Q738="","",IF(AVERAGE(Q734:Q739)&gt;=$W$13,ROUND(AVERAGE(Q734:Q739),1)&amp;" ≥ "&amp;$W$13&amp;" OK",ROUND(AVERAGE(Q734:Q739),1)&amp;" &lt; "&amp;$W$13&amp;" NC")),IF($X$13="/90",IF(#REF!="","",IF(AVERAGE(#REF!)&gt;=$W$13,ROUND(AVERAGE(#REF!),1)&amp;" ≥ "&amp;$W$13&amp;" OK",ROUND(AVERAGE(#REF!),1)&amp;" &lt; "&amp;$W$13&amp;" NC"))))</f>
        <v/>
      </c>
      <c r="T738" s="247" t="str">
        <f>IF($X$13="/28",IF(Q738="","",IF(Q738&gt;=$W$13-$S$12,ROUND((Q738),1)&amp;" ≥ "&amp;$W$13-$S$12&amp;" OK",ROUND((Q738),1)&amp;" &lt; "&amp;$W$13-$S$12&amp;" NC")),IF($X$13="/90",IF(#REF!="","",IF(#REF!&gt;=$W$13-$S$12,ROUND((#REF!),1)&amp;" ≥ "&amp;$W$13-$S$12&amp;" OK",ROUND((#REF!),1)&amp;" &lt; "&amp;$W$13-$S$12&amp;" NC"))))</f>
        <v/>
      </c>
      <c r="U738" s="12"/>
      <c r="V738" s="349"/>
      <c r="W738" s="350"/>
      <c r="X738" s="351"/>
      <c r="Y738" s="244"/>
      <c r="Z738" s="244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BP738" s="390" t="str">
        <f>IF($X$13="/28",IF(Q738="","",Q738),IF($X$13="/90",IF(#REF!="","",#REF!),"Falso"))</f>
        <v/>
      </c>
      <c r="BQ738" s="392" t="str">
        <f t="shared" si="1074"/>
        <v/>
      </c>
      <c r="BS738" s="50" t="str">
        <f>Q1458</f>
        <v/>
      </c>
      <c r="BT738" s="50" t="e">
        <f>#REF!</f>
        <v>#REF!</v>
      </c>
      <c r="BU738" s="39" t="str">
        <f t="shared" si="1135"/>
        <v/>
      </c>
      <c r="BV738" s="39" t="str">
        <f t="shared" si="1128"/>
        <v/>
      </c>
    </row>
    <row r="739" spans="1:74" ht="14.25" customHeight="1" x14ac:dyDescent="0.35">
      <c r="A739" s="294"/>
      <c r="B739" s="296"/>
      <c r="C739" s="298"/>
      <c r="D739" s="300"/>
      <c r="E739" s="302"/>
      <c r="F739" s="304"/>
      <c r="G739" s="276"/>
      <c r="H739" s="277"/>
      <c r="I739" s="290"/>
      <c r="J739" s="290"/>
      <c r="K739" s="291"/>
      <c r="L739" s="17"/>
      <c r="M739" s="286"/>
      <c r="N739" s="21"/>
      <c r="O739" s="286"/>
      <c r="P739" s="21"/>
      <c r="Q739" s="286"/>
      <c r="R739" s="248"/>
      <c r="S739" s="248"/>
      <c r="T739" s="248"/>
      <c r="U739" s="13"/>
      <c r="V739" s="282"/>
      <c r="W739" s="283"/>
      <c r="X739" s="284"/>
      <c r="Y739" s="245"/>
      <c r="Z739" s="245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BP739" s="391"/>
      <c r="BQ739" s="393"/>
      <c r="BS739" s="50" t="str">
        <f>Q1460</f>
        <v/>
      </c>
      <c r="BT739" s="50" t="e">
        <f>#REF!</f>
        <v>#REF!</v>
      </c>
      <c r="BU739" s="39" t="str">
        <f t="shared" si="1135"/>
        <v/>
      </c>
      <c r="BV739" s="39" t="str">
        <f t="shared" si="1128"/>
        <v/>
      </c>
    </row>
    <row r="740" spans="1:74" ht="14.25" customHeight="1" x14ac:dyDescent="0.35">
      <c r="A740" s="293">
        <v>362</v>
      </c>
      <c r="B740" s="295"/>
      <c r="C740" s="297"/>
      <c r="D740" s="299"/>
      <c r="E740" s="301"/>
      <c r="F740" s="303"/>
      <c r="G740" s="288"/>
      <c r="H740" s="289"/>
      <c r="I740" s="290"/>
      <c r="J740" s="290"/>
      <c r="K740" s="291"/>
      <c r="L740" s="18"/>
      <c r="M740" s="285" t="str">
        <f t="shared" ref="M740" si="1151">IF(COUNT(L740:L741)&lt;1,"",AVERAGE(L740:L741))</f>
        <v/>
      </c>
      <c r="N740" s="22"/>
      <c r="O740" s="285" t="str">
        <f t="shared" ref="O740" si="1152">IF(COUNT(N740:N741)&lt;1,"",AVERAGE(N740:N741))</f>
        <v/>
      </c>
      <c r="P740" s="22"/>
      <c r="Q740" s="285" t="str">
        <f t="shared" ref="Q740" si="1153">IF(COUNT(P740:P741)&lt;1,"",AVERAGE(P740:P741))</f>
        <v/>
      </c>
      <c r="R740" s="278" t="str">
        <f>IF($X$13="/28",IF(COUNT(P740:P741)&lt;=1,"",ABS(P740-P741)),IF($X$13="/90",IF(COUNT(#REF!)&lt;=1,"",ABS(#REF!-#REF!))))</f>
        <v/>
      </c>
      <c r="S740" s="278" t="str">
        <f>IF($X$13="/28",IF(Q740="","",IF(AVERAGE(Q736:Q741)&gt;=$W$13,ROUND(AVERAGE(Q736:Q741),1)&amp;" ≥ "&amp;$W$13&amp;" OK",ROUND(AVERAGE(Q736:Q741),1)&amp;" &lt; "&amp;$W$13&amp;" NC")),IF($X$13="/90",IF(#REF!="","",IF(AVERAGE(#REF!)&gt;=$W$13,ROUND(AVERAGE(#REF!),1)&amp;" ≥ "&amp;$W$13&amp;" OK",ROUND(AVERAGE(#REF!),1)&amp;" &lt; "&amp;$W$13&amp;" NC"))))</f>
        <v/>
      </c>
      <c r="T740" s="278" t="str">
        <f>IF($X$13="/28",IF(Q740="","",IF(Q740&gt;=$W$13-$S$12,ROUND((Q740),1)&amp;" ≥ "&amp;$W$13-$S$12&amp;" OK",ROUND((Q740),1)&amp;" &lt; "&amp;$W$13-$S$12&amp;" NC")),IF($X$13="/90",IF(#REF!="","",IF(#REF!&gt;=$W$13-$S$12,ROUND((#REF!),1)&amp;" ≥ "&amp;$W$13-$S$12&amp;" OK",ROUND((#REF!),1)&amp;" &lt; "&amp;$W$13-$S$12&amp;" NC"))))</f>
        <v/>
      </c>
      <c r="U740" s="14"/>
      <c r="V740" s="279"/>
      <c r="W740" s="280"/>
      <c r="X740" s="281"/>
      <c r="Y740" s="246"/>
      <c r="Z740" s="246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BP740" s="390" t="str">
        <f>IF($X$13="/28",IF(Q740="","",Q740),IF($X$13="/90",IF(#REF!="","",#REF!),"Falso"))</f>
        <v/>
      </c>
      <c r="BQ740" s="392" t="str">
        <f t="shared" si="1078"/>
        <v/>
      </c>
      <c r="BS740" s="50" t="str">
        <f>Q1462</f>
        <v/>
      </c>
      <c r="BT740" s="50" t="e">
        <f>#REF!</f>
        <v>#REF!</v>
      </c>
      <c r="BU740" s="39" t="str">
        <f t="shared" si="1135"/>
        <v/>
      </c>
      <c r="BV740" s="39" t="str">
        <f t="shared" si="1128"/>
        <v/>
      </c>
    </row>
    <row r="741" spans="1:74" ht="14.25" customHeight="1" x14ac:dyDescent="0.35">
      <c r="A741" s="294"/>
      <c r="B741" s="296"/>
      <c r="C741" s="298"/>
      <c r="D741" s="300"/>
      <c r="E741" s="302"/>
      <c r="F741" s="304"/>
      <c r="G741" s="276"/>
      <c r="H741" s="277"/>
      <c r="I741" s="290"/>
      <c r="J741" s="290"/>
      <c r="K741" s="291"/>
      <c r="L741" s="17"/>
      <c r="M741" s="286"/>
      <c r="N741" s="21"/>
      <c r="O741" s="286"/>
      <c r="P741" s="21"/>
      <c r="Q741" s="286"/>
      <c r="R741" s="248"/>
      <c r="S741" s="248"/>
      <c r="T741" s="248"/>
      <c r="U741" s="13"/>
      <c r="V741" s="282"/>
      <c r="W741" s="283"/>
      <c r="X741" s="284"/>
      <c r="Y741" s="245"/>
      <c r="Z741" s="245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BP741" s="391"/>
      <c r="BQ741" s="393"/>
      <c r="BS741" s="50" t="str">
        <f>Q1464</f>
        <v/>
      </c>
      <c r="BT741" s="50" t="e">
        <f>#REF!</f>
        <v>#REF!</v>
      </c>
      <c r="BU741" s="39" t="str">
        <f t="shared" si="1135"/>
        <v/>
      </c>
      <c r="BV741" s="39" t="str">
        <f t="shared" si="1128"/>
        <v/>
      </c>
    </row>
    <row r="742" spans="1:74" ht="14.25" customHeight="1" x14ac:dyDescent="0.35">
      <c r="A742" s="293">
        <v>363</v>
      </c>
      <c r="B742" s="295"/>
      <c r="C742" s="297"/>
      <c r="D742" s="299"/>
      <c r="E742" s="301"/>
      <c r="F742" s="303"/>
      <c r="G742" s="288"/>
      <c r="H742" s="289"/>
      <c r="I742" s="290"/>
      <c r="J742" s="290"/>
      <c r="K742" s="291"/>
      <c r="L742" s="18"/>
      <c r="M742" s="285" t="str">
        <f t="shared" ref="M742" si="1154">IF(COUNT(L742:L743)&lt;1,"",AVERAGE(L742:L743))</f>
        <v/>
      </c>
      <c r="N742" s="22"/>
      <c r="O742" s="285" t="str">
        <f t="shared" ref="O742" si="1155">IF(COUNT(N742:N743)&lt;1,"",AVERAGE(N742:N743))</f>
        <v/>
      </c>
      <c r="P742" s="22"/>
      <c r="Q742" s="285" t="str">
        <f t="shared" ref="Q742" si="1156">IF(COUNT(P742:P743)&lt;1,"",AVERAGE(P742:P743))</f>
        <v/>
      </c>
      <c r="R742" s="278" t="str">
        <f>IF($X$13="/28",IF(COUNT(P742:P743)&lt;=1,"",ABS(P742-P743)),IF($X$13="/90",IF(COUNT(#REF!)&lt;=1,"",ABS(#REF!-#REF!))))</f>
        <v/>
      </c>
      <c r="S742" s="278" t="str">
        <f>IF($X$13="/28",IF(Q742="","",IF(AVERAGE(Q738:Q743)&gt;=$W$13,ROUND(AVERAGE(Q738:Q743),1)&amp;" ≥ "&amp;$W$13&amp;" OK",ROUND(AVERAGE(Q738:Q743),1)&amp;" &lt; "&amp;$W$13&amp;" NC")),IF($X$13="/90",IF(#REF!="","",IF(AVERAGE(#REF!)&gt;=$W$13,ROUND(AVERAGE(#REF!),1)&amp;" ≥ "&amp;$W$13&amp;" OK",ROUND(AVERAGE(#REF!),1)&amp;" &lt; "&amp;$W$13&amp;" NC"))))</f>
        <v/>
      </c>
      <c r="T742" s="278" t="str">
        <f>IF($X$13="/28",IF(Q742="","",IF(Q742&gt;=$W$13-$S$12,ROUND((Q742),1)&amp;" ≥ "&amp;$W$13-$S$12&amp;" OK",ROUND((Q742),1)&amp;" &lt; "&amp;$W$13-$S$12&amp;" NC")),IF($X$13="/90",IF(#REF!="","",IF(#REF!&gt;=$W$13-$S$12,ROUND((#REF!),1)&amp;" ≥ "&amp;$W$13-$S$12&amp;" OK",ROUND((#REF!),1)&amp;" &lt; "&amp;$W$13-$S$12&amp;" NC"))))</f>
        <v/>
      </c>
      <c r="U742" s="14"/>
      <c r="V742" s="279"/>
      <c r="W742" s="280"/>
      <c r="X742" s="281"/>
      <c r="Y742" s="246"/>
      <c r="Z742" s="246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BP742" s="390" t="str">
        <f>IF($X$13="/28",IF(Q742="","",Q742),IF($X$13="/90",IF(#REF!="","",#REF!),"Falso"))</f>
        <v/>
      </c>
      <c r="BQ742" s="392" t="str">
        <f t="shared" si="1082"/>
        <v/>
      </c>
      <c r="BS742" s="50" t="str">
        <f>Q1466</f>
        <v/>
      </c>
      <c r="BT742" s="50" t="e">
        <f>#REF!</f>
        <v>#REF!</v>
      </c>
      <c r="BU742" s="39" t="str">
        <f t="shared" si="1135"/>
        <v/>
      </c>
      <c r="BV742" s="39" t="str">
        <f t="shared" si="1128"/>
        <v/>
      </c>
    </row>
    <row r="743" spans="1:74" ht="14.25" customHeight="1" x14ac:dyDescent="0.35">
      <c r="A743" s="294"/>
      <c r="B743" s="296"/>
      <c r="C743" s="298"/>
      <c r="D743" s="300"/>
      <c r="E743" s="302"/>
      <c r="F743" s="304"/>
      <c r="G743" s="276"/>
      <c r="H743" s="277"/>
      <c r="I743" s="290"/>
      <c r="J743" s="290"/>
      <c r="K743" s="291"/>
      <c r="L743" s="17"/>
      <c r="M743" s="286"/>
      <c r="N743" s="21"/>
      <c r="O743" s="286"/>
      <c r="P743" s="21"/>
      <c r="Q743" s="286"/>
      <c r="R743" s="248"/>
      <c r="S743" s="287"/>
      <c r="T743" s="248"/>
      <c r="U743" s="13"/>
      <c r="V743" s="282"/>
      <c r="W743" s="283"/>
      <c r="X743" s="284"/>
      <c r="Y743" s="245"/>
      <c r="Z743" s="245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BP743" s="391"/>
      <c r="BQ743" s="393"/>
      <c r="BS743" s="50" t="str">
        <f>Q1468</f>
        <v/>
      </c>
      <c r="BT743" s="50" t="e">
        <f>#REF!</f>
        <v>#REF!</v>
      </c>
      <c r="BU743" s="39" t="str">
        <f t="shared" si="1135"/>
        <v/>
      </c>
      <c r="BV743" s="39" t="str">
        <f t="shared" si="1128"/>
        <v/>
      </c>
    </row>
    <row r="744" spans="1:74" ht="14.25" customHeight="1" x14ac:dyDescent="0.35">
      <c r="A744" s="293">
        <v>364</v>
      </c>
      <c r="B744" s="295"/>
      <c r="C744" s="297"/>
      <c r="D744" s="299"/>
      <c r="E744" s="301"/>
      <c r="F744" s="303"/>
      <c r="G744" s="288"/>
      <c r="H744" s="289"/>
      <c r="I744" s="290"/>
      <c r="J744" s="290"/>
      <c r="K744" s="291"/>
      <c r="L744" s="18"/>
      <c r="M744" s="285" t="str">
        <f t="shared" ref="M744" si="1157">IF(COUNT(L744:L745)&lt;1,"",AVERAGE(L744:L745))</f>
        <v/>
      </c>
      <c r="N744" s="22"/>
      <c r="O744" s="285" t="str">
        <f t="shared" ref="O744" si="1158">IF(COUNT(N744:N745)&lt;1,"",AVERAGE(N744:N745))</f>
        <v/>
      </c>
      <c r="P744" s="22"/>
      <c r="Q744" s="285" t="str">
        <f t="shared" ref="Q744" si="1159">IF(COUNT(P744:P745)&lt;1,"",AVERAGE(P744:P745))</f>
        <v/>
      </c>
      <c r="R744" s="278" t="str">
        <f>IF($X$13="/28",IF(COUNT(P744:P745)&lt;=1,"",ABS(P744-P745)),IF($X$13="/90",IF(COUNT(#REF!)&lt;=1,"",ABS(#REF!-#REF!))))</f>
        <v/>
      </c>
      <c r="S744" s="278" t="str">
        <f>IF($X$13="/28",IF(Q744="","",IF(AVERAGE(Q740:Q745)&gt;=$W$13,ROUND(AVERAGE(Q740:Q745),1)&amp;" ≥ "&amp;$W$13&amp;" OK",ROUND(AVERAGE(Q740:Q745),1)&amp;" &lt; "&amp;$W$13&amp;" NC")),IF($X$13="/90",IF(#REF!="","",IF(AVERAGE(#REF!)&gt;=$W$13,ROUND(AVERAGE(#REF!),1)&amp;" ≥ "&amp;$W$13&amp;" OK",ROUND(AVERAGE(#REF!),1)&amp;" &lt; "&amp;$W$13&amp;" NC"))))</f>
        <v/>
      </c>
      <c r="T744" s="278" t="str">
        <f>IF($X$13="/28",IF(Q744="","",IF(Q744&gt;=$W$13-$S$12,ROUND((Q744),1)&amp;" ≥ "&amp;$W$13-$S$12&amp;" OK",ROUND((Q744),1)&amp;" &lt; "&amp;$W$13-$S$12&amp;" NC")),IF($X$13="/90",IF(#REF!="","",IF(#REF!&gt;=$W$13-$S$12,ROUND((#REF!),1)&amp;" ≥ "&amp;$W$13-$S$12&amp;" OK",ROUND((#REF!),1)&amp;" &lt; "&amp;$W$13-$S$12&amp;" NC"))))</f>
        <v/>
      </c>
      <c r="U744" s="14"/>
      <c r="V744" s="279"/>
      <c r="W744" s="280"/>
      <c r="X744" s="281"/>
      <c r="Y744" s="246"/>
      <c r="Z744" s="246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BP744" s="390" t="str">
        <f>IF($X$13="/28",IF(Q744="","",Q744),IF($X$13="/90",IF(#REF!="","",#REF!),"Falso"))</f>
        <v/>
      </c>
      <c r="BQ744" s="392" t="str">
        <f t="shared" si="1074"/>
        <v/>
      </c>
      <c r="BS744" s="50" t="str">
        <f>Q1470</f>
        <v/>
      </c>
      <c r="BT744" s="50" t="e">
        <f>#REF!</f>
        <v>#REF!</v>
      </c>
      <c r="BU744" s="39" t="str">
        <f t="shared" si="1135"/>
        <v/>
      </c>
      <c r="BV744" s="39" t="str">
        <f t="shared" si="1128"/>
        <v/>
      </c>
    </row>
    <row r="745" spans="1:74" ht="14.25" customHeight="1" x14ac:dyDescent="0.35">
      <c r="A745" s="294"/>
      <c r="B745" s="296"/>
      <c r="C745" s="298"/>
      <c r="D745" s="300"/>
      <c r="E745" s="302"/>
      <c r="F745" s="304"/>
      <c r="G745" s="276"/>
      <c r="H745" s="277"/>
      <c r="I745" s="290"/>
      <c r="J745" s="290"/>
      <c r="K745" s="291"/>
      <c r="L745" s="17"/>
      <c r="M745" s="286"/>
      <c r="N745" s="21"/>
      <c r="O745" s="286"/>
      <c r="P745" s="21"/>
      <c r="Q745" s="286"/>
      <c r="R745" s="248"/>
      <c r="S745" s="287"/>
      <c r="T745" s="248"/>
      <c r="U745" s="13"/>
      <c r="V745" s="282"/>
      <c r="W745" s="283"/>
      <c r="X745" s="284"/>
      <c r="Y745" s="245"/>
      <c r="Z745" s="245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BP745" s="391"/>
      <c r="BQ745" s="393"/>
      <c r="BS745" s="50" t="str">
        <f>Q1472</f>
        <v/>
      </c>
      <c r="BT745" s="50" t="e">
        <f>#REF!</f>
        <v>#REF!</v>
      </c>
      <c r="BU745" s="39" t="str">
        <f t="shared" si="1135"/>
        <v/>
      </c>
      <c r="BV745" s="39" t="str">
        <f t="shared" si="1128"/>
        <v/>
      </c>
    </row>
    <row r="746" spans="1:74" ht="14.25" customHeight="1" x14ac:dyDescent="0.35">
      <c r="A746" s="293">
        <v>365</v>
      </c>
      <c r="B746" s="295"/>
      <c r="C746" s="297"/>
      <c r="D746" s="299"/>
      <c r="E746" s="301"/>
      <c r="F746" s="303"/>
      <c r="G746" s="288"/>
      <c r="H746" s="289"/>
      <c r="I746" s="290"/>
      <c r="J746" s="290"/>
      <c r="K746" s="291"/>
      <c r="L746" s="18"/>
      <c r="M746" s="285" t="str">
        <f t="shared" ref="M746" si="1160">IF(COUNT(L746:L747)&lt;1,"",AVERAGE(L746:L747))</f>
        <v/>
      </c>
      <c r="N746" s="22"/>
      <c r="O746" s="285" t="str">
        <f t="shared" ref="O746" si="1161">IF(COUNT(N746:N747)&lt;1,"",AVERAGE(N746:N747))</f>
        <v/>
      </c>
      <c r="P746" s="22"/>
      <c r="Q746" s="285" t="str">
        <f t="shared" ref="Q746" si="1162">IF(COUNT(P746:P747)&lt;1,"",AVERAGE(P746:P747))</f>
        <v/>
      </c>
      <c r="R746" s="278" t="str">
        <f>IF($X$13="/28",IF(COUNT(P746:P747)&lt;=1,"",ABS(P746-P747)),IF($X$13="/90",IF(COUNT(#REF!)&lt;=1,"",ABS(#REF!-#REF!))))</f>
        <v/>
      </c>
      <c r="S746" s="278" t="str">
        <f>IF($X$13="/28",IF(Q746="","",IF(AVERAGE(Q742:Q747)&gt;=$W$13,ROUND(AVERAGE(Q742:Q747),1)&amp;" ≥ "&amp;$W$13&amp;" OK",ROUND(AVERAGE(Q742:Q747),1)&amp;" &lt; "&amp;$W$13&amp;" NC")),IF($X$13="/90",IF(#REF!="","",IF(AVERAGE(#REF!)&gt;=$W$13,ROUND(AVERAGE(#REF!),1)&amp;" ≥ "&amp;$W$13&amp;" OK",ROUND(AVERAGE(#REF!),1)&amp;" &lt; "&amp;$W$13&amp;" NC"))))</f>
        <v/>
      </c>
      <c r="T746" s="278" t="str">
        <f>IF($X$13="/28",IF(Q746="","",IF(Q746&gt;=$W$13-$S$12,ROUND((Q746),1)&amp;" ≥ "&amp;$W$13-$S$12&amp;" OK",ROUND((Q746),1)&amp;" &lt; "&amp;$W$13-$S$12&amp;" NC")),IF($X$13="/90",IF(#REF!="","",IF(#REF!&gt;=$W$13-$S$12,ROUND((#REF!),1)&amp;" ≥ "&amp;$W$13-$S$12&amp;" OK",ROUND((#REF!),1)&amp;" &lt; "&amp;$W$13-$S$12&amp;" NC"))))</f>
        <v/>
      </c>
      <c r="U746" s="14"/>
      <c r="V746" s="279"/>
      <c r="W746" s="280"/>
      <c r="X746" s="281"/>
      <c r="Y746" s="246"/>
      <c r="Z746" s="246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BP746" s="390" t="str">
        <f>IF($X$13="/28",IF(Q746="","",Q746),IF($X$13="/90",IF(#REF!="","",#REF!),"Falso"))</f>
        <v/>
      </c>
      <c r="BQ746" s="392" t="str">
        <f t="shared" si="1078"/>
        <v/>
      </c>
      <c r="BS746" s="50" t="str">
        <f>Q1474</f>
        <v/>
      </c>
      <c r="BT746" s="50" t="e">
        <f>#REF!</f>
        <v>#REF!</v>
      </c>
      <c r="BU746" s="39" t="str">
        <f t="shared" si="1135"/>
        <v/>
      </c>
      <c r="BV746" s="39" t="str">
        <f t="shared" si="1128"/>
        <v/>
      </c>
    </row>
    <row r="747" spans="1:74" ht="14.25" customHeight="1" x14ac:dyDescent="0.35">
      <c r="A747" s="294"/>
      <c r="B747" s="296"/>
      <c r="C747" s="298"/>
      <c r="D747" s="300"/>
      <c r="E747" s="302"/>
      <c r="F747" s="304"/>
      <c r="G747" s="276"/>
      <c r="H747" s="277"/>
      <c r="I747" s="290"/>
      <c r="J747" s="290"/>
      <c r="K747" s="291"/>
      <c r="L747" s="17"/>
      <c r="M747" s="286"/>
      <c r="N747" s="21"/>
      <c r="O747" s="286"/>
      <c r="P747" s="21"/>
      <c r="Q747" s="286"/>
      <c r="R747" s="248"/>
      <c r="S747" s="287"/>
      <c r="T747" s="248"/>
      <c r="U747" s="13"/>
      <c r="V747" s="282"/>
      <c r="W747" s="283"/>
      <c r="X747" s="284"/>
      <c r="Y747" s="245"/>
      <c r="Z747" s="245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BP747" s="391"/>
      <c r="BQ747" s="393"/>
      <c r="BS747" s="50" t="str">
        <f>Q1476</f>
        <v/>
      </c>
      <c r="BT747" s="50" t="e">
        <f>#REF!</f>
        <v>#REF!</v>
      </c>
      <c r="BU747" s="39" t="str">
        <f t="shared" si="1135"/>
        <v/>
      </c>
      <c r="BV747" s="39" t="str">
        <f t="shared" si="1128"/>
        <v/>
      </c>
    </row>
    <row r="748" spans="1:74" ht="14.25" customHeight="1" x14ac:dyDescent="0.35">
      <c r="A748" s="293">
        <v>366</v>
      </c>
      <c r="B748" s="295"/>
      <c r="C748" s="297"/>
      <c r="D748" s="299"/>
      <c r="E748" s="301"/>
      <c r="F748" s="303"/>
      <c r="G748" s="288"/>
      <c r="H748" s="289"/>
      <c r="I748" s="290"/>
      <c r="J748" s="290"/>
      <c r="K748" s="291"/>
      <c r="L748" s="18"/>
      <c r="M748" s="285" t="str">
        <f t="shared" ref="M748" si="1163">IF(COUNT(L748:L749)&lt;1,"",AVERAGE(L748:L749))</f>
        <v/>
      </c>
      <c r="N748" s="22"/>
      <c r="O748" s="285" t="str">
        <f t="shared" ref="O748" si="1164">IF(COUNT(N748:N749)&lt;1,"",AVERAGE(N748:N749))</f>
        <v/>
      </c>
      <c r="P748" s="22"/>
      <c r="Q748" s="285" t="str">
        <f t="shared" ref="Q748" si="1165">IF(COUNT(P748:P749)&lt;1,"",AVERAGE(P748:P749))</f>
        <v/>
      </c>
      <c r="R748" s="278" t="str">
        <f>IF($X$13="/28",IF(COUNT(P748:P749)&lt;=1,"",ABS(P748-P749)),IF($X$13="/90",IF(COUNT(#REF!)&lt;=1,"",ABS(#REF!-#REF!))))</f>
        <v/>
      </c>
      <c r="S748" s="278" t="str">
        <f>IF($X$13="/28",IF(Q748="","",IF(AVERAGE(Q744:Q749)&gt;=$W$13,ROUND(AVERAGE(Q744:Q749),1)&amp;" ≥ "&amp;$W$13&amp;" OK",ROUND(AVERAGE(Q744:Q749),1)&amp;" &lt; "&amp;$W$13&amp;" NC")),IF($X$13="/90",IF(#REF!="","",IF(AVERAGE(#REF!)&gt;=$W$13,ROUND(AVERAGE(#REF!),1)&amp;" ≥ "&amp;$W$13&amp;" OK",ROUND(AVERAGE(#REF!),1)&amp;" &lt; "&amp;$W$13&amp;" NC"))))</f>
        <v/>
      </c>
      <c r="T748" s="278" t="str">
        <f>IF($X$13="/28",IF(Q748="","",IF(Q748&gt;=$W$13-$S$12,ROUND((Q748),1)&amp;" ≥ "&amp;$W$13-$S$12&amp;" OK",ROUND((Q748),1)&amp;" &lt; "&amp;$W$13-$S$12&amp;" NC")),IF($X$13="/90",IF(#REF!="","",IF(#REF!&gt;=$W$13-$S$12,ROUND((#REF!),1)&amp;" ≥ "&amp;$W$13-$S$12&amp;" OK",ROUND((#REF!),1)&amp;" &lt; "&amp;$W$13-$S$12&amp;" NC"))))</f>
        <v/>
      </c>
      <c r="U748" s="14"/>
      <c r="V748" s="279"/>
      <c r="W748" s="280"/>
      <c r="X748" s="281"/>
      <c r="Y748" s="246"/>
      <c r="Z748" s="246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BP748" s="390" t="str">
        <f>IF($X$13="/28",IF(Q748="","",Q748),IF($X$13="/90",IF(#REF!="","",#REF!),"Falso"))</f>
        <v/>
      </c>
      <c r="BQ748" s="392" t="str">
        <f t="shared" si="1082"/>
        <v/>
      </c>
      <c r="BS748" s="50" t="str">
        <f>Q1478</f>
        <v/>
      </c>
      <c r="BT748" s="50" t="e">
        <f>#REF!</f>
        <v>#REF!</v>
      </c>
      <c r="BU748" s="39" t="str">
        <f t="shared" si="1135"/>
        <v/>
      </c>
      <c r="BV748" s="39" t="str">
        <f t="shared" si="1128"/>
        <v/>
      </c>
    </row>
    <row r="749" spans="1:74" ht="14.25" customHeight="1" x14ac:dyDescent="0.35">
      <c r="A749" s="294"/>
      <c r="B749" s="296"/>
      <c r="C749" s="298"/>
      <c r="D749" s="300"/>
      <c r="E749" s="302"/>
      <c r="F749" s="304"/>
      <c r="G749" s="276"/>
      <c r="H749" s="277"/>
      <c r="I749" s="290"/>
      <c r="J749" s="290"/>
      <c r="K749" s="291"/>
      <c r="L749" s="17"/>
      <c r="M749" s="286"/>
      <c r="N749" s="21"/>
      <c r="O749" s="286"/>
      <c r="P749" s="21"/>
      <c r="Q749" s="286"/>
      <c r="R749" s="248"/>
      <c r="S749" s="287"/>
      <c r="T749" s="248"/>
      <c r="U749" s="13"/>
      <c r="V749" s="282"/>
      <c r="W749" s="283"/>
      <c r="X749" s="284"/>
      <c r="Y749" s="245"/>
      <c r="Z749" s="245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BP749" s="391"/>
      <c r="BQ749" s="393"/>
      <c r="BS749" s="50" t="str">
        <f>Q1480</f>
        <v/>
      </c>
      <c r="BT749" s="50" t="e">
        <f>#REF!</f>
        <v>#REF!</v>
      </c>
      <c r="BU749" s="39" t="str">
        <f t="shared" si="1135"/>
        <v/>
      </c>
      <c r="BV749" s="39" t="str">
        <f t="shared" si="1128"/>
        <v/>
      </c>
    </row>
    <row r="750" spans="1:74" ht="14.25" customHeight="1" x14ac:dyDescent="0.35">
      <c r="A750" s="293">
        <v>367</v>
      </c>
      <c r="B750" s="295"/>
      <c r="C750" s="297"/>
      <c r="D750" s="299"/>
      <c r="E750" s="301"/>
      <c r="F750" s="303"/>
      <c r="G750" s="288"/>
      <c r="H750" s="289"/>
      <c r="I750" s="290"/>
      <c r="J750" s="290"/>
      <c r="K750" s="291"/>
      <c r="L750" s="18"/>
      <c r="M750" s="285" t="str">
        <f t="shared" ref="M750" si="1166">IF(COUNT(L750:L751)&lt;1,"",AVERAGE(L750:L751))</f>
        <v/>
      </c>
      <c r="N750" s="22"/>
      <c r="O750" s="285" t="str">
        <f t="shared" ref="O750" si="1167">IF(COUNT(N750:N751)&lt;1,"",AVERAGE(N750:N751))</f>
        <v/>
      </c>
      <c r="P750" s="22"/>
      <c r="Q750" s="285" t="str">
        <f t="shared" ref="Q750" si="1168">IF(COUNT(P750:P751)&lt;1,"",AVERAGE(P750:P751))</f>
        <v/>
      </c>
      <c r="R750" s="278" t="str">
        <f>IF($X$13="/28",IF(COUNT(P750:P751)&lt;=1,"",ABS(P750-P751)),IF($X$13="/90",IF(COUNT(#REF!)&lt;=1,"",ABS(#REF!-#REF!))))</f>
        <v/>
      </c>
      <c r="S750" s="278" t="str">
        <f>IF($X$13="/28",IF(Q750="","",IF(AVERAGE(Q746:Q751)&gt;=$W$13,ROUND(AVERAGE(Q746:Q751),1)&amp;" ≥ "&amp;$W$13&amp;" OK",ROUND(AVERAGE(Q746:Q751),1)&amp;" &lt; "&amp;$W$13&amp;" NC")),IF($X$13="/90",IF(#REF!="","",IF(AVERAGE(#REF!)&gt;=$W$13,ROUND(AVERAGE(#REF!),1)&amp;" ≥ "&amp;$W$13&amp;" OK",ROUND(AVERAGE(#REF!),1)&amp;" &lt; "&amp;$W$13&amp;" NC"))))</f>
        <v/>
      </c>
      <c r="T750" s="278" t="str">
        <f>IF($X$13="/28",IF(Q750="","",IF(Q750&gt;=$W$13-$S$12,ROUND((Q750),1)&amp;" ≥ "&amp;$W$13-$S$12&amp;" OK",ROUND((Q750),1)&amp;" &lt; "&amp;$W$13-$S$12&amp;" NC")),IF($X$13="/90",IF(#REF!="","",IF(#REF!&gt;=$W$13-$S$12,ROUND((#REF!),1)&amp;" ≥ "&amp;$W$13-$S$12&amp;" OK",ROUND((#REF!),1)&amp;" &lt; "&amp;$W$13-$S$12&amp;" NC"))))</f>
        <v/>
      </c>
      <c r="U750" s="14"/>
      <c r="V750" s="279"/>
      <c r="W750" s="280"/>
      <c r="X750" s="281"/>
      <c r="Y750" s="246"/>
      <c r="Z750" s="246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BP750" s="390" t="str">
        <f>IF($X$13="/28",IF(Q750="","",Q750),IF($X$13="/90",IF(#REF!="","",#REF!),"Falso"))</f>
        <v/>
      </c>
      <c r="BQ750" s="392" t="str">
        <f t="shared" si="1074"/>
        <v/>
      </c>
      <c r="BS750" s="50" t="str">
        <f>Q1482</f>
        <v/>
      </c>
      <c r="BT750" s="50" t="e">
        <f>#REF!</f>
        <v>#REF!</v>
      </c>
      <c r="BU750" s="39" t="str">
        <f t="shared" si="1135"/>
        <v/>
      </c>
      <c r="BV750" s="39" t="str">
        <f t="shared" si="1128"/>
        <v/>
      </c>
    </row>
    <row r="751" spans="1:74" ht="14.25" customHeight="1" x14ac:dyDescent="0.35">
      <c r="A751" s="294"/>
      <c r="B751" s="296"/>
      <c r="C751" s="298"/>
      <c r="D751" s="300"/>
      <c r="E751" s="302"/>
      <c r="F751" s="304"/>
      <c r="G751" s="276"/>
      <c r="H751" s="277"/>
      <c r="I751" s="290"/>
      <c r="J751" s="290"/>
      <c r="K751" s="291"/>
      <c r="L751" s="17"/>
      <c r="M751" s="286"/>
      <c r="N751" s="21"/>
      <c r="O751" s="286"/>
      <c r="P751" s="21"/>
      <c r="Q751" s="286"/>
      <c r="R751" s="248"/>
      <c r="S751" s="287"/>
      <c r="T751" s="248"/>
      <c r="U751" s="13"/>
      <c r="V751" s="282"/>
      <c r="W751" s="283"/>
      <c r="X751" s="284"/>
      <c r="Y751" s="245"/>
      <c r="Z751" s="245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BP751" s="391"/>
      <c r="BQ751" s="393"/>
      <c r="BS751" s="50" t="str">
        <f>Q1484</f>
        <v/>
      </c>
      <c r="BT751" s="50" t="e">
        <f>#REF!</f>
        <v>#REF!</v>
      </c>
      <c r="BU751" s="39" t="str">
        <f t="shared" si="1135"/>
        <v/>
      </c>
      <c r="BV751" s="39" t="str">
        <f t="shared" si="1128"/>
        <v/>
      </c>
    </row>
    <row r="752" spans="1:74" ht="14.25" customHeight="1" x14ac:dyDescent="0.35">
      <c r="A752" s="293">
        <v>368</v>
      </c>
      <c r="B752" s="295"/>
      <c r="C752" s="297"/>
      <c r="D752" s="299"/>
      <c r="E752" s="301"/>
      <c r="F752" s="303"/>
      <c r="G752" s="288"/>
      <c r="H752" s="289"/>
      <c r="I752" s="290"/>
      <c r="J752" s="290"/>
      <c r="K752" s="291"/>
      <c r="L752" s="18"/>
      <c r="M752" s="285" t="str">
        <f t="shared" ref="M752" si="1169">IF(COUNT(L752:L753)&lt;1,"",AVERAGE(L752:L753))</f>
        <v/>
      </c>
      <c r="N752" s="22"/>
      <c r="O752" s="285" t="str">
        <f t="shared" ref="O752" si="1170">IF(COUNT(N752:N753)&lt;1,"",AVERAGE(N752:N753))</f>
        <v/>
      </c>
      <c r="P752" s="22"/>
      <c r="Q752" s="285" t="str">
        <f t="shared" ref="Q752" si="1171">IF(COUNT(P752:P753)&lt;1,"",AVERAGE(P752:P753))</f>
        <v/>
      </c>
      <c r="R752" s="278" t="str">
        <f>IF($X$13="/28",IF(COUNT(P752:P753)&lt;=1,"",ABS(P752-P753)),IF($X$13="/90",IF(COUNT(#REF!)&lt;=1,"",ABS(#REF!-#REF!))))</f>
        <v/>
      </c>
      <c r="S752" s="278" t="str">
        <f>IF($X$13="/28",IF(Q752="","",IF(AVERAGE(Q748:Q753)&gt;=$W$13,ROUND(AVERAGE(Q748:Q753),1)&amp;" ≥ "&amp;$W$13&amp;" OK",ROUND(AVERAGE(Q748:Q753),1)&amp;" &lt; "&amp;$W$13&amp;" NC")),IF($X$13="/90",IF(#REF!="","",IF(AVERAGE(#REF!)&gt;=$W$13,ROUND(AVERAGE(#REF!),1)&amp;" ≥ "&amp;$W$13&amp;" OK",ROUND(AVERAGE(#REF!),1)&amp;" &lt; "&amp;$W$13&amp;" NC"))))</f>
        <v/>
      </c>
      <c r="T752" s="278" t="str">
        <f>IF($X$13="/28",IF(Q752="","",IF(Q752&gt;=$W$13-$S$12,ROUND((Q752),1)&amp;" ≥ "&amp;$W$13-$S$12&amp;" OK",ROUND((Q752),1)&amp;" &lt; "&amp;$W$13-$S$12&amp;" NC")),IF($X$13="/90",IF(#REF!="","",IF(#REF!&gt;=$W$13-$S$12,ROUND((#REF!),1)&amp;" ≥ "&amp;$W$13-$S$12&amp;" OK",ROUND((#REF!),1)&amp;" &lt; "&amp;$W$13-$S$12&amp;" NC"))))</f>
        <v/>
      </c>
      <c r="U752" s="14"/>
      <c r="V752" s="279"/>
      <c r="W752" s="280"/>
      <c r="X752" s="281"/>
      <c r="Y752" s="246"/>
      <c r="Z752" s="246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BP752" s="390" t="str">
        <f>IF($X$13="/28",IF(Q752="","",Q752),IF($X$13="/90",IF(#REF!="","",#REF!),"Falso"))</f>
        <v/>
      </c>
      <c r="BQ752" s="392" t="str">
        <f t="shared" si="1078"/>
        <v/>
      </c>
      <c r="BS752" s="50" t="str">
        <f>Q1486</f>
        <v/>
      </c>
      <c r="BT752" s="50" t="e">
        <f>#REF!</f>
        <v>#REF!</v>
      </c>
      <c r="BU752" s="39" t="str">
        <f t="shared" si="1135"/>
        <v/>
      </c>
      <c r="BV752" s="39" t="str">
        <f t="shared" si="1128"/>
        <v/>
      </c>
    </row>
    <row r="753" spans="1:74" ht="14.25" customHeight="1" x14ac:dyDescent="0.35">
      <c r="A753" s="294"/>
      <c r="B753" s="296"/>
      <c r="C753" s="298"/>
      <c r="D753" s="300"/>
      <c r="E753" s="302"/>
      <c r="F753" s="304"/>
      <c r="G753" s="276"/>
      <c r="H753" s="277"/>
      <c r="I753" s="290"/>
      <c r="J753" s="290"/>
      <c r="K753" s="291"/>
      <c r="L753" s="17"/>
      <c r="M753" s="286"/>
      <c r="N753" s="21"/>
      <c r="O753" s="286"/>
      <c r="P753" s="21"/>
      <c r="Q753" s="286"/>
      <c r="R753" s="248"/>
      <c r="S753" s="287"/>
      <c r="T753" s="248"/>
      <c r="U753" s="13"/>
      <c r="V753" s="282"/>
      <c r="W753" s="283"/>
      <c r="X753" s="284"/>
      <c r="Y753" s="245"/>
      <c r="Z753" s="245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BP753" s="391"/>
      <c r="BQ753" s="393"/>
      <c r="BS753" s="50" t="str">
        <f>Q1488</f>
        <v/>
      </c>
      <c r="BT753" s="50" t="e">
        <f>#REF!</f>
        <v>#REF!</v>
      </c>
      <c r="BU753" s="39" t="str">
        <f t="shared" si="1135"/>
        <v/>
      </c>
      <c r="BV753" s="39" t="str">
        <f t="shared" si="1128"/>
        <v/>
      </c>
    </row>
    <row r="754" spans="1:74" ht="14.25" customHeight="1" x14ac:dyDescent="0.35">
      <c r="A754" s="293">
        <v>369</v>
      </c>
      <c r="B754" s="295"/>
      <c r="C754" s="297"/>
      <c r="D754" s="299"/>
      <c r="E754" s="301"/>
      <c r="F754" s="303"/>
      <c r="G754" s="288"/>
      <c r="H754" s="289"/>
      <c r="I754" s="290"/>
      <c r="J754" s="290"/>
      <c r="K754" s="291"/>
      <c r="L754" s="18"/>
      <c r="M754" s="285" t="str">
        <f t="shared" ref="M754" si="1172">IF(COUNT(L754:L755)&lt;1,"",AVERAGE(L754:L755))</f>
        <v/>
      </c>
      <c r="N754" s="22"/>
      <c r="O754" s="285" t="str">
        <f t="shared" ref="O754" si="1173">IF(COUNT(N754:N755)&lt;1,"",AVERAGE(N754:N755))</f>
        <v/>
      </c>
      <c r="P754" s="22"/>
      <c r="Q754" s="285" t="str">
        <f t="shared" ref="Q754" si="1174">IF(COUNT(P754:P755)&lt;1,"",AVERAGE(P754:P755))</f>
        <v/>
      </c>
      <c r="R754" s="278" t="str">
        <f>IF($X$13="/28",IF(COUNT(P754:P755)&lt;=1,"",ABS(P754-P755)),IF($X$13="/90",IF(COUNT(#REF!)&lt;=1,"",ABS(#REF!-#REF!))))</f>
        <v/>
      </c>
      <c r="S754" s="278" t="str">
        <f>IF($X$13="/28",IF(Q754="","",IF(AVERAGE(Q750:Q755)&gt;=$W$13,ROUND(AVERAGE(Q750:Q755),1)&amp;" ≥ "&amp;$W$13&amp;" OK",ROUND(AVERAGE(Q750:Q755),1)&amp;" &lt; "&amp;$W$13&amp;" NC")),IF($X$13="/90",IF(#REF!="","",IF(AVERAGE(#REF!)&gt;=$W$13,ROUND(AVERAGE(#REF!),1)&amp;" ≥ "&amp;$W$13&amp;" OK",ROUND(AVERAGE(#REF!),1)&amp;" &lt; "&amp;$W$13&amp;" NC"))))</f>
        <v/>
      </c>
      <c r="T754" s="278" t="str">
        <f>IF($X$13="/28",IF(Q754="","",IF(Q754&gt;=$W$13-$S$12,ROUND((Q754),1)&amp;" ≥ "&amp;$W$13-$S$12&amp;" OK",ROUND((Q754),1)&amp;" &lt; "&amp;$W$13-$S$12&amp;" NC")),IF($X$13="/90",IF(#REF!="","",IF(#REF!&gt;=$W$13-$S$12,ROUND((#REF!),1)&amp;" ≥ "&amp;$W$13-$S$12&amp;" OK",ROUND((#REF!),1)&amp;" &lt; "&amp;$W$13-$S$12&amp;" NC"))))</f>
        <v/>
      </c>
      <c r="U754" s="14"/>
      <c r="V754" s="279"/>
      <c r="W754" s="280"/>
      <c r="X754" s="281"/>
      <c r="Y754" s="246"/>
      <c r="Z754" s="246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BP754" s="390" t="str">
        <f>IF($X$13="/28",IF(Q754="","",Q754),IF($X$13="/90",IF(#REF!="","",#REF!),"Falso"))</f>
        <v/>
      </c>
      <c r="BQ754" s="392" t="str">
        <f t="shared" si="1082"/>
        <v/>
      </c>
      <c r="BS754" s="50" t="str">
        <f>Q1490</f>
        <v/>
      </c>
      <c r="BT754" s="50" t="e">
        <f>#REF!</f>
        <v>#REF!</v>
      </c>
      <c r="BU754" s="39" t="str">
        <f t="shared" si="1135"/>
        <v/>
      </c>
      <c r="BV754" s="39" t="str">
        <f t="shared" si="1128"/>
        <v/>
      </c>
    </row>
    <row r="755" spans="1:74" ht="14.25" customHeight="1" x14ac:dyDescent="0.35">
      <c r="A755" s="294"/>
      <c r="B755" s="296"/>
      <c r="C755" s="298"/>
      <c r="D755" s="300"/>
      <c r="E755" s="302"/>
      <c r="F755" s="304"/>
      <c r="G755" s="276"/>
      <c r="H755" s="277"/>
      <c r="I755" s="290"/>
      <c r="J755" s="290"/>
      <c r="K755" s="291"/>
      <c r="L755" s="17"/>
      <c r="M755" s="286"/>
      <c r="N755" s="21"/>
      <c r="O755" s="286"/>
      <c r="P755" s="21"/>
      <c r="Q755" s="286"/>
      <c r="R755" s="248"/>
      <c r="S755" s="287"/>
      <c r="T755" s="248"/>
      <c r="U755" s="13"/>
      <c r="V755" s="282"/>
      <c r="W755" s="283"/>
      <c r="X755" s="284"/>
      <c r="Y755" s="245"/>
      <c r="Z755" s="245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BP755" s="391"/>
      <c r="BQ755" s="393"/>
      <c r="BS755" s="50" t="str">
        <f>Q1492</f>
        <v/>
      </c>
      <c r="BT755" s="50" t="e">
        <f>#REF!</f>
        <v>#REF!</v>
      </c>
      <c r="BU755" s="39" t="str">
        <f t="shared" si="1135"/>
        <v/>
      </c>
      <c r="BV755" s="39" t="str">
        <f t="shared" si="1128"/>
        <v/>
      </c>
    </row>
    <row r="756" spans="1:74" ht="14.25" customHeight="1" x14ac:dyDescent="0.35">
      <c r="A756" s="293">
        <v>370</v>
      </c>
      <c r="B756" s="295"/>
      <c r="C756" s="297"/>
      <c r="D756" s="299"/>
      <c r="E756" s="301"/>
      <c r="F756" s="303"/>
      <c r="G756" s="288"/>
      <c r="H756" s="289"/>
      <c r="I756" s="290"/>
      <c r="J756" s="290"/>
      <c r="K756" s="291"/>
      <c r="L756" s="18"/>
      <c r="M756" s="285" t="str">
        <f t="shared" ref="M756" si="1175">IF(COUNT(L756:L757)&lt;1,"",AVERAGE(L756:L757))</f>
        <v/>
      </c>
      <c r="N756" s="22"/>
      <c r="O756" s="285" t="str">
        <f t="shared" ref="O756" si="1176">IF(COUNT(N756:N757)&lt;1,"",AVERAGE(N756:N757))</f>
        <v/>
      </c>
      <c r="P756" s="22"/>
      <c r="Q756" s="285" t="str">
        <f t="shared" ref="Q756" si="1177">IF(COUNT(P756:P757)&lt;1,"",AVERAGE(P756:P757))</f>
        <v/>
      </c>
      <c r="R756" s="278" t="str">
        <f>IF($X$13="/28",IF(COUNT(P756:P757)&lt;=1,"",ABS(P756-P757)),IF($X$13="/90",IF(COUNT(#REF!)&lt;=1,"",ABS(#REF!-#REF!))))</f>
        <v/>
      </c>
      <c r="S756" s="278" t="str">
        <f>IF($X$13="/28",IF(Q756="","",IF(AVERAGE(Q752:Q757)&gt;=$W$13,ROUND(AVERAGE(Q752:Q757),1)&amp;" ≥ "&amp;$W$13&amp;" OK",ROUND(AVERAGE(Q752:Q757),1)&amp;" &lt; "&amp;$W$13&amp;" NC")),IF($X$13="/90",IF(#REF!="","",IF(AVERAGE(#REF!)&gt;=$W$13,ROUND(AVERAGE(#REF!),1)&amp;" ≥ "&amp;$W$13&amp;" OK",ROUND(AVERAGE(#REF!),1)&amp;" &lt; "&amp;$W$13&amp;" NC"))))</f>
        <v/>
      </c>
      <c r="T756" s="278" t="str">
        <f>IF($X$13="/28",IF(Q756="","",IF(Q756&gt;=$W$13-$S$12,ROUND((Q756),1)&amp;" ≥ "&amp;$W$13-$S$12&amp;" OK",ROUND((Q756),1)&amp;" &lt; "&amp;$W$13-$S$12&amp;" NC")),IF($X$13="/90",IF(#REF!="","",IF(#REF!&gt;=$W$13-$S$12,ROUND((#REF!),1)&amp;" ≥ "&amp;$W$13-$S$12&amp;" OK",ROUND((#REF!),1)&amp;" &lt; "&amp;$W$13-$S$12&amp;" NC"))))</f>
        <v/>
      </c>
      <c r="U756" s="14"/>
      <c r="V756" s="279"/>
      <c r="W756" s="280"/>
      <c r="X756" s="281"/>
      <c r="Y756" s="246"/>
      <c r="Z756" s="246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BP756" s="390" t="str">
        <f>IF($X$13="/28",IF(Q756="","",Q756),IF($X$13="/90",IF(#REF!="","",#REF!),"Falso"))</f>
        <v/>
      </c>
      <c r="BQ756" s="392" t="str">
        <f t="shared" ref="BQ756:BQ816" si="1178">IF(BP756="","",BQ754+1)</f>
        <v/>
      </c>
      <c r="BS756" s="50" t="str">
        <f>Q1494</f>
        <v/>
      </c>
      <c r="BT756" s="50" t="e">
        <f>#REF!</f>
        <v>#REF!</v>
      </c>
      <c r="BU756" s="39" t="str">
        <f t="shared" si="1135"/>
        <v/>
      </c>
      <c r="BV756" s="39" t="str">
        <f t="shared" si="1128"/>
        <v/>
      </c>
    </row>
    <row r="757" spans="1:74" ht="14.25" customHeight="1" x14ac:dyDescent="0.35">
      <c r="A757" s="294"/>
      <c r="B757" s="296"/>
      <c r="C757" s="298"/>
      <c r="D757" s="300"/>
      <c r="E757" s="302"/>
      <c r="F757" s="304"/>
      <c r="G757" s="276"/>
      <c r="H757" s="277"/>
      <c r="I757" s="290"/>
      <c r="J757" s="290"/>
      <c r="K757" s="291"/>
      <c r="L757" s="17"/>
      <c r="M757" s="286"/>
      <c r="N757" s="21"/>
      <c r="O757" s="286"/>
      <c r="P757" s="21"/>
      <c r="Q757" s="286"/>
      <c r="R757" s="248"/>
      <c r="S757" s="287"/>
      <c r="T757" s="248"/>
      <c r="U757" s="13"/>
      <c r="V757" s="282"/>
      <c r="W757" s="283"/>
      <c r="X757" s="284"/>
      <c r="Y757" s="245"/>
      <c r="Z757" s="245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BP757" s="391"/>
      <c r="BQ757" s="393"/>
      <c r="BS757" s="50" t="str">
        <f>Q1496</f>
        <v/>
      </c>
      <c r="BT757" s="50" t="e">
        <f>#REF!</f>
        <v>#REF!</v>
      </c>
      <c r="BU757" s="39" t="str">
        <f t="shared" si="1135"/>
        <v/>
      </c>
      <c r="BV757" s="39" t="str">
        <f t="shared" si="1128"/>
        <v/>
      </c>
    </row>
    <row r="758" spans="1:74" ht="14.25" customHeight="1" x14ac:dyDescent="0.35">
      <c r="A758" s="293">
        <v>371</v>
      </c>
      <c r="B758" s="295"/>
      <c r="C758" s="297"/>
      <c r="D758" s="299"/>
      <c r="E758" s="301"/>
      <c r="F758" s="303"/>
      <c r="G758" s="288"/>
      <c r="H758" s="289"/>
      <c r="I758" s="290"/>
      <c r="J758" s="290"/>
      <c r="K758" s="291"/>
      <c r="L758" s="18"/>
      <c r="M758" s="285" t="str">
        <f t="shared" ref="M758" si="1179">IF(COUNT(L758:L759)&lt;1,"",AVERAGE(L758:L759))</f>
        <v/>
      </c>
      <c r="N758" s="22"/>
      <c r="O758" s="285" t="str">
        <f t="shared" ref="O758" si="1180">IF(COUNT(N758:N759)&lt;1,"",AVERAGE(N758:N759))</f>
        <v/>
      </c>
      <c r="P758" s="22"/>
      <c r="Q758" s="285" t="str">
        <f t="shared" ref="Q758" si="1181">IF(COUNT(P758:P759)&lt;1,"",AVERAGE(P758:P759))</f>
        <v/>
      </c>
      <c r="R758" s="278" t="str">
        <f>IF($X$13="/28",IF(COUNT(P758:P759)&lt;=1,"",ABS(P758-P759)),IF($X$13="/90",IF(COUNT(#REF!)&lt;=1,"",ABS(#REF!-#REF!))))</f>
        <v/>
      </c>
      <c r="S758" s="278" t="str">
        <f>IF($X$13="/28",IF(Q758="","",IF(AVERAGE(Q754:Q759)&gt;=$W$13,ROUND(AVERAGE(Q754:Q759),1)&amp;" ≥ "&amp;$W$13&amp;" OK",ROUND(AVERAGE(Q754:Q759),1)&amp;" &lt; "&amp;$W$13&amp;" NC")),IF($X$13="/90",IF(#REF!="","",IF(AVERAGE(#REF!)&gt;=$W$13,ROUND(AVERAGE(#REF!),1)&amp;" ≥ "&amp;$W$13&amp;" OK",ROUND(AVERAGE(#REF!),1)&amp;" &lt; "&amp;$W$13&amp;" NC"))))</f>
        <v/>
      </c>
      <c r="T758" s="278" t="str">
        <f>IF($X$13="/28",IF(Q758="","",IF(Q758&gt;=$W$13-$S$12,ROUND((Q758),1)&amp;" ≥ "&amp;$W$13-$S$12&amp;" OK",ROUND((Q758),1)&amp;" &lt; "&amp;$W$13-$S$12&amp;" NC")),IF($X$13="/90",IF(#REF!="","",IF(#REF!&gt;=$W$13-$S$12,ROUND((#REF!),1)&amp;" ≥ "&amp;$W$13-$S$12&amp;" OK",ROUND((#REF!),1)&amp;" &lt; "&amp;$W$13-$S$12&amp;" NC"))))</f>
        <v/>
      </c>
      <c r="U758" s="14"/>
      <c r="V758" s="279"/>
      <c r="W758" s="280"/>
      <c r="X758" s="281"/>
      <c r="Y758" s="246"/>
      <c r="Z758" s="246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BP758" s="390" t="str">
        <f>IF($X$13="/28",IF(Q758="","",Q758),IF($X$13="/90",IF(#REF!="","",#REF!),"Falso"))</f>
        <v/>
      </c>
      <c r="BQ758" s="392" t="str">
        <f t="shared" ref="BQ758:BQ818" si="1182">IF(BP758="","",BQ756+1)</f>
        <v/>
      </c>
      <c r="BS758" s="50" t="str">
        <f>Q1498</f>
        <v/>
      </c>
      <c r="BT758" s="50" t="e">
        <f>#REF!</f>
        <v>#REF!</v>
      </c>
      <c r="BU758" s="39" t="str">
        <f t="shared" si="1135"/>
        <v/>
      </c>
      <c r="BV758" s="39" t="str">
        <f t="shared" si="1128"/>
        <v/>
      </c>
    </row>
    <row r="759" spans="1:74" ht="14.25" customHeight="1" x14ac:dyDescent="0.35">
      <c r="A759" s="294"/>
      <c r="B759" s="296"/>
      <c r="C759" s="298"/>
      <c r="D759" s="300"/>
      <c r="E759" s="302"/>
      <c r="F759" s="304"/>
      <c r="G759" s="276"/>
      <c r="H759" s="277"/>
      <c r="I759" s="290"/>
      <c r="J759" s="290"/>
      <c r="K759" s="291"/>
      <c r="L759" s="17"/>
      <c r="M759" s="286"/>
      <c r="N759" s="21"/>
      <c r="O759" s="286"/>
      <c r="P759" s="21"/>
      <c r="Q759" s="286"/>
      <c r="R759" s="248"/>
      <c r="S759" s="287"/>
      <c r="T759" s="248"/>
      <c r="U759" s="13"/>
      <c r="V759" s="282"/>
      <c r="W759" s="283"/>
      <c r="X759" s="284"/>
      <c r="Y759" s="245"/>
      <c r="Z759" s="245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BP759" s="391"/>
      <c r="BQ759" s="393"/>
      <c r="BS759" s="50" t="str">
        <f>Q1500</f>
        <v/>
      </c>
      <c r="BT759" s="50" t="e">
        <f>#REF!</f>
        <v>#REF!</v>
      </c>
      <c r="BU759" s="39" t="str">
        <f t="shared" si="1135"/>
        <v/>
      </c>
      <c r="BV759" s="39" t="str">
        <f t="shared" si="1128"/>
        <v/>
      </c>
    </row>
    <row r="760" spans="1:74" ht="14.25" customHeight="1" x14ac:dyDescent="0.35">
      <c r="A760" s="293">
        <v>372</v>
      </c>
      <c r="B760" s="295"/>
      <c r="C760" s="297"/>
      <c r="D760" s="299"/>
      <c r="E760" s="301"/>
      <c r="F760" s="303"/>
      <c r="G760" s="288"/>
      <c r="H760" s="289"/>
      <c r="I760" s="290"/>
      <c r="J760" s="290"/>
      <c r="K760" s="291"/>
      <c r="L760" s="18"/>
      <c r="M760" s="285" t="str">
        <f t="shared" ref="M760" si="1183">IF(COUNT(L760:L761)&lt;1,"",AVERAGE(L760:L761))</f>
        <v/>
      </c>
      <c r="N760" s="22"/>
      <c r="O760" s="285" t="str">
        <f t="shared" ref="O760" si="1184">IF(COUNT(N760:N761)&lt;1,"",AVERAGE(N760:N761))</f>
        <v/>
      </c>
      <c r="P760" s="22"/>
      <c r="Q760" s="285" t="str">
        <f t="shared" ref="Q760" si="1185">IF(COUNT(P760:P761)&lt;1,"",AVERAGE(P760:P761))</f>
        <v/>
      </c>
      <c r="R760" s="278" t="str">
        <f>IF($X$13="/28",IF(COUNT(P760:P761)&lt;=1,"",ABS(P760-P761)),IF($X$13="/90",IF(COUNT(#REF!)&lt;=1,"",ABS(#REF!-#REF!))))</f>
        <v/>
      </c>
      <c r="S760" s="278" t="str">
        <f>IF($X$13="/28",IF(Q760="","",IF(AVERAGE(Q756:Q761)&gt;=$W$13,ROUND(AVERAGE(Q756:Q761),1)&amp;" ≥ "&amp;$W$13&amp;" OK",ROUND(AVERAGE(Q756:Q761),1)&amp;" &lt; "&amp;$W$13&amp;" NC")),IF($X$13="/90",IF(#REF!="","",IF(AVERAGE(#REF!)&gt;=$W$13,ROUND(AVERAGE(#REF!),1)&amp;" ≥ "&amp;$W$13&amp;" OK",ROUND(AVERAGE(#REF!),1)&amp;" &lt; "&amp;$W$13&amp;" NC"))))</f>
        <v/>
      </c>
      <c r="T760" s="278" t="str">
        <f>IF($X$13="/28",IF(Q760="","",IF(Q760&gt;=$W$13-$S$12,ROUND((Q760),1)&amp;" ≥ "&amp;$W$13-$S$12&amp;" OK",ROUND((Q760),1)&amp;" &lt; "&amp;$W$13-$S$12&amp;" NC")),IF($X$13="/90",IF(#REF!="","",IF(#REF!&gt;=$W$13-$S$12,ROUND((#REF!),1)&amp;" ≥ "&amp;$W$13-$S$12&amp;" OK",ROUND((#REF!),1)&amp;" &lt; "&amp;$W$13-$S$12&amp;" NC"))))</f>
        <v/>
      </c>
      <c r="U760" s="14"/>
      <c r="V760" s="279"/>
      <c r="W760" s="280"/>
      <c r="X760" s="281"/>
      <c r="Y760" s="246"/>
      <c r="Z760" s="246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BP760" s="390" t="str">
        <f>IF($X$13="/28",IF(Q760="","",Q760),IF($X$13="/90",IF(#REF!="","",#REF!),"Falso"))</f>
        <v/>
      </c>
      <c r="BQ760" s="392" t="str">
        <f t="shared" ref="BQ760:BQ820" si="1186">IF(BP760="","",BQ758+1)</f>
        <v/>
      </c>
      <c r="BS760" s="50" t="str">
        <f>Q1502</f>
        <v/>
      </c>
      <c r="BT760" s="50" t="e">
        <f>#REF!</f>
        <v>#REF!</v>
      </c>
      <c r="BU760" s="39" t="str">
        <f t="shared" si="1135"/>
        <v/>
      </c>
      <c r="BV760" s="39" t="str">
        <f t="shared" si="1128"/>
        <v/>
      </c>
    </row>
    <row r="761" spans="1:74" ht="14.25" customHeight="1" x14ac:dyDescent="0.35">
      <c r="A761" s="294"/>
      <c r="B761" s="296"/>
      <c r="C761" s="298"/>
      <c r="D761" s="300"/>
      <c r="E761" s="302"/>
      <c r="F761" s="304"/>
      <c r="G761" s="276"/>
      <c r="H761" s="277"/>
      <c r="I761" s="290"/>
      <c r="J761" s="290"/>
      <c r="K761" s="291"/>
      <c r="L761" s="17"/>
      <c r="M761" s="286"/>
      <c r="N761" s="21"/>
      <c r="O761" s="286"/>
      <c r="P761" s="21"/>
      <c r="Q761" s="286"/>
      <c r="R761" s="248"/>
      <c r="S761" s="287"/>
      <c r="T761" s="248"/>
      <c r="U761" s="13"/>
      <c r="V761" s="282"/>
      <c r="W761" s="283"/>
      <c r="X761" s="284"/>
      <c r="Y761" s="245"/>
      <c r="Z761" s="245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BP761" s="391"/>
      <c r="BQ761" s="393"/>
      <c r="BS761" s="50" t="str">
        <f>Q1504</f>
        <v/>
      </c>
      <c r="BT761" s="50" t="e">
        <f>#REF!</f>
        <v>#REF!</v>
      </c>
      <c r="BU761" s="39" t="str">
        <f t="shared" si="1135"/>
        <v/>
      </c>
      <c r="BV761" s="39" t="str">
        <f t="shared" si="1128"/>
        <v/>
      </c>
    </row>
    <row r="762" spans="1:74" ht="14.25" customHeight="1" x14ac:dyDescent="0.35">
      <c r="A762" s="293">
        <v>373</v>
      </c>
      <c r="B762" s="295"/>
      <c r="C762" s="297"/>
      <c r="D762" s="299"/>
      <c r="E762" s="301"/>
      <c r="F762" s="303"/>
      <c r="G762" s="288"/>
      <c r="H762" s="289"/>
      <c r="I762" s="290"/>
      <c r="J762" s="290"/>
      <c r="K762" s="291"/>
      <c r="L762" s="18"/>
      <c r="M762" s="285" t="str">
        <f t="shared" ref="M762" si="1187">IF(COUNT(L762:L763)&lt;1,"",AVERAGE(L762:L763))</f>
        <v/>
      </c>
      <c r="N762" s="22"/>
      <c r="O762" s="285" t="str">
        <f t="shared" ref="O762" si="1188">IF(COUNT(N762:N763)&lt;1,"",AVERAGE(N762:N763))</f>
        <v/>
      </c>
      <c r="P762" s="22"/>
      <c r="Q762" s="285" t="str">
        <f t="shared" ref="Q762" si="1189">IF(COUNT(P762:P763)&lt;1,"",AVERAGE(P762:P763))</f>
        <v/>
      </c>
      <c r="R762" s="278" t="str">
        <f>IF($X$13="/28",IF(COUNT(P762:P763)&lt;=1,"",ABS(P762-P763)),IF($X$13="/90",IF(COUNT(#REF!)&lt;=1,"",ABS(#REF!-#REF!))))</f>
        <v/>
      </c>
      <c r="S762" s="278" t="str">
        <f>IF($X$13="/28",IF(Q762="","",IF(AVERAGE(Q758:Q763)&gt;=$W$13,ROUND(AVERAGE(Q758:Q763),1)&amp;" ≥ "&amp;$W$13&amp;" OK",ROUND(AVERAGE(Q758:Q763),1)&amp;" &lt; "&amp;$W$13&amp;" NC")),IF($X$13="/90",IF(#REF!="","",IF(AVERAGE(#REF!)&gt;=$W$13,ROUND(AVERAGE(#REF!),1)&amp;" ≥ "&amp;$W$13&amp;" OK",ROUND(AVERAGE(#REF!),1)&amp;" &lt; "&amp;$W$13&amp;" NC"))))</f>
        <v/>
      </c>
      <c r="T762" s="278" t="str">
        <f>IF($X$13="/28",IF(Q762="","",IF(Q762&gt;=$W$13-$S$12,ROUND((Q762),1)&amp;" ≥ "&amp;$W$13-$S$12&amp;" OK",ROUND((Q762),1)&amp;" &lt; "&amp;$W$13-$S$12&amp;" NC")),IF($X$13="/90",IF(#REF!="","",IF(#REF!&gt;=$W$13-$S$12,ROUND((#REF!),1)&amp;" ≥ "&amp;$W$13-$S$12&amp;" OK",ROUND((#REF!),1)&amp;" &lt; "&amp;$W$13-$S$12&amp;" NC"))))</f>
        <v/>
      </c>
      <c r="U762" s="14"/>
      <c r="V762" s="279"/>
      <c r="W762" s="280"/>
      <c r="X762" s="281"/>
      <c r="Y762" s="246"/>
      <c r="Z762" s="246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BP762" s="390" t="str">
        <f>IF($X$13="/28",IF(Q762="","",Q762),IF($X$13="/90",IF(#REF!="","",#REF!),"Falso"))</f>
        <v/>
      </c>
      <c r="BQ762" s="392" t="str">
        <f t="shared" si="1178"/>
        <v/>
      </c>
      <c r="BS762" s="50" t="str">
        <f>Q1506</f>
        <v/>
      </c>
      <c r="BT762" s="50" t="e">
        <f>#REF!</f>
        <v>#REF!</v>
      </c>
      <c r="BU762" s="39" t="str">
        <f t="shared" si="1135"/>
        <v/>
      </c>
      <c r="BV762" s="39" t="str">
        <f t="shared" si="1128"/>
        <v/>
      </c>
    </row>
    <row r="763" spans="1:74" ht="14.25" customHeight="1" x14ac:dyDescent="0.35">
      <c r="A763" s="294"/>
      <c r="B763" s="296"/>
      <c r="C763" s="298"/>
      <c r="D763" s="300"/>
      <c r="E763" s="302"/>
      <c r="F763" s="304"/>
      <c r="G763" s="276"/>
      <c r="H763" s="277"/>
      <c r="I763" s="290"/>
      <c r="J763" s="290"/>
      <c r="K763" s="291"/>
      <c r="L763" s="17"/>
      <c r="M763" s="286"/>
      <c r="N763" s="21"/>
      <c r="O763" s="286"/>
      <c r="P763" s="21"/>
      <c r="Q763" s="286"/>
      <c r="R763" s="248"/>
      <c r="S763" s="287"/>
      <c r="T763" s="248"/>
      <c r="U763" s="13"/>
      <c r="V763" s="282"/>
      <c r="W763" s="283"/>
      <c r="X763" s="284"/>
      <c r="Y763" s="245"/>
      <c r="Z763" s="245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BP763" s="391"/>
      <c r="BQ763" s="393"/>
      <c r="BS763" s="50" t="str">
        <f>Q1508</f>
        <v/>
      </c>
      <c r="BT763" s="50" t="e">
        <f>#REF!</f>
        <v>#REF!</v>
      </c>
      <c r="BU763" s="39" t="str">
        <f t="shared" si="1135"/>
        <v/>
      </c>
      <c r="BV763" s="39" t="str">
        <f t="shared" si="1128"/>
        <v/>
      </c>
    </row>
    <row r="764" spans="1:74" ht="14.25" customHeight="1" x14ac:dyDescent="0.35">
      <c r="A764" s="293">
        <v>374</v>
      </c>
      <c r="B764" s="295"/>
      <c r="C764" s="297"/>
      <c r="D764" s="299"/>
      <c r="E764" s="301"/>
      <c r="F764" s="303"/>
      <c r="G764" s="288"/>
      <c r="H764" s="289"/>
      <c r="I764" s="290"/>
      <c r="J764" s="290"/>
      <c r="K764" s="291"/>
      <c r="L764" s="18"/>
      <c r="M764" s="285" t="str">
        <f t="shared" ref="M764" si="1190">IF(COUNT(L764:L765)&lt;1,"",AVERAGE(L764:L765))</f>
        <v/>
      </c>
      <c r="N764" s="22"/>
      <c r="O764" s="285" t="str">
        <f t="shared" ref="O764" si="1191">IF(COUNT(N764:N765)&lt;1,"",AVERAGE(N764:N765))</f>
        <v/>
      </c>
      <c r="P764" s="22"/>
      <c r="Q764" s="285" t="str">
        <f t="shared" ref="Q764" si="1192">IF(COUNT(P764:P765)&lt;1,"",AVERAGE(P764:P765))</f>
        <v/>
      </c>
      <c r="R764" s="278" t="str">
        <f>IF($X$13="/28",IF(COUNT(P764:P765)&lt;=1,"",ABS(P764-P765)),IF($X$13="/90",IF(COUNT(#REF!)&lt;=1,"",ABS(#REF!-#REF!))))</f>
        <v/>
      </c>
      <c r="S764" s="278" t="str">
        <f>IF($X$13="/28",IF(Q764="","",IF(AVERAGE(Q760:Q765)&gt;=$W$13,ROUND(AVERAGE(Q760:Q765),1)&amp;" ≥ "&amp;$W$13&amp;" OK",ROUND(AVERAGE(Q760:Q765),1)&amp;" &lt; "&amp;$W$13&amp;" NC")),IF($X$13="/90",IF(#REF!="","",IF(AVERAGE(#REF!)&gt;=$W$13,ROUND(AVERAGE(#REF!),1)&amp;" ≥ "&amp;$W$13&amp;" OK",ROUND(AVERAGE(#REF!),1)&amp;" &lt; "&amp;$W$13&amp;" NC"))))</f>
        <v/>
      </c>
      <c r="T764" s="278" t="str">
        <f>IF($X$13="/28",IF(Q764="","",IF(Q764&gt;=$W$13-$S$12,ROUND((Q764),1)&amp;" ≥ "&amp;$W$13-$S$12&amp;" OK",ROUND((Q764),1)&amp;" &lt; "&amp;$W$13-$S$12&amp;" NC")),IF($X$13="/90",IF(#REF!="","",IF(#REF!&gt;=$W$13-$S$12,ROUND((#REF!),1)&amp;" ≥ "&amp;$W$13-$S$12&amp;" OK",ROUND((#REF!),1)&amp;" &lt; "&amp;$W$13-$S$12&amp;" NC"))))</f>
        <v/>
      </c>
      <c r="U764" s="14"/>
      <c r="V764" s="279"/>
      <c r="W764" s="280"/>
      <c r="X764" s="281"/>
      <c r="Y764" s="246"/>
      <c r="Z764" s="246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BP764" s="390" t="str">
        <f>IF($X$13="/28",IF(Q764="","",Q764),IF($X$13="/90",IF(#REF!="","",#REF!),"Falso"))</f>
        <v/>
      </c>
      <c r="BQ764" s="392" t="str">
        <f t="shared" si="1182"/>
        <v/>
      </c>
      <c r="BS764" s="50" t="str">
        <f>Q1510</f>
        <v/>
      </c>
      <c r="BT764" s="50" t="e">
        <f>#REF!</f>
        <v>#REF!</v>
      </c>
      <c r="BU764" s="39" t="str">
        <f t="shared" si="1135"/>
        <v/>
      </c>
      <c r="BV764" s="39" t="str">
        <f t="shared" si="1128"/>
        <v/>
      </c>
    </row>
    <row r="765" spans="1:74" ht="14.25" customHeight="1" x14ac:dyDescent="0.35">
      <c r="A765" s="294"/>
      <c r="B765" s="296"/>
      <c r="C765" s="298"/>
      <c r="D765" s="300"/>
      <c r="E765" s="302"/>
      <c r="F765" s="304"/>
      <c r="G765" s="276"/>
      <c r="H765" s="277"/>
      <c r="I765" s="290"/>
      <c r="J765" s="290"/>
      <c r="K765" s="291"/>
      <c r="L765" s="17"/>
      <c r="M765" s="286"/>
      <c r="N765" s="21"/>
      <c r="O765" s="286"/>
      <c r="P765" s="21"/>
      <c r="Q765" s="286"/>
      <c r="R765" s="248"/>
      <c r="S765" s="287"/>
      <c r="T765" s="248"/>
      <c r="U765" s="13"/>
      <c r="V765" s="282"/>
      <c r="W765" s="283"/>
      <c r="X765" s="284"/>
      <c r="Y765" s="245"/>
      <c r="Z765" s="245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BP765" s="391"/>
      <c r="BQ765" s="393"/>
      <c r="BS765" s="50" t="str">
        <f>Q1512</f>
        <v/>
      </c>
      <c r="BT765" s="50" t="e">
        <f>#REF!</f>
        <v>#REF!</v>
      </c>
      <c r="BU765" s="39" t="str">
        <f t="shared" si="1135"/>
        <v/>
      </c>
      <c r="BV765" s="39" t="str">
        <f t="shared" si="1128"/>
        <v/>
      </c>
    </row>
    <row r="766" spans="1:74" ht="14.25" customHeight="1" x14ac:dyDescent="0.35">
      <c r="A766" s="293">
        <v>375</v>
      </c>
      <c r="B766" s="295"/>
      <c r="C766" s="297"/>
      <c r="D766" s="299"/>
      <c r="E766" s="301"/>
      <c r="F766" s="303"/>
      <c r="G766" s="288"/>
      <c r="H766" s="289"/>
      <c r="I766" s="290"/>
      <c r="J766" s="290"/>
      <c r="K766" s="291"/>
      <c r="L766" s="18"/>
      <c r="M766" s="285" t="str">
        <f t="shared" ref="M766" si="1193">IF(COUNT(L766:L767)&lt;1,"",AVERAGE(L766:L767))</f>
        <v/>
      </c>
      <c r="N766" s="22"/>
      <c r="O766" s="285" t="str">
        <f t="shared" ref="O766" si="1194">IF(COUNT(N766:N767)&lt;1,"",AVERAGE(N766:N767))</f>
        <v/>
      </c>
      <c r="P766" s="22"/>
      <c r="Q766" s="285" t="str">
        <f t="shared" ref="Q766" si="1195">IF(COUNT(P766:P767)&lt;1,"",AVERAGE(P766:P767))</f>
        <v/>
      </c>
      <c r="R766" s="278" t="str">
        <f>IF($X$13="/28",IF(COUNT(P766:P767)&lt;=1,"",ABS(P766-P767)),IF($X$13="/90",IF(COUNT(#REF!)&lt;=1,"",ABS(#REF!-#REF!))))</f>
        <v/>
      </c>
      <c r="S766" s="278" t="str">
        <f>IF($X$13="/28",IF(Q766="","",IF(AVERAGE(Q762:Q767)&gt;=$W$13,ROUND(AVERAGE(Q762:Q767),1)&amp;" ≥ "&amp;$W$13&amp;" OK",ROUND(AVERAGE(Q762:Q767),1)&amp;" &lt; "&amp;$W$13&amp;" NC")),IF($X$13="/90",IF(#REF!="","",IF(AVERAGE(#REF!)&gt;=$W$13,ROUND(AVERAGE(#REF!),1)&amp;" ≥ "&amp;$W$13&amp;" OK",ROUND(AVERAGE(#REF!),1)&amp;" &lt; "&amp;$W$13&amp;" NC"))))</f>
        <v/>
      </c>
      <c r="T766" s="278" t="str">
        <f>IF($X$13="/28",IF(Q766="","",IF(Q766&gt;=$W$13-$S$12,ROUND((Q766),1)&amp;" ≥ "&amp;$W$13-$S$12&amp;" OK",ROUND((Q766),1)&amp;" &lt; "&amp;$W$13-$S$12&amp;" NC")),IF($X$13="/90",IF(#REF!="","",IF(#REF!&gt;=$W$13-$S$12,ROUND((#REF!),1)&amp;" ≥ "&amp;$W$13-$S$12&amp;" OK",ROUND((#REF!),1)&amp;" &lt; "&amp;$W$13-$S$12&amp;" NC"))))</f>
        <v/>
      </c>
      <c r="U766" s="14"/>
      <c r="V766" s="279"/>
      <c r="W766" s="280"/>
      <c r="X766" s="281"/>
      <c r="Y766" s="246"/>
      <c r="Z766" s="246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BP766" s="390" t="str">
        <f>IF($X$13="/28",IF(Q766="","",Q766),IF($X$13="/90",IF(#REF!="","",#REF!),"Falso"))</f>
        <v/>
      </c>
      <c r="BQ766" s="392" t="str">
        <f t="shared" si="1186"/>
        <v/>
      </c>
      <c r="BS766" s="50" t="str">
        <f>Q1514</f>
        <v/>
      </c>
      <c r="BT766" s="50" t="e">
        <f>#REF!</f>
        <v>#REF!</v>
      </c>
      <c r="BU766" s="39" t="str">
        <f t="shared" si="1135"/>
        <v/>
      </c>
      <c r="BV766" s="39" t="str">
        <f t="shared" si="1128"/>
        <v/>
      </c>
    </row>
    <row r="767" spans="1:74" ht="14.25" customHeight="1" x14ac:dyDescent="0.35">
      <c r="A767" s="294"/>
      <c r="B767" s="296"/>
      <c r="C767" s="298"/>
      <c r="D767" s="300"/>
      <c r="E767" s="302"/>
      <c r="F767" s="304"/>
      <c r="G767" s="276"/>
      <c r="H767" s="277"/>
      <c r="I767" s="290"/>
      <c r="J767" s="290"/>
      <c r="K767" s="291"/>
      <c r="L767" s="17"/>
      <c r="M767" s="286"/>
      <c r="N767" s="21"/>
      <c r="O767" s="286"/>
      <c r="P767" s="21"/>
      <c r="Q767" s="286"/>
      <c r="R767" s="248"/>
      <c r="S767" s="287"/>
      <c r="T767" s="248"/>
      <c r="U767" s="13"/>
      <c r="V767" s="282"/>
      <c r="W767" s="283"/>
      <c r="X767" s="284"/>
      <c r="Y767" s="245"/>
      <c r="Z767" s="245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BP767" s="391"/>
      <c r="BQ767" s="393"/>
      <c r="BS767" s="50" t="str">
        <f>Q1516</f>
        <v/>
      </c>
      <c r="BT767" s="50" t="e">
        <f>#REF!</f>
        <v>#REF!</v>
      </c>
      <c r="BU767" s="39" t="str">
        <f t="shared" si="1135"/>
        <v/>
      </c>
      <c r="BV767" s="39" t="str">
        <f t="shared" si="1128"/>
        <v/>
      </c>
    </row>
    <row r="768" spans="1:74" ht="14.25" customHeight="1" x14ac:dyDescent="0.35">
      <c r="A768" s="293">
        <v>376</v>
      </c>
      <c r="B768" s="295"/>
      <c r="C768" s="297"/>
      <c r="D768" s="299"/>
      <c r="E768" s="301"/>
      <c r="F768" s="303"/>
      <c r="G768" s="288"/>
      <c r="H768" s="289"/>
      <c r="I768" s="290"/>
      <c r="J768" s="290"/>
      <c r="K768" s="291"/>
      <c r="L768" s="18"/>
      <c r="M768" s="285" t="str">
        <f t="shared" ref="M768" si="1196">IF(COUNT(L768:L769)&lt;1,"",AVERAGE(L768:L769))</f>
        <v/>
      </c>
      <c r="N768" s="22"/>
      <c r="O768" s="285" t="str">
        <f t="shared" ref="O768" si="1197">IF(COUNT(N768:N769)&lt;1,"",AVERAGE(N768:N769))</f>
        <v/>
      </c>
      <c r="P768" s="22"/>
      <c r="Q768" s="285" t="str">
        <f t="shared" ref="Q768" si="1198">IF(COUNT(P768:P769)&lt;1,"",AVERAGE(P768:P769))</f>
        <v/>
      </c>
      <c r="R768" s="278" t="str">
        <f>IF($X$13="/28",IF(COUNT(P768:P769)&lt;=1,"",ABS(P768-P769)),IF($X$13="/90",IF(COUNT(#REF!)&lt;=1,"",ABS(#REF!-#REF!))))</f>
        <v/>
      </c>
      <c r="S768" s="278" t="str">
        <f>IF($X$13="/28",IF(Q768="","",IF(AVERAGE(Q764:Q769)&gt;=$W$13,ROUND(AVERAGE(Q764:Q769),1)&amp;" ≥ "&amp;$W$13&amp;" OK",ROUND(AVERAGE(Q764:Q769),1)&amp;" &lt; "&amp;$W$13&amp;" NC")),IF($X$13="/90",IF(#REF!="","",IF(AVERAGE(#REF!)&gt;=$W$13,ROUND(AVERAGE(#REF!),1)&amp;" ≥ "&amp;$W$13&amp;" OK",ROUND(AVERAGE(#REF!),1)&amp;" &lt; "&amp;$W$13&amp;" NC"))))</f>
        <v/>
      </c>
      <c r="T768" s="278" t="str">
        <f>IF($X$13="/28",IF(Q768="","",IF(Q768&gt;=$W$13-$S$12,ROUND((Q768),1)&amp;" ≥ "&amp;$W$13-$S$12&amp;" OK",ROUND((Q768),1)&amp;" &lt; "&amp;$W$13-$S$12&amp;" NC")),IF($X$13="/90",IF(#REF!="","",IF(#REF!&gt;=$W$13-$S$12,ROUND((#REF!),1)&amp;" ≥ "&amp;$W$13-$S$12&amp;" OK",ROUND((#REF!),1)&amp;" &lt; "&amp;$W$13-$S$12&amp;" NC"))))</f>
        <v/>
      </c>
      <c r="U768" s="14"/>
      <c r="V768" s="279"/>
      <c r="W768" s="280"/>
      <c r="X768" s="281"/>
      <c r="Y768" s="246"/>
      <c r="Z768" s="246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BP768" s="390" t="str">
        <f>IF($X$13="/28",IF(Q768="","",Q768),IF($X$13="/90",IF(#REF!="","",#REF!),"Falso"))</f>
        <v/>
      </c>
      <c r="BQ768" s="392" t="str">
        <f t="shared" si="1178"/>
        <v/>
      </c>
      <c r="BS768" s="50" t="str">
        <f>Q1518</f>
        <v/>
      </c>
      <c r="BT768" s="50" t="e">
        <f>#REF!</f>
        <v>#REF!</v>
      </c>
      <c r="BU768" s="39" t="str">
        <f t="shared" si="1135"/>
        <v/>
      </c>
      <c r="BV768" s="39" t="str">
        <f t="shared" si="1128"/>
        <v/>
      </c>
    </row>
    <row r="769" spans="1:74" ht="14.25" customHeight="1" x14ac:dyDescent="0.35">
      <c r="A769" s="294"/>
      <c r="B769" s="296"/>
      <c r="C769" s="298"/>
      <c r="D769" s="300"/>
      <c r="E769" s="302"/>
      <c r="F769" s="304"/>
      <c r="G769" s="276"/>
      <c r="H769" s="277"/>
      <c r="I769" s="290"/>
      <c r="J769" s="290"/>
      <c r="K769" s="291"/>
      <c r="L769" s="17"/>
      <c r="M769" s="286"/>
      <c r="N769" s="21"/>
      <c r="O769" s="286"/>
      <c r="P769" s="21"/>
      <c r="Q769" s="286"/>
      <c r="R769" s="248"/>
      <c r="S769" s="287"/>
      <c r="T769" s="248"/>
      <c r="U769" s="13"/>
      <c r="V769" s="282"/>
      <c r="W769" s="283"/>
      <c r="X769" s="284"/>
      <c r="Y769" s="245"/>
      <c r="Z769" s="245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BP769" s="391"/>
      <c r="BQ769" s="393"/>
      <c r="BS769" s="50" t="str">
        <f>Q1520</f>
        <v/>
      </c>
      <c r="BT769" s="50" t="e">
        <f>#REF!</f>
        <v>#REF!</v>
      </c>
      <c r="BU769" s="39" t="str">
        <f t="shared" si="1135"/>
        <v/>
      </c>
      <c r="BV769" s="39" t="str">
        <f t="shared" si="1128"/>
        <v/>
      </c>
    </row>
    <row r="770" spans="1:74" ht="14.25" customHeight="1" x14ac:dyDescent="0.35">
      <c r="A770" s="293">
        <v>377</v>
      </c>
      <c r="B770" s="295"/>
      <c r="C770" s="297"/>
      <c r="D770" s="299"/>
      <c r="E770" s="301"/>
      <c r="F770" s="303"/>
      <c r="G770" s="288"/>
      <c r="H770" s="289"/>
      <c r="I770" s="290"/>
      <c r="J770" s="290"/>
      <c r="K770" s="291"/>
      <c r="L770" s="18"/>
      <c r="M770" s="285" t="str">
        <f t="shared" ref="M770" si="1199">IF(COUNT(L770:L771)&lt;1,"",AVERAGE(L770:L771))</f>
        <v/>
      </c>
      <c r="N770" s="22"/>
      <c r="O770" s="285" t="str">
        <f t="shared" ref="O770" si="1200">IF(COUNT(N770:N771)&lt;1,"",AVERAGE(N770:N771))</f>
        <v/>
      </c>
      <c r="P770" s="22"/>
      <c r="Q770" s="285" t="str">
        <f t="shared" ref="Q770" si="1201">IF(COUNT(P770:P771)&lt;1,"",AVERAGE(P770:P771))</f>
        <v/>
      </c>
      <c r="R770" s="278" t="str">
        <f>IF($X$13="/28",IF(COUNT(P770:P771)&lt;=1,"",ABS(P770-P771)),IF($X$13="/90",IF(COUNT(#REF!)&lt;=1,"",ABS(#REF!-#REF!))))</f>
        <v/>
      </c>
      <c r="S770" s="278" t="str">
        <f>IF($X$13="/28",IF(Q770="","",IF(AVERAGE(Q766:Q771)&gt;=$W$13,ROUND(AVERAGE(Q766:Q771),1)&amp;" ≥ "&amp;$W$13&amp;" OK",ROUND(AVERAGE(Q766:Q771),1)&amp;" &lt; "&amp;$W$13&amp;" NC")),IF($X$13="/90",IF(#REF!="","",IF(AVERAGE(#REF!)&gt;=$W$13,ROUND(AVERAGE(#REF!),1)&amp;" ≥ "&amp;$W$13&amp;" OK",ROUND(AVERAGE(#REF!),1)&amp;" &lt; "&amp;$W$13&amp;" NC"))))</f>
        <v/>
      </c>
      <c r="T770" s="278" t="str">
        <f>IF($X$13="/28",IF(Q770="","",IF(Q770&gt;=$W$13-$S$12,ROUND((Q770),1)&amp;" ≥ "&amp;$W$13-$S$12&amp;" OK",ROUND((Q770),1)&amp;" &lt; "&amp;$W$13-$S$12&amp;" NC")),IF($X$13="/90",IF(#REF!="","",IF(#REF!&gt;=$W$13-$S$12,ROUND((#REF!),1)&amp;" ≥ "&amp;$W$13-$S$12&amp;" OK",ROUND((#REF!),1)&amp;" &lt; "&amp;$W$13-$S$12&amp;" NC"))))</f>
        <v/>
      </c>
      <c r="U770" s="14"/>
      <c r="V770" s="279"/>
      <c r="W770" s="280"/>
      <c r="X770" s="281"/>
      <c r="Y770" s="246"/>
      <c r="Z770" s="246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BP770" s="390" t="str">
        <f>IF($X$13="/28",IF(Q770="","",Q770),IF($X$13="/90",IF(#REF!="","",#REF!),"Falso"))</f>
        <v/>
      </c>
      <c r="BQ770" s="392" t="str">
        <f t="shared" si="1182"/>
        <v/>
      </c>
      <c r="BS770" s="50" t="str">
        <f>Q1522</f>
        <v/>
      </c>
      <c r="BT770" s="50" t="e">
        <f>#REF!</f>
        <v>#REF!</v>
      </c>
      <c r="BU770" s="39" t="str">
        <f t="shared" si="1135"/>
        <v/>
      </c>
      <c r="BV770" s="39" t="str">
        <f t="shared" si="1128"/>
        <v/>
      </c>
    </row>
    <row r="771" spans="1:74" ht="14.25" customHeight="1" x14ac:dyDescent="0.35">
      <c r="A771" s="294"/>
      <c r="B771" s="296"/>
      <c r="C771" s="298"/>
      <c r="D771" s="300"/>
      <c r="E771" s="302"/>
      <c r="F771" s="304"/>
      <c r="G771" s="276"/>
      <c r="H771" s="277"/>
      <c r="I771" s="290"/>
      <c r="J771" s="290"/>
      <c r="K771" s="291"/>
      <c r="L771" s="17"/>
      <c r="M771" s="286"/>
      <c r="N771" s="21"/>
      <c r="O771" s="286"/>
      <c r="P771" s="21"/>
      <c r="Q771" s="286"/>
      <c r="R771" s="248"/>
      <c r="S771" s="287"/>
      <c r="T771" s="248"/>
      <c r="U771" s="13"/>
      <c r="V771" s="282"/>
      <c r="W771" s="283"/>
      <c r="X771" s="284"/>
      <c r="Y771" s="245"/>
      <c r="Z771" s="245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BP771" s="391"/>
      <c r="BQ771" s="393"/>
      <c r="BS771" s="50" t="str">
        <f>Q1524</f>
        <v/>
      </c>
      <c r="BT771" s="50" t="e">
        <f>#REF!</f>
        <v>#REF!</v>
      </c>
      <c r="BU771" s="39" t="str">
        <f t="shared" si="1135"/>
        <v/>
      </c>
      <c r="BV771" s="39" t="str">
        <f t="shared" si="1128"/>
        <v/>
      </c>
    </row>
    <row r="772" spans="1:74" ht="14.25" customHeight="1" x14ac:dyDescent="0.35">
      <c r="A772" s="293">
        <v>378</v>
      </c>
      <c r="B772" s="295"/>
      <c r="C772" s="297"/>
      <c r="D772" s="299"/>
      <c r="E772" s="301"/>
      <c r="F772" s="303"/>
      <c r="G772" s="288"/>
      <c r="H772" s="289"/>
      <c r="I772" s="290"/>
      <c r="J772" s="290"/>
      <c r="K772" s="291"/>
      <c r="L772" s="18"/>
      <c r="M772" s="285" t="str">
        <f t="shared" ref="M772" si="1202">IF(COUNT(L772:L773)&lt;1,"",AVERAGE(L772:L773))</f>
        <v/>
      </c>
      <c r="N772" s="22"/>
      <c r="O772" s="285" t="str">
        <f t="shared" ref="O772" si="1203">IF(COUNT(N772:N773)&lt;1,"",AVERAGE(N772:N773))</f>
        <v/>
      </c>
      <c r="P772" s="22"/>
      <c r="Q772" s="285" t="str">
        <f t="shared" ref="Q772" si="1204">IF(COUNT(P772:P773)&lt;1,"",AVERAGE(P772:P773))</f>
        <v/>
      </c>
      <c r="R772" s="278" t="str">
        <f>IF($X$13="/28",IF(COUNT(P772:P773)&lt;=1,"",ABS(P772-P773)),IF($X$13="/90",IF(COUNT(#REF!)&lt;=1,"",ABS(#REF!-#REF!))))</f>
        <v/>
      </c>
      <c r="S772" s="278" t="str">
        <f>IF($X$13="/28",IF(Q772="","",IF(AVERAGE(Q768:Q773)&gt;=$W$13,ROUND(AVERAGE(Q768:Q773),1)&amp;" ≥ "&amp;$W$13&amp;" OK",ROUND(AVERAGE(Q768:Q773),1)&amp;" &lt; "&amp;$W$13&amp;" NC")),IF($X$13="/90",IF(#REF!="","",IF(AVERAGE(#REF!)&gt;=$W$13,ROUND(AVERAGE(#REF!),1)&amp;" ≥ "&amp;$W$13&amp;" OK",ROUND(AVERAGE(#REF!),1)&amp;" &lt; "&amp;$W$13&amp;" NC"))))</f>
        <v/>
      </c>
      <c r="T772" s="278" t="str">
        <f>IF($X$13="/28",IF(Q772="","",IF(Q772&gt;=$W$13-$S$12,ROUND((Q772),1)&amp;" ≥ "&amp;$W$13-$S$12&amp;" OK",ROUND((Q772),1)&amp;" &lt; "&amp;$W$13-$S$12&amp;" NC")),IF($X$13="/90",IF(#REF!="","",IF(#REF!&gt;=$W$13-$S$12,ROUND((#REF!),1)&amp;" ≥ "&amp;$W$13-$S$12&amp;" OK",ROUND((#REF!),1)&amp;" &lt; "&amp;$W$13-$S$12&amp;" NC"))))</f>
        <v/>
      </c>
      <c r="U772" s="14"/>
      <c r="V772" s="279"/>
      <c r="W772" s="280"/>
      <c r="X772" s="281"/>
      <c r="Y772" s="246"/>
      <c r="Z772" s="246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BP772" s="390" t="str">
        <f>IF($X$13="/28",IF(Q772="","",Q772),IF($X$13="/90",IF(#REF!="","",#REF!),"Falso"))</f>
        <v/>
      </c>
      <c r="BQ772" s="392" t="str">
        <f t="shared" si="1186"/>
        <v/>
      </c>
      <c r="BS772" s="50" t="str">
        <f>Q1526</f>
        <v/>
      </c>
      <c r="BT772" s="50" t="e">
        <f>#REF!</f>
        <v>#REF!</v>
      </c>
      <c r="BU772" s="39" t="str">
        <f t="shared" si="1135"/>
        <v/>
      </c>
      <c r="BV772" s="39" t="str">
        <f t="shared" si="1128"/>
        <v/>
      </c>
    </row>
    <row r="773" spans="1:74" ht="14.25" customHeight="1" x14ac:dyDescent="0.35">
      <c r="A773" s="294"/>
      <c r="B773" s="296"/>
      <c r="C773" s="298"/>
      <c r="D773" s="300"/>
      <c r="E773" s="302"/>
      <c r="F773" s="304"/>
      <c r="G773" s="276"/>
      <c r="H773" s="277"/>
      <c r="I773" s="290"/>
      <c r="J773" s="290"/>
      <c r="K773" s="291"/>
      <c r="L773" s="17"/>
      <c r="M773" s="286"/>
      <c r="N773" s="21"/>
      <c r="O773" s="286"/>
      <c r="P773" s="21"/>
      <c r="Q773" s="286"/>
      <c r="R773" s="248"/>
      <c r="S773" s="287"/>
      <c r="T773" s="248"/>
      <c r="U773" s="13"/>
      <c r="V773" s="282"/>
      <c r="W773" s="283"/>
      <c r="X773" s="284"/>
      <c r="Y773" s="245"/>
      <c r="Z773" s="245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BP773" s="391"/>
      <c r="BQ773" s="393"/>
      <c r="BS773" s="50" t="str">
        <f>Q1528</f>
        <v/>
      </c>
      <c r="BT773" s="50" t="e">
        <f>#REF!</f>
        <v>#REF!</v>
      </c>
      <c r="BU773" s="39" t="str">
        <f t="shared" si="1135"/>
        <v/>
      </c>
      <c r="BV773" s="39" t="str">
        <f t="shared" si="1128"/>
        <v/>
      </c>
    </row>
    <row r="774" spans="1:74" ht="14.25" customHeight="1" x14ac:dyDescent="0.35">
      <c r="A774" s="293">
        <v>379</v>
      </c>
      <c r="B774" s="295"/>
      <c r="C774" s="297"/>
      <c r="D774" s="299"/>
      <c r="E774" s="301"/>
      <c r="F774" s="303"/>
      <c r="G774" s="288"/>
      <c r="H774" s="289"/>
      <c r="I774" s="290"/>
      <c r="J774" s="290"/>
      <c r="K774" s="291"/>
      <c r="L774" s="18"/>
      <c r="M774" s="285" t="str">
        <f t="shared" ref="M774" si="1205">IF(COUNT(L774:L775)&lt;1,"",AVERAGE(L774:L775))</f>
        <v/>
      </c>
      <c r="N774" s="22"/>
      <c r="O774" s="285" t="str">
        <f t="shared" ref="O774" si="1206">IF(COUNT(N774:N775)&lt;1,"",AVERAGE(N774:N775))</f>
        <v/>
      </c>
      <c r="P774" s="22"/>
      <c r="Q774" s="285" t="str">
        <f t="shared" ref="Q774" si="1207">IF(COUNT(P774:P775)&lt;1,"",AVERAGE(P774:P775))</f>
        <v/>
      </c>
      <c r="R774" s="278" t="str">
        <f>IF($X$13="/28",IF(COUNT(P774:P775)&lt;=1,"",ABS(P774-P775)),IF($X$13="/90",IF(COUNT(#REF!)&lt;=1,"",ABS(#REF!-#REF!))))</f>
        <v/>
      </c>
      <c r="S774" s="278" t="str">
        <f>IF($X$13="/28",IF(Q774="","",IF(AVERAGE(Q770:Q775)&gt;=$W$13,ROUND(AVERAGE(Q770:Q775),1)&amp;" ≥ "&amp;$W$13&amp;" OK",ROUND(AVERAGE(Q770:Q775),1)&amp;" &lt; "&amp;$W$13&amp;" NC")),IF($X$13="/90",IF(#REF!="","",IF(AVERAGE(#REF!)&gt;=$W$13,ROUND(AVERAGE(#REF!),1)&amp;" ≥ "&amp;$W$13&amp;" OK",ROUND(AVERAGE(#REF!),1)&amp;" &lt; "&amp;$W$13&amp;" NC"))))</f>
        <v/>
      </c>
      <c r="T774" s="278" t="str">
        <f>IF($X$13="/28",IF(Q774="","",IF(Q774&gt;=$W$13-$S$12,ROUND((Q774),1)&amp;" ≥ "&amp;$W$13-$S$12&amp;" OK",ROUND((Q774),1)&amp;" &lt; "&amp;$W$13-$S$12&amp;" NC")),IF($X$13="/90",IF(#REF!="","",IF(#REF!&gt;=$W$13-$S$12,ROUND((#REF!),1)&amp;" ≥ "&amp;$W$13-$S$12&amp;" OK",ROUND((#REF!),1)&amp;" &lt; "&amp;$W$13-$S$12&amp;" NC"))))</f>
        <v/>
      </c>
      <c r="U774" s="14"/>
      <c r="V774" s="279"/>
      <c r="W774" s="280"/>
      <c r="X774" s="281"/>
      <c r="Y774" s="246"/>
      <c r="Z774" s="246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BP774" s="390" t="str">
        <f>IF($X$13="/28",IF(Q774="","",Q774),IF($X$13="/90",IF(#REF!="","",#REF!),"Falso"))</f>
        <v/>
      </c>
      <c r="BQ774" s="392" t="str">
        <f t="shared" si="1178"/>
        <v/>
      </c>
      <c r="BS774" s="50" t="str">
        <f>Q1530</f>
        <v/>
      </c>
      <c r="BT774" s="50" t="e">
        <f>#REF!</f>
        <v>#REF!</v>
      </c>
      <c r="BU774" s="39" t="str">
        <f t="shared" si="1135"/>
        <v/>
      </c>
      <c r="BV774" s="39" t="str">
        <f t="shared" si="1128"/>
        <v/>
      </c>
    </row>
    <row r="775" spans="1:74" ht="14.25" customHeight="1" x14ac:dyDescent="0.35">
      <c r="A775" s="294"/>
      <c r="B775" s="296"/>
      <c r="C775" s="298"/>
      <c r="D775" s="300"/>
      <c r="E775" s="302"/>
      <c r="F775" s="304"/>
      <c r="G775" s="276"/>
      <c r="H775" s="277"/>
      <c r="I775" s="290"/>
      <c r="J775" s="290"/>
      <c r="K775" s="291"/>
      <c r="L775" s="17"/>
      <c r="M775" s="286"/>
      <c r="N775" s="21"/>
      <c r="O775" s="286"/>
      <c r="P775" s="21"/>
      <c r="Q775" s="286"/>
      <c r="R775" s="248"/>
      <c r="S775" s="287"/>
      <c r="T775" s="248"/>
      <c r="U775" s="13"/>
      <c r="V775" s="282"/>
      <c r="W775" s="283"/>
      <c r="X775" s="284"/>
      <c r="Y775" s="245"/>
      <c r="Z775" s="245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BP775" s="391"/>
      <c r="BQ775" s="393"/>
      <c r="BS775" s="50" t="str">
        <f>Q1532</f>
        <v/>
      </c>
      <c r="BT775" s="50" t="e">
        <f>#REF!</f>
        <v>#REF!</v>
      </c>
      <c r="BU775" s="39" t="str">
        <f t="shared" si="1135"/>
        <v/>
      </c>
      <c r="BV775" s="39" t="str">
        <f t="shared" si="1128"/>
        <v/>
      </c>
    </row>
    <row r="776" spans="1:74" ht="14.25" customHeight="1" x14ac:dyDescent="0.35">
      <c r="A776" s="293">
        <v>380</v>
      </c>
      <c r="B776" s="295"/>
      <c r="C776" s="297"/>
      <c r="D776" s="299"/>
      <c r="E776" s="301"/>
      <c r="F776" s="303"/>
      <c r="G776" s="288"/>
      <c r="H776" s="289"/>
      <c r="I776" s="290"/>
      <c r="J776" s="290"/>
      <c r="K776" s="291"/>
      <c r="L776" s="18"/>
      <c r="M776" s="285" t="str">
        <f t="shared" ref="M776" si="1208">IF(COUNT(L776:L777)&lt;1,"",AVERAGE(L776:L777))</f>
        <v/>
      </c>
      <c r="N776" s="22"/>
      <c r="O776" s="285" t="str">
        <f t="shared" ref="O776" si="1209">IF(COUNT(N776:N777)&lt;1,"",AVERAGE(N776:N777))</f>
        <v/>
      </c>
      <c r="P776" s="22"/>
      <c r="Q776" s="285" t="str">
        <f t="shared" ref="Q776" si="1210">IF(COUNT(P776:P777)&lt;1,"",AVERAGE(P776:P777))</f>
        <v/>
      </c>
      <c r="R776" s="278" t="str">
        <f>IF($X$13="/28",IF(COUNT(P776:P777)&lt;=1,"",ABS(P776-P777)),IF($X$13="/90",IF(COUNT(#REF!)&lt;=1,"",ABS(#REF!-#REF!))))</f>
        <v/>
      </c>
      <c r="S776" s="278" t="str">
        <f>IF($X$13="/28",IF(Q776="","",IF(AVERAGE(Q772:Q777)&gt;=$W$13,ROUND(AVERAGE(Q772:Q777),1)&amp;" ≥ "&amp;$W$13&amp;" OK",ROUND(AVERAGE(Q772:Q777),1)&amp;" &lt; "&amp;$W$13&amp;" NC")),IF($X$13="/90",IF(#REF!="","",IF(AVERAGE(#REF!)&gt;=$W$13,ROUND(AVERAGE(#REF!),1)&amp;" ≥ "&amp;$W$13&amp;" OK",ROUND(AVERAGE(#REF!),1)&amp;" &lt; "&amp;$W$13&amp;" NC"))))</f>
        <v/>
      </c>
      <c r="T776" s="278" t="str">
        <f>IF($X$13="/28",IF(Q776="","",IF(Q776&gt;=$W$13-$S$12,ROUND((Q776),1)&amp;" ≥ "&amp;$W$13-$S$12&amp;" OK",ROUND((Q776),1)&amp;" &lt; "&amp;$W$13-$S$12&amp;" NC")),IF($X$13="/90",IF(#REF!="","",IF(#REF!&gt;=$W$13-$S$12,ROUND((#REF!),1)&amp;" ≥ "&amp;$W$13-$S$12&amp;" OK",ROUND((#REF!),1)&amp;" &lt; "&amp;$W$13-$S$12&amp;" NC"))))</f>
        <v/>
      </c>
      <c r="U776" s="14"/>
      <c r="V776" s="279"/>
      <c r="W776" s="280"/>
      <c r="X776" s="281"/>
      <c r="Y776" s="246"/>
      <c r="Z776" s="246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BP776" s="390" t="str">
        <f>IF($X$13="/28",IF(Q776="","",Q776),IF($X$13="/90",IF(#REF!="","",#REF!),"Falso"))</f>
        <v/>
      </c>
      <c r="BQ776" s="392" t="str">
        <f t="shared" si="1182"/>
        <v/>
      </c>
      <c r="BS776" s="50" t="str">
        <f>Q1534</f>
        <v/>
      </c>
      <c r="BT776" s="50" t="e">
        <f>#REF!</f>
        <v>#REF!</v>
      </c>
      <c r="BU776" s="39" t="str">
        <f t="shared" si="1135"/>
        <v/>
      </c>
      <c r="BV776" s="39" t="str">
        <f t="shared" si="1128"/>
        <v/>
      </c>
    </row>
    <row r="777" spans="1:74" ht="14.25" customHeight="1" x14ac:dyDescent="0.35">
      <c r="A777" s="294"/>
      <c r="B777" s="296"/>
      <c r="C777" s="298"/>
      <c r="D777" s="300"/>
      <c r="E777" s="302"/>
      <c r="F777" s="304"/>
      <c r="G777" s="276"/>
      <c r="H777" s="277"/>
      <c r="I777" s="290"/>
      <c r="J777" s="290"/>
      <c r="K777" s="291"/>
      <c r="L777" s="17"/>
      <c r="M777" s="286"/>
      <c r="N777" s="21"/>
      <c r="O777" s="286"/>
      <c r="P777" s="21"/>
      <c r="Q777" s="286"/>
      <c r="R777" s="248"/>
      <c r="S777" s="287"/>
      <c r="T777" s="248"/>
      <c r="U777" s="13"/>
      <c r="V777" s="282"/>
      <c r="W777" s="283"/>
      <c r="X777" s="284"/>
      <c r="Y777" s="245"/>
      <c r="Z777" s="245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BP777" s="391"/>
      <c r="BQ777" s="393"/>
      <c r="BS777" s="50" t="str">
        <f>Q1536</f>
        <v/>
      </c>
      <c r="BT777" s="50" t="e">
        <f>#REF!</f>
        <v>#REF!</v>
      </c>
      <c r="BU777" s="39" t="str">
        <f t="shared" si="1135"/>
        <v/>
      </c>
      <c r="BV777" s="39" t="str">
        <f t="shared" si="1128"/>
        <v/>
      </c>
    </row>
    <row r="778" spans="1:74" ht="14.25" customHeight="1" x14ac:dyDescent="0.35">
      <c r="A778" s="293">
        <v>381</v>
      </c>
      <c r="B778" s="295"/>
      <c r="C778" s="297"/>
      <c r="D778" s="299"/>
      <c r="E778" s="301"/>
      <c r="F778" s="303"/>
      <c r="G778" s="288"/>
      <c r="H778" s="289"/>
      <c r="I778" s="290"/>
      <c r="J778" s="290"/>
      <c r="K778" s="291"/>
      <c r="L778" s="18"/>
      <c r="M778" s="285" t="str">
        <f t="shared" ref="M778" si="1211">IF(COUNT(L778:L779)&lt;1,"",AVERAGE(L778:L779))</f>
        <v/>
      </c>
      <c r="N778" s="22"/>
      <c r="O778" s="285" t="str">
        <f t="shared" ref="O778" si="1212">IF(COUNT(N778:N779)&lt;1,"",AVERAGE(N778:N779))</f>
        <v/>
      </c>
      <c r="P778" s="22"/>
      <c r="Q778" s="285" t="str">
        <f t="shared" ref="Q778" si="1213">IF(COUNT(P778:P779)&lt;1,"",AVERAGE(P778:P779))</f>
        <v/>
      </c>
      <c r="R778" s="278" t="str">
        <f>IF($X$13="/28",IF(COUNT(P778:P779)&lt;=1,"",ABS(P778-P779)),IF($X$13="/90",IF(COUNT(#REF!)&lt;=1,"",ABS(#REF!-#REF!))))</f>
        <v/>
      </c>
      <c r="S778" s="278" t="str">
        <f>IF($X$13="/28",IF(Q778="","",IF(AVERAGE(Q774:Q779)&gt;=$W$13,ROUND(AVERAGE(Q774:Q779),1)&amp;" ≥ "&amp;$W$13&amp;" OK",ROUND(AVERAGE(Q774:Q779),1)&amp;" &lt; "&amp;$W$13&amp;" NC")),IF($X$13="/90",IF(#REF!="","",IF(AVERAGE(#REF!)&gt;=$W$13,ROUND(AVERAGE(#REF!),1)&amp;" ≥ "&amp;$W$13&amp;" OK",ROUND(AVERAGE(#REF!),1)&amp;" &lt; "&amp;$W$13&amp;" NC"))))</f>
        <v/>
      </c>
      <c r="T778" s="278" t="str">
        <f>IF($X$13="/28",IF(Q778="","",IF(Q778&gt;=$W$13-$S$12,ROUND((Q778),1)&amp;" ≥ "&amp;$W$13-$S$12&amp;" OK",ROUND((Q778),1)&amp;" &lt; "&amp;$W$13-$S$12&amp;" NC")),IF($X$13="/90",IF(#REF!="","",IF(#REF!&gt;=$W$13-$S$12,ROUND((#REF!),1)&amp;" ≥ "&amp;$W$13-$S$12&amp;" OK",ROUND((#REF!),1)&amp;" &lt; "&amp;$W$13-$S$12&amp;" NC"))))</f>
        <v/>
      </c>
      <c r="U778" s="14"/>
      <c r="V778" s="279"/>
      <c r="W778" s="280"/>
      <c r="X778" s="281"/>
      <c r="Y778" s="246"/>
      <c r="Z778" s="246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BP778" s="390" t="str">
        <f>IF($X$13="/28",IF(Q778="","",Q778),IF($X$13="/90",IF(#REF!="","",#REF!),"Falso"))</f>
        <v/>
      </c>
      <c r="BQ778" s="392" t="str">
        <f t="shared" si="1186"/>
        <v/>
      </c>
      <c r="BS778" s="50" t="str">
        <f>Q1538</f>
        <v/>
      </c>
      <c r="BT778" s="50" t="e">
        <f>#REF!</f>
        <v>#REF!</v>
      </c>
      <c r="BU778" s="39" t="str">
        <f t="shared" si="1135"/>
        <v/>
      </c>
      <c r="BV778" s="39" t="str">
        <f t="shared" si="1128"/>
        <v/>
      </c>
    </row>
    <row r="779" spans="1:74" ht="14.25" customHeight="1" x14ac:dyDescent="0.35">
      <c r="A779" s="294"/>
      <c r="B779" s="296"/>
      <c r="C779" s="298"/>
      <c r="D779" s="300"/>
      <c r="E779" s="302"/>
      <c r="F779" s="304"/>
      <c r="G779" s="276"/>
      <c r="H779" s="277"/>
      <c r="I779" s="290"/>
      <c r="J779" s="290"/>
      <c r="K779" s="291"/>
      <c r="L779" s="17"/>
      <c r="M779" s="286"/>
      <c r="N779" s="21"/>
      <c r="O779" s="286"/>
      <c r="P779" s="21"/>
      <c r="Q779" s="286"/>
      <c r="R779" s="248"/>
      <c r="S779" s="287"/>
      <c r="T779" s="248"/>
      <c r="U779" s="13"/>
      <c r="V779" s="282"/>
      <c r="W779" s="283"/>
      <c r="X779" s="284"/>
      <c r="Y779" s="245"/>
      <c r="Z779" s="245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BP779" s="391"/>
      <c r="BQ779" s="393"/>
      <c r="BS779" s="50" t="str">
        <f>Q1540</f>
        <v/>
      </c>
      <c r="BT779" s="50" t="e">
        <f>#REF!</f>
        <v>#REF!</v>
      </c>
      <c r="BU779" s="39" t="str">
        <f t="shared" si="1135"/>
        <v/>
      </c>
      <c r="BV779" s="39" t="str">
        <f t="shared" si="1128"/>
        <v/>
      </c>
    </row>
    <row r="780" spans="1:74" ht="14.25" customHeight="1" x14ac:dyDescent="0.35">
      <c r="A780" s="293">
        <v>382</v>
      </c>
      <c r="B780" s="295"/>
      <c r="C780" s="297"/>
      <c r="D780" s="299"/>
      <c r="E780" s="301"/>
      <c r="F780" s="303"/>
      <c r="G780" s="288"/>
      <c r="H780" s="289"/>
      <c r="I780" s="290"/>
      <c r="J780" s="290"/>
      <c r="K780" s="291"/>
      <c r="L780" s="18"/>
      <c r="M780" s="285" t="str">
        <f t="shared" ref="M780" si="1214">IF(COUNT(L780:L781)&lt;1,"",AVERAGE(L780:L781))</f>
        <v/>
      </c>
      <c r="N780" s="22"/>
      <c r="O780" s="285" t="str">
        <f t="shared" ref="O780" si="1215">IF(COUNT(N780:N781)&lt;1,"",AVERAGE(N780:N781))</f>
        <v/>
      </c>
      <c r="P780" s="22"/>
      <c r="Q780" s="285" t="str">
        <f t="shared" ref="Q780" si="1216">IF(COUNT(P780:P781)&lt;1,"",AVERAGE(P780:P781))</f>
        <v/>
      </c>
      <c r="R780" s="278" t="str">
        <f>IF($X$13="/28",IF(COUNT(P780:P781)&lt;=1,"",ABS(P780-P781)),IF($X$13="/90",IF(COUNT(#REF!)&lt;=1,"",ABS(#REF!-#REF!))))</f>
        <v/>
      </c>
      <c r="S780" s="278" t="str">
        <f>IF($X$13="/28",IF(Q780="","",IF(AVERAGE(Q776:Q781)&gt;=$W$13,ROUND(AVERAGE(Q776:Q781),1)&amp;" ≥ "&amp;$W$13&amp;" OK",ROUND(AVERAGE(Q776:Q781),1)&amp;" &lt; "&amp;$W$13&amp;" NC")),IF($X$13="/90",IF(#REF!="","",IF(AVERAGE(#REF!)&gt;=$W$13,ROUND(AVERAGE(#REF!),1)&amp;" ≥ "&amp;$W$13&amp;" OK",ROUND(AVERAGE(#REF!),1)&amp;" &lt; "&amp;$W$13&amp;" NC"))))</f>
        <v/>
      </c>
      <c r="T780" s="278" t="str">
        <f>IF($X$13="/28",IF(Q780="","",IF(Q780&gt;=$W$13-$S$12,ROUND((Q780),1)&amp;" ≥ "&amp;$W$13-$S$12&amp;" OK",ROUND((Q780),1)&amp;" &lt; "&amp;$W$13-$S$12&amp;" NC")),IF($X$13="/90",IF(#REF!="","",IF(#REF!&gt;=$W$13-$S$12,ROUND((#REF!),1)&amp;" ≥ "&amp;$W$13-$S$12&amp;" OK",ROUND((#REF!),1)&amp;" &lt; "&amp;$W$13-$S$12&amp;" NC"))))</f>
        <v/>
      </c>
      <c r="U780" s="14"/>
      <c r="V780" s="279"/>
      <c r="W780" s="280"/>
      <c r="X780" s="281"/>
      <c r="Y780" s="246"/>
      <c r="Z780" s="246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BP780" s="390" t="str">
        <f>IF($X$13="/28",IF(Q780="","",Q780),IF($X$13="/90",IF(#REF!="","",#REF!),"Falso"))</f>
        <v/>
      </c>
      <c r="BQ780" s="392" t="str">
        <f t="shared" si="1178"/>
        <v/>
      </c>
      <c r="BS780" s="50" t="str">
        <f>Q1542</f>
        <v/>
      </c>
      <c r="BT780" s="50" t="e">
        <f>#REF!</f>
        <v>#REF!</v>
      </c>
      <c r="BU780" s="39" t="str">
        <f t="shared" si="1135"/>
        <v/>
      </c>
      <c r="BV780" s="39" t="str">
        <f t="shared" si="1128"/>
        <v/>
      </c>
    </row>
    <row r="781" spans="1:74" ht="14.25" customHeight="1" x14ac:dyDescent="0.35">
      <c r="A781" s="294"/>
      <c r="B781" s="296"/>
      <c r="C781" s="298"/>
      <c r="D781" s="300"/>
      <c r="E781" s="302"/>
      <c r="F781" s="304"/>
      <c r="G781" s="276"/>
      <c r="H781" s="277"/>
      <c r="I781" s="290"/>
      <c r="J781" s="290"/>
      <c r="K781" s="291"/>
      <c r="L781" s="17"/>
      <c r="M781" s="286"/>
      <c r="N781" s="21"/>
      <c r="O781" s="286"/>
      <c r="P781" s="21"/>
      <c r="Q781" s="286"/>
      <c r="R781" s="248"/>
      <c r="S781" s="287"/>
      <c r="T781" s="248"/>
      <c r="U781" s="13"/>
      <c r="V781" s="282"/>
      <c r="W781" s="283"/>
      <c r="X781" s="284"/>
      <c r="Y781" s="245"/>
      <c r="Z781" s="245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BP781" s="391"/>
      <c r="BQ781" s="393"/>
      <c r="BS781" s="50" t="str">
        <f>Q1544</f>
        <v/>
      </c>
      <c r="BT781" s="50" t="e">
        <f>#REF!</f>
        <v>#REF!</v>
      </c>
      <c r="BU781" s="39" t="str">
        <f t="shared" si="1135"/>
        <v/>
      </c>
      <c r="BV781" s="39" t="str">
        <f t="shared" si="1128"/>
        <v/>
      </c>
    </row>
    <row r="782" spans="1:74" ht="14.25" customHeight="1" x14ac:dyDescent="0.35">
      <c r="A782" s="293">
        <v>383</v>
      </c>
      <c r="B782" s="295"/>
      <c r="C782" s="297"/>
      <c r="D782" s="299"/>
      <c r="E782" s="301"/>
      <c r="F782" s="303"/>
      <c r="G782" s="288"/>
      <c r="H782" s="289"/>
      <c r="I782" s="290"/>
      <c r="J782" s="290"/>
      <c r="K782" s="291"/>
      <c r="L782" s="18"/>
      <c r="M782" s="285" t="str">
        <f t="shared" ref="M782" si="1217">IF(COUNT(L782:L783)&lt;1,"",AVERAGE(L782:L783))</f>
        <v/>
      </c>
      <c r="N782" s="22"/>
      <c r="O782" s="285" t="str">
        <f t="shared" ref="O782" si="1218">IF(COUNT(N782:N783)&lt;1,"",AVERAGE(N782:N783))</f>
        <v/>
      </c>
      <c r="P782" s="22"/>
      <c r="Q782" s="285" t="str">
        <f t="shared" ref="Q782" si="1219">IF(COUNT(P782:P783)&lt;1,"",AVERAGE(P782:P783))</f>
        <v/>
      </c>
      <c r="R782" s="278" t="str">
        <f>IF($X$13="/28",IF(COUNT(P782:P783)&lt;=1,"",ABS(P782-P783)),IF($X$13="/90",IF(COUNT(#REF!)&lt;=1,"",ABS(#REF!-#REF!))))</f>
        <v/>
      </c>
      <c r="S782" s="278" t="str">
        <f>IF($X$13="/28",IF(Q782="","",IF(AVERAGE(Q778:Q783)&gt;=$W$13,ROUND(AVERAGE(Q778:Q783),1)&amp;" ≥ "&amp;$W$13&amp;" OK",ROUND(AVERAGE(Q778:Q783),1)&amp;" &lt; "&amp;$W$13&amp;" NC")),IF($X$13="/90",IF(#REF!="","",IF(AVERAGE(#REF!)&gt;=$W$13,ROUND(AVERAGE(#REF!),1)&amp;" ≥ "&amp;$W$13&amp;" OK",ROUND(AVERAGE(#REF!),1)&amp;" &lt; "&amp;$W$13&amp;" NC"))))</f>
        <v/>
      </c>
      <c r="T782" s="278" t="str">
        <f>IF($X$13="/28",IF(Q782="","",IF(Q782&gt;=$W$13-$S$12,ROUND((Q782),1)&amp;" ≥ "&amp;$W$13-$S$12&amp;" OK",ROUND((Q782),1)&amp;" &lt; "&amp;$W$13-$S$12&amp;" NC")),IF($X$13="/90",IF(#REF!="","",IF(#REF!&gt;=$W$13-$S$12,ROUND((#REF!),1)&amp;" ≥ "&amp;$W$13-$S$12&amp;" OK",ROUND((#REF!),1)&amp;" &lt; "&amp;$W$13-$S$12&amp;" NC"))))</f>
        <v/>
      </c>
      <c r="U782" s="14"/>
      <c r="V782" s="279"/>
      <c r="W782" s="280"/>
      <c r="X782" s="281"/>
      <c r="Y782" s="246"/>
      <c r="Z782" s="246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BP782" s="390" t="str">
        <f>IF($X$13="/28",IF(Q782="","",Q782),IF($X$13="/90",IF(#REF!="","",#REF!),"Falso"))</f>
        <v/>
      </c>
      <c r="BQ782" s="392" t="str">
        <f t="shared" si="1182"/>
        <v/>
      </c>
      <c r="BS782" s="50" t="str">
        <f>Q1546</f>
        <v/>
      </c>
      <c r="BT782" s="50" t="e">
        <f>#REF!</f>
        <v>#REF!</v>
      </c>
      <c r="BU782" s="39" t="str">
        <f t="shared" si="1135"/>
        <v/>
      </c>
      <c r="BV782" s="39" t="str">
        <f t="shared" si="1128"/>
        <v/>
      </c>
    </row>
    <row r="783" spans="1:74" ht="14.25" customHeight="1" x14ac:dyDescent="0.35">
      <c r="A783" s="294"/>
      <c r="B783" s="296"/>
      <c r="C783" s="298"/>
      <c r="D783" s="300"/>
      <c r="E783" s="302"/>
      <c r="F783" s="304"/>
      <c r="G783" s="276"/>
      <c r="H783" s="277"/>
      <c r="I783" s="290"/>
      <c r="J783" s="290"/>
      <c r="K783" s="291"/>
      <c r="L783" s="17"/>
      <c r="M783" s="286"/>
      <c r="N783" s="21"/>
      <c r="O783" s="286"/>
      <c r="P783" s="21"/>
      <c r="Q783" s="286"/>
      <c r="R783" s="248"/>
      <c r="S783" s="287"/>
      <c r="T783" s="248"/>
      <c r="U783" s="13"/>
      <c r="V783" s="282"/>
      <c r="W783" s="283"/>
      <c r="X783" s="284"/>
      <c r="Y783" s="245"/>
      <c r="Z783" s="245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BP783" s="391"/>
      <c r="BQ783" s="393"/>
      <c r="BS783" s="50" t="str">
        <f>Q1548</f>
        <v/>
      </c>
      <c r="BT783" s="50" t="e">
        <f>#REF!</f>
        <v>#REF!</v>
      </c>
      <c r="BU783" s="39" t="str">
        <f t="shared" si="1135"/>
        <v/>
      </c>
      <c r="BV783" s="39" t="str">
        <f t="shared" si="1128"/>
        <v/>
      </c>
    </row>
    <row r="784" spans="1:74" ht="14.25" customHeight="1" x14ac:dyDescent="0.35">
      <c r="A784" s="293">
        <v>384</v>
      </c>
      <c r="B784" s="295"/>
      <c r="C784" s="297"/>
      <c r="D784" s="299"/>
      <c r="E784" s="301"/>
      <c r="F784" s="303"/>
      <c r="G784" s="288"/>
      <c r="H784" s="289"/>
      <c r="I784" s="290"/>
      <c r="J784" s="290"/>
      <c r="K784" s="291"/>
      <c r="L784" s="18"/>
      <c r="M784" s="285" t="str">
        <f t="shared" ref="M784" si="1220">IF(COUNT(L784:L785)&lt;1,"",AVERAGE(L784:L785))</f>
        <v/>
      </c>
      <c r="N784" s="22"/>
      <c r="O784" s="285" t="str">
        <f t="shared" ref="O784" si="1221">IF(COUNT(N784:N785)&lt;1,"",AVERAGE(N784:N785))</f>
        <v/>
      </c>
      <c r="P784" s="22"/>
      <c r="Q784" s="285" t="str">
        <f t="shared" ref="Q784" si="1222">IF(COUNT(P784:P785)&lt;1,"",AVERAGE(P784:P785))</f>
        <v/>
      </c>
      <c r="R784" s="278" t="str">
        <f>IF($X$13="/28",IF(COUNT(P784:P785)&lt;=1,"",ABS(P784-P785)),IF($X$13="/90",IF(COUNT(#REF!)&lt;=1,"",ABS(#REF!-#REF!))))</f>
        <v/>
      </c>
      <c r="S784" s="278" t="str">
        <f>IF($X$13="/28",IF(Q784="","",IF(AVERAGE(Q780:Q785)&gt;=$W$13,ROUND(AVERAGE(Q780:Q785),1)&amp;" ≥ "&amp;$W$13&amp;" OK",ROUND(AVERAGE(Q780:Q785),1)&amp;" &lt; "&amp;$W$13&amp;" NC")),IF($X$13="/90",IF(#REF!="","",IF(AVERAGE(#REF!)&gt;=$W$13,ROUND(AVERAGE(#REF!),1)&amp;" ≥ "&amp;$W$13&amp;" OK",ROUND(AVERAGE(#REF!),1)&amp;" &lt; "&amp;$W$13&amp;" NC"))))</f>
        <v/>
      </c>
      <c r="T784" s="278" t="str">
        <f>IF($X$13="/28",IF(Q784="","",IF(Q784&gt;=$W$13-$S$12,ROUND((Q784),1)&amp;" ≥ "&amp;$W$13-$S$12&amp;" OK",ROUND((Q784),1)&amp;" &lt; "&amp;$W$13-$S$12&amp;" NC")),IF($X$13="/90",IF(#REF!="","",IF(#REF!&gt;=$W$13-$S$12,ROUND((#REF!),1)&amp;" ≥ "&amp;$W$13-$S$12&amp;" OK",ROUND((#REF!),1)&amp;" &lt; "&amp;$W$13-$S$12&amp;" NC"))))</f>
        <v/>
      </c>
      <c r="U784" s="14"/>
      <c r="V784" s="279"/>
      <c r="W784" s="280"/>
      <c r="X784" s="281"/>
      <c r="Y784" s="246"/>
      <c r="Z784" s="246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BP784" s="390" t="str">
        <f>IF($X$13="/28",IF(Q784="","",Q784),IF($X$13="/90",IF(#REF!="","",#REF!),"Falso"))</f>
        <v/>
      </c>
      <c r="BQ784" s="392" t="str">
        <f t="shared" si="1186"/>
        <v/>
      </c>
      <c r="BS784" s="50" t="str">
        <f>Q1550</f>
        <v/>
      </c>
      <c r="BT784" s="50" t="e">
        <f>#REF!</f>
        <v>#REF!</v>
      </c>
      <c r="BU784" s="39" t="str">
        <f t="shared" si="1135"/>
        <v/>
      </c>
      <c r="BV784" s="39" t="str">
        <f t="shared" si="1128"/>
        <v/>
      </c>
    </row>
    <row r="785" spans="1:74" ht="14.25" customHeight="1" x14ac:dyDescent="0.35">
      <c r="A785" s="294"/>
      <c r="B785" s="296"/>
      <c r="C785" s="298"/>
      <c r="D785" s="300"/>
      <c r="E785" s="302"/>
      <c r="F785" s="304"/>
      <c r="G785" s="276"/>
      <c r="H785" s="277"/>
      <c r="I785" s="290"/>
      <c r="J785" s="290"/>
      <c r="K785" s="291"/>
      <c r="L785" s="17"/>
      <c r="M785" s="286"/>
      <c r="N785" s="21"/>
      <c r="O785" s="286"/>
      <c r="P785" s="21"/>
      <c r="Q785" s="286"/>
      <c r="R785" s="248"/>
      <c r="S785" s="287"/>
      <c r="T785" s="248"/>
      <c r="U785" s="13"/>
      <c r="V785" s="282"/>
      <c r="W785" s="283"/>
      <c r="X785" s="284"/>
      <c r="Y785" s="245"/>
      <c r="Z785" s="245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BP785" s="391"/>
      <c r="BQ785" s="393"/>
      <c r="BS785" s="50" t="str">
        <f>Q1552</f>
        <v/>
      </c>
      <c r="BT785" s="50" t="e">
        <f>#REF!</f>
        <v>#REF!</v>
      </c>
      <c r="BU785" s="39" t="str">
        <f t="shared" si="1135"/>
        <v/>
      </c>
      <c r="BV785" s="39" t="str">
        <f t="shared" si="1128"/>
        <v/>
      </c>
    </row>
    <row r="786" spans="1:74" ht="14.25" customHeight="1" x14ac:dyDescent="0.35">
      <c r="A786" s="293">
        <v>385</v>
      </c>
      <c r="B786" s="295"/>
      <c r="C786" s="297"/>
      <c r="D786" s="299"/>
      <c r="E786" s="301"/>
      <c r="F786" s="303"/>
      <c r="G786" s="288"/>
      <c r="H786" s="289"/>
      <c r="I786" s="290"/>
      <c r="J786" s="290"/>
      <c r="K786" s="291"/>
      <c r="L786" s="18"/>
      <c r="M786" s="285" t="str">
        <f t="shared" ref="M786" si="1223">IF(COUNT(L786:L787)&lt;1,"",AVERAGE(L786:L787))</f>
        <v/>
      </c>
      <c r="N786" s="22"/>
      <c r="O786" s="285" t="str">
        <f t="shared" ref="O786" si="1224">IF(COUNT(N786:N787)&lt;1,"",AVERAGE(N786:N787))</f>
        <v/>
      </c>
      <c r="P786" s="22"/>
      <c r="Q786" s="285" t="str">
        <f t="shared" ref="Q786" si="1225">IF(COUNT(P786:P787)&lt;1,"",AVERAGE(P786:P787))</f>
        <v/>
      </c>
      <c r="R786" s="278" t="str">
        <f>IF($X$13="/28",IF(COUNT(P786:P787)&lt;=1,"",ABS(P786-P787)),IF($X$13="/90",IF(COUNT(#REF!)&lt;=1,"",ABS(#REF!-#REF!))))</f>
        <v/>
      </c>
      <c r="S786" s="278" t="str">
        <f>IF($X$13="/28",IF(Q786="","",IF(AVERAGE(Q782:Q787)&gt;=$W$13,ROUND(AVERAGE(Q782:Q787),1)&amp;" ≥ "&amp;$W$13&amp;" OK",ROUND(AVERAGE(Q782:Q787),1)&amp;" &lt; "&amp;$W$13&amp;" NC")),IF($X$13="/90",IF(#REF!="","",IF(AVERAGE(#REF!)&gt;=$W$13,ROUND(AVERAGE(#REF!),1)&amp;" ≥ "&amp;$W$13&amp;" OK",ROUND(AVERAGE(#REF!),1)&amp;" &lt; "&amp;$W$13&amp;" NC"))))</f>
        <v/>
      </c>
      <c r="T786" s="278" t="str">
        <f>IF($X$13="/28",IF(Q786="","",IF(Q786&gt;=$W$13-$S$12,ROUND((Q786),1)&amp;" ≥ "&amp;$W$13-$S$12&amp;" OK",ROUND((Q786),1)&amp;" &lt; "&amp;$W$13-$S$12&amp;" NC")),IF($X$13="/90",IF(#REF!="","",IF(#REF!&gt;=$W$13-$S$12,ROUND((#REF!),1)&amp;" ≥ "&amp;$W$13-$S$12&amp;" OK",ROUND((#REF!),1)&amp;" &lt; "&amp;$W$13-$S$12&amp;" NC"))))</f>
        <v/>
      </c>
      <c r="U786" s="14"/>
      <c r="V786" s="279"/>
      <c r="W786" s="280"/>
      <c r="X786" s="281"/>
      <c r="Y786" s="246"/>
      <c r="Z786" s="246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BP786" s="390" t="str">
        <f>IF($X$13="/28",IF(Q786="","",Q786),IF($X$13="/90",IF(#REF!="","",#REF!),"Falso"))</f>
        <v/>
      </c>
      <c r="BQ786" s="392" t="str">
        <f t="shared" si="1178"/>
        <v/>
      </c>
      <c r="BS786" s="50" t="str">
        <f>Q1554</f>
        <v/>
      </c>
      <c r="BT786" s="50" t="e">
        <f>#REF!</f>
        <v>#REF!</v>
      </c>
      <c r="BU786" s="39" t="str">
        <f t="shared" si="1135"/>
        <v/>
      </c>
      <c r="BV786" s="39" t="str">
        <f t="shared" si="1128"/>
        <v/>
      </c>
    </row>
    <row r="787" spans="1:74" ht="14.25" customHeight="1" x14ac:dyDescent="0.35">
      <c r="A787" s="294"/>
      <c r="B787" s="296"/>
      <c r="C787" s="298"/>
      <c r="D787" s="300"/>
      <c r="E787" s="302"/>
      <c r="F787" s="304"/>
      <c r="G787" s="276"/>
      <c r="H787" s="277"/>
      <c r="I787" s="290"/>
      <c r="J787" s="290"/>
      <c r="K787" s="291"/>
      <c r="L787" s="17"/>
      <c r="M787" s="286"/>
      <c r="N787" s="21"/>
      <c r="O787" s="286"/>
      <c r="P787" s="21"/>
      <c r="Q787" s="286"/>
      <c r="R787" s="248"/>
      <c r="S787" s="287"/>
      <c r="T787" s="248"/>
      <c r="U787" s="13"/>
      <c r="V787" s="282"/>
      <c r="W787" s="283"/>
      <c r="X787" s="284"/>
      <c r="Y787" s="245"/>
      <c r="Z787" s="245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BP787" s="391"/>
      <c r="BQ787" s="393"/>
      <c r="BS787" s="50" t="str">
        <f>Q1556</f>
        <v/>
      </c>
      <c r="BT787" s="50" t="e">
        <f>#REF!</f>
        <v>#REF!</v>
      </c>
      <c r="BU787" s="39" t="str">
        <f t="shared" si="1135"/>
        <v/>
      </c>
      <c r="BV787" s="39" t="str">
        <f t="shared" si="1128"/>
        <v/>
      </c>
    </row>
    <row r="788" spans="1:74" ht="14.25" customHeight="1" x14ac:dyDescent="0.35">
      <c r="A788" s="293">
        <v>386</v>
      </c>
      <c r="B788" s="295"/>
      <c r="C788" s="297"/>
      <c r="D788" s="299"/>
      <c r="E788" s="301"/>
      <c r="F788" s="303"/>
      <c r="G788" s="288"/>
      <c r="H788" s="289"/>
      <c r="I788" s="290"/>
      <c r="J788" s="290"/>
      <c r="K788" s="291"/>
      <c r="L788" s="18"/>
      <c r="M788" s="285" t="str">
        <f t="shared" ref="M788" si="1226">IF(COUNT(L788:L789)&lt;1,"",AVERAGE(L788:L789))</f>
        <v/>
      </c>
      <c r="N788" s="22"/>
      <c r="O788" s="285" t="str">
        <f t="shared" ref="O788" si="1227">IF(COUNT(N788:N789)&lt;1,"",AVERAGE(N788:N789))</f>
        <v/>
      </c>
      <c r="P788" s="22"/>
      <c r="Q788" s="285" t="str">
        <f t="shared" ref="Q788" si="1228">IF(COUNT(P788:P789)&lt;1,"",AVERAGE(P788:P789))</f>
        <v/>
      </c>
      <c r="R788" s="278" t="str">
        <f>IF($X$13="/28",IF(COUNT(P788:P789)&lt;=1,"",ABS(P788-P789)),IF($X$13="/90",IF(COUNT(#REF!)&lt;=1,"",ABS(#REF!-#REF!))))</f>
        <v/>
      </c>
      <c r="S788" s="278" t="str">
        <f>IF($X$13="/28",IF(Q788="","",IF(AVERAGE(Q784:Q789)&gt;=$W$13,ROUND(AVERAGE(Q784:Q789),1)&amp;" ≥ "&amp;$W$13&amp;" OK",ROUND(AVERAGE(Q784:Q789),1)&amp;" &lt; "&amp;$W$13&amp;" NC")),IF($X$13="/90",IF(#REF!="","",IF(AVERAGE(#REF!)&gt;=$W$13,ROUND(AVERAGE(#REF!),1)&amp;" ≥ "&amp;$W$13&amp;" OK",ROUND(AVERAGE(#REF!),1)&amp;" &lt; "&amp;$W$13&amp;" NC"))))</f>
        <v/>
      </c>
      <c r="T788" s="278" t="str">
        <f>IF($X$13="/28",IF(Q788="","",IF(Q788&gt;=$W$13-$S$12,ROUND((Q788),1)&amp;" ≥ "&amp;$W$13-$S$12&amp;" OK",ROUND((Q788),1)&amp;" &lt; "&amp;$W$13-$S$12&amp;" NC")),IF($X$13="/90",IF(#REF!="","",IF(#REF!&gt;=$W$13-$S$12,ROUND((#REF!),1)&amp;" ≥ "&amp;$W$13-$S$12&amp;" OK",ROUND((#REF!),1)&amp;" &lt; "&amp;$W$13-$S$12&amp;" NC"))))</f>
        <v/>
      </c>
      <c r="U788" s="14"/>
      <c r="V788" s="279"/>
      <c r="W788" s="280"/>
      <c r="X788" s="281"/>
      <c r="Y788" s="246"/>
      <c r="Z788" s="246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BP788" s="390" t="str">
        <f>IF($X$13="/28",IF(Q788="","",Q788),IF($X$13="/90",IF(#REF!="","",#REF!),"Falso"))</f>
        <v/>
      </c>
      <c r="BQ788" s="392" t="str">
        <f t="shared" si="1182"/>
        <v/>
      </c>
      <c r="BS788" s="50" t="str">
        <f>Q1558</f>
        <v/>
      </c>
      <c r="BT788" s="50" t="e">
        <f>#REF!</f>
        <v>#REF!</v>
      </c>
      <c r="BU788" s="39" t="str">
        <f t="shared" si="1135"/>
        <v/>
      </c>
      <c r="BV788" s="39" t="str">
        <f t="shared" ref="BV788:BV851" si="1229">IF(BU788="","",BV787+1)</f>
        <v/>
      </c>
    </row>
    <row r="789" spans="1:74" ht="14.25" customHeight="1" x14ac:dyDescent="0.35">
      <c r="A789" s="294"/>
      <c r="B789" s="296"/>
      <c r="C789" s="298"/>
      <c r="D789" s="300"/>
      <c r="E789" s="302"/>
      <c r="F789" s="304"/>
      <c r="G789" s="276"/>
      <c r="H789" s="277"/>
      <c r="I789" s="290"/>
      <c r="J789" s="290"/>
      <c r="K789" s="291"/>
      <c r="L789" s="17"/>
      <c r="M789" s="286"/>
      <c r="N789" s="21"/>
      <c r="O789" s="286"/>
      <c r="P789" s="21"/>
      <c r="Q789" s="286"/>
      <c r="R789" s="248"/>
      <c r="S789" s="287"/>
      <c r="T789" s="248"/>
      <c r="U789" s="13"/>
      <c r="V789" s="282"/>
      <c r="W789" s="283"/>
      <c r="X789" s="284"/>
      <c r="Y789" s="245"/>
      <c r="Z789" s="245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BP789" s="391"/>
      <c r="BQ789" s="393"/>
      <c r="BS789" s="50" t="str">
        <f>Q1560</f>
        <v/>
      </c>
      <c r="BT789" s="50" t="e">
        <f>#REF!</f>
        <v>#REF!</v>
      </c>
      <c r="BU789" s="39" t="str">
        <f t="shared" si="1135"/>
        <v/>
      </c>
      <c r="BV789" s="39" t="str">
        <f t="shared" si="1229"/>
        <v/>
      </c>
    </row>
    <row r="790" spans="1:74" ht="14.25" customHeight="1" x14ac:dyDescent="0.35">
      <c r="A790" s="293">
        <v>387</v>
      </c>
      <c r="B790" s="295"/>
      <c r="C790" s="297"/>
      <c r="D790" s="299"/>
      <c r="E790" s="301"/>
      <c r="F790" s="303"/>
      <c r="G790" s="288"/>
      <c r="H790" s="289"/>
      <c r="I790" s="290"/>
      <c r="J790" s="290"/>
      <c r="K790" s="291"/>
      <c r="L790" s="18"/>
      <c r="M790" s="285" t="str">
        <f t="shared" ref="M790" si="1230">IF(COUNT(L790:L791)&lt;1,"",AVERAGE(L790:L791))</f>
        <v/>
      </c>
      <c r="N790" s="22"/>
      <c r="O790" s="285" t="str">
        <f t="shared" ref="O790" si="1231">IF(COUNT(N790:N791)&lt;1,"",AVERAGE(N790:N791))</f>
        <v/>
      </c>
      <c r="P790" s="22"/>
      <c r="Q790" s="285" t="str">
        <f t="shared" ref="Q790" si="1232">IF(COUNT(P790:P791)&lt;1,"",AVERAGE(P790:P791))</f>
        <v/>
      </c>
      <c r="R790" s="278" t="str">
        <f>IF($X$13="/28",IF(COUNT(P790:P791)&lt;=1,"",ABS(P790-P791)),IF($X$13="/90",IF(COUNT(#REF!)&lt;=1,"",ABS(#REF!-#REF!))))</f>
        <v/>
      </c>
      <c r="S790" s="278" t="str">
        <f>IF($X$13="/28",IF(Q790="","",IF(AVERAGE(Q786:Q791)&gt;=$W$13,ROUND(AVERAGE(Q786:Q791),1)&amp;" ≥ "&amp;$W$13&amp;" OK",ROUND(AVERAGE(Q786:Q791),1)&amp;" &lt; "&amp;$W$13&amp;" NC")),IF($X$13="/90",IF(#REF!="","",IF(AVERAGE(#REF!)&gt;=$W$13,ROUND(AVERAGE(#REF!),1)&amp;" ≥ "&amp;$W$13&amp;" OK",ROUND(AVERAGE(#REF!),1)&amp;" &lt; "&amp;$W$13&amp;" NC"))))</f>
        <v/>
      </c>
      <c r="T790" s="278" t="str">
        <f>IF($X$13="/28",IF(Q790="","",IF(Q790&gt;=$W$13-$S$12,ROUND((Q790),1)&amp;" ≥ "&amp;$W$13-$S$12&amp;" OK",ROUND((Q790),1)&amp;" &lt; "&amp;$W$13-$S$12&amp;" NC")),IF($X$13="/90",IF(#REF!="","",IF(#REF!&gt;=$W$13-$S$12,ROUND((#REF!),1)&amp;" ≥ "&amp;$W$13-$S$12&amp;" OK",ROUND((#REF!),1)&amp;" &lt; "&amp;$W$13-$S$12&amp;" NC"))))</f>
        <v/>
      </c>
      <c r="U790" s="14"/>
      <c r="V790" s="279"/>
      <c r="W790" s="280"/>
      <c r="X790" s="281"/>
      <c r="Y790" s="246"/>
      <c r="Z790" s="246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BP790" s="390" t="str">
        <f>IF($X$13="/28",IF(Q790="","",Q790),IF($X$13="/90",IF(#REF!="","",#REF!),"Falso"))</f>
        <v/>
      </c>
      <c r="BQ790" s="392" t="str">
        <f t="shared" si="1186"/>
        <v/>
      </c>
      <c r="BS790" s="50" t="str">
        <f>Q1562</f>
        <v/>
      </c>
      <c r="BT790" s="50" t="e">
        <f>#REF!</f>
        <v>#REF!</v>
      </c>
      <c r="BU790" s="39" t="str">
        <f t="shared" si="1135"/>
        <v/>
      </c>
      <c r="BV790" s="39" t="str">
        <f t="shared" si="1229"/>
        <v/>
      </c>
    </row>
    <row r="791" spans="1:74" ht="14.25" customHeight="1" x14ac:dyDescent="0.35">
      <c r="A791" s="294"/>
      <c r="B791" s="296"/>
      <c r="C791" s="298"/>
      <c r="D791" s="300"/>
      <c r="E791" s="302"/>
      <c r="F791" s="304"/>
      <c r="G791" s="276"/>
      <c r="H791" s="277"/>
      <c r="I791" s="290"/>
      <c r="J791" s="290"/>
      <c r="K791" s="291"/>
      <c r="L791" s="17"/>
      <c r="M791" s="286"/>
      <c r="N791" s="21"/>
      <c r="O791" s="286"/>
      <c r="P791" s="21"/>
      <c r="Q791" s="286"/>
      <c r="R791" s="248"/>
      <c r="S791" s="287"/>
      <c r="T791" s="248"/>
      <c r="U791" s="13"/>
      <c r="V791" s="282"/>
      <c r="W791" s="283"/>
      <c r="X791" s="284"/>
      <c r="Y791" s="245"/>
      <c r="Z791" s="245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BP791" s="391"/>
      <c r="BQ791" s="393"/>
      <c r="BS791" s="50" t="str">
        <f>Q1564</f>
        <v/>
      </c>
      <c r="BT791" s="50" t="e">
        <f>#REF!</f>
        <v>#REF!</v>
      </c>
      <c r="BU791" s="39" t="str">
        <f t="shared" si="1135"/>
        <v/>
      </c>
      <c r="BV791" s="39" t="str">
        <f t="shared" si="1229"/>
        <v/>
      </c>
    </row>
    <row r="792" spans="1:74" ht="14.25" customHeight="1" x14ac:dyDescent="0.35">
      <c r="A792" s="293">
        <v>388</v>
      </c>
      <c r="B792" s="295"/>
      <c r="C792" s="297"/>
      <c r="D792" s="299"/>
      <c r="E792" s="301"/>
      <c r="F792" s="303"/>
      <c r="G792" s="288"/>
      <c r="H792" s="289"/>
      <c r="I792" s="290"/>
      <c r="J792" s="290"/>
      <c r="K792" s="291"/>
      <c r="L792" s="18"/>
      <c r="M792" s="285" t="str">
        <f t="shared" ref="M792" si="1233">IF(COUNT(L792:L793)&lt;1,"",AVERAGE(L792:L793))</f>
        <v/>
      </c>
      <c r="N792" s="22"/>
      <c r="O792" s="285" t="str">
        <f t="shared" ref="O792" si="1234">IF(COUNT(N792:N793)&lt;1,"",AVERAGE(N792:N793))</f>
        <v/>
      </c>
      <c r="P792" s="22"/>
      <c r="Q792" s="285" t="str">
        <f t="shared" ref="Q792" si="1235">IF(COUNT(P792:P793)&lt;1,"",AVERAGE(P792:P793))</f>
        <v/>
      </c>
      <c r="R792" s="278" t="str">
        <f>IF($X$13="/28",IF(COUNT(P792:P793)&lt;=1,"",ABS(P792-P793)),IF($X$13="/90",IF(COUNT(#REF!)&lt;=1,"",ABS(#REF!-#REF!))))</f>
        <v/>
      </c>
      <c r="S792" s="278" t="str">
        <f>IF($X$13="/28",IF(Q792="","",IF(AVERAGE(Q788:Q793)&gt;=$W$13,ROUND(AVERAGE(Q788:Q793),1)&amp;" ≥ "&amp;$W$13&amp;" OK",ROUND(AVERAGE(Q788:Q793),1)&amp;" &lt; "&amp;$W$13&amp;" NC")),IF($X$13="/90",IF(#REF!="","",IF(AVERAGE(#REF!)&gt;=$W$13,ROUND(AVERAGE(#REF!),1)&amp;" ≥ "&amp;$W$13&amp;" OK",ROUND(AVERAGE(#REF!),1)&amp;" &lt; "&amp;$W$13&amp;" NC"))))</f>
        <v/>
      </c>
      <c r="T792" s="278" t="str">
        <f>IF($X$13="/28",IF(Q792="","",IF(Q792&gt;=$W$13-$S$12,ROUND((Q792),1)&amp;" ≥ "&amp;$W$13-$S$12&amp;" OK",ROUND((Q792),1)&amp;" &lt; "&amp;$W$13-$S$12&amp;" NC")),IF($X$13="/90",IF(#REF!="","",IF(#REF!&gt;=$W$13-$S$12,ROUND((#REF!),1)&amp;" ≥ "&amp;$W$13-$S$12&amp;" OK",ROUND((#REF!),1)&amp;" &lt; "&amp;$W$13-$S$12&amp;" NC"))))</f>
        <v/>
      </c>
      <c r="U792" s="14"/>
      <c r="V792" s="279"/>
      <c r="W792" s="280"/>
      <c r="X792" s="281"/>
      <c r="Y792" s="246"/>
      <c r="Z792" s="246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BP792" s="390" t="str">
        <f>IF($X$13="/28",IF(Q792="","",Q792),IF($X$13="/90",IF(#REF!="","",#REF!),"Falso"))</f>
        <v/>
      </c>
      <c r="BQ792" s="392" t="str">
        <f t="shared" si="1178"/>
        <v/>
      </c>
      <c r="BS792" s="50" t="str">
        <f>Q1566</f>
        <v/>
      </c>
      <c r="BT792" s="50" t="e">
        <f>#REF!</f>
        <v>#REF!</v>
      </c>
      <c r="BU792" s="39" t="str">
        <f t="shared" ref="BU792:BU855" si="1236">IF($X$13="/28",IF(BS792="","",BS792),IF($X$13="/90",IF(BT792="","",BT792),"Falso"))</f>
        <v/>
      </c>
      <c r="BV792" s="39" t="str">
        <f t="shared" si="1229"/>
        <v/>
      </c>
    </row>
    <row r="793" spans="1:74" ht="14.25" customHeight="1" x14ac:dyDescent="0.35">
      <c r="A793" s="294"/>
      <c r="B793" s="296"/>
      <c r="C793" s="298"/>
      <c r="D793" s="300"/>
      <c r="E793" s="302"/>
      <c r="F793" s="304"/>
      <c r="G793" s="276"/>
      <c r="H793" s="277"/>
      <c r="I793" s="290"/>
      <c r="J793" s="290"/>
      <c r="K793" s="291"/>
      <c r="L793" s="17"/>
      <c r="M793" s="286"/>
      <c r="N793" s="21"/>
      <c r="O793" s="286"/>
      <c r="P793" s="21"/>
      <c r="Q793" s="286"/>
      <c r="R793" s="248"/>
      <c r="S793" s="287"/>
      <c r="T793" s="248"/>
      <c r="U793" s="13"/>
      <c r="V793" s="282"/>
      <c r="W793" s="283"/>
      <c r="X793" s="284"/>
      <c r="Y793" s="245"/>
      <c r="Z793" s="245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BP793" s="391"/>
      <c r="BQ793" s="393"/>
      <c r="BS793" s="50" t="str">
        <f>Q1568</f>
        <v/>
      </c>
      <c r="BT793" s="50" t="e">
        <f>#REF!</f>
        <v>#REF!</v>
      </c>
      <c r="BU793" s="39" t="str">
        <f t="shared" si="1236"/>
        <v/>
      </c>
      <c r="BV793" s="39" t="str">
        <f t="shared" si="1229"/>
        <v/>
      </c>
    </row>
    <row r="794" spans="1:74" ht="14.25" customHeight="1" x14ac:dyDescent="0.35">
      <c r="A794" s="293">
        <v>389</v>
      </c>
      <c r="B794" s="295"/>
      <c r="C794" s="297"/>
      <c r="D794" s="299"/>
      <c r="E794" s="301"/>
      <c r="F794" s="303"/>
      <c r="G794" s="288"/>
      <c r="H794" s="289"/>
      <c r="I794" s="290"/>
      <c r="J794" s="290"/>
      <c r="K794" s="291"/>
      <c r="L794" s="18"/>
      <c r="M794" s="285" t="str">
        <f t="shared" ref="M794" si="1237">IF(COUNT(L794:L795)&lt;1,"",AVERAGE(L794:L795))</f>
        <v/>
      </c>
      <c r="N794" s="22"/>
      <c r="O794" s="285" t="str">
        <f t="shared" ref="O794" si="1238">IF(COUNT(N794:N795)&lt;1,"",AVERAGE(N794:N795))</f>
        <v/>
      </c>
      <c r="P794" s="22"/>
      <c r="Q794" s="285" t="str">
        <f t="shared" ref="Q794" si="1239">IF(COUNT(P794:P795)&lt;1,"",AVERAGE(P794:P795))</f>
        <v/>
      </c>
      <c r="R794" s="278" t="str">
        <f>IF($X$13="/28",IF(COUNT(P794:P795)&lt;=1,"",ABS(P794-P795)),IF($X$13="/90",IF(COUNT(#REF!)&lt;=1,"",ABS(#REF!-#REF!))))</f>
        <v/>
      </c>
      <c r="S794" s="278" t="str">
        <f>IF($X$13="/28",IF(Q794="","",IF(AVERAGE(Q790:Q795)&gt;=$W$13,ROUND(AVERAGE(Q790:Q795),1)&amp;" ≥ "&amp;$W$13&amp;" OK",ROUND(AVERAGE(Q790:Q795),1)&amp;" &lt; "&amp;$W$13&amp;" NC")),IF($X$13="/90",IF(#REF!="","",IF(AVERAGE(#REF!)&gt;=$W$13,ROUND(AVERAGE(#REF!),1)&amp;" ≥ "&amp;$W$13&amp;" OK",ROUND(AVERAGE(#REF!),1)&amp;" &lt; "&amp;$W$13&amp;" NC"))))</f>
        <v/>
      </c>
      <c r="T794" s="278" t="str">
        <f>IF($X$13="/28",IF(Q794="","",IF(Q794&gt;=$W$13-$S$12,ROUND((Q794),1)&amp;" ≥ "&amp;$W$13-$S$12&amp;" OK",ROUND((Q794),1)&amp;" &lt; "&amp;$W$13-$S$12&amp;" NC")),IF($X$13="/90",IF(#REF!="","",IF(#REF!&gt;=$W$13-$S$12,ROUND((#REF!),1)&amp;" ≥ "&amp;$W$13-$S$12&amp;" OK",ROUND((#REF!),1)&amp;" &lt; "&amp;$W$13-$S$12&amp;" NC"))))</f>
        <v/>
      </c>
      <c r="U794" s="14"/>
      <c r="V794" s="279"/>
      <c r="W794" s="280"/>
      <c r="X794" s="281"/>
      <c r="Y794" s="246"/>
      <c r="Z794" s="246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BP794" s="390" t="str">
        <f>IF($X$13="/28",IF(Q794="","",Q794),IF($X$13="/90",IF(#REF!="","",#REF!),"Falso"))</f>
        <v/>
      </c>
      <c r="BQ794" s="392" t="str">
        <f t="shared" si="1182"/>
        <v/>
      </c>
      <c r="BS794" s="50" t="str">
        <f>Q1570</f>
        <v/>
      </c>
      <c r="BT794" s="50" t="e">
        <f>#REF!</f>
        <v>#REF!</v>
      </c>
      <c r="BU794" s="39" t="str">
        <f t="shared" si="1236"/>
        <v/>
      </c>
      <c r="BV794" s="39" t="str">
        <f t="shared" si="1229"/>
        <v/>
      </c>
    </row>
    <row r="795" spans="1:74" ht="14.25" customHeight="1" x14ac:dyDescent="0.35">
      <c r="A795" s="294"/>
      <c r="B795" s="296"/>
      <c r="C795" s="298"/>
      <c r="D795" s="300"/>
      <c r="E795" s="302"/>
      <c r="F795" s="304"/>
      <c r="G795" s="276"/>
      <c r="H795" s="277"/>
      <c r="I795" s="290"/>
      <c r="J795" s="290"/>
      <c r="K795" s="291"/>
      <c r="L795" s="17"/>
      <c r="M795" s="286"/>
      <c r="N795" s="21"/>
      <c r="O795" s="286"/>
      <c r="P795" s="21"/>
      <c r="Q795" s="286"/>
      <c r="R795" s="248"/>
      <c r="S795" s="287"/>
      <c r="T795" s="248"/>
      <c r="U795" s="13"/>
      <c r="V795" s="282"/>
      <c r="W795" s="283"/>
      <c r="X795" s="284"/>
      <c r="Y795" s="245"/>
      <c r="Z795" s="245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BP795" s="391"/>
      <c r="BQ795" s="393"/>
      <c r="BS795" s="50" t="str">
        <f>Q1572</f>
        <v/>
      </c>
      <c r="BT795" s="50" t="e">
        <f>#REF!</f>
        <v>#REF!</v>
      </c>
      <c r="BU795" s="39" t="str">
        <f t="shared" si="1236"/>
        <v/>
      </c>
      <c r="BV795" s="39" t="str">
        <f t="shared" si="1229"/>
        <v/>
      </c>
    </row>
    <row r="796" spans="1:74" ht="14.25" customHeight="1" x14ac:dyDescent="0.35">
      <c r="A796" s="293">
        <v>390</v>
      </c>
      <c r="B796" s="295"/>
      <c r="C796" s="297"/>
      <c r="D796" s="299"/>
      <c r="E796" s="301"/>
      <c r="F796" s="303"/>
      <c r="G796" s="288"/>
      <c r="H796" s="289"/>
      <c r="I796" s="290"/>
      <c r="J796" s="290"/>
      <c r="K796" s="291"/>
      <c r="L796" s="18"/>
      <c r="M796" s="285" t="str">
        <f t="shared" ref="M796" si="1240">IF(COUNT(L796:L797)&lt;1,"",AVERAGE(L796:L797))</f>
        <v/>
      </c>
      <c r="N796" s="22"/>
      <c r="O796" s="285" t="str">
        <f t="shared" ref="O796" si="1241">IF(COUNT(N796:N797)&lt;1,"",AVERAGE(N796:N797))</f>
        <v/>
      </c>
      <c r="P796" s="22"/>
      <c r="Q796" s="285" t="str">
        <f t="shared" ref="Q796" si="1242">IF(COUNT(P796:P797)&lt;1,"",AVERAGE(P796:P797))</f>
        <v/>
      </c>
      <c r="R796" s="278" t="str">
        <f>IF($X$13="/28",IF(COUNT(P796:P797)&lt;=1,"",ABS(P796-P797)),IF($X$13="/90",IF(COUNT(#REF!)&lt;=1,"",ABS(#REF!-#REF!))))</f>
        <v/>
      </c>
      <c r="S796" s="278" t="str">
        <f>IF($X$13="/28",IF(Q796="","",IF(AVERAGE(Q792:Q797)&gt;=$W$13,ROUND(AVERAGE(Q792:Q797),1)&amp;" ≥ "&amp;$W$13&amp;" OK",ROUND(AVERAGE(Q792:Q797),1)&amp;" &lt; "&amp;$W$13&amp;" NC")),IF($X$13="/90",IF(#REF!="","",IF(AVERAGE(#REF!)&gt;=$W$13,ROUND(AVERAGE(#REF!),1)&amp;" ≥ "&amp;$W$13&amp;" OK",ROUND(AVERAGE(#REF!),1)&amp;" &lt; "&amp;$W$13&amp;" NC"))))</f>
        <v/>
      </c>
      <c r="T796" s="278" t="str">
        <f>IF($X$13="/28",IF(Q796="","",IF(Q796&gt;=$W$13-$S$12,ROUND((Q796),1)&amp;" ≥ "&amp;$W$13-$S$12&amp;" OK",ROUND((Q796),1)&amp;" &lt; "&amp;$W$13-$S$12&amp;" NC")),IF($X$13="/90",IF(#REF!="","",IF(#REF!&gt;=$W$13-$S$12,ROUND((#REF!),1)&amp;" ≥ "&amp;$W$13-$S$12&amp;" OK",ROUND((#REF!),1)&amp;" &lt; "&amp;$W$13-$S$12&amp;" NC"))))</f>
        <v/>
      </c>
      <c r="U796" s="14"/>
      <c r="V796" s="279"/>
      <c r="W796" s="280"/>
      <c r="X796" s="281"/>
      <c r="Y796" s="246"/>
      <c r="Z796" s="246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BP796" s="390" t="str">
        <f>IF($X$13="/28",IF(Q796="","",Q796),IF($X$13="/90",IF(#REF!="","",#REF!),"Falso"))</f>
        <v/>
      </c>
      <c r="BQ796" s="392" t="str">
        <f t="shared" si="1186"/>
        <v/>
      </c>
      <c r="BS796" s="50" t="str">
        <f>Q1574</f>
        <v/>
      </c>
      <c r="BT796" s="50" t="e">
        <f>#REF!</f>
        <v>#REF!</v>
      </c>
      <c r="BU796" s="39" t="str">
        <f t="shared" si="1236"/>
        <v/>
      </c>
      <c r="BV796" s="39" t="str">
        <f t="shared" si="1229"/>
        <v/>
      </c>
    </row>
    <row r="797" spans="1:74" ht="14.25" customHeight="1" thickBot="1" x14ac:dyDescent="0.4">
      <c r="A797" s="384"/>
      <c r="B797" s="385"/>
      <c r="C797" s="386"/>
      <c r="D797" s="387"/>
      <c r="E797" s="388"/>
      <c r="F797" s="389"/>
      <c r="G797" s="377"/>
      <c r="H797" s="378"/>
      <c r="I797" s="382"/>
      <c r="J797" s="382"/>
      <c r="K797" s="383"/>
      <c r="L797" s="19"/>
      <c r="M797" s="379"/>
      <c r="N797" s="23"/>
      <c r="O797" s="379"/>
      <c r="P797" s="23"/>
      <c r="Q797" s="379"/>
      <c r="R797" s="380"/>
      <c r="S797" s="381"/>
      <c r="T797" s="380"/>
      <c r="U797" s="15"/>
      <c r="V797" s="373"/>
      <c r="W797" s="374"/>
      <c r="X797" s="375"/>
      <c r="Y797" s="376"/>
      <c r="Z797" s="376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BP797" s="391"/>
      <c r="BQ797" s="393"/>
      <c r="BS797" s="50" t="str">
        <f>Q1576</f>
        <v/>
      </c>
      <c r="BT797" s="50" t="e">
        <f>#REF!</f>
        <v>#REF!</v>
      </c>
      <c r="BU797" s="39" t="str">
        <f t="shared" si="1236"/>
        <v/>
      </c>
      <c r="BV797" s="39" t="str">
        <f t="shared" si="1229"/>
        <v/>
      </c>
    </row>
    <row r="798" spans="1:74" ht="14.25" customHeight="1" x14ac:dyDescent="0.35">
      <c r="A798" s="311">
        <v>391</v>
      </c>
      <c r="B798" s="312"/>
      <c r="C798" s="313"/>
      <c r="D798" s="314"/>
      <c r="E798" s="315"/>
      <c r="F798" s="353"/>
      <c r="G798" s="354"/>
      <c r="H798" s="355"/>
      <c r="I798" s="356"/>
      <c r="J798" s="356"/>
      <c r="K798" s="357"/>
      <c r="L798" s="16"/>
      <c r="M798" s="352" t="str">
        <f t="shared" ref="M798" si="1243">IF(COUNT(L798:L799)&lt;1,"",AVERAGE(L798:L799))</f>
        <v/>
      </c>
      <c r="N798" s="20"/>
      <c r="O798" s="352" t="str">
        <f t="shared" ref="O798" si="1244">IF(COUNT(N798:N799)&lt;1,"",AVERAGE(N798:N799))</f>
        <v/>
      </c>
      <c r="P798" s="20"/>
      <c r="Q798" s="352" t="str">
        <f t="shared" ref="Q798" si="1245">IF(COUNT(P798:P799)&lt;1,"",AVERAGE(P798:P799))</f>
        <v/>
      </c>
      <c r="R798" s="247" t="str">
        <f>IF($X$13="/28",IF(COUNT(P798:P799)&lt;=1,"",ABS(P798-P799)),IF($X$13="/90",IF(COUNT(#REF!)&lt;=1,"",ABS(#REF!-#REF!))))</f>
        <v/>
      </c>
      <c r="S798" s="247" t="str">
        <f>IF($X$13="/28",IF(Q798="","",IF(AVERAGE(Q794:Q799)&gt;=$W$13,ROUND(AVERAGE(Q794:Q799),1)&amp;" ≥ "&amp;$W$13&amp;" OK",ROUND(AVERAGE(Q794:Q799),1)&amp;" &lt; "&amp;$W$13&amp;" NC")),IF($X$13="/90",IF(#REF!="","",IF(AVERAGE(#REF!)&gt;=$W$13,ROUND(AVERAGE(#REF!),1)&amp;" ≥ "&amp;$W$13&amp;" OK",ROUND(AVERAGE(#REF!),1)&amp;" &lt; "&amp;$W$13&amp;" NC"))))</f>
        <v/>
      </c>
      <c r="T798" s="247" t="str">
        <f>IF($X$13="/28",IF(Q798="","",IF(Q798&gt;=$W$13-$S$12,ROUND((Q798),1)&amp;" ≥ "&amp;$W$13-$S$12&amp;" OK",ROUND((Q798),1)&amp;" &lt; "&amp;$W$13-$S$12&amp;" NC")),IF($X$13="/90",IF(#REF!="","",IF(#REF!&gt;=$W$13-$S$12,ROUND((#REF!),1)&amp;" ≥ "&amp;$W$13-$S$12&amp;" OK",ROUND((#REF!),1)&amp;" &lt; "&amp;$W$13-$S$12&amp;" NC"))))</f>
        <v/>
      </c>
      <c r="U798" s="12"/>
      <c r="V798" s="349"/>
      <c r="W798" s="350"/>
      <c r="X798" s="351"/>
      <c r="Y798" s="244"/>
      <c r="Z798" s="244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BP798" s="390" t="str">
        <f>IF($X$13="/28",IF(Q798="","",Q798),IF($X$13="/90",IF(#REF!="","",#REF!),"Falso"))</f>
        <v/>
      </c>
      <c r="BQ798" s="392" t="str">
        <f t="shared" si="1178"/>
        <v/>
      </c>
      <c r="BS798" s="50" t="str">
        <f>Q1578</f>
        <v/>
      </c>
      <c r="BT798" s="50" t="e">
        <f>#REF!</f>
        <v>#REF!</v>
      </c>
      <c r="BU798" s="39" t="str">
        <f t="shared" si="1236"/>
        <v/>
      </c>
      <c r="BV798" s="39" t="str">
        <f t="shared" si="1229"/>
        <v/>
      </c>
    </row>
    <row r="799" spans="1:74" ht="14.25" customHeight="1" x14ac:dyDescent="0.35">
      <c r="A799" s="294"/>
      <c r="B799" s="296"/>
      <c r="C799" s="298"/>
      <c r="D799" s="300"/>
      <c r="E799" s="302"/>
      <c r="F799" s="304"/>
      <c r="G799" s="276"/>
      <c r="H799" s="277"/>
      <c r="I799" s="290"/>
      <c r="J799" s="290"/>
      <c r="K799" s="291"/>
      <c r="L799" s="17"/>
      <c r="M799" s="286"/>
      <c r="N799" s="21"/>
      <c r="O799" s="286"/>
      <c r="P799" s="21"/>
      <c r="Q799" s="286"/>
      <c r="R799" s="248"/>
      <c r="S799" s="248"/>
      <c r="T799" s="248"/>
      <c r="U799" s="13"/>
      <c r="V799" s="282"/>
      <c r="W799" s="283"/>
      <c r="X799" s="284"/>
      <c r="Y799" s="245"/>
      <c r="Z799" s="245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BP799" s="391"/>
      <c r="BQ799" s="393"/>
      <c r="BS799" s="50" t="str">
        <f>Q1580</f>
        <v/>
      </c>
      <c r="BT799" s="50" t="e">
        <f>#REF!</f>
        <v>#REF!</v>
      </c>
      <c r="BU799" s="39" t="str">
        <f t="shared" si="1236"/>
        <v/>
      </c>
      <c r="BV799" s="39" t="str">
        <f t="shared" si="1229"/>
        <v/>
      </c>
    </row>
    <row r="800" spans="1:74" ht="14.25" customHeight="1" x14ac:dyDescent="0.35">
      <c r="A800" s="293">
        <v>392</v>
      </c>
      <c r="B800" s="295"/>
      <c r="C800" s="297"/>
      <c r="D800" s="299"/>
      <c r="E800" s="301"/>
      <c r="F800" s="303"/>
      <c r="G800" s="288"/>
      <c r="H800" s="289"/>
      <c r="I800" s="290"/>
      <c r="J800" s="290"/>
      <c r="K800" s="291"/>
      <c r="L800" s="18"/>
      <c r="M800" s="285" t="str">
        <f t="shared" ref="M800" si="1246">IF(COUNT(L800:L801)&lt;1,"",AVERAGE(L800:L801))</f>
        <v/>
      </c>
      <c r="N800" s="22"/>
      <c r="O800" s="285" t="str">
        <f t="shared" ref="O800" si="1247">IF(COUNT(N800:N801)&lt;1,"",AVERAGE(N800:N801))</f>
        <v/>
      </c>
      <c r="P800" s="22"/>
      <c r="Q800" s="285" t="str">
        <f t="shared" ref="Q800" si="1248">IF(COUNT(P800:P801)&lt;1,"",AVERAGE(P800:P801))</f>
        <v/>
      </c>
      <c r="R800" s="278" t="str">
        <f>IF($X$13="/28",IF(COUNT(P800:P801)&lt;=1,"",ABS(P800-P801)),IF($X$13="/90",IF(COUNT(#REF!)&lt;=1,"",ABS(#REF!-#REF!))))</f>
        <v/>
      </c>
      <c r="S800" s="278" t="str">
        <f>IF($X$13="/28",IF(Q800="","",IF(AVERAGE(Q796:Q801)&gt;=$W$13,ROUND(AVERAGE(Q796:Q801),1)&amp;" ≥ "&amp;$W$13&amp;" OK",ROUND(AVERAGE(Q796:Q801),1)&amp;" &lt; "&amp;$W$13&amp;" NC")),IF($X$13="/90",IF(#REF!="","",IF(AVERAGE(#REF!)&gt;=$W$13,ROUND(AVERAGE(#REF!),1)&amp;" ≥ "&amp;$W$13&amp;" OK",ROUND(AVERAGE(#REF!),1)&amp;" &lt; "&amp;$W$13&amp;" NC"))))</f>
        <v/>
      </c>
      <c r="T800" s="278" t="str">
        <f>IF($X$13="/28",IF(Q800="","",IF(Q800&gt;=$W$13-$S$12,ROUND((Q800),1)&amp;" ≥ "&amp;$W$13-$S$12&amp;" OK",ROUND((Q800),1)&amp;" &lt; "&amp;$W$13-$S$12&amp;" NC")),IF($X$13="/90",IF(#REF!="","",IF(#REF!&gt;=$W$13-$S$12,ROUND((#REF!),1)&amp;" ≥ "&amp;$W$13-$S$12&amp;" OK",ROUND((#REF!),1)&amp;" &lt; "&amp;$W$13-$S$12&amp;" NC"))))</f>
        <v/>
      </c>
      <c r="U800" s="14"/>
      <c r="V800" s="279"/>
      <c r="W800" s="280"/>
      <c r="X800" s="281"/>
      <c r="Y800" s="246"/>
      <c r="Z800" s="246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BP800" s="390" t="str">
        <f>IF($X$13="/28",IF(Q800="","",Q800),IF($X$13="/90",IF(#REF!="","",#REF!),"Falso"))</f>
        <v/>
      </c>
      <c r="BQ800" s="392" t="str">
        <f t="shared" si="1182"/>
        <v/>
      </c>
      <c r="BS800" s="50" t="str">
        <f>Q1582</f>
        <v/>
      </c>
      <c r="BT800" s="50" t="e">
        <f>#REF!</f>
        <v>#REF!</v>
      </c>
      <c r="BU800" s="39" t="str">
        <f t="shared" si="1236"/>
        <v/>
      </c>
      <c r="BV800" s="39" t="str">
        <f t="shared" si="1229"/>
        <v/>
      </c>
    </row>
    <row r="801" spans="1:74" ht="14.25" customHeight="1" x14ac:dyDescent="0.35">
      <c r="A801" s="294"/>
      <c r="B801" s="296"/>
      <c r="C801" s="298"/>
      <c r="D801" s="300"/>
      <c r="E801" s="302"/>
      <c r="F801" s="304"/>
      <c r="G801" s="276"/>
      <c r="H801" s="277"/>
      <c r="I801" s="290"/>
      <c r="J801" s="290"/>
      <c r="K801" s="291"/>
      <c r="L801" s="17"/>
      <c r="M801" s="286"/>
      <c r="N801" s="21"/>
      <c r="O801" s="286"/>
      <c r="P801" s="21"/>
      <c r="Q801" s="286"/>
      <c r="R801" s="248"/>
      <c r="S801" s="248"/>
      <c r="T801" s="248"/>
      <c r="U801" s="13"/>
      <c r="V801" s="282"/>
      <c r="W801" s="283"/>
      <c r="X801" s="284"/>
      <c r="Y801" s="245"/>
      <c r="Z801" s="245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BP801" s="391"/>
      <c r="BQ801" s="393"/>
      <c r="BS801" s="50" t="str">
        <f>Q1584</f>
        <v/>
      </c>
      <c r="BT801" s="50" t="e">
        <f>#REF!</f>
        <v>#REF!</v>
      </c>
      <c r="BU801" s="39" t="str">
        <f t="shared" si="1236"/>
        <v/>
      </c>
      <c r="BV801" s="39" t="str">
        <f t="shared" si="1229"/>
        <v/>
      </c>
    </row>
    <row r="802" spans="1:74" ht="14.25" customHeight="1" x14ac:dyDescent="0.35">
      <c r="A802" s="293">
        <v>393</v>
      </c>
      <c r="B802" s="295"/>
      <c r="C802" s="297"/>
      <c r="D802" s="299"/>
      <c r="E802" s="301"/>
      <c r="F802" s="303"/>
      <c r="G802" s="288"/>
      <c r="H802" s="289"/>
      <c r="I802" s="290"/>
      <c r="J802" s="290"/>
      <c r="K802" s="291"/>
      <c r="L802" s="18"/>
      <c r="M802" s="285" t="str">
        <f t="shared" ref="M802" si="1249">IF(COUNT(L802:L803)&lt;1,"",AVERAGE(L802:L803))</f>
        <v/>
      </c>
      <c r="N802" s="22"/>
      <c r="O802" s="285" t="str">
        <f t="shared" ref="O802" si="1250">IF(COUNT(N802:N803)&lt;1,"",AVERAGE(N802:N803))</f>
        <v/>
      </c>
      <c r="P802" s="22"/>
      <c r="Q802" s="285" t="str">
        <f t="shared" ref="Q802" si="1251">IF(COUNT(P802:P803)&lt;1,"",AVERAGE(P802:P803))</f>
        <v/>
      </c>
      <c r="R802" s="278" t="str">
        <f>IF($X$13="/28",IF(COUNT(P802:P803)&lt;=1,"",ABS(P802-P803)),IF($X$13="/90",IF(COUNT(#REF!)&lt;=1,"",ABS(#REF!-#REF!))))</f>
        <v/>
      </c>
      <c r="S802" s="278" t="str">
        <f>IF($X$13="/28",IF(Q802="","",IF(AVERAGE(Q798:Q803)&gt;=$W$13,ROUND(AVERAGE(Q798:Q803),1)&amp;" ≥ "&amp;$W$13&amp;" OK",ROUND(AVERAGE(Q798:Q803),1)&amp;" &lt; "&amp;$W$13&amp;" NC")),IF($X$13="/90",IF(#REF!="","",IF(AVERAGE(#REF!)&gt;=$W$13,ROUND(AVERAGE(#REF!),1)&amp;" ≥ "&amp;$W$13&amp;" OK",ROUND(AVERAGE(#REF!),1)&amp;" &lt; "&amp;$W$13&amp;" NC"))))</f>
        <v/>
      </c>
      <c r="T802" s="278" t="str">
        <f>IF($X$13="/28",IF(Q802="","",IF(Q802&gt;=$W$13-$S$12,ROUND((Q802),1)&amp;" ≥ "&amp;$W$13-$S$12&amp;" OK",ROUND((Q802),1)&amp;" &lt; "&amp;$W$13-$S$12&amp;" NC")),IF($X$13="/90",IF(#REF!="","",IF(#REF!&gt;=$W$13-$S$12,ROUND((#REF!),1)&amp;" ≥ "&amp;$W$13-$S$12&amp;" OK",ROUND((#REF!),1)&amp;" &lt; "&amp;$W$13-$S$12&amp;" NC"))))</f>
        <v/>
      </c>
      <c r="U802" s="14"/>
      <c r="V802" s="279"/>
      <c r="W802" s="280"/>
      <c r="X802" s="281"/>
      <c r="Y802" s="246"/>
      <c r="Z802" s="246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BP802" s="390" t="str">
        <f>IF($X$13="/28",IF(Q802="","",Q802),IF($X$13="/90",IF(#REF!="","",#REF!),"Falso"))</f>
        <v/>
      </c>
      <c r="BQ802" s="392" t="str">
        <f t="shared" si="1186"/>
        <v/>
      </c>
      <c r="BS802" s="50" t="str">
        <f>Q1586</f>
        <v/>
      </c>
      <c r="BT802" s="50" t="e">
        <f>#REF!</f>
        <v>#REF!</v>
      </c>
      <c r="BU802" s="39" t="str">
        <f t="shared" si="1236"/>
        <v/>
      </c>
      <c r="BV802" s="39" t="str">
        <f t="shared" si="1229"/>
        <v/>
      </c>
    </row>
    <row r="803" spans="1:74" ht="14.25" customHeight="1" x14ac:dyDescent="0.35">
      <c r="A803" s="294"/>
      <c r="B803" s="296"/>
      <c r="C803" s="298"/>
      <c r="D803" s="300"/>
      <c r="E803" s="302"/>
      <c r="F803" s="304"/>
      <c r="G803" s="276"/>
      <c r="H803" s="277"/>
      <c r="I803" s="290"/>
      <c r="J803" s="290"/>
      <c r="K803" s="291"/>
      <c r="L803" s="17"/>
      <c r="M803" s="286"/>
      <c r="N803" s="21"/>
      <c r="O803" s="286"/>
      <c r="P803" s="21"/>
      <c r="Q803" s="286"/>
      <c r="R803" s="248"/>
      <c r="S803" s="287"/>
      <c r="T803" s="248"/>
      <c r="U803" s="13"/>
      <c r="V803" s="282"/>
      <c r="W803" s="283"/>
      <c r="X803" s="284"/>
      <c r="Y803" s="245"/>
      <c r="Z803" s="245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BP803" s="391"/>
      <c r="BQ803" s="393"/>
      <c r="BS803" s="50" t="str">
        <f>Q1588</f>
        <v/>
      </c>
      <c r="BT803" s="50" t="e">
        <f>#REF!</f>
        <v>#REF!</v>
      </c>
      <c r="BU803" s="39" t="str">
        <f t="shared" si="1236"/>
        <v/>
      </c>
      <c r="BV803" s="39" t="str">
        <f t="shared" si="1229"/>
        <v/>
      </c>
    </row>
    <row r="804" spans="1:74" ht="14.25" customHeight="1" x14ac:dyDescent="0.35">
      <c r="A804" s="293">
        <v>394</v>
      </c>
      <c r="B804" s="295"/>
      <c r="C804" s="297"/>
      <c r="D804" s="299"/>
      <c r="E804" s="301"/>
      <c r="F804" s="303"/>
      <c r="G804" s="288"/>
      <c r="H804" s="289"/>
      <c r="I804" s="290"/>
      <c r="J804" s="290"/>
      <c r="K804" s="291"/>
      <c r="L804" s="18"/>
      <c r="M804" s="285" t="str">
        <f t="shared" ref="M804" si="1252">IF(COUNT(L804:L805)&lt;1,"",AVERAGE(L804:L805))</f>
        <v/>
      </c>
      <c r="N804" s="22"/>
      <c r="O804" s="285" t="str">
        <f t="shared" ref="O804" si="1253">IF(COUNT(N804:N805)&lt;1,"",AVERAGE(N804:N805))</f>
        <v/>
      </c>
      <c r="P804" s="22"/>
      <c r="Q804" s="285" t="str">
        <f t="shared" ref="Q804" si="1254">IF(COUNT(P804:P805)&lt;1,"",AVERAGE(P804:P805))</f>
        <v/>
      </c>
      <c r="R804" s="278" t="str">
        <f>IF($X$13="/28",IF(COUNT(P804:P805)&lt;=1,"",ABS(P804-P805)),IF($X$13="/90",IF(COUNT(#REF!)&lt;=1,"",ABS(#REF!-#REF!))))</f>
        <v/>
      </c>
      <c r="S804" s="278" t="str">
        <f>IF($X$13="/28",IF(Q804="","",IF(AVERAGE(Q800:Q805)&gt;=$W$13,ROUND(AVERAGE(Q800:Q805),1)&amp;" ≥ "&amp;$W$13&amp;" OK",ROUND(AVERAGE(Q800:Q805),1)&amp;" &lt; "&amp;$W$13&amp;" NC")),IF($X$13="/90",IF(#REF!="","",IF(AVERAGE(#REF!)&gt;=$W$13,ROUND(AVERAGE(#REF!),1)&amp;" ≥ "&amp;$W$13&amp;" OK",ROUND(AVERAGE(#REF!),1)&amp;" &lt; "&amp;$W$13&amp;" NC"))))</f>
        <v/>
      </c>
      <c r="T804" s="278" t="str">
        <f>IF($X$13="/28",IF(Q804="","",IF(Q804&gt;=$W$13-$S$12,ROUND((Q804),1)&amp;" ≥ "&amp;$W$13-$S$12&amp;" OK",ROUND((Q804),1)&amp;" &lt; "&amp;$W$13-$S$12&amp;" NC")),IF($X$13="/90",IF(#REF!="","",IF(#REF!&gt;=$W$13-$S$12,ROUND((#REF!),1)&amp;" ≥ "&amp;$W$13-$S$12&amp;" OK",ROUND((#REF!),1)&amp;" &lt; "&amp;$W$13-$S$12&amp;" NC"))))</f>
        <v/>
      </c>
      <c r="U804" s="14"/>
      <c r="V804" s="279"/>
      <c r="W804" s="280"/>
      <c r="X804" s="281"/>
      <c r="Y804" s="246"/>
      <c r="Z804" s="246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BP804" s="390" t="str">
        <f>IF($X$13="/28",IF(Q804="","",Q804),IF($X$13="/90",IF(#REF!="","",#REF!),"Falso"))</f>
        <v/>
      </c>
      <c r="BQ804" s="392" t="str">
        <f t="shared" si="1178"/>
        <v/>
      </c>
      <c r="BS804" s="50" t="str">
        <f>Q1590</f>
        <v/>
      </c>
      <c r="BT804" s="50" t="e">
        <f>#REF!</f>
        <v>#REF!</v>
      </c>
      <c r="BU804" s="39" t="str">
        <f t="shared" si="1236"/>
        <v/>
      </c>
      <c r="BV804" s="39" t="str">
        <f t="shared" si="1229"/>
        <v/>
      </c>
    </row>
    <row r="805" spans="1:74" ht="14.25" customHeight="1" x14ac:dyDescent="0.35">
      <c r="A805" s="294"/>
      <c r="B805" s="296"/>
      <c r="C805" s="298"/>
      <c r="D805" s="300"/>
      <c r="E805" s="302"/>
      <c r="F805" s="304"/>
      <c r="G805" s="276"/>
      <c r="H805" s="277"/>
      <c r="I805" s="290"/>
      <c r="J805" s="290"/>
      <c r="K805" s="291"/>
      <c r="L805" s="17"/>
      <c r="M805" s="286"/>
      <c r="N805" s="21"/>
      <c r="O805" s="286"/>
      <c r="P805" s="21"/>
      <c r="Q805" s="286"/>
      <c r="R805" s="248"/>
      <c r="S805" s="287"/>
      <c r="T805" s="248"/>
      <c r="U805" s="13"/>
      <c r="V805" s="282"/>
      <c r="W805" s="283"/>
      <c r="X805" s="284"/>
      <c r="Y805" s="245"/>
      <c r="Z805" s="245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BP805" s="391"/>
      <c r="BQ805" s="393"/>
      <c r="BS805" s="50" t="str">
        <f>Q1592</f>
        <v/>
      </c>
      <c r="BT805" s="50" t="e">
        <f>#REF!</f>
        <v>#REF!</v>
      </c>
      <c r="BU805" s="39" t="str">
        <f t="shared" si="1236"/>
        <v/>
      </c>
      <c r="BV805" s="39" t="str">
        <f t="shared" si="1229"/>
        <v/>
      </c>
    </row>
    <row r="806" spans="1:74" ht="14.25" customHeight="1" x14ac:dyDescent="0.35">
      <c r="A806" s="293">
        <v>395</v>
      </c>
      <c r="B806" s="295"/>
      <c r="C806" s="297"/>
      <c r="D806" s="299"/>
      <c r="E806" s="301"/>
      <c r="F806" s="303"/>
      <c r="G806" s="288"/>
      <c r="H806" s="289"/>
      <c r="I806" s="290"/>
      <c r="J806" s="290"/>
      <c r="K806" s="291"/>
      <c r="L806" s="18"/>
      <c r="M806" s="285" t="str">
        <f t="shared" ref="M806" si="1255">IF(COUNT(L806:L807)&lt;1,"",AVERAGE(L806:L807))</f>
        <v/>
      </c>
      <c r="N806" s="22"/>
      <c r="O806" s="285" t="str">
        <f t="shared" ref="O806" si="1256">IF(COUNT(N806:N807)&lt;1,"",AVERAGE(N806:N807))</f>
        <v/>
      </c>
      <c r="P806" s="22"/>
      <c r="Q806" s="285" t="str">
        <f t="shared" ref="Q806" si="1257">IF(COUNT(P806:P807)&lt;1,"",AVERAGE(P806:P807))</f>
        <v/>
      </c>
      <c r="R806" s="278" t="str">
        <f>IF($X$13="/28",IF(COUNT(P806:P807)&lt;=1,"",ABS(P806-P807)),IF($X$13="/90",IF(COUNT(#REF!)&lt;=1,"",ABS(#REF!-#REF!))))</f>
        <v/>
      </c>
      <c r="S806" s="278" t="str">
        <f>IF($X$13="/28",IF(Q806="","",IF(AVERAGE(Q802:Q807)&gt;=$W$13,ROUND(AVERAGE(Q802:Q807),1)&amp;" ≥ "&amp;$W$13&amp;" OK",ROUND(AVERAGE(Q802:Q807),1)&amp;" &lt; "&amp;$W$13&amp;" NC")),IF($X$13="/90",IF(#REF!="","",IF(AVERAGE(#REF!)&gt;=$W$13,ROUND(AVERAGE(#REF!),1)&amp;" ≥ "&amp;$W$13&amp;" OK",ROUND(AVERAGE(#REF!),1)&amp;" &lt; "&amp;$W$13&amp;" NC"))))</f>
        <v/>
      </c>
      <c r="T806" s="278" t="str">
        <f>IF($X$13="/28",IF(Q806="","",IF(Q806&gt;=$W$13-$S$12,ROUND((Q806),1)&amp;" ≥ "&amp;$W$13-$S$12&amp;" OK",ROUND((Q806),1)&amp;" &lt; "&amp;$W$13-$S$12&amp;" NC")),IF($X$13="/90",IF(#REF!="","",IF(#REF!&gt;=$W$13-$S$12,ROUND((#REF!),1)&amp;" ≥ "&amp;$W$13-$S$12&amp;" OK",ROUND((#REF!),1)&amp;" &lt; "&amp;$W$13-$S$12&amp;" NC"))))</f>
        <v/>
      </c>
      <c r="U806" s="14"/>
      <c r="V806" s="279"/>
      <c r="W806" s="280"/>
      <c r="X806" s="281"/>
      <c r="Y806" s="246"/>
      <c r="Z806" s="246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BP806" s="390" t="str">
        <f>IF($X$13="/28",IF(Q806="","",Q806),IF($X$13="/90",IF(#REF!="","",#REF!),"Falso"))</f>
        <v/>
      </c>
      <c r="BQ806" s="392" t="str">
        <f t="shared" si="1182"/>
        <v/>
      </c>
      <c r="BS806" s="50" t="str">
        <f>Q1594</f>
        <v/>
      </c>
      <c r="BT806" s="50" t="e">
        <f>#REF!</f>
        <v>#REF!</v>
      </c>
      <c r="BU806" s="39" t="str">
        <f t="shared" si="1236"/>
        <v/>
      </c>
      <c r="BV806" s="39" t="str">
        <f t="shared" si="1229"/>
        <v/>
      </c>
    </row>
    <row r="807" spans="1:74" ht="14.25" customHeight="1" x14ac:dyDescent="0.35">
      <c r="A807" s="294"/>
      <c r="B807" s="296"/>
      <c r="C807" s="298"/>
      <c r="D807" s="300"/>
      <c r="E807" s="302"/>
      <c r="F807" s="304"/>
      <c r="G807" s="276"/>
      <c r="H807" s="277"/>
      <c r="I807" s="290"/>
      <c r="J807" s="290"/>
      <c r="K807" s="291"/>
      <c r="L807" s="17"/>
      <c r="M807" s="286"/>
      <c r="N807" s="21"/>
      <c r="O807" s="286"/>
      <c r="P807" s="21"/>
      <c r="Q807" s="286"/>
      <c r="R807" s="248"/>
      <c r="S807" s="287"/>
      <c r="T807" s="248"/>
      <c r="U807" s="13"/>
      <c r="V807" s="282"/>
      <c r="W807" s="283"/>
      <c r="X807" s="284"/>
      <c r="Y807" s="245"/>
      <c r="Z807" s="245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BP807" s="391"/>
      <c r="BQ807" s="393"/>
      <c r="BS807" s="50" t="str">
        <f>Q1596</f>
        <v/>
      </c>
      <c r="BT807" s="50" t="e">
        <f>#REF!</f>
        <v>#REF!</v>
      </c>
      <c r="BU807" s="39" t="str">
        <f t="shared" si="1236"/>
        <v/>
      </c>
      <c r="BV807" s="39" t="str">
        <f t="shared" si="1229"/>
        <v/>
      </c>
    </row>
    <row r="808" spans="1:74" ht="14.25" customHeight="1" x14ac:dyDescent="0.35">
      <c r="A808" s="293">
        <v>396</v>
      </c>
      <c r="B808" s="295"/>
      <c r="C808" s="297"/>
      <c r="D808" s="299"/>
      <c r="E808" s="301"/>
      <c r="F808" s="303"/>
      <c r="G808" s="288"/>
      <c r="H808" s="289"/>
      <c r="I808" s="290"/>
      <c r="J808" s="290"/>
      <c r="K808" s="291"/>
      <c r="L808" s="18"/>
      <c r="M808" s="285" t="str">
        <f t="shared" ref="M808" si="1258">IF(COUNT(L808:L809)&lt;1,"",AVERAGE(L808:L809))</f>
        <v/>
      </c>
      <c r="N808" s="22"/>
      <c r="O808" s="285" t="str">
        <f t="shared" ref="O808" si="1259">IF(COUNT(N808:N809)&lt;1,"",AVERAGE(N808:N809))</f>
        <v/>
      </c>
      <c r="P808" s="22"/>
      <c r="Q808" s="285" t="str">
        <f t="shared" ref="Q808" si="1260">IF(COUNT(P808:P809)&lt;1,"",AVERAGE(P808:P809))</f>
        <v/>
      </c>
      <c r="R808" s="278" t="str">
        <f>IF($X$13="/28",IF(COUNT(P808:P809)&lt;=1,"",ABS(P808-P809)),IF($X$13="/90",IF(COUNT(#REF!)&lt;=1,"",ABS(#REF!-#REF!))))</f>
        <v/>
      </c>
      <c r="S808" s="278" t="str">
        <f>IF($X$13="/28",IF(Q808="","",IF(AVERAGE(Q804:Q809)&gt;=$W$13,ROUND(AVERAGE(Q804:Q809),1)&amp;" ≥ "&amp;$W$13&amp;" OK",ROUND(AVERAGE(Q804:Q809),1)&amp;" &lt; "&amp;$W$13&amp;" NC")),IF($X$13="/90",IF(#REF!="","",IF(AVERAGE(#REF!)&gt;=$W$13,ROUND(AVERAGE(#REF!),1)&amp;" ≥ "&amp;$W$13&amp;" OK",ROUND(AVERAGE(#REF!),1)&amp;" &lt; "&amp;$W$13&amp;" NC"))))</f>
        <v/>
      </c>
      <c r="T808" s="278" t="str">
        <f>IF($X$13="/28",IF(Q808="","",IF(Q808&gt;=$W$13-$S$12,ROUND((Q808),1)&amp;" ≥ "&amp;$W$13-$S$12&amp;" OK",ROUND((Q808),1)&amp;" &lt; "&amp;$W$13-$S$12&amp;" NC")),IF($X$13="/90",IF(#REF!="","",IF(#REF!&gt;=$W$13-$S$12,ROUND((#REF!),1)&amp;" ≥ "&amp;$W$13-$S$12&amp;" OK",ROUND((#REF!),1)&amp;" &lt; "&amp;$W$13-$S$12&amp;" NC"))))</f>
        <v/>
      </c>
      <c r="U808" s="14"/>
      <c r="V808" s="279"/>
      <c r="W808" s="280"/>
      <c r="X808" s="281"/>
      <c r="Y808" s="246"/>
      <c r="Z808" s="246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BP808" s="390" t="str">
        <f>IF($X$13="/28",IF(Q808="","",Q808),IF($X$13="/90",IF(#REF!="","",#REF!),"Falso"))</f>
        <v/>
      </c>
      <c r="BQ808" s="392" t="str">
        <f t="shared" si="1186"/>
        <v/>
      </c>
      <c r="BS808" s="50" t="str">
        <f>Q1598</f>
        <v/>
      </c>
      <c r="BT808" s="50" t="e">
        <f>#REF!</f>
        <v>#REF!</v>
      </c>
      <c r="BU808" s="39" t="str">
        <f t="shared" si="1236"/>
        <v/>
      </c>
      <c r="BV808" s="39" t="str">
        <f t="shared" si="1229"/>
        <v/>
      </c>
    </row>
    <row r="809" spans="1:74" ht="14.25" customHeight="1" x14ac:dyDescent="0.35">
      <c r="A809" s="294"/>
      <c r="B809" s="296"/>
      <c r="C809" s="298"/>
      <c r="D809" s="300"/>
      <c r="E809" s="302"/>
      <c r="F809" s="304"/>
      <c r="G809" s="276"/>
      <c r="H809" s="277"/>
      <c r="I809" s="290"/>
      <c r="J809" s="290"/>
      <c r="K809" s="291"/>
      <c r="L809" s="17"/>
      <c r="M809" s="286"/>
      <c r="N809" s="21"/>
      <c r="O809" s="286"/>
      <c r="P809" s="21"/>
      <c r="Q809" s="286"/>
      <c r="R809" s="248"/>
      <c r="S809" s="287"/>
      <c r="T809" s="248"/>
      <c r="U809" s="13"/>
      <c r="V809" s="282"/>
      <c r="W809" s="283"/>
      <c r="X809" s="284"/>
      <c r="Y809" s="245"/>
      <c r="Z809" s="245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BP809" s="391"/>
      <c r="BQ809" s="393"/>
      <c r="BS809" s="50" t="str">
        <f>Q1600</f>
        <v/>
      </c>
      <c r="BT809" s="50" t="e">
        <f>#REF!</f>
        <v>#REF!</v>
      </c>
      <c r="BU809" s="39" t="str">
        <f t="shared" si="1236"/>
        <v/>
      </c>
      <c r="BV809" s="39" t="str">
        <f t="shared" si="1229"/>
        <v/>
      </c>
    </row>
    <row r="810" spans="1:74" ht="14.25" customHeight="1" x14ac:dyDescent="0.35">
      <c r="A810" s="293">
        <v>397</v>
      </c>
      <c r="B810" s="295"/>
      <c r="C810" s="297"/>
      <c r="D810" s="299"/>
      <c r="E810" s="301"/>
      <c r="F810" s="303"/>
      <c r="G810" s="288"/>
      <c r="H810" s="289"/>
      <c r="I810" s="290"/>
      <c r="J810" s="290"/>
      <c r="K810" s="291"/>
      <c r="L810" s="18"/>
      <c r="M810" s="285" t="str">
        <f t="shared" ref="M810" si="1261">IF(COUNT(L810:L811)&lt;1,"",AVERAGE(L810:L811))</f>
        <v/>
      </c>
      <c r="N810" s="22"/>
      <c r="O810" s="285" t="str">
        <f t="shared" ref="O810" si="1262">IF(COUNT(N810:N811)&lt;1,"",AVERAGE(N810:N811))</f>
        <v/>
      </c>
      <c r="P810" s="22"/>
      <c r="Q810" s="285" t="str">
        <f t="shared" ref="Q810" si="1263">IF(COUNT(P810:P811)&lt;1,"",AVERAGE(P810:P811))</f>
        <v/>
      </c>
      <c r="R810" s="278" t="str">
        <f>IF($X$13="/28",IF(COUNT(P810:P811)&lt;=1,"",ABS(P810-P811)),IF($X$13="/90",IF(COUNT(#REF!)&lt;=1,"",ABS(#REF!-#REF!))))</f>
        <v/>
      </c>
      <c r="S810" s="278" t="str">
        <f>IF($X$13="/28",IF(Q810="","",IF(AVERAGE(Q806:Q811)&gt;=$W$13,ROUND(AVERAGE(Q806:Q811),1)&amp;" ≥ "&amp;$W$13&amp;" OK",ROUND(AVERAGE(Q806:Q811),1)&amp;" &lt; "&amp;$W$13&amp;" NC")),IF($X$13="/90",IF(#REF!="","",IF(AVERAGE(#REF!)&gt;=$W$13,ROUND(AVERAGE(#REF!),1)&amp;" ≥ "&amp;$W$13&amp;" OK",ROUND(AVERAGE(#REF!),1)&amp;" &lt; "&amp;$W$13&amp;" NC"))))</f>
        <v/>
      </c>
      <c r="T810" s="278" t="str">
        <f>IF($X$13="/28",IF(Q810="","",IF(Q810&gt;=$W$13-$S$12,ROUND((Q810),1)&amp;" ≥ "&amp;$W$13-$S$12&amp;" OK",ROUND((Q810),1)&amp;" &lt; "&amp;$W$13-$S$12&amp;" NC")),IF($X$13="/90",IF(#REF!="","",IF(#REF!&gt;=$W$13-$S$12,ROUND((#REF!),1)&amp;" ≥ "&amp;$W$13-$S$12&amp;" OK",ROUND((#REF!),1)&amp;" &lt; "&amp;$W$13-$S$12&amp;" NC"))))</f>
        <v/>
      </c>
      <c r="U810" s="14"/>
      <c r="V810" s="279"/>
      <c r="W810" s="280"/>
      <c r="X810" s="281"/>
      <c r="Y810" s="246"/>
      <c r="Z810" s="246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BP810" s="390" t="str">
        <f>IF($X$13="/28",IF(Q810="","",Q810),IF($X$13="/90",IF(#REF!="","",#REF!),"Falso"))</f>
        <v/>
      </c>
      <c r="BQ810" s="392" t="str">
        <f t="shared" si="1178"/>
        <v/>
      </c>
      <c r="BS810" s="50" t="str">
        <f>Q1602</f>
        <v/>
      </c>
      <c r="BT810" s="50" t="e">
        <f>#REF!</f>
        <v>#REF!</v>
      </c>
      <c r="BU810" s="39" t="str">
        <f t="shared" si="1236"/>
        <v/>
      </c>
      <c r="BV810" s="39" t="str">
        <f t="shared" si="1229"/>
        <v/>
      </c>
    </row>
    <row r="811" spans="1:74" ht="14.25" customHeight="1" x14ac:dyDescent="0.35">
      <c r="A811" s="294"/>
      <c r="B811" s="296"/>
      <c r="C811" s="298"/>
      <c r="D811" s="300"/>
      <c r="E811" s="302"/>
      <c r="F811" s="304"/>
      <c r="G811" s="276"/>
      <c r="H811" s="277"/>
      <c r="I811" s="290"/>
      <c r="J811" s="290"/>
      <c r="K811" s="291"/>
      <c r="L811" s="17"/>
      <c r="M811" s="286"/>
      <c r="N811" s="21"/>
      <c r="O811" s="286"/>
      <c r="P811" s="21"/>
      <c r="Q811" s="286"/>
      <c r="R811" s="248"/>
      <c r="S811" s="287"/>
      <c r="T811" s="248"/>
      <c r="U811" s="13"/>
      <c r="V811" s="282"/>
      <c r="W811" s="283"/>
      <c r="X811" s="284"/>
      <c r="Y811" s="245"/>
      <c r="Z811" s="245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BP811" s="391"/>
      <c r="BQ811" s="393"/>
      <c r="BS811" s="50" t="str">
        <f>Q1604</f>
        <v/>
      </c>
      <c r="BT811" s="50" t="e">
        <f>#REF!</f>
        <v>#REF!</v>
      </c>
      <c r="BU811" s="39" t="str">
        <f t="shared" si="1236"/>
        <v/>
      </c>
      <c r="BV811" s="39" t="str">
        <f t="shared" si="1229"/>
        <v/>
      </c>
    </row>
    <row r="812" spans="1:74" ht="14.25" customHeight="1" x14ac:dyDescent="0.35">
      <c r="A812" s="293">
        <v>398</v>
      </c>
      <c r="B812" s="295"/>
      <c r="C812" s="297"/>
      <c r="D812" s="299"/>
      <c r="E812" s="301"/>
      <c r="F812" s="303"/>
      <c r="G812" s="288"/>
      <c r="H812" s="289"/>
      <c r="I812" s="290"/>
      <c r="J812" s="290"/>
      <c r="K812" s="291"/>
      <c r="L812" s="18"/>
      <c r="M812" s="285" t="str">
        <f t="shared" ref="M812" si="1264">IF(COUNT(L812:L813)&lt;1,"",AVERAGE(L812:L813))</f>
        <v/>
      </c>
      <c r="N812" s="22"/>
      <c r="O812" s="285" t="str">
        <f t="shared" ref="O812" si="1265">IF(COUNT(N812:N813)&lt;1,"",AVERAGE(N812:N813))</f>
        <v/>
      </c>
      <c r="P812" s="22"/>
      <c r="Q812" s="285" t="str">
        <f t="shared" ref="Q812" si="1266">IF(COUNT(P812:P813)&lt;1,"",AVERAGE(P812:P813))</f>
        <v/>
      </c>
      <c r="R812" s="278" t="str">
        <f>IF($X$13="/28",IF(COUNT(P812:P813)&lt;=1,"",ABS(P812-P813)),IF($X$13="/90",IF(COUNT(#REF!)&lt;=1,"",ABS(#REF!-#REF!))))</f>
        <v/>
      </c>
      <c r="S812" s="278" t="str">
        <f>IF($X$13="/28",IF(Q812="","",IF(AVERAGE(Q808:Q813)&gt;=$W$13,ROUND(AVERAGE(Q808:Q813),1)&amp;" ≥ "&amp;$W$13&amp;" OK",ROUND(AVERAGE(Q808:Q813),1)&amp;" &lt; "&amp;$W$13&amp;" NC")),IF($X$13="/90",IF(#REF!="","",IF(AVERAGE(#REF!)&gt;=$W$13,ROUND(AVERAGE(#REF!),1)&amp;" ≥ "&amp;$W$13&amp;" OK",ROUND(AVERAGE(#REF!),1)&amp;" &lt; "&amp;$W$13&amp;" NC"))))</f>
        <v/>
      </c>
      <c r="T812" s="278" t="str">
        <f>IF($X$13="/28",IF(Q812="","",IF(Q812&gt;=$W$13-$S$12,ROUND((Q812),1)&amp;" ≥ "&amp;$W$13-$S$12&amp;" OK",ROUND((Q812),1)&amp;" &lt; "&amp;$W$13-$S$12&amp;" NC")),IF($X$13="/90",IF(#REF!="","",IF(#REF!&gt;=$W$13-$S$12,ROUND((#REF!),1)&amp;" ≥ "&amp;$W$13-$S$12&amp;" OK",ROUND((#REF!),1)&amp;" &lt; "&amp;$W$13-$S$12&amp;" NC"))))</f>
        <v/>
      </c>
      <c r="U812" s="14"/>
      <c r="V812" s="279"/>
      <c r="W812" s="280"/>
      <c r="X812" s="281"/>
      <c r="Y812" s="246"/>
      <c r="Z812" s="246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BP812" s="390" t="str">
        <f>IF($X$13="/28",IF(Q812="","",Q812),IF($X$13="/90",IF(#REF!="","",#REF!),"Falso"))</f>
        <v/>
      </c>
      <c r="BQ812" s="392" t="str">
        <f t="shared" si="1182"/>
        <v/>
      </c>
      <c r="BS812" s="50" t="str">
        <f>Q1606</f>
        <v/>
      </c>
      <c r="BT812" s="50" t="e">
        <f>#REF!</f>
        <v>#REF!</v>
      </c>
      <c r="BU812" s="39" t="str">
        <f t="shared" si="1236"/>
        <v/>
      </c>
      <c r="BV812" s="39" t="str">
        <f t="shared" si="1229"/>
        <v/>
      </c>
    </row>
    <row r="813" spans="1:74" ht="14.25" customHeight="1" x14ac:dyDescent="0.35">
      <c r="A813" s="294"/>
      <c r="B813" s="296"/>
      <c r="C813" s="298"/>
      <c r="D813" s="300"/>
      <c r="E813" s="302"/>
      <c r="F813" s="304"/>
      <c r="G813" s="276"/>
      <c r="H813" s="277"/>
      <c r="I813" s="290"/>
      <c r="J813" s="290"/>
      <c r="K813" s="291"/>
      <c r="L813" s="17"/>
      <c r="M813" s="286"/>
      <c r="N813" s="21"/>
      <c r="O813" s="286"/>
      <c r="P813" s="21"/>
      <c r="Q813" s="286"/>
      <c r="R813" s="248"/>
      <c r="S813" s="287"/>
      <c r="T813" s="248"/>
      <c r="U813" s="13"/>
      <c r="V813" s="282"/>
      <c r="W813" s="283"/>
      <c r="X813" s="284"/>
      <c r="Y813" s="245"/>
      <c r="Z813" s="245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BP813" s="391"/>
      <c r="BQ813" s="393"/>
      <c r="BS813" s="50" t="str">
        <f>Q1608</f>
        <v/>
      </c>
      <c r="BT813" s="50" t="e">
        <f>#REF!</f>
        <v>#REF!</v>
      </c>
      <c r="BU813" s="39" t="str">
        <f t="shared" si="1236"/>
        <v/>
      </c>
      <c r="BV813" s="39" t="str">
        <f t="shared" si="1229"/>
        <v/>
      </c>
    </row>
    <row r="814" spans="1:74" ht="14.25" customHeight="1" x14ac:dyDescent="0.35">
      <c r="A814" s="293">
        <v>399</v>
      </c>
      <c r="B814" s="295"/>
      <c r="C814" s="297"/>
      <c r="D814" s="299"/>
      <c r="E814" s="301"/>
      <c r="F814" s="303"/>
      <c r="G814" s="288"/>
      <c r="H814" s="289"/>
      <c r="I814" s="290"/>
      <c r="J814" s="290"/>
      <c r="K814" s="291"/>
      <c r="L814" s="18"/>
      <c r="M814" s="285" t="str">
        <f t="shared" ref="M814" si="1267">IF(COUNT(L814:L815)&lt;1,"",AVERAGE(L814:L815))</f>
        <v/>
      </c>
      <c r="N814" s="22"/>
      <c r="O814" s="285" t="str">
        <f t="shared" ref="O814" si="1268">IF(COUNT(N814:N815)&lt;1,"",AVERAGE(N814:N815))</f>
        <v/>
      </c>
      <c r="P814" s="22"/>
      <c r="Q814" s="285" t="str">
        <f t="shared" ref="Q814" si="1269">IF(COUNT(P814:P815)&lt;1,"",AVERAGE(P814:P815))</f>
        <v/>
      </c>
      <c r="R814" s="278" t="str">
        <f>IF($X$13="/28",IF(COUNT(P814:P815)&lt;=1,"",ABS(P814-P815)),IF($X$13="/90",IF(COUNT(#REF!)&lt;=1,"",ABS(#REF!-#REF!))))</f>
        <v/>
      </c>
      <c r="S814" s="278" t="str">
        <f>IF($X$13="/28",IF(Q814="","",IF(AVERAGE(Q810:Q815)&gt;=$W$13,ROUND(AVERAGE(Q810:Q815),1)&amp;" ≥ "&amp;$W$13&amp;" OK",ROUND(AVERAGE(Q810:Q815),1)&amp;" &lt; "&amp;$W$13&amp;" NC")),IF($X$13="/90",IF(#REF!="","",IF(AVERAGE(#REF!)&gt;=$W$13,ROUND(AVERAGE(#REF!),1)&amp;" ≥ "&amp;$W$13&amp;" OK",ROUND(AVERAGE(#REF!),1)&amp;" &lt; "&amp;$W$13&amp;" NC"))))</f>
        <v/>
      </c>
      <c r="T814" s="278" t="str">
        <f>IF($X$13="/28",IF(Q814="","",IF(Q814&gt;=$W$13-$S$12,ROUND((Q814),1)&amp;" ≥ "&amp;$W$13-$S$12&amp;" OK",ROUND((Q814),1)&amp;" &lt; "&amp;$W$13-$S$12&amp;" NC")),IF($X$13="/90",IF(#REF!="","",IF(#REF!&gt;=$W$13-$S$12,ROUND((#REF!),1)&amp;" ≥ "&amp;$W$13-$S$12&amp;" OK",ROUND((#REF!),1)&amp;" &lt; "&amp;$W$13-$S$12&amp;" NC"))))</f>
        <v/>
      </c>
      <c r="U814" s="14"/>
      <c r="V814" s="279"/>
      <c r="W814" s="280"/>
      <c r="X814" s="281"/>
      <c r="Y814" s="246"/>
      <c r="Z814" s="246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BP814" s="390" t="str">
        <f>IF($X$13="/28",IF(Q814="","",Q814),IF($X$13="/90",IF(#REF!="","",#REF!),"Falso"))</f>
        <v/>
      </c>
      <c r="BQ814" s="392" t="str">
        <f t="shared" si="1186"/>
        <v/>
      </c>
      <c r="BS814" s="50" t="str">
        <f>Q1610</f>
        <v/>
      </c>
      <c r="BT814" s="50" t="e">
        <f>#REF!</f>
        <v>#REF!</v>
      </c>
      <c r="BU814" s="39" t="str">
        <f t="shared" si="1236"/>
        <v/>
      </c>
      <c r="BV814" s="39" t="str">
        <f t="shared" si="1229"/>
        <v/>
      </c>
    </row>
    <row r="815" spans="1:74" ht="14.25" customHeight="1" x14ac:dyDescent="0.35">
      <c r="A815" s="294"/>
      <c r="B815" s="296"/>
      <c r="C815" s="298"/>
      <c r="D815" s="300"/>
      <c r="E815" s="302"/>
      <c r="F815" s="304"/>
      <c r="G815" s="276"/>
      <c r="H815" s="277"/>
      <c r="I815" s="290"/>
      <c r="J815" s="290"/>
      <c r="K815" s="291"/>
      <c r="L815" s="17"/>
      <c r="M815" s="286"/>
      <c r="N815" s="21"/>
      <c r="O815" s="286"/>
      <c r="P815" s="21"/>
      <c r="Q815" s="286"/>
      <c r="R815" s="248"/>
      <c r="S815" s="287"/>
      <c r="T815" s="248"/>
      <c r="U815" s="13"/>
      <c r="V815" s="282"/>
      <c r="W815" s="283"/>
      <c r="X815" s="284"/>
      <c r="Y815" s="245"/>
      <c r="Z815" s="245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BP815" s="391"/>
      <c r="BQ815" s="393"/>
      <c r="BS815" s="50" t="str">
        <f>Q1612</f>
        <v/>
      </c>
      <c r="BT815" s="50" t="e">
        <f>#REF!</f>
        <v>#REF!</v>
      </c>
      <c r="BU815" s="39" t="str">
        <f t="shared" si="1236"/>
        <v/>
      </c>
      <c r="BV815" s="39" t="str">
        <f t="shared" si="1229"/>
        <v/>
      </c>
    </row>
    <row r="816" spans="1:74" ht="14.25" customHeight="1" x14ac:dyDescent="0.35">
      <c r="A816" s="293">
        <v>400</v>
      </c>
      <c r="B816" s="295"/>
      <c r="C816" s="297"/>
      <c r="D816" s="299"/>
      <c r="E816" s="301"/>
      <c r="F816" s="303"/>
      <c r="G816" s="288"/>
      <c r="H816" s="289"/>
      <c r="I816" s="290"/>
      <c r="J816" s="290"/>
      <c r="K816" s="291"/>
      <c r="L816" s="18"/>
      <c r="M816" s="285" t="str">
        <f t="shared" ref="M816" si="1270">IF(COUNT(L816:L817)&lt;1,"",AVERAGE(L816:L817))</f>
        <v/>
      </c>
      <c r="N816" s="22"/>
      <c r="O816" s="285" t="str">
        <f t="shared" ref="O816" si="1271">IF(COUNT(N816:N817)&lt;1,"",AVERAGE(N816:N817))</f>
        <v/>
      </c>
      <c r="P816" s="22"/>
      <c r="Q816" s="285" t="str">
        <f t="shared" ref="Q816" si="1272">IF(COUNT(P816:P817)&lt;1,"",AVERAGE(P816:P817))</f>
        <v/>
      </c>
      <c r="R816" s="278" t="str">
        <f>IF($X$13="/28",IF(COUNT(P816:P817)&lt;=1,"",ABS(P816-P817)),IF($X$13="/90",IF(COUNT(#REF!)&lt;=1,"",ABS(#REF!-#REF!))))</f>
        <v/>
      </c>
      <c r="S816" s="278" t="str">
        <f>IF($X$13="/28",IF(Q816="","",IF(AVERAGE(Q812:Q817)&gt;=$W$13,ROUND(AVERAGE(Q812:Q817),1)&amp;" ≥ "&amp;$W$13&amp;" OK",ROUND(AVERAGE(Q812:Q817),1)&amp;" &lt; "&amp;$W$13&amp;" NC")),IF($X$13="/90",IF(#REF!="","",IF(AVERAGE(#REF!)&gt;=$W$13,ROUND(AVERAGE(#REF!),1)&amp;" ≥ "&amp;$W$13&amp;" OK",ROUND(AVERAGE(#REF!),1)&amp;" &lt; "&amp;$W$13&amp;" NC"))))</f>
        <v/>
      </c>
      <c r="T816" s="278" t="str">
        <f>IF($X$13="/28",IF(Q816="","",IF(Q816&gt;=$W$13-$S$12,ROUND((Q816),1)&amp;" ≥ "&amp;$W$13-$S$12&amp;" OK",ROUND((Q816),1)&amp;" &lt; "&amp;$W$13-$S$12&amp;" NC")),IF($X$13="/90",IF(#REF!="","",IF(#REF!&gt;=$W$13-$S$12,ROUND((#REF!),1)&amp;" ≥ "&amp;$W$13-$S$12&amp;" OK",ROUND((#REF!),1)&amp;" &lt; "&amp;$W$13-$S$12&amp;" NC"))))</f>
        <v/>
      </c>
      <c r="U816" s="14"/>
      <c r="V816" s="279"/>
      <c r="W816" s="280"/>
      <c r="X816" s="281"/>
      <c r="Y816" s="246"/>
      <c r="Z816" s="246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BP816" s="390" t="str">
        <f>IF($X$13="/28",IF(Q816="","",Q816),IF($X$13="/90",IF(#REF!="","",#REF!),"Falso"))</f>
        <v/>
      </c>
      <c r="BQ816" s="392" t="str">
        <f t="shared" si="1178"/>
        <v/>
      </c>
      <c r="BS816" s="50" t="str">
        <f>Q1614</f>
        <v/>
      </c>
      <c r="BT816" s="50" t="e">
        <f>#REF!</f>
        <v>#REF!</v>
      </c>
      <c r="BU816" s="39" t="str">
        <f t="shared" si="1236"/>
        <v/>
      </c>
      <c r="BV816" s="39" t="str">
        <f t="shared" si="1229"/>
        <v/>
      </c>
    </row>
    <row r="817" spans="1:74" ht="14.25" customHeight="1" x14ac:dyDescent="0.35">
      <c r="A817" s="294"/>
      <c r="B817" s="296"/>
      <c r="C817" s="298"/>
      <c r="D817" s="300"/>
      <c r="E817" s="302"/>
      <c r="F817" s="304"/>
      <c r="G817" s="276"/>
      <c r="H817" s="277"/>
      <c r="I817" s="290"/>
      <c r="J817" s="290"/>
      <c r="K817" s="291"/>
      <c r="L817" s="17"/>
      <c r="M817" s="286"/>
      <c r="N817" s="21"/>
      <c r="O817" s="286"/>
      <c r="P817" s="21"/>
      <c r="Q817" s="286"/>
      <c r="R817" s="248"/>
      <c r="S817" s="287"/>
      <c r="T817" s="248"/>
      <c r="U817" s="13"/>
      <c r="V817" s="282"/>
      <c r="W817" s="283"/>
      <c r="X817" s="284"/>
      <c r="Y817" s="245"/>
      <c r="Z817" s="245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BP817" s="391"/>
      <c r="BQ817" s="393"/>
      <c r="BS817" s="50" t="str">
        <f>Q1616</f>
        <v/>
      </c>
      <c r="BT817" s="50" t="e">
        <f>#REF!</f>
        <v>#REF!</v>
      </c>
      <c r="BU817" s="39" t="str">
        <f t="shared" si="1236"/>
        <v/>
      </c>
      <c r="BV817" s="39" t="str">
        <f t="shared" si="1229"/>
        <v/>
      </c>
    </row>
    <row r="818" spans="1:74" ht="14.25" customHeight="1" x14ac:dyDescent="0.35">
      <c r="A818" s="293">
        <v>401</v>
      </c>
      <c r="B818" s="295"/>
      <c r="C818" s="297"/>
      <c r="D818" s="299"/>
      <c r="E818" s="301"/>
      <c r="F818" s="303"/>
      <c r="G818" s="288"/>
      <c r="H818" s="289"/>
      <c r="I818" s="290"/>
      <c r="J818" s="290"/>
      <c r="K818" s="291"/>
      <c r="L818" s="18"/>
      <c r="M818" s="285" t="str">
        <f t="shared" ref="M818" si="1273">IF(COUNT(L818:L819)&lt;1,"",AVERAGE(L818:L819))</f>
        <v/>
      </c>
      <c r="N818" s="22"/>
      <c r="O818" s="285" t="str">
        <f t="shared" ref="O818" si="1274">IF(COUNT(N818:N819)&lt;1,"",AVERAGE(N818:N819))</f>
        <v/>
      </c>
      <c r="P818" s="22"/>
      <c r="Q818" s="285" t="str">
        <f t="shared" ref="Q818" si="1275">IF(COUNT(P818:P819)&lt;1,"",AVERAGE(P818:P819))</f>
        <v/>
      </c>
      <c r="R818" s="278" t="str">
        <f>IF($X$13="/28",IF(COUNT(P818:P819)&lt;=1,"",ABS(P818-P819)),IF($X$13="/90",IF(COUNT(#REF!)&lt;=1,"",ABS(#REF!-#REF!))))</f>
        <v/>
      </c>
      <c r="S818" s="278" t="str">
        <f>IF($X$13="/28",IF(Q818="","",IF(AVERAGE(Q814:Q819)&gt;=$W$13,ROUND(AVERAGE(Q814:Q819),1)&amp;" ≥ "&amp;$W$13&amp;" OK",ROUND(AVERAGE(Q814:Q819),1)&amp;" &lt; "&amp;$W$13&amp;" NC")),IF($X$13="/90",IF(#REF!="","",IF(AVERAGE(#REF!)&gt;=$W$13,ROUND(AVERAGE(#REF!),1)&amp;" ≥ "&amp;$W$13&amp;" OK",ROUND(AVERAGE(#REF!),1)&amp;" &lt; "&amp;$W$13&amp;" NC"))))</f>
        <v/>
      </c>
      <c r="T818" s="278" t="str">
        <f>IF($X$13="/28",IF(Q818="","",IF(Q818&gt;=$W$13-$S$12,ROUND((Q818),1)&amp;" ≥ "&amp;$W$13-$S$12&amp;" OK",ROUND((Q818),1)&amp;" &lt; "&amp;$W$13-$S$12&amp;" NC")),IF($X$13="/90",IF(#REF!="","",IF(#REF!&gt;=$W$13-$S$12,ROUND((#REF!),1)&amp;" ≥ "&amp;$W$13-$S$12&amp;" OK",ROUND((#REF!),1)&amp;" &lt; "&amp;$W$13-$S$12&amp;" NC"))))</f>
        <v/>
      </c>
      <c r="U818" s="14"/>
      <c r="V818" s="279"/>
      <c r="W818" s="280"/>
      <c r="X818" s="281"/>
      <c r="Y818" s="246"/>
      <c r="Z818" s="246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BP818" s="390" t="str">
        <f>IF($X$13="/28",IF(Q818="","",Q818),IF($X$13="/90",IF(#REF!="","",#REF!),"Falso"))</f>
        <v/>
      </c>
      <c r="BQ818" s="392" t="str">
        <f t="shared" si="1182"/>
        <v/>
      </c>
      <c r="BS818" s="50" t="str">
        <f>Q1618</f>
        <v/>
      </c>
      <c r="BT818" s="50" t="e">
        <f>#REF!</f>
        <v>#REF!</v>
      </c>
      <c r="BU818" s="39" t="str">
        <f t="shared" si="1236"/>
        <v/>
      </c>
      <c r="BV818" s="39" t="str">
        <f t="shared" si="1229"/>
        <v/>
      </c>
    </row>
    <row r="819" spans="1:74" ht="14.25" customHeight="1" x14ac:dyDescent="0.35">
      <c r="A819" s="294"/>
      <c r="B819" s="296"/>
      <c r="C819" s="298"/>
      <c r="D819" s="300"/>
      <c r="E819" s="302"/>
      <c r="F819" s="304"/>
      <c r="G819" s="276"/>
      <c r="H819" s="277"/>
      <c r="I819" s="290"/>
      <c r="J819" s="290"/>
      <c r="K819" s="291"/>
      <c r="L819" s="17"/>
      <c r="M819" s="286"/>
      <c r="N819" s="21"/>
      <c r="O819" s="286"/>
      <c r="P819" s="21"/>
      <c r="Q819" s="286"/>
      <c r="R819" s="248"/>
      <c r="S819" s="287"/>
      <c r="T819" s="248"/>
      <c r="U819" s="13"/>
      <c r="V819" s="282"/>
      <c r="W819" s="283"/>
      <c r="X819" s="284"/>
      <c r="Y819" s="245"/>
      <c r="Z819" s="245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BP819" s="391"/>
      <c r="BQ819" s="393"/>
      <c r="BS819" s="50" t="str">
        <f>Q1620</f>
        <v/>
      </c>
      <c r="BT819" s="50" t="e">
        <f>#REF!</f>
        <v>#REF!</v>
      </c>
      <c r="BU819" s="39" t="str">
        <f t="shared" si="1236"/>
        <v/>
      </c>
      <c r="BV819" s="39" t="str">
        <f t="shared" si="1229"/>
        <v/>
      </c>
    </row>
    <row r="820" spans="1:74" ht="14.25" customHeight="1" x14ac:dyDescent="0.35">
      <c r="A820" s="293">
        <v>402</v>
      </c>
      <c r="B820" s="295"/>
      <c r="C820" s="297"/>
      <c r="D820" s="299"/>
      <c r="E820" s="301"/>
      <c r="F820" s="303"/>
      <c r="G820" s="288"/>
      <c r="H820" s="289"/>
      <c r="I820" s="290"/>
      <c r="J820" s="290"/>
      <c r="K820" s="291"/>
      <c r="L820" s="18"/>
      <c r="M820" s="285" t="str">
        <f t="shared" ref="M820" si="1276">IF(COUNT(L820:L821)&lt;1,"",AVERAGE(L820:L821))</f>
        <v/>
      </c>
      <c r="N820" s="22"/>
      <c r="O820" s="285" t="str">
        <f t="shared" ref="O820" si="1277">IF(COUNT(N820:N821)&lt;1,"",AVERAGE(N820:N821))</f>
        <v/>
      </c>
      <c r="P820" s="22"/>
      <c r="Q820" s="285" t="str">
        <f t="shared" ref="Q820" si="1278">IF(COUNT(P820:P821)&lt;1,"",AVERAGE(P820:P821))</f>
        <v/>
      </c>
      <c r="R820" s="278" t="str">
        <f>IF($X$13="/28",IF(COUNT(P820:P821)&lt;=1,"",ABS(P820-P821)),IF($X$13="/90",IF(COUNT(#REF!)&lt;=1,"",ABS(#REF!-#REF!))))</f>
        <v/>
      </c>
      <c r="S820" s="278" t="str">
        <f>IF($X$13="/28",IF(Q820="","",IF(AVERAGE(Q816:Q821)&gt;=$W$13,ROUND(AVERAGE(Q816:Q821),1)&amp;" ≥ "&amp;$W$13&amp;" OK",ROUND(AVERAGE(Q816:Q821),1)&amp;" &lt; "&amp;$W$13&amp;" NC")),IF($X$13="/90",IF(#REF!="","",IF(AVERAGE(#REF!)&gt;=$W$13,ROUND(AVERAGE(#REF!),1)&amp;" ≥ "&amp;$W$13&amp;" OK",ROUND(AVERAGE(#REF!),1)&amp;" &lt; "&amp;$W$13&amp;" NC"))))</f>
        <v/>
      </c>
      <c r="T820" s="278" t="str">
        <f>IF($X$13="/28",IF(Q820="","",IF(Q820&gt;=$W$13-$S$12,ROUND((Q820),1)&amp;" ≥ "&amp;$W$13-$S$12&amp;" OK",ROUND((Q820),1)&amp;" &lt; "&amp;$W$13-$S$12&amp;" NC")),IF($X$13="/90",IF(#REF!="","",IF(#REF!&gt;=$W$13-$S$12,ROUND((#REF!),1)&amp;" ≥ "&amp;$W$13-$S$12&amp;" OK",ROUND((#REF!),1)&amp;" &lt; "&amp;$W$13-$S$12&amp;" NC"))))</f>
        <v/>
      </c>
      <c r="U820" s="14"/>
      <c r="V820" s="279"/>
      <c r="W820" s="280"/>
      <c r="X820" s="281"/>
      <c r="Y820" s="246"/>
      <c r="Z820" s="246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BP820" s="390" t="str">
        <f>IF($X$13="/28",IF(Q820="","",Q820),IF($X$13="/90",IF(#REF!="","",#REF!),"Falso"))</f>
        <v/>
      </c>
      <c r="BQ820" s="392" t="str">
        <f t="shared" si="1186"/>
        <v/>
      </c>
      <c r="BS820" s="50" t="str">
        <f>Q1622</f>
        <v/>
      </c>
      <c r="BT820" s="50" t="e">
        <f>#REF!</f>
        <v>#REF!</v>
      </c>
      <c r="BU820" s="39" t="str">
        <f t="shared" si="1236"/>
        <v/>
      </c>
      <c r="BV820" s="39" t="str">
        <f t="shared" si="1229"/>
        <v/>
      </c>
    </row>
    <row r="821" spans="1:74" ht="14.25" customHeight="1" x14ac:dyDescent="0.35">
      <c r="A821" s="294"/>
      <c r="B821" s="296"/>
      <c r="C821" s="298"/>
      <c r="D821" s="300"/>
      <c r="E821" s="302"/>
      <c r="F821" s="304"/>
      <c r="G821" s="276"/>
      <c r="H821" s="277"/>
      <c r="I821" s="290"/>
      <c r="J821" s="290"/>
      <c r="K821" s="291"/>
      <c r="L821" s="17"/>
      <c r="M821" s="286"/>
      <c r="N821" s="21"/>
      <c r="O821" s="286"/>
      <c r="P821" s="21"/>
      <c r="Q821" s="286"/>
      <c r="R821" s="248"/>
      <c r="S821" s="287"/>
      <c r="T821" s="248"/>
      <c r="U821" s="13"/>
      <c r="V821" s="282"/>
      <c r="W821" s="283"/>
      <c r="X821" s="284"/>
      <c r="Y821" s="245"/>
      <c r="Z821" s="245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BP821" s="391"/>
      <c r="BQ821" s="393"/>
      <c r="BS821" s="50" t="str">
        <f>Q1624</f>
        <v/>
      </c>
      <c r="BT821" s="50" t="e">
        <f>#REF!</f>
        <v>#REF!</v>
      </c>
      <c r="BU821" s="39" t="str">
        <f t="shared" si="1236"/>
        <v/>
      </c>
      <c r="BV821" s="39" t="str">
        <f t="shared" si="1229"/>
        <v/>
      </c>
    </row>
    <row r="822" spans="1:74" ht="14.25" customHeight="1" x14ac:dyDescent="0.35">
      <c r="A822" s="293">
        <v>403</v>
      </c>
      <c r="B822" s="295"/>
      <c r="C822" s="297"/>
      <c r="D822" s="299"/>
      <c r="E822" s="301"/>
      <c r="F822" s="303"/>
      <c r="G822" s="288"/>
      <c r="H822" s="289"/>
      <c r="I822" s="290"/>
      <c r="J822" s="290"/>
      <c r="K822" s="291"/>
      <c r="L822" s="18"/>
      <c r="M822" s="285" t="str">
        <f t="shared" ref="M822" si="1279">IF(COUNT(L822:L823)&lt;1,"",AVERAGE(L822:L823))</f>
        <v/>
      </c>
      <c r="N822" s="22"/>
      <c r="O822" s="285" t="str">
        <f t="shared" ref="O822" si="1280">IF(COUNT(N822:N823)&lt;1,"",AVERAGE(N822:N823))</f>
        <v/>
      </c>
      <c r="P822" s="22"/>
      <c r="Q822" s="285" t="str">
        <f t="shared" ref="Q822" si="1281">IF(COUNT(P822:P823)&lt;1,"",AVERAGE(P822:P823))</f>
        <v/>
      </c>
      <c r="R822" s="278" t="str">
        <f>IF($X$13="/28",IF(COUNT(P822:P823)&lt;=1,"",ABS(P822-P823)),IF($X$13="/90",IF(COUNT(#REF!)&lt;=1,"",ABS(#REF!-#REF!))))</f>
        <v/>
      </c>
      <c r="S822" s="278" t="str">
        <f>IF($X$13="/28",IF(Q822="","",IF(AVERAGE(Q818:Q823)&gt;=$W$13,ROUND(AVERAGE(Q818:Q823),1)&amp;" ≥ "&amp;$W$13&amp;" OK",ROUND(AVERAGE(Q818:Q823),1)&amp;" &lt; "&amp;$W$13&amp;" NC")),IF($X$13="/90",IF(#REF!="","",IF(AVERAGE(#REF!)&gt;=$W$13,ROUND(AVERAGE(#REF!),1)&amp;" ≥ "&amp;$W$13&amp;" OK",ROUND(AVERAGE(#REF!),1)&amp;" &lt; "&amp;$W$13&amp;" NC"))))</f>
        <v/>
      </c>
      <c r="T822" s="278" t="str">
        <f>IF($X$13="/28",IF(Q822="","",IF(Q822&gt;=$W$13-$S$12,ROUND((Q822),1)&amp;" ≥ "&amp;$W$13-$S$12&amp;" OK",ROUND((Q822),1)&amp;" &lt; "&amp;$W$13-$S$12&amp;" NC")),IF($X$13="/90",IF(#REF!="","",IF(#REF!&gt;=$W$13-$S$12,ROUND((#REF!),1)&amp;" ≥ "&amp;$W$13-$S$12&amp;" OK",ROUND((#REF!),1)&amp;" &lt; "&amp;$W$13-$S$12&amp;" NC"))))</f>
        <v/>
      </c>
      <c r="U822" s="14"/>
      <c r="V822" s="279"/>
      <c r="W822" s="280"/>
      <c r="X822" s="281"/>
      <c r="Y822" s="246"/>
      <c r="Z822" s="246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BP822" s="390" t="str">
        <f>IF($X$13="/28",IF(Q822="","",Q822),IF($X$13="/90",IF(#REF!="","",#REF!),"Falso"))</f>
        <v/>
      </c>
      <c r="BQ822" s="392" t="str">
        <f t="shared" ref="BQ822:BQ882" si="1282">IF(BP822="","",BQ820+1)</f>
        <v/>
      </c>
      <c r="BS822" s="50" t="str">
        <f>Q1626</f>
        <v/>
      </c>
      <c r="BT822" s="50" t="e">
        <f>#REF!</f>
        <v>#REF!</v>
      </c>
      <c r="BU822" s="39" t="str">
        <f t="shared" si="1236"/>
        <v/>
      </c>
      <c r="BV822" s="39" t="str">
        <f t="shared" si="1229"/>
        <v/>
      </c>
    </row>
    <row r="823" spans="1:74" ht="14.25" customHeight="1" x14ac:dyDescent="0.35">
      <c r="A823" s="294"/>
      <c r="B823" s="296"/>
      <c r="C823" s="298"/>
      <c r="D823" s="300"/>
      <c r="E823" s="302"/>
      <c r="F823" s="304"/>
      <c r="G823" s="276"/>
      <c r="H823" s="277"/>
      <c r="I823" s="290"/>
      <c r="J823" s="290"/>
      <c r="K823" s="291"/>
      <c r="L823" s="17"/>
      <c r="M823" s="286"/>
      <c r="N823" s="21"/>
      <c r="O823" s="286"/>
      <c r="P823" s="21"/>
      <c r="Q823" s="286"/>
      <c r="R823" s="248"/>
      <c r="S823" s="287"/>
      <c r="T823" s="248"/>
      <c r="U823" s="13"/>
      <c r="V823" s="282"/>
      <c r="W823" s="283"/>
      <c r="X823" s="284"/>
      <c r="Y823" s="245"/>
      <c r="Z823" s="245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BP823" s="391"/>
      <c r="BQ823" s="393"/>
      <c r="BS823" s="50" t="str">
        <f>Q1628</f>
        <v/>
      </c>
      <c r="BT823" s="50" t="e">
        <f>#REF!</f>
        <v>#REF!</v>
      </c>
      <c r="BU823" s="39" t="str">
        <f t="shared" si="1236"/>
        <v/>
      </c>
      <c r="BV823" s="39" t="str">
        <f t="shared" si="1229"/>
        <v/>
      </c>
    </row>
    <row r="824" spans="1:74" ht="14.25" customHeight="1" x14ac:dyDescent="0.35">
      <c r="A824" s="293">
        <v>404</v>
      </c>
      <c r="B824" s="295"/>
      <c r="C824" s="297"/>
      <c r="D824" s="299"/>
      <c r="E824" s="301"/>
      <c r="F824" s="303"/>
      <c r="G824" s="288"/>
      <c r="H824" s="289"/>
      <c r="I824" s="290"/>
      <c r="J824" s="290"/>
      <c r="K824" s="291"/>
      <c r="L824" s="18"/>
      <c r="M824" s="285" t="str">
        <f t="shared" ref="M824" si="1283">IF(COUNT(L824:L825)&lt;1,"",AVERAGE(L824:L825))</f>
        <v/>
      </c>
      <c r="N824" s="22"/>
      <c r="O824" s="285" t="str">
        <f t="shared" ref="O824" si="1284">IF(COUNT(N824:N825)&lt;1,"",AVERAGE(N824:N825))</f>
        <v/>
      </c>
      <c r="P824" s="22"/>
      <c r="Q824" s="285" t="str">
        <f t="shared" ref="Q824" si="1285">IF(COUNT(P824:P825)&lt;1,"",AVERAGE(P824:P825))</f>
        <v/>
      </c>
      <c r="R824" s="278" t="str">
        <f>IF($X$13="/28",IF(COUNT(P824:P825)&lt;=1,"",ABS(P824-P825)),IF($X$13="/90",IF(COUNT(#REF!)&lt;=1,"",ABS(#REF!-#REF!))))</f>
        <v/>
      </c>
      <c r="S824" s="278" t="str">
        <f>IF($X$13="/28",IF(Q824="","",IF(AVERAGE(Q820:Q825)&gt;=$W$13,ROUND(AVERAGE(Q820:Q825),1)&amp;" ≥ "&amp;$W$13&amp;" OK",ROUND(AVERAGE(Q820:Q825),1)&amp;" &lt; "&amp;$W$13&amp;" NC")),IF($X$13="/90",IF(#REF!="","",IF(AVERAGE(#REF!)&gt;=$W$13,ROUND(AVERAGE(#REF!),1)&amp;" ≥ "&amp;$W$13&amp;" OK",ROUND(AVERAGE(#REF!),1)&amp;" &lt; "&amp;$W$13&amp;" NC"))))</f>
        <v/>
      </c>
      <c r="T824" s="278" t="str">
        <f>IF($X$13="/28",IF(Q824="","",IF(Q824&gt;=$W$13-$S$12,ROUND((Q824),1)&amp;" ≥ "&amp;$W$13-$S$12&amp;" OK",ROUND((Q824),1)&amp;" &lt; "&amp;$W$13-$S$12&amp;" NC")),IF($X$13="/90",IF(#REF!="","",IF(#REF!&gt;=$W$13-$S$12,ROUND((#REF!),1)&amp;" ≥ "&amp;$W$13-$S$12&amp;" OK",ROUND((#REF!),1)&amp;" &lt; "&amp;$W$13-$S$12&amp;" NC"))))</f>
        <v/>
      </c>
      <c r="U824" s="14"/>
      <c r="V824" s="279"/>
      <c r="W824" s="280"/>
      <c r="X824" s="281"/>
      <c r="Y824" s="246"/>
      <c r="Z824" s="246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BP824" s="390" t="str">
        <f>IF($X$13="/28",IF(Q824="","",Q824),IF($X$13="/90",IF(#REF!="","",#REF!),"Falso"))</f>
        <v/>
      </c>
      <c r="BQ824" s="392" t="str">
        <f t="shared" ref="BQ824:BQ884" si="1286">IF(BP824="","",BQ822+1)</f>
        <v/>
      </c>
      <c r="BS824" s="50" t="str">
        <f>Q1630</f>
        <v/>
      </c>
      <c r="BT824" s="50" t="e">
        <f>#REF!</f>
        <v>#REF!</v>
      </c>
      <c r="BU824" s="39" t="str">
        <f t="shared" si="1236"/>
        <v/>
      </c>
      <c r="BV824" s="39" t="str">
        <f t="shared" si="1229"/>
        <v/>
      </c>
    </row>
    <row r="825" spans="1:74" ht="14.25" customHeight="1" x14ac:dyDescent="0.35">
      <c r="A825" s="294"/>
      <c r="B825" s="296"/>
      <c r="C825" s="298"/>
      <c r="D825" s="300"/>
      <c r="E825" s="302"/>
      <c r="F825" s="304"/>
      <c r="G825" s="276"/>
      <c r="H825" s="277"/>
      <c r="I825" s="290"/>
      <c r="J825" s="290"/>
      <c r="K825" s="291"/>
      <c r="L825" s="17"/>
      <c r="M825" s="286"/>
      <c r="N825" s="21"/>
      <c r="O825" s="286"/>
      <c r="P825" s="21"/>
      <c r="Q825" s="286"/>
      <c r="R825" s="248"/>
      <c r="S825" s="287"/>
      <c r="T825" s="248"/>
      <c r="U825" s="13"/>
      <c r="V825" s="282"/>
      <c r="W825" s="283"/>
      <c r="X825" s="284"/>
      <c r="Y825" s="245"/>
      <c r="Z825" s="245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BP825" s="391"/>
      <c r="BQ825" s="393"/>
      <c r="BS825" s="50" t="str">
        <f>Q1632</f>
        <v/>
      </c>
      <c r="BT825" s="50" t="e">
        <f>#REF!</f>
        <v>#REF!</v>
      </c>
      <c r="BU825" s="39" t="str">
        <f t="shared" si="1236"/>
        <v/>
      </c>
      <c r="BV825" s="39" t="str">
        <f t="shared" si="1229"/>
        <v/>
      </c>
    </row>
    <row r="826" spans="1:74" ht="14.25" customHeight="1" x14ac:dyDescent="0.35">
      <c r="A826" s="293">
        <v>405</v>
      </c>
      <c r="B826" s="295"/>
      <c r="C826" s="297"/>
      <c r="D826" s="299"/>
      <c r="E826" s="301"/>
      <c r="F826" s="303"/>
      <c r="G826" s="288"/>
      <c r="H826" s="289"/>
      <c r="I826" s="290"/>
      <c r="J826" s="290"/>
      <c r="K826" s="291"/>
      <c r="L826" s="18"/>
      <c r="M826" s="285" t="str">
        <f t="shared" ref="M826" si="1287">IF(COUNT(L826:L827)&lt;1,"",AVERAGE(L826:L827))</f>
        <v/>
      </c>
      <c r="N826" s="22"/>
      <c r="O826" s="285" t="str">
        <f t="shared" ref="O826" si="1288">IF(COUNT(N826:N827)&lt;1,"",AVERAGE(N826:N827))</f>
        <v/>
      </c>
      <c r="P826" s="22"/>
      <c r="Q826" s="285" t="str">
        <f t="shared" ref="Q826" si="1289">IF(COUNT(P826:P827)&lt;1,"",AVERAGE(P826:P827))</f>
        <v/>
      </c>
      <c r="R826" s="278" t="str">
        <f>IF($X$13="/28",IF(COUNT(P826:P827)&lt;=1,"",ABS(P826-P827)),IF($X$13="/90",IF(COUNT(#REF!)&lt;=1,"",ABS(#REF!-#REF!))))</f>
        <v/>
      </c>
      <c r="S826" s="278" t="str">
        <f>IF($X$13="/28",IF(Q826="","",IF(AVERAGE(Q822:Q827)&gt;=$W$13,ROUND(AVERAGE(Q822:Q827),1)&amp;" ≥ "&amp;$W$13&amp;" OK",ROUND(AVERAGE(Q822:Q827),1)&amp;" &lt; "&amp;$W$13&amp;" NC")),IF($X$13="/90",IF(#REF!="","",IF(AVERAGE(#REF!)&gt;=$W$13,ROUND(AVERAGE(#REF!),1)&amp;" ≥ "&amp;$W$13&amp;" OK",ROUND(AVERAGE(#REF!),1)&amp;" &lt; "&amp;$W$13&amp;" NC"))))</f>
        <v/>
      </c>
      <c r="T826" s="278" t="str">
        <f>IF($X$13="/28",IF(Q826="","",IF(Q826&gt;=$W$13-$S$12,ROUND((Q826),1)&amp;" ≥ "&amp;$W$13-$S$12&amp;" OK",ROUND((Q826),1)&amp;" &lt; "&amp;$W$13-$S$12&amp;" NC")),IF($X$13="/90",IF(#REF!="","",IF(#REF!&gt;=$W$13-$S$12,ROUND((#REF!),1)&amp;" ≥ "&amp;$W$13-$S$12&amp;" OK",ROUND((#REF!),1)&amp;" &lt; "&amp;$W$13-$S$12&amp;" NC"))))</f>
        <v/>
      </c>
      <c r="U826" s="14"/>
      <c r="V826" s="279"/>
      <c r="W826" s="280"/>
      <c r="X826" s="281"/>
      <c r="Y826" s="246"/>
      <c r="Z826" s="246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BP826" s="390" t="str">
        <f>IF($X$13="/28",IF(Q826="","",Q826),IF($X$13="/90",IF(#REF!="","",#REF!),"Falso"))</f>
        <v/>
      </c>
      <c r="BQ826" s="392" t="str">
        <f t="shared" ref="BQ826:BQ886" si="1290">IF(BP826="","",BQ824+1)</f>
        <v/>
      </c>
      <c r="BS826" s="50" t="str">
        <f>Q1634</f>
        <v/>
      </c>
      <c r="BT826" s="50" t="e">
        <f>#REF!</f>
        <v>#REF!</v>
      </c>
      <c r="BU826" s="39" t="str">
        <f t="shared" si="1236"/>
        <v/>
      </c>
      <c r="BV826" s="39" t="str">
        <f t="shared" si="1229"/>
        <v/>
      </c>
    </row>
    <row r="827" spans="1:74" ht="14.25" customHeight="1" x14ac:dyDescent="0.35">
      <c r="A827" s="294"/>
      <c r="B827" s="296"/>
      <c r="C827" s="298"/>
      <c r="D827" s="300"/>
      <c r="E827" s="302"/>
      <c r="F827" s="304"/>
      <c r="G827" s="276"/>
      <c r="H827" s="277"/>
      <c r="I827" s="290"/>
      <c r="J827" s="290"/>
      <c r="K827" s="291"/>
      <c r="L827" s="17"/>
      <c r="M827" s="286"/>
      <c r="N827" s="21"/>
      <c r="O827" s="286"/>
      <c r="P827" s="21"/>
      <c r="Q827" s="286"/>
      <c r="R827" s="248"/>
      <c r="S827" s="287"/>
      <c r="T827" s="248"/>
      <c r="U827" s="13"/>
      <c r="V827" s="282"/>
      <c r="W827" s="283"/>
      <c r="X827" s="284"/>
      <c r="Y827" s="245"/>
      <c r="Z827" s="245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BP827" s="391"/>
      <c r="BQ827" s="393"/>
      <c r="BS827" s="50" t="str">
        <f>Q1636</f>
        <v/>
      </c>
      <c r="BT827" s="50" t="e">
        <f>#REF!</f>
        <v>#REF!</v>
      </c>
      <c r="BU827" s="39" t="str">
        <f t="shared" si="1236"/>
        <v/>
      </c>
      <c r="BV827" s="39" t="str">
        <f t="shared" si="1229"/>
        <v/>
      </c>
    </row>
    <row r="828" spans="1:74" ht="14.25" customHeight="1" x14ac:dyDescent="0.35">
      <c r="A828" s="293">
        <v>406</v>
      </c>
      <c r="B828" s="295"/>
      <c r="C828" s="297"/>
      <c r="D828" s="299"/>
      <c r="E828" s="301"/>
      <c r="F828" s="303"/>
      <c r="G828" s="288"/>
      <c r="H828" s="289"/>
      <c r="I828" s="290"/>
      <c r="J828" s="290"/>
      <c r="K828" s="291"/>
      <c r="L828" s="18"/>
      <c r="M828" s="285" t="str">
        <f t="shared" ref="M828" si="1291">IF(COUNT(L828:L829)&lt;1,"",AVERAGE(L828:L829))</f>
        <v/>
      </c>
      <c r="N828" s="22"/>
      <c r="O828" s="285" t="str">
        <f t="shared" ref="O828" si="1292">IF(COUNT(N828:N829)&lt;1,"",AVERAGE(N828:N829))</f>
        <v/>
      </c>
      <c r="P828" s="22"/>
      <c r="Q828" s="285" t="str">
        <f t="shared" ref="Q828" si="1293">IF(COUNT(P828:P829)&lt;1,"",AVERAGE(P828:P829))</f>
        <v/>
      </c>
      <c r="R828" s="278" t="str">
        <f>IF($X$13="/28",IF(COUNT(P828:P829)&lt;=1,"",ABS(P828-P829)),IF($X$13="/90",IF(COUNT(#REF!)&lt;=1,"",ABS(#REF!-#REF!))))</f>
        <v/>
      </c>
      <c r="S828" s="278" t="str">
        <f>IF($X$13="/28",IF(Q828="","",IF(AVERAGE(Q824:Q829)&gt;=$W$13,ROUND(AVERAGE(Q824:Q829),1)&amp;" ≥ "&amp;$W$13&amp;" OK",ROUND(AVERAGE(Q824:Q829),1)&amp;" &lt; "&amp;$W$13&amp;" NC")),IF($X$13="/90",IF(#REF!="","",IF(AVERAGE(#REF!)&gt;=$W$13,ROUND(AVERAGE(#REF!),1)&amp;" ≥ "&amp;$W$13&amp;" OK",ROUND(AVERAGE(#REF!),1)&amp;" &lt; "&amp;$W$13&amp;" NC"))))</f>
        <v/>
      </c>
      <c r="T828" s="278" t="str">
        <f>IF($X$13="/28",IF(Q828="","",IF(Q828&gt;=$W$13-$S$12,ROUND((Q828),1)&amp;" ≥ "&amp;$W$13-$S$12&amp;" OK",ROUND((Q828),1)&amp;" &lt; "&amp;$W$13-$S$12&amp;" NC")),IF($X$13="/90",IF(#REF!="","",IF(#REF!&gt;=$W$13-$S$12,ROUND((#REF!),1)&amp;" ≥ "&amp;$W$13-$S$12&amp;" OK",ROUND((#REF!),1)&amp;" &lt; "&amp;$W$13-$S$12&amp;" NC"))))</f>
        <v/>
      </c>
      <c r="U828" s="14"/>
      <c r="V828" s="279"/>
      <c r="W828" s="280"/>
      <c r="X828" s="281"/>
      <c r="Y828" s="246"/>
      <c r="Z828" s="246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BP828" s="390" t="str">
        <f>IF($X$13="/28",IF(Q828="","",Q828),IF($X$13="/90",IF(#REF!="","",#REF!),"Falso"))</f>
        <v/>
      </c>
      <c r="BQ828" s="392" t="str">
        <f t="shared" si="1282"/>
        <v/>
      </c>
      <c r="BS828" s="50" t="str">
        <f>Q1638</f>
        <v/>
      </c>
      <c r="BT828" s="50" t="e">
        <f>#REF!</f>
        <v>#REF!</v>
      </c>
      <c r="BU828" s="39" t="str">
        <f t="shared" si="1236"/>
        <v/>
      </c>
      <c r="BV828" s="39" t="str">
        <f t="shared" si="1229"/>
        <v/>
      </c>
    </row>
    <row r="829" spans="1:74" ht="14.25" customHeight="1" x14ac:dyDescent="0.35">
      <c r="A829" s="294"/>
      <c r="B829" s="296"/>
      <c r="C829" s="298"/>
      <c r="D829" s="300"/>
      <c r="E829" s="302"/>
      <c r="F829" s="304"/>
      <c r="G829" s="276"/>
      <c r="H829" s="277"/>
      <c r="I829" s="290"/>
      <c r="J829" s="290"/>
      <c r="K829" s="291"/>
      <c r="L829" s="17"/>
      <c r="M829" s="286"/>
      <c r="N829" s="21"/>
      <c r="O829" s="286"/>
      <c r="P829" s="21"/>
      <c r="Q829" s="286"/>
      <c r="R829" s="248"/>
      <c r="S829" s="287"/>
      <c r="T829" s="248"/>
      <c r="U829" s="13"/>
      <c r="V829" s="282"/>
      <c r="W829" s="283"/>
      <c r="X829" s="284"/>
      <c r="Y829" s="245"/>
      <c r="Z829" s="245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BP829" s="391"/>
      <c r="BQ829" s="393"/>
      <c r="BS829" s="50" t="str">
        <f>Q1640</f>
        <v/>
      </c>
      <c r="BT829" s="50" t="e">
        <f>#REF!</f>
        <v>#REF!</v>
      </c>
      <c r="BU829" s="39" t="str">
        <f t="shared" si="1236"/>
        <v/>
      </c>
      <c r="BV829" s="39" t="str">
        <f t="shared" si="1229"/>
        <v/>
      </c>
    </row>
    <row r="830" spans="1:74" ht="14.25" customHeight="1" x14ac:dyDescent="0.35">
      <c r="A830" s="293">
        <v>407</v>
      </c>
      <c r="B830" s="295"/>
      <c r="C830" s="297"/>
      <c r="D830" s="299"/>
      <c r="E830" s="301"/>
      <c r="F830" s="303"/>
      <c r="G830" s="288"/>
      <c r="H830" s="289"/>
      <c r="I830" s="290"/>
      <c r="J830" s="290"/>
      <c r="K830" s="291"/>
      <c r="L830" s="18"/>
      <c r="M830" s="285" t="str">
        <f t="shared" ref="M830" si="1294">IF(COUNT(L830:L831)&lt;1,"",AVERAGE(L830:L831))</f>
        <v/>
      </c>
      <c r="N830" s="22"/>
      <c r="O830" s="285" t="str">
        <f t="shared" ref="O830" si="1295">IF(COUNT(N830:N831)&lt;1,"",AVERAGE(N830:N831))</f>
        <v/>
      </c>
      <c r="P830" s="22"/>
      <c r="Q830" s="285" t="str">
        <f t="shared" ref="Q830" si="1296">IF(COUNT(P830:P831)&lt;1,"",AVERAGE(P830:P831))</f>
        <v/>
      </c>
      <c r="R830" s="278" t="str">
        <f>IF($X$13="/28",IF(COUNT(P830:P831)&lt;=1,"",ABS(P830-P831)),IF($X$13="/90",IF(COUNT(#REF!)&lt;=1,"",ABS(#REF!-#REF!))))</f>
        <v/>
      </c>
      <c r="S830" s="278" t="str">
        <f>IF($X$13="/28",IF(Q830="","",IF(AVERAGE(Q826:Q831)&gt;=$W$13,ROUND(AVERAGE(Q826:Q831),1)&amp;" ≥ "&amp;$W$13&amp;" OK",ROUND(AVERAGE(Q826:Q831),1)&amp;" &lt; "&amp;$W$13&amp;" NC")),IF($X$13="/90",IF(#REF!="","",IF(AVERAGE(#REF!)&gt;=$W$13,ROUND(AVERAGE(#REF!),1)&amp;" ≥ "&amp;$W$13&amp;" OK",ROUND(AVERAGE(#REF!),1)&amp;" &lt; "&amp;$W$13&amp;" NC"))))</f>
        <v/>
      </c>
      <c r="T830" s="278" t="str">
        <f>IF($X$13="/28",IF(Q830="","",IF(Q830&gt;=$W$13-$S$12,ROUND((Q830),1)&amp;" ≥ "&amp;$W$13-$S$12&amp;" OK",ROUND((Q830),1)&amp;" &lt; "&amp;$W$13-$S$12&amp;" NC")),IF($X$13="/90",IF(#REF!="","",IF(#REF!&gt;=$W$13-$S$12,ROUND((#REF!),1)&amp;" ≥ "&amp;$W$13-$S$12&amp;" OK",ROUND((#REF!),1)&amp;" &lt; "&amp;$W$13-$S$12&amp;" NC"))))</f>
        <v/>
      </c>
      <c r="U830" s="14"/>
      <c r="V830" s="279"/>
      <c r="W830" s="280"/>
      <c r="X830" s="281"/>
      <c r="Y830" s="246"/>
      <c r="Z830" s="246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BP830" s="390" t="str">
        <f>IF($X$13="/28",IF(Q830="","",Q830),IF($X$13="/90",IF(#REF!="","",#REF!),"Falso"))</f>
        <v/>
      </c>
      <c r="BQ830" s="392" t="str">
        <f t="shared" si="1286"/>
        <v/>
      </c>
      <c r="BS830" s="50" t="str">
        <f>Q1642</f>
        <v/>
      </c>
      <c r="BT830" s="50" t="e">
        <f>#REF!</f>
        <v>#REF!</v>
      </c>
      <c r="BU830" s="39" t="str">
        <f t="shared" si="1236"/>
        <v/>
      </c>
      <c r="BV830" s="39" t="str">
        <f t="shared" si="1229"/>
        <v/>
      </c>
    </row>
    <row r="831" spans="1:74" ht="14.25" customHeight="1" x14ac:dyDescent="0.35">
      <c r="A831" s="294"/>
      <c r="B831" s="296"/>
      <c r="C831" s="298"/>
      <c r="D831" s="300"/>
      <c r="E831" s="302"/>
      <c r="F831" s="304"/>
      <c r="G831" s="276"/>
      <c r="H831" s="277"/>
      <c r="I831" s="290"/>
      <c r="J831" s="290"/>
      <c r="K831" s="291"/>
      <c r="L831" s="17"/>
      <c r="M831" s="286"/>
      <c r="N831" s="21"/>
      <c r="O831" s="286"/>
      <c r="P831" s="21"/>
      <c r="Q831" s="286"/>
      <c r="R831" s="248"/>
      <c r="S831" s="287"/>
      <c r="T831" s="248"/>
      <c r="U831" s="13"/>
      <c r="V831" s="282"/>
      <c r="W831" s="283"/>
      <c r="X831" s="284"/>
      <c r="Y831" s="245"/>
      <c r="Z831" s="245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BP831" s="391"/>
      <c r="BQ831" s="393"/>
      <c r="BS831" s="50" t="str">
        <f>Q1644</f>
        <v/>
      </c>
      <c r="BT831" s="50" t="e">
        <f>#REF!</f>
        <v>#REF!</v>
      </c>
      <c r="BU831" s="39" t="str">
        <f t="shared" si="1236"/>
        <v/>
      </c>
      <c r="BV831" s="39" t="str">
        <f t="shared" si="1229"/>
        <v/>
      </c>
    </row>
    <row r="832" spans="1:74" ht="14.25" customHeight="1" x14ac:dyDescent="0.35">
      <c r="A832" s="293">
        <v>408</v>
      </c>
      <c r="B832" s="295"/>
      <c r="C832" s="297"/>
      <c r="D832" s="299"/>
      <c r="E832" s="301"/>
      <c r="F832" s="303"/>
      <c r="G832" s="288"/>
      <c r="H832" s="289"/>
      <c r="I832" s="290"/>
      <c r="J832" s="290"/>
      <c r="K832" s="291"/>
      <c r="L832" s="18"/>
      <c r="M832" s="285" t="str">
        <f t="shared" ref="M832" si="1297">IF(COUNT(L832:L833)&lt;1,"",AVERAGE(L832:L833))</f>
        <v/>
      </c>
      <c r="N832" s="22"/>
      <c r="O832" s="285" t="str">
        <f t="shared" ref="O832" si="1298">IF(COUNT(N832:N833)&lt;1,"",AVERAGE(N832:N833))</f>
        <v/>
      </c>
      <c r="P832" s="22"/>
      <c r="Q832" s="285" t="str">
        <f t="shared" ref="Q832" si="1299">IF(COUNT(P832:P833)&lt;1,"",AVERAGE(P832:P833))</f>
        <v/>
      </c>
      <c r="R832" s="278" t="str">
        <f>IF($X$13="/28",IF(COUNT(P832:P833)&lt;=1,"",ABS(P832-P833)),IF($X$13="/90",IF(COUNT(#REF!)&lt;=1,"",ABS(#REF!-#REF!))))</f>
        <v/>
      </c>
      <c r="S832" s="278" t="str">
        <f>IF($X$13="/28",IF(Q832="","",IF(AVERAGE(Q828:Q833)&gt;=$W$13,ROUND(AVERAGE(Q828:Q833),1)&amp;" ≥ "&amp;$W$13&amp;" OK",ROUND(AVERAGE(Q828:Q833),1)&amp;" &lt; "&amp;$W$13&amp;" NC")),IF($X$13="/90",IF(#REF!="","",IF(AVERAGE(#REF!)&gt;=$W$13,ROUND(AVERAGE(#REF!),1)&amp;" ≥ "&amp;$W$13&amp;" OK",ROUND(AVERAGE(#REF!),1)&amp;" &lt; "&amp;$W$13&amp;" NC"))))</f>
        <v/>
      </c>
      <c r="T832" s="278" t="str">
        <f>IF($X$13="/28",IF(Q832="","",IF(Q832&gt;=$W$13-$S$12,ROUND((Q832),1)&amp;" ≥ "&amp;$W$13-$S$12&amp;" OK",ROUND((Q832),1)&amp;" &lt; "&amp;$W$13-$S$12&amp;" NC")),IF($X$13="/90",IF(#REF!="","",IF(#REF!&gt;=$W$13-$S$12,ROUND((#REF!),1)&amp;" ≥ "&amp;$W$13-$S$12&amp;" OK",ROUND((#REF!),1)&amp;" &lt; "&amp;$W$13-$S$12&amp;" NC"))))</f>
        <v/>
      </c>
      <c r="U832" s="14"/>
      <c r="V832" s="279"/>
      <c r="W832" s="280"/>
      <c r="X832" s="281"/>
      <c r="Y832" s="246"/>
      <c r="Z832" s="246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BP832" s="390" t="str">
        <f>IF($X$13="/28",IF(Q832="","",Q832),IF($X$13="/90",IF(#REF!="","",#REF!),"Falso"))</f>
        <v/>
      </c>
      <c r="BQ832" s="392" t="str">
        <f t="shared" si="1290"/>
        <v/>
      </c>
      <c r="BS832" s="50" t="str">
        <f>Q1646</f>
        <v/>
      </c>
      <c r="BT832" s="50" t="e">
        <f>#REF!</f>
        <v>#REF!</v>
      </c>
      <c r="BU832" s="39" t="str">
        <f t="shared" si="1236"/>
        <v/>
      </c>
      <c r="BV832" s="39" t="str">
        <f t="shared" si="1229"/>
        <v/>
      </c>
    </row>
    <row r="833" spans="1:74" ht="14.25" customHeight="1" x14ac:dyDescent="0.35">
      <c r="A833" s="294"/>
      <c r="B833" s="296"/>
      <c r="C833" s="298"/>
      <c r="D833" s="300"/>
      <c r="E833" s="302"/>
      <c r="F833" s="304"/>
      <c r="G833" s="276"/>
      <c r="H833" s="277"/>
      <c r="I833" s="290"/>
      <c r="J833" s="290"/>
      <c r="K833" s="291"/>
      <c r="L833" s="17"/>
      <c r="M833" s="286"/>
      <c r="N833" s="21"/>
      <c r="O833" s="286"/>
      <c r="P833" s="21"/>
      <c r="Q833" s="286"/>
      <c r="R833" s="248"/>
      <c r="S833" s="287"/>
      <c r="T833" s="248"/>
      <c r="U833" s="13"/>
      <c r="V833" s="282"/>
      <c r="W833" s="283"/>
      <c r="X833" s="284"/>
      <c r="Y833" s="245"/>
      <c r="Z833" s="245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BP833" s="391"/>
      <c r="BQ833" s="393"/>
      <c r="BS833" s="50" t="str">
        <f>Q1648</f>
        <v/>
      </c>
      <c r="BT833" s="50" t="e">
        <f>#REF!</f>
        <v>#REF!</v>
      </c>
      <c r="BU833" s="39" t="str">
        <f t="shared" si="1236"/>
        <v/>
      </c>
      <c r="BV833" s="39" t="str">
        <f t="shared" si="1229"/>
        <v/>
      </c>
    </row>
    <row r="834" spans="1:74" ht="14.25" customHeight="1" x14ac:dyDescent="0.35">
      <c r="A834" s="293">
        <v>409</v>
      </c>
      <c r="B834" s="295"/>
      <c r="C834" s="297"/>
      <c r="D834" s="299"/>
      <c r="E834" s="301"/>
      <c r="F834" s="303"/>
      <c r="G834" s="288"/>
      <c r="H834" s="289"/>
      <c r="I834" s="290"/>
      <c r="J834" s="290"/>
      <c r="K834" s="291"/>
      <c r="L834" s="18"/>
      <c r="M834" s="285" t="str">
        <f t="shared" ref="M834" si="1300">IF(COUNT(L834:L835)&lt;1,"",AVERAGE(L834:L835))</f>
        <v/>
      </c>
      <c r="N834" s="22"/>
      <c r="O834" s="285" t="str">
        <f t="shared" ref="O834" si="1301">IF(COUNT(N834:N835)&lt;1,"",AVERAGE(N834:N835))</f>
        <v/>
      </c>
      <c r="P834" s="22"/>
      <c r="Q834" s="285" t="str">
        <f t="shared" ref="Q834" si="1302">IF(COUNT(P834:P835)&lt;1,"",AVERAGE(P834:P835))</f>
        <v/>
      </c>
      <c r="R834" s="278" t="str">
        <f>IF($X$13="/28",IF(COUNT(P834:P835)&lt;=1,"",ABS(P834-P835)),IF($X$13="/90",IF(COUNT(#REF!)&lt;=1,"",ABS(#REF!-#REF!))))</f>
        <v/>
      </c>
      <c r="S834" s="278" t="str">
        <f>IF($X$13="/28",IF(Q834="","",IF(AVERAGE(Q830:Q835)&gt;=$W$13,ROUND(AVERAGE(Q830:Q835),1)&amp;" ≥ "&amp;$W$13&amp;" OK",ROUND(AVERAGE(Q830:Q835),1)&amp;" &lt; "&amp;$W$13&amp;" NC")),IF($X$13="/90",IF(#REF!="","",IF(AVERAGE(#REF!)&gt;=$W$13,ROUND(AVERAGE(#REF!),1)&amp;" ≥ "&amp;$W$13&amp;" OK",ROUND(AVERAGE(#REF!),1)&amp;" &lt; "&amp;$W$13&amp;" NC"))))</f>
        <v/>
      </c>
      <c r="T834" s="278" t="str">
        <f>IF($X$13="/28",IF(Q834="","",IF(Q834&gt;=$W$13-$S$12,ROUND((Q834),1)&amp;" ≥ "&amp;$W$13-$S$12&amp;" OK",ROUND((Q834),1)&amp;" &lt; "&amp;$W$13-$S$12&amp;" NC")),IF($X$13="/90",IF(#REF!="","",IF(#REF!&gt;=$W$13-$S$12,ROUND((#REF!),1)&amp;" ≥ "&amp;$W$13-$S$12&amp;" OK",ROUND((#REF!),1)&amp;" &lt; "&amp;$W$13-$S$12&amp;" NC"))))</f>
        <v/>
      </c>
      <c r="U834" s="14"/>
      <c r="V834" s="279"/>
      <c r="W834" s="280"/>
      <c r="X834" s="281"/>
      <c r="Y834" s="246"/>
      <c r="Z834" s="246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BP834" s="390" t="str">
        <f>IF($X$13="/28",IF(Q834="","",Q834),IF($X$13="/90",IF(#REF!="","",#REF!),"Falso"))</f>
        <v/>
      </c>
      <c r="BQ834" s="392" t="str">
        <f t="shared" si="1282"/>
        <v/>
      </c>
      <c r="BS834" s="50" t="str">
        <f>Q1650</f>
        <v/>
      </c>
      <c r="BT834" s="50" t="e">
        <f>#REF!</f>
        <v>#REF!</v>
      </c>
      <c r="BU834" s="39" t="str">
        <f t="shared" si="1236"/>
        <v/>
      </c>
      <c r="BV834" s="39" t="str">
        <f t="shared" si="1229"/>
        <v/>
      </c>
    </row>
    <row r="835" spans="1:74" ht="14.25" customHeight="1" x14ac:dyDescent="0.35">
      <c r="A835" s="294"/>
      <c r="B835" s="296"/>
      <c r="C835" s="298"/>
      <c r="D835" s="300"/>
      <c r="E835" s="302"/>
      <c r="F835" s="304"/>
      <c r="G835" s="276"/>
      <c r="H835" s="277"/>
      <c r="I835" s="290"/>
      <c r="J835" s="290"/>
      <c r="K835" s="291"/>
      <c r="L835" s="17"/>
      <c r="M835" s="286"/>
      <c r="N835" s="21"/>
      <c r="O835" s="286"/>
      <c r="P835" s="21"/>
      <c r="Q835" s="286"/>
      <c r="R835" s="248"/>
      <c r="S835" s="287"/>
      <c r="T835" s="248"/>
      <c r="U835" s="13"/>
      <c r="V835" s="282"/>
      <c r="W835" s="283"/>
      <c r="X835" s="284"/>
      <c r="Y835" s="245"/>
      <c r="Z835" s="245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BP835" s="391"/>
      <c r="BQ835" s="393"/>
      <c r="BS835" s="50" t="str">
        <f>Q1652</f>
        <v/>
      </c>
      <c r="BT835" s="50" t="e">
        <f>#REF!</f>
        <v>#REF!</v>
      </c>
      <c r="BU835" s="39" t="str">
        <f t="shared" si="1236"/>
        <v/>
      </c>
      <c r="BV835" s="39" t="str">
        <f t="shared" si="1229"/>
        <v/>
      </c>
    </row>
    <row r="836" spans="1:74" ht="14.25" customHeight="1" x14ac:dyDescent="0.35">
      <c r="A836" s="293">
        <v>410</v>
      </c>
      <c r="B836" s="295"/>
      <c r="C836" s="297"/>
      <c r="D836" s="299"/>
      <c r="E836" s="301"/>
      <c r="F836" s="303"/>
      <c r="G836" s="288"/>
      <c r="H836" s="289"/>
      <c r="I836" s="290"/>
      <c r="J836" s="290"/>
      <c r="K836" s="291"/>
      <c r="L836" s="18"/>
      <c r="M836" s="285" t="str">
        <f t="shared" ref="M836" si="1303">IF(COUNT(L836:L837)&lt;1,"",AVERAGE(L836:L837))</f>
        <v/>
      </c>
      <c r="N836" s="22"/>
      <c r="O836" s="285" t="str">
        <f t="shared" ref="O836" si="1304">IF(COUNT(N836:N837)&lt;1,"",AVERAGE(N836:N837))</f>
        <v/>
      </c>
      <c r="P836" s="22"/>
      <c r="Q836" s="285" t="str">
        <f t="shared" ref="Q836" si="1305">IF(COUNT(P836:P837)&lt;1,"",AVERAGE(P836:P837))</f>
        <v/>
      </c>
      <c r="R836" s="278" t="str">
        <f>IF($X$13="/28",IF(COUNT(P836:P837)&lt;=1,"",ABS(P836-P837)),IF($X$13="/90",IF(COUNT(#REF!)&lt;=1,"",ABS(#REF!-#REF!))))</f>
        <v/>
      </c>
      <c r="S836" s="278" t="str">
        <f>IF($X$13="/28",IF(Q836="","",IF(AVERAGE(Q832:Q837)&gt;=$W$13,ROUND(AVERAGE(Q832:Q837),1)&amp;" ≥ "&amp;$W$13&amp;" OK",ROUND(AVERAGE(Q832:Q837),1)&amp;" &lt; "&amp;$W$13&amp;" NC")),IF($X$13="/90",IF(#REF!="","",IF(AVERAGE(#REF!)&gt;=$W$13,ROUND(AVERAGE(#REF!),1)&amp;" ≥ "&amp;$W$13&amp;" OK",ROUND(AVERAGE(#REF!),1)&amp;" &lt; "&amp;$W$13&amp;" NC"))))</f>
        <v/>
      </c>
      <c r="T836" s="278" t="str">
        <f>IF($X$13="/28",IF(Q836="","",IF(Q836&gt;=$W$13-$S$12,ROUND((Q836),1)&amp;" ≥ "&amp;$W$13-$S$12&amp;" OK",ROUND((Q836),1)&amp;" &lt; "&amp;$W$13-$S$12&amp;" NC")),IF($X$13="/90",IF(#REF!="","",IF(#REF!&gt;=$W$13-$S$12,ROUND((#REF!),1)&amp;" ≥ "&amp;$W$13-$S$12&amp;" OK",ROUND((#REF!),1)&amp;" &lt; "&amp;$W$13-$S$12&amp;" NC"))))</f>
        <v/>
      </c>
      <c r="U836" s="14"/>
      <c r="V836" s="279"/>
      <c r="W836" s="280"/>
      <c r="X836" s="281"/>
      <c r="Y836" s="246"/>
      <c r="Z836" s="246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BP836" s="390" t="str">
        <f>IF($X$13="/28",IF(Q836="","",Q836),IF($X$13="/90",IF(#REF!="","",#REF!),"Falso"))</f>
        <v/>
      </c>
      <c r="BQ836" s="392" t="str">
        <f t="shared" si="1286"/>
        <v/>
      </c>
      <c r="BS836" s="50" t="str">
        <f>Q1654</f>
        <v/>
      </c>
      <c r="BT836" s="50" t="e">
        <f>#REF!</f>
        <v>#REF!</v>
      </c>
      <c r="BU836" s="39" t="str">
        <f t="shared" si="1236"/>
        <v/>
      </c>
      <c r="BV836" s="39" t="str">
        <f t="shared" si="1229"/>
        <v/>
      </c>
    </row>
    <row r="837" spans="1:74" ht="14.25" customHeight="1" x14ac:dyDescent="0.35">
      <c r="A837" s="294"/>
      <c r="B837" s="296"/>
      <c r="C837" s="298"/>
      <c r="D837" s="300"/>
      <c r="E837" s="302"/>
      <c r="F837" s="304"/>
      <c r="G837" s="276"/>
      <c r="H837" s="277"/>
      <c r="I837" s="290"/>
      <c r="J837" s="290"/>
      <c r="K837" s="291"/>
      <c r="L837" s="17"/>
      <c r="M837" s="286"/>
      <c r="N837" s="21"/>
      <c r="O837" s="286"/>
      <c r="P837" s="21"/>
      <c r="Q837" s="286"/>
      <c r="R837" s="248"/>
      <c r="S837" s="287"/>
      <c r="T837" s="248"/>
      <c r="U837" s="13"/>
      <c r="V837" s="282"/>
      <c r="W837" s="283"/>
      <c r="X837" s="284"/>
      <c r="Y837" s="245"/>
      <c r="Z837" s="245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BP837" s="391"/>
      <c r="BQ837" s="393"/>
      <c r="BS837" s="50" t="str">
        <f>Q1656</f>
        <v/>
      </c>
      <c r="BT837" s="50" t="e">
        <f>#REF!</f>
        <v>#REF!</v>
      </c>
      <c r="BU837" s="39" t="str">
        <f t="shared" si="1236"/>
        <v/>
      </c>
      <c r="BV837" s="39" t="str">
        <f t="shared" si="1229"/>
        <v/>
      </c>
    </row>
    <row r="838" spans="1:74" ht="14.25" customHeight="1" x14ac:dyDescent="0.35">
      <c r="A838" s="293">
        <v>411</v>
      </c>
      <c r="B838" s="295"/>
      <c r="C838" s="297"/>
      <c r="D838" s="299"/>
      <c r="E838" s="301"/>
      <c r="F838" s="303"/>
      <c r="G838" s="288"/>
      <c r="H838" s="289"/>
      <c r="I838" s="290"/>
      <c r="J838" s="290"/>
      <c r="K838" s="291"/>
      <c r="L838" s="18"/>
      <c r="M838" s="285" t="str">
        <f t="shared" ref="M838" si="1306">IF(COUNT(L838:L839)&lt;1,"",AVERAGE(L838:L839))</f>
        <v/>
      </c>
      <c r="N838" s="22"/>
      <c r="O838" s="285" t="str">
        <f t="shared" ref="O838" si="1307">IF(COUNT(N838:N839)&lt;1,"",AVERAGE(N838:N839))</f>
        <v/>
      </c>
      <c r="P838" s="22"/>
      <c r="Q838" s="285" t="str">
        <f t="shared" ref="Q838" si="1308">IF(COUNT(P838:P839)&lt;1,"",AVERAGE(P838:P839))</f>
        <v/>
      </c>
      <c r="R838" s="278" t="str">
        <f>IF($X$13="/28",IF(COUNT(P838:P839)&lt;=1,"",ABS(P838-P839)),IF($X$13="/90",IF(COUNT(#REF!)&lt;=1,"",ABS(#REF!-#REF!))))</f>
        <v/>
      </c>
      <c r="S838" s="278" t="str">
        <f>IF($X$13="/28",IF(Q838="","",IF(AVERAGE(Q834:Q839)&gt;=$W$13,ROUND(AVERAGE(Q834:Q839),1)&amp;" ≥ "&amp;$W$13&amp;" OK",ROUND(AVERAGE(Q834:Q839),1)&amp;" &lt; "&amp;$W$13&amp;" NC")),IF($X$13="/90",IF(#REF!="","",IF(AVERAGE(#REF!)&gt;=$W$13,ROUND(AVERAGE(#REF!),1)&amp;" ≥ "&amp;$W$13&amp;" OK",ROUND(AVERAGE(#REF!),1)&amp;" &lt; "&amp;$W$13&amp;" NC"))))</f>
        <v/>
      </c>
      <c r="T838" s="278" t="str">
        <f>IF($X$13="/28",IF(Q838="","",IF(Q838&gt;=$W$13-$S$12,ROUND((Q838),1)&amp;" ≥ "&amp;$W$13-$S$12&amp;" OK",ROUND((Q838),1)&amp;" &lt; "&amp;$W$13-$S$12&amp;" NC")),IF($X$13="/90",IF(#REF!="","",IF(#REF!&gt;=$W$13-$S$12,ROUND((#REF!),1)&amp;" ≥ "&amp;$W$13-$S$12&amp;" OK",ROUND((#REF!),1)&amp;" &lt; "&amp;$W$13-$S$12&amp;" NC"))))</f>
        <v/>
      </c>
      <c r="U838" s="14"/>
      <c r="V838" s="279"/>
      <c r="W838" s="280"/>
      <c r="X838" s="281"/>
      <c r="Y838" s="246"/>
      <c r="Z838" s="246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BP838" s="390" t="str">
        <f>IF($X$13="/28",IF(Q838="","",Q838),IF($X$13="/90",IF(#REF!="","",#REF!),"Falso"))</f>
        <v/>
      </c>
      <c r="BQ838" s="392" t="str">
        <f t="shared" si="1290"/>
        <v/>
      </c>
      <c r="BS838" s="50" t="str">
        <f>Q1658</f>
        <v/>
      </c>
      <c r="BT838" s="50" t="e">
        <f>#REF!</f>
        <v>#REF!</v>
      </c>
      <c r="BU838" s="39" t="str">
        <f t="shared" si="1236"/>
        <v/>
      </c>
      <c r="BV838" s="39" t="str">
        <f t="shared" si="1229"/>
        <v/>
      </c>
    </row>
    <row r="839" spans="1:74" ht="14.25" customHeight="1" x14ac:dyDescent="0.35">
      <c r="A839" s="294"/>
      <c r="B839" s="296"/>
      <c r="C839" s="298"/>
      <c r="D839" s="300"/>
      <c r="E839" s="302"/>
      <c r="F839" s="304"/>
      <c r="G839" s="276"/>
      <c r="H839" s="277"/>
      <c r="I839" s="290"/>
      <c r="J839" s="290"/>
      <c r="K839" s="291"/>
      <c r="L839" s="17"/>
      <c r="M839" s="286"/>
      <c r="N839" s="21"/>
      <c r="O839" s="286"/>
      <c r="P839" s="21"/>
      <c r="Q839" s="286"/>
      <c r="R839" s="248"/>
      <c r="S839" s="287"/>
      <c r="T839" s="248"/>
      <c r="U839" s="13"/>
      <c r="V839" s="282"/>
      <c r="W839" s="283"/>
      <c r="X839" s="284"/>
      <c r="Y839" s="245"/>
      <c r="Z839" s="245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BP839" s="391"/>
      <c r="BQ839" s="393"/>
      <c r="BS839" s="50" t="str">
        <f>Q1660</f>
        <v/>
      </c>
      <c r="BT839" s="50" t="e">
        <f>#REF!</f>
        <v>#REF!</v>
      </c>
      <c r="BU839" s="39" t="str">
        <f t="shared" si="1236"/>
        <v/>
      </c>
      <c r="BV839" s="39" t="str">
        <f t="shared" si="1229"/>
        <v/>
      </c>
    </row>
    <row r="840" spans="1:74" ht="14.25" customHeight="1" x14ac:dyDescent="0.35">
      <c r="A840" s="293">
        <v>412</v>
      </c>
      <c r="B840" s="295"/>
      <c r="C840" s="297"/>
      <c r="D840" s="299"/>
      <c r="E840" s="301"/>
      <c r="F840" s="303"/>
      <c r="G840" s="288"/>
      <c r="H840" s="289"/>
      <c r="I840" s="290"/>
      <c r="J840" s="290"/>
      <c r="K840" s="291"/>
      <c r="L840" s="18"/>
      <c r="M840" s="285" t="str">
        <f t="shared" ref="M840" si="1309">IF(COUNT(L840:L841)&lt;1,"",AVERAGE(L840:L841))</f>
        <v/>
      </c>
      <c r="N840" s="22"/>
      <c r="O840" s="285" t="str">
        <f t="shared" ref="O840" si="1310">IF(COUNT(N840:N841)&lt;1,"",AVERAGE(N840:N841))</f>
        <v/>
      </c>
      <c r="P840" s="22"/>
      <c r="Q840" s="285" t="str">
        <f t="shared" ref="Q840" si="1311">IF(COUNT(P840:P841)&lt;1,"",AVERAGE(P840:P841))</f>
        <v/>
      </c>
      <c r="R840" s="278" t="str">
        <f>IF($X$13="/28",IF(COUNT(P840:P841)&lt;=1,"",ABS(P840-P841)),IF($X$13="/90",IF(COUNT(#REF!)&lt;=1,"",ABS(#REF!-#REF!))))</f>
        <v/>
      </c>
      <c r="S840" s="278" t="str">
        <f>IF($X$13="/28",IF(Q840="","",IF(AVERAGE(Q836:Q841)&gt;=$W$13,ROUND(AVERAGE(Q836:Q841),1)&amp;" ≥ "&amp;$W$13&amp;" OK",ROUND(AVERAGE(Q836:Q841),1)&amp;" &lt; "&amp;$W$13&amp;" NC")),IF($X$13="/90",IF(#REF!="","",IF(AVERAGE(#REF!)&gt;=$W$13,ROUND(AVERAGE(#REF!),1)&amp;" ≥ "&amp;$W$13&amp;" OK",ROUND(AVERAGE(#REF!),1)&amp;" &lt; "&amp;$W$13&amp;" NC"))))</f>
        <v/>
      </c>
      <c r="T840" s="278" t="str">
        <f>IF($X$13="/28",IF(Q840="","",IF(Q840&gt;=$W$13-$S$12,ROUND((Q840),1)&amp;" ≥ "&amp;$W$13-$S$12&amp;" OK",ROUND((Q840),1)&amp;" &lt; "&amp;$W$13-$S$12&amp;" NC")),IF($X$13="/90",IF(#REF!="","",IF(#REF!&gt;=$W$13-$S$12,ROUND((#REF!),1)&amp;" ≥ "&amp;$W$13-$S$12&amp;" OK",ROUND((#REF!),1)&amp;" &lt; "&amp;$W$13-$S$12&amp;" NC"))))</f>
        <v/>
      </c>
      <c r="U840" s="14"/>
      <c r="V840" s="279"/>
      <c r="W840" s="280"/>
      <c r="X840" s="281"/>
      <c r="Y840" s="246"/>
      <c r="Z840" s="246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BP840" s="390" t="str">
        <f>IF($X$13="/28",IF(Q840="","",Q840),IF($X$13="/90",IF(#REF!="","",#REF!),"Falso"))</f>
        <v/>
      </c>
      <c r="BQ840" s="392" t="str">
        <f t="shared" si="1282"/>
        <v/>
      </c>
      <c r="BS840" s="50" t="str">
        <f>Q1662</f>
        <v/>
      </c>
      <c r="BT840" s="50" t="e">
        <f>#REF!</f>
        <v>#REF!</v>
      </c>
      <c r="BU840" s="39" t="str">
        <f t="shared" si="1236"/>
        <v/>
      </c>
      <c r="BV840" s="39" t="str">
        <f t="shared" si="1229"/>
        <v/>
      </c>
    </row>
    <row r="841" spans="1:74" ht="14.25" customHeight="1" x14ac:dyDescent="0.35">
      <c r="A841" s="294"/>
      <c r="B841" s="296"/>
      <c r="C841" s="298"/>
      <c r="D841" s="300"/>
      <c r="E841" s="302"/>
      <c r="F841" s="304"/>
      <c r="G841" s="276"/>
      <c r="H841" s="277"/>
      <c r="I841" s="290"/>
      <c r="J841" s="290"/>
      <c r="K841" s="291"/>
      <c r="L841" s="17"/>
      <c r="M841" s="286"/>
      <c r="N841" s="21"/>
      <c r="O841" s="286"/>
      <c r="P841" s="21"/>
      <c r="Q841" s="286"/>
      <c r="R841" s="248"/>
      <c r="S841" s="287"/>
      <c r="T841" s="248"/>
      <c r="U841" s="13"/>
      <c r="V841" s="282"/>
      <c r="W841" s="283"/>
      <c r="X841" s="284"/>
      <c r="Y841" s="245"/>
      <c r="Z841" s="245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BP841" s="391"/>
      <c r="BQ841" s="393"/>
      <c r="BS841" s="50" t="str">
        <f>Q1664</f>
        <v/>
      </c>
      <c r="BT841" s="50" t="e">
        <f>#REF!</f>
        <v>#REF!</v>
      </c>
      <c r="BU841" s="39" t="str">
        <f t="shared" si="1236"/>
        <v/>
      </c>
      <c r="BV841" s="39" t="str">
        <f t="shared" si="1229"/>
        <v/>
      </c>
    </row>
    <row r="842" spans="1:74" ht="14.25" customHeight="1" x14ac:dyDescent="0.35">
      <c r="A842" s="293">
        <v>413</v>
      </c>
      <c r="B842" s="295"/>
      <c r="C842" s="297"/>
      <c r="D842" s="299"/>
      <c r="E842" s="301"/>
      <c r="F842" s="303"/>
      <c r="G842" s="288"/>
      <c r="H842" s="289"/>
      <c r="I842" s="290"/>
      <c r="J842" s="290"/>
      <c r="K842" s="291"/>
      <c r="L842" s="18"/>
      <c r="M842" s="285" t="str">
        <f t="shared" ref="M842" si="1312">IF(COUNT(L842:L843)&lt;1,"",AVERAGE(L842:L843))</f>
        <v/>
      </c>
      <c r="N842" s="22"/>
      <c r="O842" s="285" t="str">
        <f t="shared" ref="O842" si="1313">IF(COUNT(N842:N843)&lt;1,"",AVERAGE(N842:N843))</f>
        <v/>
      </c>
      <c r="P842" s="22"/>
      <c r="Q842" s="285" t="str">
        <f t="shared" ref="Q842" si="1314">IF(COUNT(P842:P843)&lt;1,"",AVERAGE(P842:P843))</f>
        <v/>
      </c>
      <c r="R842" s="278" t="str">
        <f>IF($X$13="/28",IF(COUNT(P842:P843)&lt;=1,"",ABS(P842-P843)),IF($X$13="/90",IF(COUNT(#REF!)&lt;=1,"",ABS(#REF!-#REF!))))</f>
        <v/>
      </c>
      <c r="S842" s="278" t="str">
        <f>IF($X$13="/28",IF(Q842="","",IF(AVERAGE(Q838:Q843)&gt;=$W$13,ROUND(AVERAGE(Q838:Q843),1)&amp;" ≥ "&amp;$W$13&amp;" OK",ROUND(AVERAGE(Q838:Q843),1)&amp;" &lt; "&amp;$W$13&amp;" NC")),IF($X$13="/90",IF(#REF!="","",IF(AVERAGE(#REF!)&gt;=$W$13,ROUND(AVERAGE(#REF!),1)&amp;" ≥ "&amp;$W$13&amp;" OK",ROUND(AVERAGE(#REF!),1)&amp;" &lt; "&amp;$W$13&amp;" NC"))))</f>
        <v/>
      </c>
      <c r="T842" s="278" t="str">
        <f>IF($X$13="/28",IF(Q842="","",IF(Q842&gt;=$W$13-$S$12,ROUND((Q842),1)&amp;" ≥ "&amp;$W$13-$S$12&amp;" OK",ROUND((Q842),1)&amp;" &lt; "&amp;$W$13-$S$12&amp;" NC")),IF($X$13="/90",IF(#REF!="","",IF(#REF!&gt;=$W$13-$S$12,ROUND((#REF!),1)&amp;" ≥ "&amp;$W$13-$S$12&amp;" OK",ROUND((#REF!),1)&amp;" &lt; "&amp;$W$13-$S$12&amp;" NC"))))</f>
        <v/>
      </c>
      <c r="U842" s="14"/>
      <c r="V842" s="279"/>
      <c r="W842" s="280"/>
      <c r="X842" s="281"/>
      <c r="Y842" s="246"/>
      <c r="Z842" s="246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BP842" s="390" t="str">
        <f>IF($X$13="/28",IF(Q842="","",Q842),IF($X$13="/90",IF(#REF!="","",#REF!),"Falso"))</f>
        <v/>
      </c>
      <c r="BQ842" s="392" t="str">
        <f t="shared" si="1286"/>
        <v/>
      </c>
      <c r="BS842" s="50" t="str">
        <f>Q1666</f>
        <v/>
      </c>
      <c r="BT842" s="50" t="e">
        <f>#REF!</f>
        <v>#REF!</v>
      </c>
      <c r="BU842" s="39" t="str">
        <f t="shared" si="1236"/>
        <v/>
      </c>
      <c r="BV842" s="39" t="str">
        <f t="shared" si="1229"/>
        <v/>
      </c>
    </row>
    <row r="843" spans="1:74" ht="14.25" customHeight="1" x14ac:dyDescent="0.35">
      <c r="A843" s="294"/>
      <c r="B843" s="296"/>
      <c r="C843" s="298"/>
      <c r="D843" s="300"/>
      <c r="E843" s="302"/>
      <c r="F843" s="304"/>
      <c r="G843" s="276"/>
      <c r="H843" s="277"/>
      <c r="I843" s="290"/>
      <c r="J843" s="290"/>
      <c r="K843" s="291"/>
      <c r="L843" s="17"/>
      <c r="M843" s="286"/>
      <c r="N843" s="21"/>
      <c r="O843" s="286"/>
      <c r="P843" s="21"/>
      <c r="Q843" s="286"/>
      <c r="R843" s="248"/>
      <c r="S843" s="287"/>
      <c r="T843" s="248"/>
      <c r="U843" s="13"/>
      <c r="V843" s="282"/>
      <c r="W843" s="283"/>
      <c r="X843" s="284"/>
      <c r="Y843" s="245"/>
      <c r="Z843" s="245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BP843" s="391"/>
      <c r="BQ843" s="393"/>
      <c r="BS843" s="50" t="str">
        <f>Q1668</f>
        <v/>
      </c>
      <c r="BT843" s="50" t="e">
        <f>#REF!</f>
        <v>#REF!</v>
      </c>
      <c r="BU843" s="39" t="str">
        <f t="shared" si="1236"/>
        <v/>
      </c>
      <c r="BV843" s="39" t="str">
        <f t="shared" si="1229"/>
        <v/>
      </c>
    </row>
    <row r="844" spans="1:74" ht="14.25" customHeight="1" x14ac:dyDescent="0.35">
      <c r="A844" s="293">
        <v>414</v>
      </c>
      <c r="B844" s="295"/>
      <c r="C844" s="297"/>
      <c r="D844" s="299"/>
      <c r="E844" s="301"/>
      <c r="F844" s="303"/>
      <c r="G844" s="288"/>
      <c r="H844" s="289"/>
      <c r="I844" s="290"/>
      <c r="J844" s="290"/>
      <c r="K844" s="291"/>
      <c r="L844" s="18"/>
      <c r="M844" s="285" t="str">
        <f t="shared" ref="M844" si="1315">IF(COUNT(L844:L845)&lt;1,"",AVERAGE(L844:L845))</f>
        <v/>
      </c>
      <c r="N844" s="22"/>
      <c r="O844" s="285" t="str">
        <f t="shared" ref="O844" si="1316">IF(COUNT(N844:N845)&lt;1,"",AVERAGE(N844:N845))</f>
        <v/>
      </c>
      <c r="P844" s="22"/>
      <c r="Q844" s="285" t="str">
        <f t="shared" ref="Q844" si="1317">IF(COUNT(P844:P845)&lt;1,"",AVERAGE(P844:P845))</f>
        <v/>
      </c>
      <c r="R844" s="278" t="str">
        <f>IF($X$13="/28",IF(COUNT(P844:P845)&lt;=1,"",ABS(P844-P845)),IF($X$13="/90",IF(COUNT(#REF!)&lt;=1,"",ABS(#REF!-#REF!))))</f>
        <v/>
      </c>
      <c r="S844" s="278" t="str">
        <f>IF($X$13="/28",IF(Q844="","",IF(AVERAGE(Q840:Q845)&gt;=$W$13,ROUND(AVERAGE(Q840:Q845),1)&amp;" ≥ "&amp;$W$13&amp;" OK",ROUND(AVERAGE(Q840:Q845),1)&amp;" &lt; "&amp;$W$13&amp;" NC")),IF($X$13="/90",IF(#REF!="","",IF(AVERAGE(#REF!)&gt;=$W$13,ROUND(AVERAGE(#REF!),1)&amp;" ≥ "&amp;$W$13&amp;" OK",ROUND(AVERAGE(#REF!),1)&amp;" &lt; "&amp;$W$13&amp;" NC"))))</f>
        <v/>
      </c>
      <c r="T844" s="278" t="str">
        <f>IF($X$13="/28",IF(Q844="","",IF(Q844&gt;=$W$13-$S$12,ROUND((Q844),1)&amp;" ≥ "&amp;$W$13-$S$12&amp;" OK",ROUND((Q844),1)&amp;" &lt; "&amp;$W$13-$S$12&amp;" NC")),IF($X$13="/90",IF(#REF!="","",IF(#REF!&gt;=$W$13-$S$12,ROUND((#REF!),1)&amp;" ≥ "&amp;$W$13-$S$12&amp;" OK",ROUND((#REF!),1)&amp;" &lt; "&amp;$W$13-$S$12&amp;" NC"))))</f>
        <v/>
      </c>
      <c r="U844" s="14"/>
      <c r="V844" s="279"/>
      <c r="W844" s="280"/>
      <c r="X844" s="281"/>
      <c r="Y844" s="246"/>
      <c r="Z844" s="246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BP844" s="390" t="str">
        <f>IF($X$13="/28",IF(Q844="","",Q844),IF($X$13="/90",IF(#REF!="","",#REF!),"Falso"))</f>
        <v/>
      </c>
      <c r="BQ844" s="392" t="str">
        <f t="shared" si="1290"/>
        <v/>
      </c>
      <c r="BS844" s="50" t="str">
        <f>Q1670</f>
        <v/>
      </c>
      <c r="BT844" s="50" t="e">
        <f>#REF!</f>
        <v>#REF!</v>
      </c>
      <c r="BU844" s="39" t="str">
        <f t="shared" si="1236"/>
        <v/>
      </c>
      <c r="BV844" s="39" t="str">
        <f t="shared" si="1229"/>
        <v/>
      </c>
    </row>
    <row r="845" spans="1:74" ht="14.25" customHeight="1" x14ac:dyDescent="0.35">
      <c r="A845" s="294"/>
      <c r="B845" s="296"/>
      <c r="C845" s="298"/>
      <c r="D845" s="300"/>
      <c r="E845" s="302"/>
      <c r="F845" s="304"/>
      <c r="G845" s="276"/>
      <c r="H845" s="277"/>
      <c r="I845" s="290"/>
      <c r="J845" s="290"/>
      <c r="K845" s="291"/>
      <c r="L845" s="17"/>
      <c r="M845" s="286"/>
      <c r="N845" s="21"/>
      <c r="O845" s="286"/>
      <c r="P845" s="21"/>
      <c r="Q845" s="286"/>
      <c r="R845" s="248"/>
      <c r="S845" s="287"/>
      <c r="T845" s="248"/>
      <c r="U845" s="13"/>
      <c r="V845" s="282"/>
      <c r="W845" s="283"/>
      <c r="X845" s="284"/>
      <c r="Y845" s="245"/>
      <c r="Z845" s="245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BP845" s="391"/>
      <c r="BQ845" s="393"/>
      <c r="BS845" s="50" t="str">
        <f>Q1672</f>
        <v/>
      </c>
      <c r="BT845" s="50" t="e">
        <f>#REF!</f>
        <v>#REF!</v>
      </c>
      <c r="BU845" s="39" t="str">
        <f t="shared" si="1236"/>
        <v/>
      </c>
      <c r="BV845" s="39" t="str">
        <f t="shared" si="1229"/>
        <v/>
      </c>
    </row>
    <row r="846" spans="1:74" ht="14.25" customHeight="1" x14ac:dyDescent="0.35">
      <c r="A846" s="293">
        <v>415</v>
      </c>
      <c r="B846" s="295"/>
      <c r="C846" s="297"/>
      <c r="D846" s="299"/>
      <c r="E846" s="301"/>
      <c r="F846" s="303"/>
      <c r="G846" s="288"/>
      <c r="H846" s="289"/>
      <c r="I846" s="290"/>
      <c r="J846" s="290"/>
      <c r="K846" s="291"/>
      <c r="L846" s="18"/>
      <c r="M846" s="285" t="str">
        <f t="shared" ref="M846" si="1318">IF(COUNT(L846:L847)&lt;1,"",AVERAGE(L846:L847))</f>
        <v/>
      </c>
      <c r="N846" s="22"/>
      <c r="O846" s="285" t="str">
        <f t="shared" ref="O846" si="1319">IF(COUNT(N846:N847)&lt;1,"",AVERAGE(N846:N847))</f>
        <v/>
      </c>
      <c r="P846" s="22"/>
      <c r="Q846" s="285" t="str">
        <f t="shared" ref="Q846" si="1320">IF(COUNT(P846:P847)&lt;1,"",AVERAGE(P846:P847))</f>
        <v/>
      </c>
      <c r="R846" s="278" t="str">
        <f>IF($X$13="/28",IF(COUNT(P846:P847)&lt;=1,"",ABS(P846-P847)),IF($X$13="/90",IF(COUNT(#REF!)&lt;=1,"",ABS(#REF!-#REF!))))</f>
        <v/>
      </c>
      <c r="S846" s="278" t="str">
        <f>IF($X$13="/28",IF(Q846="","",IF(AVERAGE(Q842:Q847)&gt;=$W$13,ROUND(AVERAGE(Q842:Q847),1)&amp;" ≥ "&amp;$W$13&amp;" OK",ROUND(AVERAGE(Q842:Q847),1)&amp;" &lt; "&amp;$W$13&amp;" NC")),IF($X$13="/90",IF(#REF!="","",IF(AVERAGE(#REF!)&gt;=$W$13,ROUND(AVERAGE(#REF!),1)&amp;" ≥ "&amp;$W$13&amp;" OK",ROUND(AVERAGE(#REF!),1)&amp;" &lt; "&amp;$W$13&amp;" NC"))))</f>
        <v/>
      </c>
      <c r="T846" s="278" t="str">
        <f>IF($X$13="/28",IF(Q846="","",IF(Q846&gt;=$W$13-$S$12,ROUND((Q846),1)&amp;" ≥ "&amp;$W$13-$S$12&amp;" OK",ROUND((Q846),1)&amp;" &lt; "&amp;$W$13-$S$12&amp;" NC")),IF($X$13="/90",IF(#REF!="","",IF(#REF!&gt;=$W$13-$S$12,ROUND((#REF!),1)&amp;" ≥ "&amp;$W$13-$S$12&amp;" OK",ROUND((#REF!),1)&amp;" &lt; "&amp;$W$13-$S$12&amp;" NC"))))</f>
        <v/>
      </c>
      <c r="U846" s="14"/>
      <c r="V846" s="279"/>
      <c r="W846" s="280"/>
      <c r="X846" s="281"/>
      <c r="Y846" s="246"/>
      <c r="Z846" s="246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BP846" s="390" t="str">
        <f>IF($X$13="/28",IF(Q846="","",Q846),IF($X$13="/90",IF(#REF!="","",#REF!),"Falso"))</f>
        <v/>
      </c>
      <c r="BQ846" s="392" t="str">
        <f t="shared" si="1282"/>
        <v/>
      </c>
      <c r="BS846" s="50" t="str">
        <f>Q1674</f>
        <v/>
      </c>
      <c r="BT846" s="50" t="e">
        <f>#REF!</f>
        <v>#REF!</v>
      </c>
      <c r="BU846" s="39" t="str">
        <f t="shared" si="1236"/>
        <v/>
      </c>
      <c r="BV846" s="39" t="str">
        <f t="shared" si="1229"/>
        <v/>
      </c>
    </row>
    <row r="847" spans="1:74" ht="14.25" customHeight="1" x14ac:dyDescent="0.35">
      <c r="A847" s="294"/>
      <c r="B847" s="296"/>
      <c r="C847" s="298"/>
      <c r="D847" s="300"/>
      <c r="E847" s="302"/>
      <c r="F847" s="304"/>
      <c r="G847" s="276"/>
      <c r="H847" s="277"/>
      <c r="I847" s="290"/>
      <c r="J847" s="290"/>
      <c r="K847" s="291"/>
      <c r="L847" s="17"/>
      <c r="M847" s="286"/>
      <c r="N847" s="21"/>
      <c r="O847" s="286"/>
      <c r="P847" s="21"/>
      <c r="Q847" s="286"/>
      <c r="R847" s="248"/>
      <c r="S847" s="287"/>
      <c r="T847" s="248"/>
      <c r="U847" s="13"/>
      <c r="V847" s="282"/>
      <c r="W847" s="283"/>
      <c r="X847" s="284"/>
      <c r="Y847" s="245"/>
      <c r="Z847" s="245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BP847" s="391"/>
      <c r="BQ847" s="393"/>
      <c r="BS847" s="50" t="str">
        <f>Q1676</f>
        <v/>
      </c>
      <c r="BT847" s="50" t="e">
        <f>#REF!</f>
        <v>#REF!</v>
      </c>
      <c r="BU847" s="39" t="str">
        <f t="shared" si="1236"/>
        <v/>
      </c>
      <c r="BV847" s="39" t="str">
        <f t="shared" si="1229"/>
        <v/>
      </c>
    </row>
    <row r="848" spans="1:74" ht="14.25" customHeight="1" x14ac:dyDescent="0.35">
      <c r="A848" s="293">
        <v>416</v>
      </c>
      <c r="B848" s="295"/>
      <c r="C848" s="297"/>
      <c r="D848" s="299"/>
      <c r="E848" s="301"/>
      <c r="F848" s="303"/>
      <c r="G848" s="288"/>
      <c r="H848" s="289"/>
      <c r="I848" s="290"/>
      <c r="J848" s="290"/>
      <c r="K848" s="291"/>
      <c r="L848" s="18"/>
      <c r="M848" s="285" t="str">
        <f t="shared" ref="M848" si="1321">IF(COUNT(L848:L849)&lt;1,"",AVERAGE(L848:L849))</f>
        <v/>
      </c>
      <c r="N848" s="22"/>
      <c r="O848" s="285" t="str">
        <f t="shared" ref="O848" si="1322">IF(COUNT(N848:N849)&lt;1,"",AVERAGE(N848:N849))</f>
        <v/>
      </c>
      <c r="P848" s="22"/>
      <c r="Q848" s="285" t="str">
        <f t="shared" ref="Q848" si="1323">IF(COUNT(P848:P849)&lt;1,"",AVERAGE(P848:P849))</f>
        <v/>
      </c>
      <c r="R848" s="278" t="str">
        <f>IF($X$13="/28",IF(COUNT(P848:P849)&lt;=1,"",ABS(P848-P849)),IF($X$13="/90",IF(COUNT(#REF!)&lt;=1,"",ABS(#REF!-#REF!))))</f>
        <v/>
      </c>
      <c r="S848" s="278" t="str">
        <f>IF($X$13="/28",IF(Q848="","",IF(AVERAGE(Q844:Q849)&gt;=$W$13,ROUND(AVERAGE(Q844:Q849),1)&amp;" ≥ "&amp;$W$13&amp;" OK",ROUND(AVERAGE(Q844:Q849),1)&amp;" &lt; "&amp;$W$13&amp;" NC")),IF($X$13="/90",IF(#REF!="","",IF(AVERAGE(#REF!)&gt;=$W$13,ROUND(AVERAGE(#REF!),1)&amp;" ≥ "&amp;$W$13&amp;" OK",ROUND(AVERAGE(#REF!),1)&amp;" &lt; "&amp;$W$13&amp;" NC"))))</f>
        <v/>
      </c>
      <c r="T848" s="278" t="str">
        <f>IF($X$13="/28",IF(Q848="","",IF(Q848&gt;=$W$13-$S$12,ROUND((Q848),1)&amp;" ≥ "&amp;$W$13-$S$12&amp;" OK",ROUND((Q848),1)&amp;" &lt; "&amp;$W$13-$S$12&amp;" NC")),IF($X$13="/90",IF(#REF!="","",IF(#REF!&gt;=$W$13-$S$12,ROUND((#REF!),1)&amp;" ≥ "&amp;$W$13-$S$12&amp;" OK",ROUND((#REF!),1)&amp;" &lt; "&amp;$W$13-$S$12&amp;" NC"))))</f>
        <v/>
      </c>
      <c r="U848" s="14"/>
      <c r="V848" s="279"/>
      <c r="W848" s="280"/>
      <c r="X848" s="281"/>
      <c r="Y848" s="246"/>
      <c r="Z848" s="246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BP848" s="390" t="str">
        <f>IF($X$13="/28",IF(Q848="","",Q848),IF($X$13="/90",IF(#REF!="","",#REF!),"Falso"))</f>
        <v/>
      </c>
      <c r="BQ848" s="392" t="str">
        <f t="shared" si="1286"/>
        <v/>
      </c>
      <c r="BS848" s="50" t="str">
        <f>Q1678</f>
        <v/>
      </c>
      <c r="BT848" s="50" t="e">
        <f>#REF!</f>
        <v>#REF!</v>
      </c>
      <c r="BU848" s="39" t="str">
        <f t="shared" si="1236"/>
        <v/>
      </c>
      <c r="BV848" s="39" t="str">
        <f t="shared" si="1229"/>
        <v/>
      </c>
    </row>
    <row r="849" spans="1:74" ht="14.25" customHeight="1" x14ac:dyDescent="0.35">
      <c r="A849" s="294"/>
      <c r="B849" s="296"/>
      <c r="C849" s="298"/>
      <c r="D849" s="300"/>
      <c r="E849" s="302"/>
      <c r="F849" s="304"/>
      <c r="G849" s="276"/>
      <c r="H849" s="277"/>
      <c r="I849" s="290"/>
      <c r="J849" s="290"/>
      <c r="K849" s="291"/>
      <c r="L849" s="17"/>
      <c r="M849" s="286"/>
      <c r="N849" s="21"/>
      <c r="O849" s="286"/>
      <c r="P849" s="21"/>
      <c r="Q849" s="286"/>
      <c r="R849" s="248"/>
      <c r="S849" s="287"/>
      <c r="T849" s="248"/>
      <c r="U849" s="13"/>
      <c r="V849" s="282"/>
      <c r="W849" s="283"/>
      <c r="X849" s="284"/>
      <c r="Y849" s="245"/>
      <c r="Z849" s="245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BP849" s="391"/>
      <c r="BQ849" s="393"/>
      <c r="BS849" s="50" t="str">
        <f>Q1680</f>
        <v/>
      </c>
      <c r="BT849" s="50" t="e">
        <f>#REF!</f>
        <v>#REF!</v>
      </c>
      <c r="BU849" s="39" t="str">
        <f t="shared" si="1236"/>
        <v/>
      </c>
      <c r="BV849" s="39" t="str">
        <f t="shared" si="1229"/>
        <v/>
      </c>
    </row>
    <row r="850" spans="1:74" ht="14.25" customHeight="1" x14ac:dyDescent="0.35">
      <c r="A850" s="293">
        <v>417</v>
      </c>
      <c r="B850" s="295"/>
      <c r="C850" s="297"/>
      <c r="D850" s="299"/>
      <c r="E850" s="301"/>
      <c r="F850" s="303"/>
      <c r="G850" s="288"/>
      <c r="H850" s="289"/>
      <c r="I850" s="290"/>
      <c r="J850" s="290"/>
      <c r="K850" s="291"/>
      <c r="L850" s="18"/>
      <c r="M850" s="285" t="str">
        <f t="shared" ref="M850" si="1324">IF(COUNT(L850:L851)&lt;1,"",AVERAGE(L850:L851))</f>
        <v/>
      </c>
      <c r="N850" s="22"/>
      <c r="O850" s="285" t="str">
        <f t="shared" ref="O850" si="1325">IF(COUNT(N850:N851)&lt;1,"",AVERAGE(N850:N851))</f>
        <v/>
      </c>
      <c r="P850" s="22"/>
      <c r="Q850" s="285" t="str">
        <f t="shared" ref="Q850" si="1326">IF(COUNT(P850:P851)&lt;1,"",AVERAGE(P850:P851))</f>
        <v/>
      </c>
      <c r="R850" s="278" t="str">
        <f>IF($X$13="/28",IF(COUNT(P850:P851)&lt;=1,"",ABS(P850-P851)),IF($X$13="/90",IF(COUNT(#REF!)&lt;=1,"",ABS(#REF!-#REF!))))</f>
        <v/>
      </c>
      <c r="S850" s="278" t="str">
        <f>IF($X$13="/28",IF(Q850="","",IF(AVERAGE(Q846:Q851)&gt;=$W$13,ROUND(AVERAGE(Q846:Q851),1)&amp;" ≥ "&amp;$W$13&amp;" OK",ROUND(AVERAGE(Q846:Q851),1)&amp;" &lt; "&amp;$W$13&amp;" NC")),IF($X$13="/90",IF(#REF!="","",IF(AVERAGE(#REF!)&gt;=$W$13,ROUND(AVERAGE(#REF!),1)&amp;" ≥ "&amp;$W$13&amp;" OK",ROUND(AVERAGE(#REF!),1)&amp;" &lt; "&amp;$W$13&amp;" NC"))))</f>
        <v/>
      </c>
      <c r="T850" s="278" t="str">
        <f>IF($X$13="/28",IF(Q850="","",IF(Q850&gt;=$W$13-$S$12,ROUND((Q850),1)&amp;" ≥ "&amp;$W$13-$S$12&amp;" OK",ROUND((Q850),1)&amp;" &lt; "&amp;$W$13-$S$12&amp;" NC")),IF($X$13="/90",IF(#REF!="","",IF(#REF!&gt;=$W$13-$S$12,ROUND((#REF!),1)&amp;" ≥ "&amp;$W$13-$S$12&amp;" OK",ROUND((#REF!),1)&amp;" &lt; "&amp;$W$13-$S$12&amp;" NC"))))</f>
        <v/>
      </c>
      <c r="U850" s="14"/>
      <c r="V850" s="279"/>
      <c r="W850" s="280"/>
      <c r="X850" s="281"/>
      <c r="Y850" s="246"/>
      <c r="Z850" s="246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BP850" s="390" t="str">
        <f>IF($X$13="/28",IF(Q850="","",Q850),IF($X$13="/90",IF(#REF!="","",#REF!),"Falso"))</f>
        <v/>
      </c>
      <c r="BQ850" s="392" t="str">
        <f t="shared" si="1290"/>
        <v/>
      </c>
      <c r="BS850" s="50" t="str">
        <f>Q1682</f>
        <v/>
      </c>
      <c r="BT850" s="50" t="e">
        <f>#REF!</f>
        <v>#REF!</v>
      </c>
      <c r="BU850" s="39" t="str">
        <f t="shared" si="1236"/>
        <v/>
      </c>
      <c r="BV850" s="39" t="str">
        <f t="shared" si="1229"/>
        <v/>
      </c>
    </row>
    <row r="851" spans="1:74" ht="14.25" customHeight="1" x14ac:dyDescent="0.35">
      <c r="A851" s="294"/>
      <c r="B851" s="296"/>
      <c r="C851" s="298"/>
      <c r="D851" s="300"/>
      <c r="E851" s="302"/>
      <c r="F851" s="304"/>
      <c r="G851" s="276"/>
      <c r="H851" s="277"/>
      <c r="I851" s="290"/>
      <c r="J851" s="290"/>
      <c r="K851" s="291"/>
      <c r="L851" s="17"/>
      <c r="M851" s="286"/>
      <c r="N851" s="21"/>
      <c r="O851" s="286"/>
      <c r="P851" s="21"/>
      <c r="Q851" s="286"/>
      <c r="R851" s="248"/>
      <c r="S851" s="287"/>
      <c r="T851" s="248"/>
      <c r="U851" s="13"/>
      <c r="V851" s="282"/>
      <c r="W851" s="283"/>
      <c r="X851" s="284"/>
      <c r="Y851" s="245"/>
      <c r="Z851" s="245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BP851" s="391"/>
      <c r="BQ851" s="393"/>
      <c r="BS851" s="50" t="str">
        <f>Q1684</f>
        <v/>
      </c>
      <c r="BT851" s="50" t="e">
        <f>#REF!</f>
        <v>#REF!</v>
      </c>
      <c r="BU851" s="39" t="str">
        <f t="shared" si="1236"/>
        <v/>
      </c>
      <c r="BV851" s="39" t="str">
        <f t="shared" si="1229"/>
        <v/>
      </c>
    </row>
    <row r="852" spans="1:74" ht="14.25" customHeight="1" x14ac:dyDescent="0.35">
      <c r="A852" s="293">
        <v>418</v>
      </c>
      <c r="B852" s="295"/>
      <c r="C852" s="297"/>
      <c r="D852" s="299"/>
      <c r="E852" s="301"/>
      <c r="F852" s="303"/>
      <c r="G852" s="288"/>
      <c r="H852" s="289"/>
      <c r="I852" s="290"/>
      <c r="J852" s="290"/>
      <c r="K852" s="291"/>
      <c r="L852" s="18"/>
      <c r="M852" s="285" t="str">
        <f t="shared" ref="M852" si="1327">IF(COUNT(L852:L853)&lt;1,"",AVERAGE(L852:L853))</f>
        <v/>
      </c>
      <c r="N852" s="22"/>
      <c r="O852" s="285" t="str">
        <f t="shared" ref="O852" si="1328">IF(COUNT(N852:N853)&lt;1,"",AVERAGE(N852:N853))</f>
        <v/>
      </c>
      <c r="P852" s="22"/>
      <c r="Q852" s="285" t="str">
        <f t="shared" ref="Q852" si="1329">IF(COUNT(P852:P853)&lt;1,"",AVERAGE(P852:P853))</f>
        <v/>
      </c>
      <c r="R852" s="278" t="str">
        <f>IF($X$13="/28",IF(COUNT(P852:P853)&lt;=1,"",ABS(P852-P853)),IF($X$13="/90",IF(COUNT(#REF!)&lt;=1,"",ABS(#REF!-#REF!))))</f>
        <v/>
      </c>
      <c r="S852" s="278" t="str">
        <f>IF($X$13="/28",IF(Q852="","",IF(AVERAGE(Q848:Q853)&gt;=$W$13,ROUND(AVERAGE(Q848:Q853),1)&amp;" ≥ "&amp;$W$13&amp;" OK",ROUND(AVERAGE(Q848:Q853),1)&amp;" &lt; "&amp;$W$13&amp;" NC")),IF($X$13="/90",IF(#REF!="","",IF(AVERAGE(#REF!)&gt;=$W$13,ROUND(AVERAGE(#REF!),1)&amp;" ≥ "&amp;$W$13&amp;" OK",ROUND(AVERAGE(#REF!),1)&amp;" &lt; "&amp;$W$13&amp;" NC"))))</f>
        <v/>
      </c>
      <c r="T852" s="278" t="str">
        <f>IF($X$13="/28",IF(Q852="","",IF(Q852&gt;=$W$13-$S$12,ROUND((Q852),1)&amp;" ≥ "&amp;$W$13-$S$12&amp;" OK",ROUND((Q852),1)&amp;" &lt; "&amp;$W$13-$S$12&amp;" NC")),IF($X$13="/90",IF(#REF!="","",IF(#REF!&gt;=$W$13-$S$12,ROUND((#REF!),1)&amp;" ≥ "&amp;$W$13-$S$12&amp;" OK",ROUND((#REF!),1)&amp;" &lt; "&amp;$W$13-$S$12&amp;" NC"))))</f>
        <v/>
      </c>
      <c r="U852" s="14"/>
      <c r="V852" s="279"/>
      <c r="W852" s="280"/>
      <c r="X852" s="281"/>
      <c r="Y852" s="246"/>
      <c r="Z852" s="246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BP852" s="390" t="str">
        <f>IF($X$13="/28",IF(Q852="","",Q852),IF($X$13="/90",IF(#REF!="","",#REF!),"Falso"))</f>
        <v/>
      </c>
      <c r="BQ852" s="392" t="str">
        <f t="shared" si="1282"/>
        <v/>
      </c>
      <c r="BS852" s="50" t="str">
        <f>Q1686</f>
        <v/>
      </c>
      <c r="BT852" s="50" t="e">
        <f>#REF!</f>
        <v>#REF!</v>
      </c>
      <c r="BU852" s="39" t="str">
        <f t="shared" si="1236"/>
        <v/>
      </c>
      <c r="BV852" s="39" t="str">
        <f t="shared" ref="BV852:BV915" si="1330">IF(BU852="","",BV851+1)</f>
        <v/>
      </c>
    </row>
    <row r="853" spans="1:74" ht="14.25" customHeight="1" x14ac:dyDescent="0.35">
      <c r="A853" s="294"/>
      <c r="B853" s="296"/>
      <c r="C853" s="298"/>
      <c r="D853" s="300"/>
      <c r="E853" s="302"/>
      <c r="F853" s="304"/>
      <c r="G853" s="276"/>
      <c r="H853" s="277"/>
      <c r="I853" s="290"/>
      <c r="J853" s="290"/>
      <c r="K853" s="291"/>
      <c r="L853" s="17"/>
      <c r="M853" s="286"/>
      <c r="N853" s="21"/>
      <c r="O853" s="286"/>
      <c r="P853" s="21"/>
      <c r="Q853" s="286"/>
      <c r="R853" s="248"/>
      <c r="S853" s="287"/>
      <c r="T853" s="248"/>
      <c r="U853" s="13"/>
      <c r="V853" s="282"/>
      <c r="W853" s="283"/>
      <c r="X853" s="284"/>
      <c r="Y853" s="245"/>
      <c r="Z853" s="245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BP853" s="391"/>
      <c r="BQ853" s="393"/>
      <c r="BS853" s="50" t="str">
        <f>Q1688</f>
        <v/>
      </c>
      <c r="BT853" s="50" t="e">
        <f>#REF!</f>
        <v>#REF!</v>
      </c>
      <c r="BU853" s="39" t="str">
        <f t="shared" si="1236"/>
        <v/>
      </c>
      <c r="BV853" s="39" t="str">
        <f t="shared" si="1330"/>
        <v/>
      </c>
    </row>
    <row r="854" spans="1:74" ht="14.25" customHeight="1" x14ac:dyDescent="0.35">
      <c r="A854" s="293">
        <v>419</v>
      </c>
      <c r="B854" s="295"/>
      <c r="C854" s="297"/>
      <c r="D854" s="299"/>
      <c r="E854" s="301"/>
      <c r="F854" s="303"/>
      <c r="G854" s="288"/>
      <c r="H854" s="289"/>
      <c r="I854" s="290"/>
      <c r="J854" s="290"/>
      <c r="K854" s="291"/>
      <c r="L854" s="18"/>
      <c r="M854" s="285" t="str">
        <f t="shared" ref="M854" si="1331">IF(COUNT(L854:L855)&lt;1,"",AVERAGE(L854:L855))</f>
        <v/>
      </c>
      <c r="N854" s="22"/>
      <c r="O854" s="285" t="str">
        <f t="shared" ref="O854" si="1332">IF(COUNT(N854:N855)&lt;1,"",AVERAGE(N854:N855))</f>
        <v/>
      </c>
      <c r="P854" s="22"/>
      <c r="Q854" s="285" t="str">
        <f t="shared" ref="Q854" si="1333">IF(COUNT(P854:P855)&lt;1,"",AVERAGE(P854:P855))</f>
        <v/>
      </c>
      <c r="R854" s="278" t="str">
        <f>IF($X$13="/28",IF(COUNT(P854:P855)&lt;=1,"",ABS(P854-P855)),IF($X$13="/90",IF(COUNT(#REF!)&lt;=1,"",ABS(#REF!-#REF!))))</f>
        <v/>
      </c>
      <c r="S854" s="278" t="str">
        <f>IF($X$13="/28",IF(Q854="","",IF(AVERAGE(Q850:Q855)&gt;=$W$13,ROUND(AVERAGE(Q850:Q855),1)&amp;" ≥ "&amp;$W$13&amp;" OK",ROUND(AVERAGE(Q850:Q855),1)&amp;" &lt; "&amp;$W$13&amp;" NC")),IF($X$13="/90",IF(#REF!="","",IF(AVERAGE(#REF!)&gt;=$W$13,ROUND(AVERAGE(#REF!),1)&amp;" ≥ "&amp;$W$13&amp;" OK",ROUND(AVERAGE(#REF!),1)&amp;" &lt; "&amp;$W$13&amp;" NC"))))</f>
        <v/>
      </c>
      <c r="T854" s="278" t="str">
        <f>IF($X$13="/28",IF(Q854="","",IF(Q854&gt;=$W$13-$S$12,ROUND((Q854),1)&amp;" ≥ "&amp;$W$13-$S$12&amp;" OK",ROUND((Q854),1)&amp;" &lt; "&amp;$W$13-$S$12&amp;" NC")),IF($X$13="/90",IF(#REF!="","",IF(#REF!&gt;=$W$13-$S$12,ROUND((#REF!),1)&amp;" ≥ "&amp;$W$13-$S$12&amp;" OK",ROUND((#REF!),1)&amp;" &lt; "&amp;$W$13-$S$12&amp;" NC"))))</f>
        <v/>
      </c>
      <c r="U854" s="14"/>
      <c r="V854" s="279"/>
      <c r="W854" s="280"/>
      <c r="X854" s="281"/>
      <c r="Y854" s="246"/>
      <c r="Z854" s="246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BP854" s="390" t="str">
        <f>IF($X$13="/28",IF(Q854="","",Q854),IF($X$13="/90",IF(#REF!="","",#REF!),"Falso"))</f>
        <v/>
      </c>
      <c r="BQ854" s="392" t="str">
        <f t="shared" si="1286"/>
        <v/>
      </c>
      <c r="BS854" s="50" t="str">
        <f>Q1690</f>
        <v/>
      </c>
      <c r="BT854" s="50" t="e">
        <f>#REF!</f>
        <v>#REF!</v>
      </c>
      <c r="BU854" s="39" t="str">
        <f t="shared" si="1236"/>
        <v/>
      </c>
      <c r="BV854" s="39" t="str">
        <f t="shared" si="1330"/>
        <v/>
      </c>
    </row>
    <row r="855" spans="1:74" ht="14.25" customHeight="1" x14ac:dyDescent="0.35">
      <c r="A855" s="294"/>
      <c r="B855" s="296"/>
      <c r="C855" s="298"/>
      <c r="D855" s="300"/>
      <c r="E855" s="302"/>
      <c r="F855" s="304"/>
      <c r="G855" s="276"/>
      <c r="H855" s="277"/>
      <c r="I855" s="290"/>
      <c r="J855" s="290"/>
      <c r="K855" s="291"/>
      <c r="L855" s="17"/>
      <c r="M855" s="286"/>
      <c r="N855" s="21"/>
      <c r="O855" s="286"/>
      <c r="P855" s="21"/>
      <c r="Q855" s="286"/>
      <c r="R855" s="248"/>
      <c r="S855" s="287"/>
      <c r="T855" s="248"/>
      <c r="U855" s="13"/>
      <c r="V855" s="282"/>
      <c r="W855" s="283"/>
      <c r="X855" s="284"/>
      <c r="Y855" s="245"/>
      <c r="Z855" s="245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BP855" s="391"/>
      <c r="BQ855" s="393"/>
      <c r="BS855" s="50" t="str">
        <f>Q1692</f>
        <v/>
      </c>
      <c r="BT855" s="50" t="e">
        <f>#REF!</f>
        <v>#REF!</v>
      </c>
      <c r="BU855" s="39" t="str">
        <f t="shared" si="1236"/>
        <v/>
      </c>
      <c r="BV855" s="39" t="str">
        <f t="shared" si="1330"/>
        <v/>
      </c>
    </row>
    <row r="856" spans="1:74" ht="14.25" customHeight="1" x14ac:dyDescent="0.35">
      <c r="A856" s="293">
        <v>420</v>
      </c>
      <c r="B856" s="295"/>
      <c r="C856" s="297"/>
      <c r="D856" s="299"/>
      <c r="E856" s="301"/>
      <c r="F856" s="303"/>
      <c r="G856" s="288"/>
      <c r="H856" s="289"/>
      <c r="I856" s="290"/>
      <c r="J856" s="290"/>
      <c r="K856" s="291"/>
      <c r="L856" s="18"/>
      <c r="M856" s="285" t="str">
        <f t="shared" ref="M856" si="1334">IF(COUNT(L856:L857)&lt;1,"",AVERAGE(L856:L857))</f>
        <v/>
      </c>
      <c r="N856" s="22"/>
      <c r="O856" s="285" t="str">
        <f t="shared" ref="O856" si="1335">IF(COUNT(N856:N857)&lt;1,"",AVERAGE(N856:N857))</f>
        <v/>
      </c>
      <c r="P856" s="22"/>
      <c r="Q856" s="285" t="str">
        <f t="shared" ref="Q856" si="1336">IF(COUNT(P856:P857)&lt;1,"",AVERAGE(P856:P857))</f>
        <v/>
      </c>
      <c r="R856" s="278" t="str">
        <f>IF($X$13="/28",IF(COUNT(P856:P857)&lt;=1,"",ABS(P856-P857)),IF($X$13="/90",IF(COUNT(#REF!)&lt;=1,"",ABS(#REF!-#REF!))))</f>
        <v/>
      </c>
      <c r="S856" s="278" t="str">
        <f>IF($X$13="/28",IF(Q856="","",IF(AVERAGE(Q852:Q857)&gt;=$W$13,ROUND(AVERAGE(Q852:Q857),1)&amp;" ≥ "&amp;$W$13&amp;" OK",ROUND(AVERAGE(Q852:Q857),1)&amp;" &lt; "&amp;$W$13&amp;" NC")),IF($X$13="/90",IF(#REF!="","",IF(AVERAGE(#REF!)&gt;=$W$13,ROUND(AVERAGE(#REF!),1)&amp;" ≥ "&amp;$W$13&amp;" OK",ROUND(AVERAGE(#REF!),1)&amp;" &lt; "&amp;$W$13&amp;" NC"))))</f>
        <v/>
      </c>
      <c r="T856" s="278" t="str">
        <f>IF($X$13="/28",IF(Q856="","",IF(Q856&gt;=$W$13-$S$12,ROUND((Q856),1)&amp;" ≥ "&amp;$W$13-$S$12&amp;" OK",ROUND((Q856),1)&amp;" &lt; "&amp;$W$13-$S$12&amp;" NC")),IF($X$13="/90",IF(#REF!="","",IF(#REF!&gt;=$W$13-$S$12,ROUND((#REF!),1)&amp;" ≥ "&amp;$W$13-$S$12&amp;" OK",ROUND((#REF!),1)&amp;" &lt; "&amp;$W$13-$S$12&amp;" NC"))))</f>
        <v/>
      </c>
      <c r="U856" s="14"/>
      <c r="V856" s="279"/>
      <c r="W856" s="280"/>
      <c r="X856" s="281"/>
      <c r="Y856" s="246"/>
      <c r="Z856" s="246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BP856" s="390" t="str">
        <f>IF($X$13="/28",IF(Q856="","",Q856),IF($X$13="/90",IF(#REF!="","",#REF!),"Falso"))</f>
        <v/>
      </c>
      <c r="BQ856" s="392" t="str">
        <f t="shared" si="1290"/>
        <v/>
      </c>
      <c r="BS856" s="50" t="str">
        <f>Q1694</f>
        <v/>
      </c>
      <c r="BT856" s="50" t="e">
        <f>#REF!</f>
        <v>#REF!</v>
      </c>
      <c r="BU856" s="39" t="str">
        <f t="shared" ref="BU856:BU919" si="1337">IF($X$13="/28",IF(BS856="","",BS856),IF($X$13="/90",IF(BT856="","",BT856),"Falso"))</f>
        <v/>
      </c>
      <c r="BV856" s="39" t="str">
        <f t="shared" si="1330"/>
        <v/>
      </c>
    </row>
    <row r="857" spans="1:74" ht="14.25" customHeight="1" thickBot="1" x14ac:dyDescent="0.4">
      <c r="A857" s="384"/>
      <c r="B857" s="385"/>
      <c r="C857" s="386"/>
      <c r="D857" s="387"/>
      <c r="E857" s="388"/>
      <c r="F857" s="389"/>
      <c r="G857" s="377"/>
      <c r="H857" s="378"/>
      <c r="I857" s="382"/>
      <c r="J857" s="382"/>
      <c r="K857" s="383"/>
      <c r="L857" s="19"/>
      <c r="M857" s="379"/>
      <c r="N857" s="23"/>
      <c r="O857" s="379"/>
      <c r="P857" s="23"/>
      <c r="Q857" s="379"/>
      <c r="R857" s="380"/>
      <c r="S857" s="381"/>
      <c r="T857" s="380"/>
      <c r="U857" s="15"/>
      <c r="V857" s="373"/>
      <c r="W857" s="374"/>
      <c r="X857" s="375"/>
      <c r="Y857" s="376"/>
      <c r="Z857" s="376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BP857" s="391"/>
      <c r="BQ857" s="393"/>
      <c r="BS857" s="50" t="str">
        <f>Q1696</f>
        <v/>
      </c>
      <c r="BT857" s="50" t="e">
        <f>#REF!</f>
        <v>#REF!</v>
      </c>
      <c r="BU857" s="39" t="str">
        <f t="shared" si="1337"/>
        <v/>
      </c>
      <c r="BV857" s="39" t="str">
        <f t="shared" si="1330"/>
        <v/>
      </c>
    </row>
    <row r="858" spans="1:74" ht="14.25" customHeight="1" x14ac:dyDescent="0.35">
      <c r="A858" s="311">
        <v>421</v>
      </c>
      <c r="B858" s="312"/>
      <c r="C858" s="313"/>
      <c r="D858" s="314"/>
      <c r="E858" s="315"/>
      <c r="F858" s="353"/>
      <c r="G858" s="354"/>
      <c r="H858" s="355"/>
      <c r="I858" s="356"/>
      <c r="J858" s="356"/>
      <c r="K858" s="357"/>
      <c r="L858" s="16"/>
      <c r="M858" s="352" t="str">
        <f t="shared" ref="M858" si="1338">IF(COUNT(L858:L859)&lt;1,"",AVERAGE(L858:L859))</f>
        <v/>
      </c>
      <c r="N858" s="20"/>
      <c r="O858" s="352" t="str">
        <f t="shared" ref="O858" si="1339">IF(COUNT(N858:N859)&lt;1,"",AVERAGE(N858:N859))</f>
        <v/>
      </c>
      <c r="P858" s="20"/>
      <c r="Q858" s="352" t="str">
        <f t="shared" ref="Q858" si="1340">IF(COUNT(P858:P859)&lt;1,"",AVERAGE(P858:P859))</f>
        <v/>
      </c>
      <c r="R858" s="247" t="str">
        <f>IF($X$13="/28",IF(COUNT(P858:P859)&lt;=1,"",ABS(P858-P859)),IF($X$13="/90",IF(COUNT(#REF!)&lt;=1,"",ABS(#REF!-#REF!))))</f>
        <v/>
      </c>
      <c r="S858" s="247" t="str">
        <f>IF($X$13="/28",IF(Q858="","",IF(AVERAGE(Q854:Q859)&gt;=$W$13,ROUND(AVERAGE(Q854:Q859),1)&amp;" ≥ "&amp;$W$13&amp;" OK",ROUND(AVERAGE(Q854:Q859),1)&amp;" &lt; "&amp;$W$13&amp;" NC")),IF($X$13="/90",IF(#REF!="","",IF(AVERAGE(#REF!)&gt;=$W$13,ROUND(AVERAGE(#REF!),1)&amp;" ≥ "&amp;$W$13&amp;" OK",ROUND(AVERAGE(#REF!),1)&amp;" &lt; "&amp;$W$13&amp;" NC"))))</f>
        <v/>
      </c>
      <c r="T858" s="247" t="str">
        <f>IF($X$13="/28",IF(Q858="","",IF(Q858&gt;=$W$13-$S$12,ROUND((Q858),1)&amp;" ≥ "&amp;$W$13-$S$12&amp;" OK",ROUND((Q858),1)&amp;" &lt; "&amp;$W$13-$S$12&amp;" NC")),IF($X$13="/90",IF(#REF!="","",IF(#REF!&gt;=$W$13-$S$12,ROUND((#REF!),1)&amp;" ≥ "&amp;$W$13-$S$12&amp;" OK",ROUND((#REF!),1)&amp;" &lt; "&amp;$W$13-$S$12&amp;" NC"))))</f>
        <v/>
      </c>
      <c r="U858" s="12"/>
      <c r="V858" s="349"/>
      <c r="W858" s="350"/>
      <c r="X858" s="351"/>
      <c r="Y858" s="244"/>
      <c r="Z858" s="244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BP858" s="390" t="str">
        <f>IF($X$13="/28",IF(Q858="","",Q858),IF($X$13="/90",IF(#REF!="","",#REF!),"Falso"))</f>
        <v/>
      </c>
      <c r="BQ858" s="392" t="str">
        <f t="shared" si="1282"/>
        <v/>
      </c>
      <c r="BS858" s="50" t="str">
        <f>Q1698</f>
        <v/>
      </c>
      <c r="BT858" s="50" t="e">
        <f>#REF!</f>
        <v>#REF!</v>
      </c>
      <c r="BU858" s="39" t="str">
        <f t="shared" si="1337"/>
        <v/>
      </c>
      <c r="BV858" s="39" t="str">
        <f t="shared" si="1330"/>
        <v/>
      </c>
    </row>
    <row r="859" spans="1:74" ht="14.25" customHeight="1" x14ac:dyDescent="0.35">
      <c r="A859" s="294"/>
      <c r="B859" s="296"/>
      <c r="C859" s="298"/>
      <c r="D859" s="300"/>
      <c r="E859" s="302"/>
      <c r="F859" s="304"/>
      <c r="G859" s="276"/>
      <c r="H859" s="277"/>
      <c r="I859" s="290"/>
      <c r="J859" s="290"/>
      <c r="K859" s="291"/>
      <c r="L859" s="17"/>
      <c r="M859" s="286"/>
      <c r="N859" s="21"/>
      <c r="O859" s="286"/>
      <c r="P859" s="21"/>
      <c r="Q859" s="286"/>
      <c r="R859" s="248"/>
      <c r="S859" s="248"/>
      <c r="T859" s="248"/>
      <c r="U859" s="13"/>
      <c r="V859" s="282"/>
      <c r="W859" s="283"/>
      <c r="X859" s="284"/>
      <c r="Y859" s="245"/>
      <c r="Z859" s="245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BP859" s="391"/>
      <c r="BQ859" s="393"/>
      <c r="BS859" s="50" t="str">
        <f>Q1700</f>
        <v/>
      </c>
      <c r="BT859" s="50" t="e">
        <f>#REF!</f>
        <v>#REF!</v>
      </c>
      <c r="BU859" s="39" t="str">
        <f t="shared" si="1337"/>
        <v/>
      </c>
      <c r="BV859" s="39" t="str">
        <f t="shared" si="1330"/>
        <v/>
      </c>
    </row>
    <row r="860" spans="1:74" ht="14.25" customHeight="1" x14ac:dyDescent="0.35">
      <c r="A860" s="293">
        <v>422</v>
      </c>
      <c r="B860" s="295"/>
      <c r="C860" s="297"/>
      <c r="D860" s="299"/>
      <c r="E860" s="301"/>
      <c r="F860" s="303"/>
      <c r="G860" s="288"/>
      <c r="H860" s="289"/>
      <c r="I860" s="290"/>
      <c r="J860" s="290"/>
      <c r="K860" s="291"/>
      <c r="L860" s="18"/>
      <c r="M860" s="285" t="str">
        <f t="shared" ref="M860" si="1341">IF(COUNT(L860:L861)&lt;1,"",AVERAGE(L860:L861))</f>
        <v/>
      </c>
      <c r="N860" s="22"/>
      <c r="O860" s="285" t="str">
        <f t="shared" ref="O860" si="1342">IF(COUNT(N860:N861)&lt;1,"",AVERAGE(N860:N861))</f>
        <v/>
      </c>
      <c r="P860" s="22"/>
      <c r="Q860" s="285" t="str">
        <f t="shared" ref="Q860" si="1343">IF(COUNT(P860:P861)&lt;1,"",AVERAGE(P860:P861))</f>
        <v/>
      </c>
      <c r="R860" s="278" t="str">
        <f>IF($X$13="/28",IF(COUNT(P860:P861)&lt;=1,"",ABS(P860-P861)),IF($X$13="/90",IF(COUNT(#REF!)&lt;=1,"",ABS(#REF!-#REF!))))</f>
        <v/>
      </c>
      <c r="S860" s="278" t="str">
        <f>IF($X$13="/28",IF(Q860="","",IF(AVERAGE(Q856:Q861)&gt;=$W$13,ROUND(AVERAGE(Q856:Q861),1)&amp;" ≥ "&amp;$W$13&amp;" OK",ROUND(AVERAGE(Q856:Q861),1)&amp;" &lt; "&amp;$W$13&amp;" NC")),IF($X$13="/90",IF(#REF!="","",IF(AVERAGE(#REF!)&gt;=$W$13,ROUND(AVERAGE(#REF!),1)&amp;" ≥ "&amp;$W$13&amp;" OK",ROUND(AVERAGE(#REF!),1)&amp;" &lt; "&amp;$W$13&amp;" NC"))))</f>
        <v/>
      </c>
      <c r="T860" s="278" t="str">
        <f>IF($X$13="/28",IF(Q860="","",IF(Q860&gt;=$W$13-$S$12,ROUND((Q860),1)&amp;" ≥ "&amp;$W$13-$S$12&amp;" OK",ROUND((Q860),1)&amp;" &lt; "&amp;$W$13-$S$12&amp;" NC")),IF($X$13="/90",IF(#REF!="","",IF(#REF!&gt;=$W$13-$S$12,ROUND((#REF!),1)&amp;" ≥ "&amp;$W$13-$S$12&amp;" OK",ROUND((#REF!),1)&amp;" &lt; "&amp;$W$13-$S$12&amp;" NC"))))</f>
        <v/>
      </c>
      <c r="U860" s="14"/>
      <c r="V860" s="279"/>
      <c r="W860" s="280"/>
      <c r="X860" s="281"/>
      <c r="Y860" s="246"/>
      <c r="Z860" s="246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BP860" s="390" t="str">
        <f>IF($X$13="/28",IF(Q860="","",Q860),IF($X$13="/90",IF(#REF!="","",#REF!),"Falso"))</f>
        <v/>
      </c>
      <c r="BQ860" s="392" t="str">
        <f t="shared" si="1286"/>
        <v/>
      </c>
      <c r="BS860" s="50" t="str">
        <f>Q1702</f>
        <v/>
      </c>
      <c r="BT860" s="50" t="e">
        <f>#REF!</f>
        <v>#REF!</v>
      </c>
      <c r="BU860" s="39" t="str">
        <f t="shared" si="1337"/>
        <v/>
      </c>
      <c r="BV860" s="39" t="str">
        <f t="shared" si="1330"/>
        <v/>
      </c>
    </row>
    <row r="861" spans="1:74" ht="14.25" customHeight="1" x14ac:dyDescent="0.35">
      <c r="A861" s="294"/>
      <c r="B861" s="296"/>
      <c r="C861" s="298"/>
      <c r="D861" s="300"/>
      <c r="E861" s="302"/>
      <c r="F861" s="304"/>
      <c r="G861" s="276"/>
      <c r="H861" s="277"/>
      <c r="I861" s="290"/>
      <c r="J861" s="290"/>
      <c r="K861" s="291"/>
      <c r="L861" s="17"/>
      <c r="M861" s="286"/>
      <c r="N861" s="21"/>
      <c r="O861" s="286"/>
      <c r="P861" s="21"/>
      <c r="Q861" s="286"/>
      <c r="R861" s="248"/>
      <c r="S861" s="248"/>
      <c r="T861" s="248"/>
      <c r="U861" s="13"/>
      <c r="V861" s="282"/>
      <c r="W861" s="283"/>
      <c r="X861" s="284"/>
      <c r="Y861" s="245"/>
      <c r="Z861" s="245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BP861" s="391"/>
      <c r="BQ861" s="393"/>
      <c r="BS861" s="50" t="str">
        <f>Q1704</f>
        <v/>
      </c>
      <c r="BT861" s="50" t="e">
        <f>#REF!</f>
        <v>#REF!</v>
      </c>
      <c r="BU861" s="39" t="str">
        <f t="shared" si="1337"/>
        <v/>
      </c>
      <c r="BV861" s="39" t="str">
        <f t="shared" si="1330"/>
        <v/>
      </c>
    </row>
    <row r="862" spans="1:74" ht="14.25" customHeight="1" x14ac:dyDescent="0.35">
      <c r="A862" s="293">
        <v>423</v>
      </c>
      <c r="B862" s="295"/>
      <c r="C862" s="297"/>
      <c r="D862" s="299"/>
      <c r="E862" s="301"/>
      <c r="F862" s="303"/>
      <c r="G862" s="288"/>
      <c r="H862" s="289"/>
      <c r="I862" s="290"/>
      <c r="J862" s="290"/>
      <c r="K862" s="291"/>
      <c r="L862" s="18"/>
      <c r="M862" s="285" t="str">
        <f t="shared" ref="M862" si="1344">IF(COUNT(L862:L863)&lt;1,"",AVERAGE(L862:L863))</f>
        <v/>
      </c>
      <c r="N862" s="22"/>
      <c r="O862" s="285" t="str">
        <f t="shared" ref="O862" si="1345">IF(COUNT(N862:N863)&lt;1,"",AVERAGE(N862:N863))</f>
        <v/>
      </c>
      <c r="P862" s="22"/>
      <c r="Q862" s="285" t="str">
        <f t="shared" ref="Q862" si="1346">IF(COUNT(P862:P863)&lt;1,"",AVERAGE(P862:P863))</f>
        <v/>
      </c>
      <c r="R862" s="278" t="str">
        <f>IF($X$13="/28",IF(COUNT(P862:P863)&lt;=1,"",ABS(P862-P863)),IF($X$13="/90",IF(COUNT(#REF!)&lt;=1,"",ABS(#REF!-#REF!))))</f>
        <v/>
      </c>
      <c r="S862" s="278" t="str">
        <f>IF($X$13="/28",IF(Q862="","",IF(AVERAGE(Q858:Q863)&gt;=$W$13,ROUND(AVERAGE(Q858:Q863),1)&amp;" ≥ "&amp;$W$13&amp;" OK",ROUND(AVERAGE(Q858:Q863),1)&amp;" &lt; "&amp;$W$13&amp;" NC")),IF($X$13="/90",IF(#REF!="","",IF(AVERAGE(#REF!)&gt;=$W$13,ROUND(AVERAGE(#REF!),1)&amp;" ≥ "&amp;$W$13&amp;" OK",ROUND(AVERAGE(#REF!),1)&amp;" &lt; "&amp;$W$13&amp;" NC"))))</f>
        <v/>
      </c>
      <c r="T862" s="278" t="str">
        <f>IF($X$13="/28",IF(Q862="","",IF(Q862&gt;=$W$13-$S$12,ROUND((Q862),1)&amp;" ≥ "&amp;$W$13-$S$12&amp;" OK",ROUND((Q862),1)&amp;" &lt; "&amp;$W$13-$S$12&amp;" NC")),IF($X$13="/90",IF(#REF!="","",IF(#REF!&gt;=$W$13-$S$12,ROUND((#REF!),1)&amp;" ≥ "&amp;$W$13-$S$12&amp;" OK",ROUND((#REF!),1)&amp;" &lt; "&amp;$W$13-$S$12&amp;" NC"))))</f>
        <v/>
      </c>
      <c r="U862" s="14"/>
      <c r="V862" s="279"/>
      <c r="W862" s="280"/>
      <c r="X862" s="281"/>
      <c r="Y862" s="246"/>
      <c r="Z862" s="246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BP862" s="390" t="str">
        <f>IF($X$13="/28",IF(Q862="","",Q862),IF($X$13="/90",IF(#REF!="","",#REF!),"Falso"))</f>
        <v/>
      </c>
      <c r="BQ862" s="392" t="str">
        <f t="shared" si="1290"/>
        <v/>
      </c>
      <c r="BS862" s="50" t="str">
        <f>Q1706</f>
        <v/>
      </c>
      <c r="BT862" s="50" t="e">
        <f>#REF!</f>
        <v>#REF!</v>
      </c>
      <c r="BU862" s="39" t="str">
        <f t="shared" si="1337"/>
        <v/>
      </c>
      <c r="BV862" s="39" t="str">
        <f t="shared" si="1330"/>
        <v/>
      </c>
    </row>
    <row r="863" spans="1:74" ht="14.25" customHeight="1" x14ac:dyDescent="0.35">
      <c r="A863" s="294"/>
      <c r="B863" s="296"/>
      <c r="C863" s="298"/>
      <c r="D863" s="300"/>
      <c r="E863" s="302"/>
      <c r="F863" s="304"/>
      <c r="G863" s="276"/>
      <c r="H863" s="277"/>
      <c r="I863" s="290"/>
      <c r="J863" s="290"/>
      <c r="K863" s="291"/>
      <c r="L863" s="17"/>
      <c r="M863" s="286"/>
      <c r="N863" s="21"/>
      <c r="O863" s="286"/>
      <c r="P863" s="21"/>
      <c r="Q863" s="286"/>
      <c r="R863" s="248"/>
      <c r="S863" s="287"/>
      <c r="T863" s="248"/>
      <c r="U863" s="13"/>
      <c r="V863" s="282"/>
      <c r="W863" s="283"/>
      <c r="X863" s="284"/>
      <c r="Y863" s="245"/>
      <c r="Z863" s="245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BP863" s="391"/>
      <c r="BQ863" s="393"/>
      <c r="BS863" s="50" t="str">
        <f>Q1708</f>
        <v/>
      </c>
      <c r="BT863" s="50" t="e">
        <f>#REF!</f>
        <v>#REF!</v>
      </c>
      <c r="BU863" s="39" t="str">
        <f t="shared" si="1337"/>
        <v/>
      </c>
      <c r="BV863" s="39" t="str">
        <f t="shared" si="1330"/>
        <v/>
      </c>
    </row>
    <row r="864" spans="1:74" ht="14.25" customHeight="1" x14ac:dyDescent="0.35">
      <c r="A864" s="293">
        <v>424</v>
      </c>
      <c r="B864" s="295"/>
      <c r="C864" s="297"/>
      <c r="D864" s="299"/>
      <c r="E864" s="301"/>
      <c r="F864" s="303"/>
      <c r="G864" s="288"/>
      <c r="H864" s="289"/>
      <c r="I864" s="290"/>
      <c r="J864" s="290"/>
      <c r="K864" s="291"/>
      <c r="L864" s="18"/>
      <c r="M864" s="285" t="str">
        <f t="shared" ref="M864" si="1347">IF(COUNT(L864:L865)&lt;1,"",AVERAGE(L864:L865))</f>
        <v/>
      </c>
      <c r="N864" s="22"/>
      <c r="O864" s="285" t="str">
        <f t="shared" ref="O864" si="1348">IF(COUNT(N864:N865)&lt;1,"",AVERAGE(N864:N865))</f>
        <v/>
      </c>
      <c r="P864" s="22"/>
      <c r="Q864" s="285" t="str">
        <f t="shared" ref="Q864" si="1349">IF(COUNT(P864:P865)&lt;1,"",AVERAGE(P864:P865))</f>
        <v/>
      </c>
      <c r="R864" s="278" t="str">
        <f>IF($X$13="/28",IF(COUNT(P864:P865)&lt;=1,"",ABS(P864-P865)),IF($X$13="/90",IF(COUNT(#REF!)&lt;=1,"",ABS(#REF!-#REF!))))</f>
        <v/>
      </c>
      <c r="S864" s="278" t="str">
        <f>IF($X$13="/28",IF(Q864="","",IF(AVERAGE(Q860:Q865)&gt;=$W$13,ROUND(AVERAGE(Q860:Q865),1)&amp;" ≥ "&amp;$W$13&amp;" OK",ROUND(AVERAGE(Q860:Q865),1)&amp;" &lt; "&amp;$W$13&amp;" NC")),IF($X$13="/90",IF(#REF!="","",IF(AVERAGE(#REF!)&gt;=$W$13,ROUND(AVERAGE(#REF!),1)&amp;" ≥ "&amp;$W$13&amp;" OK",ROUND(AVERAGE(#REF!),1)&amp;" &lt; "&amp;$W$13&amp;" NC"))))</f>
        <v/>
      </c>
      <c r="T864" s="278" t="str">
        <f>IF($X$13="/28",IF(Q864="","",IF(Q864&gt;=$W$13-$S$12,ROUND((Q864),1)&amp;" ≥ "&amp;$W$13-$S$12&amp;" OK",ROUND((Q864),1)&amp;" &lt; "&amp;$W$13-$S$12&amp;" NC")),IF($X$13="/90",IF(#REF!="","",IF(#REF!&gt;=$W$13-$S$12,ROUND((#REF!),1)&amp;" ≥ "&amp;$W$13-$S$12&amp;" OK",ROUND((#REF!),1)&amp;" &lt; "&amp;$W$13-$S$12&amp;" NC"))))</f>
        <v/>
      </c>
      <c r="U864" s="14"/>
      <c r="V864" s="279"/>
      <c r="W864" s="280"/>
      <c r="X864" s="281"/>
      <c r="Y864" s="246"/>
      <c r="Z864" s="246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BP864" s="390" t="str">
        <f>IF($X$13="/28",IF(Q864="","",Q864),IF($X$13="/90",IF(#REF!="","",#REF!),"Falso"))</f>
        <v/>
      </c>
      <c r="BQ864" s="392" t="str">
        <f t="shared" si="1282"/>
        <v/>
      </c>
      <c r="BS864" s="50" t="str">
        <f>Q1710</f>
        <v/>
      </c>
      <c r="BT864" s="50" t="e">
        <f>#REF!</f>
        <v>#REF!</v>
      </c>
      <c r="BU864" s="39" t="str">
        <f t="shared" si="1337"/>
        <v/>
      </c>
      <c r="BV864" s="39" t="str">
        <f t="shared" si="1330"/>
        <v/>
      </c>
    </row>
    <row r="865" spans="1:74" ht="14.25" customHeight="1" x14ac:dyDescent="0.35">
      <c r="A865" s="294"/>
      <c r="B865" s="296"/>
      <c r="C865" s="298"/>
      <c r="D865" s="300"/>
      <c r="E865" s="302"/>
      <c r="F865" s="304"/>
      <c r="G865" s="276"/>
      <c r="H865" s="277"/>
      <c r="I865" s="290"/>
      <c r="J865" s="290"/>
      <c r="K865" s="291"/>
      <c r="L865" s="17"/>
      <c r="M865" s="286"/>
      <c r="N865" s="21"/>
      <c r="O865" s="286"/>
      <c r="P865" s="21"/>
      <c r="Q865" s="286"/>
      <c r="R865" s="248"/>
      <c r="S865" s="287"/>
      <c r="T865" s="248"/>
      <c r="U865" s="13"/>
      <c r="V865" s="282"/>
      <c r="W865" s="283"/>
      <c r="X865" s="284"/>
      <c r="Y865" s="245"/>
      <c r="Z865" s="245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BP865" s="391"/>
      <c r="BQ865" s="393"/>
      <c r="BS865" s="50" t="str">
        <f>Q1712</f>
        <v/>
      </c>
      <c r="BT865" s="50" t="e">
        <f>#REF!</f>
        <v>#REF!</v>
      </c>
      <c r="BU865" s="39" t="str">
        <f t="shared" si="1337"/>
        <v/>
      </c>
      <c r="BV865" s="39" t="str">
        <f t="shared" si="1330"/>
        <v/>
      </c>
    </row>
    <row r="866" spans="1:74" ht="14.25" customHeight="1" x14ac:dyDescent="0.35">
      <c r="A866" s="293">
        <v>425</v>
      </c>
      <c r="B866" s="295"/>
      <c r="C866" s="297"/>
      <c r="D866" s="299"/>
      <c r="E866" s="301"/>
      <c r="F866" s="303"/>
      <c r="G866" s="288"/>
      <c r="H866" s="289"/>
      <c r="I866" s="290"/>
      <c r="J866" s="290"/>
      <c r="K866" s="291"/>
      <c r="L866" s="18"/>
      <c r="M866" s="285" t="str">
        <f t="shared" ref="M866" si="1350">IF(COUNT(L866:L867)&lt;1,"",AVERAGE(L866:L867))</f>
        <v/>
      </c>
      <c r="N866" s="22"/>
      <c r="O866" s="285" t="str">
        <f t="shared" ref="O866" si="1351">IF(COUNT(N866:N867)&lt;1,"",AVERAGE(N866:N867))</f>
        <v/>
      </c>
      <c r="P866" s="22"/>
      <c r="Q866" s="285" t="str">
        <f t="shared" ref="Q866" si="1352">IF(COUNT(P866:P867)&lt;1,"",AVERAGE(P866:P867))</f>
        <v/>
      </c>
      <c r="R866" s="278" t="str">
        <f>IF($X$13="/28",IF(COUNT(P866:P867)&lt;=1,"",ABS(P866-P867)),IF($X$13="/90",IF(COUNT(#REF!)&lt;=1,"",ABS(#REF!-#REF!))))</f>
        <v/>
      </c>
      <c r="S866" s="278" t="str">
        <f>IF($X$13="/28",IF(Q866="","",IF(AVERAGE(Q862:Q867)&gt;=$W$13,ROUND(AVERAGE(Q862:Q867),1)&amp;" ≥ "&amp;$W$13&amp;" OK",ROUND(AVERAGE(Q862:Q867),1)&amp;" &lt; "&amp;$W$13&amp;" NC")),IF($X$13="/90",IF(#REF!="","",IF(AVERAGE(#REF!)&gt;=$W$13,ROUND(AVERAGE(#REF!),1)&amp;" ≥ "&amp;$W$13&amp;" OK",ROUND(AVERAGE(#REF!),1)&amp;" &lt; "&amp;$W$13&amp;" NC"))))</f>
        <v/>
      </c>
      <c r="T866" s="278" t="str">
        <f>IF($X$13="/28",IF(Q866="","",IF(Q866&gt;=$W$13-$S$12,ROUND((Q866),1)&amp;" ≥ "&amp;$W$13-$S$12&amp;" OK",ROUND((Q866),1)&amp;" &lt; "&amp;$W$13-$S$12&amp;" NC")),IF($X$13="/90",IF(#REF!="","",IF(#REF!&gt;=$W$13-$S$12,ROUND((#REF!),1)&amp;" ≥ "&amp;$W$13-$S$12&amp;" OK",ROUND((#REF!),1)&amp;" &lt; "&amp;$W$13-$S$12&amp;" NC"))))</f>
        <v/>
      </c>
      <c r="U866" s="14"/>
      <c r="V866" s="279"/>
      <c r="W866" s="280"/>
      <c r="X866" s="281"/>
      <c r="Y866" s="246"/>
      <c r="Z866" s="246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BP866" s="390" t="str">
        <f>IF($X$13="/28",IF(Q866="","",Q866),IF($X$13="/90",IF(#REF!="","",#REF!),"Falso"))</f>
        <v/>
      </c>
      <c r="BQ866" s="392" t="str">
        <f t="shared" si="1286"/>
        <v/>
      </c>
      <c r="BS866" s="50" t="str">
        <f>Q1714</f>
        <v/>
      </c>
      <c r="BT866" s="50" t="e">
        <f>#REF!</f>
        <v>#REF!</v>
      </c>
      <c r="BU866" s="39" t="str">
        <f t="shared" si="1337"/>
        <v/>
      </c>
      <c r="BV866" s="39" t="str">
        <f t="shared" si="1330"/>
        <v/>
      </c>
    </row>
    <row r="867" spans="1:74" ht="14.25" customHeight="1" x14ac:dyDescent="0.35">
      <c r="A867" s="294"/>
      <c r="B867" s="296"/>
      <c r="C867" s="298"/>
      <c r="D867" s="300"/>
      <c r="E867" s="302"/>
      <c r="F867" s="304"/>
      <c r="G867" s="276"/>
      <c r="H867" s="277"/>
      <c r="I867" s="290"/>
      <c r="J867" s="290"/>
      <c r="K867" s="291"/>
      <c r="L867" s="17"/>
      <c r="M867" s="286"/>
      <c r="N867" s="21"/>
      <c r="O867" s="286"/>
      <c r="P867" s="21"/>
      <c r="Q867" s="286"/>
      <c r="R867" s="248"/>
      <c r="S867" s="287"/>
      <c r="T867" s="248"/>
      <c r="U867" s="13"/>
      <c r="V867" s="282"/>
      <c r="W867" s="283"/>
      <c r="X867" s="284"/>
      <c r="Y867" s="245"/>
      <c r="Z867" s="245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BP867" s="391"/>
      <c r="BQ867" s="393"/>
      <c r="BS867" s="50" t="str">
        <f>Q1716</f>
        <v/>
      </c>
      <c r="BT867" s="50" t="e">
        <f>#REF!</f>
        <v>#REF!</v>
      </c>
      <c r="BU867" s="39" t="str">
        <f t="shared" si="1337"/>
        <v/>
      </c>
      <c r="BV867" s="39" t="str">
        <f t="shared" si="1330"/>
        <v/>
      </c>
    </row>
    <row r="868" spans="1:74" ht="14.25" customHeight="1" x14ac:dyDescent="0.35">
      <c r="A868" s="293">
        <v>426</v>
      </c>
      <c r="B868" s="295"/>
      <c r="C868" s="297"/>
      <c r="D868" s="299"/>
      <c r="E868" s="301"/>
      <c r="F868" s="303"/>
      <c r="G868" s="288"/>
      <c r="H868" s="289"/>
      <c r="I868" s="290"/>
      <c r="J868" s="290"/>
      <c r="K868" s="291"/>
      <c r="L868" s="18"/>
      <c r="M868" s="285" t="str">
        <f t="shared" ref="M868" si="1353">IF(COUNT(L868:L869)&lt;1,"",AVERAGE(L868:L869))</f>
        <v/>
      </c>
      <c r="N868" s="22"/>
      <c r="O868" s="285" t="str">
        <f t="shared" ref="O868" si="1354">IF(COUNT(N868:N869)&lt;1,"",AVERAGE(N868:N869))</f>
        <v/>
      </c>
      <c r="P868" s="22"/>
      <c r="Q868" s="285" t="str">
        <f t="shared" ref="Q868" si="1355">IF(COUNT(P868:P869)&lt;1,"",AVERAGE(P868:P869))</f>
        <v/>
      </c>
      <c r="R868" s="278" t="str">
        <f>IF($X$13="/28",IF(COUNT(P868:P869)&lt;=1,"",ABS(P868-P869)),IF($X$13="/90",IF(COUNT(#REF!)&lt;=1,"",ABS(#REF!-#REF!))))</f>
        <v/>
      </c>
      <c r="S868" s="278" t="str">
        <f>IF($X$13="/28",IF(Q868="","",IF(AVERAGE(Q864:Q869)&gt;=$W$13,ROUND(AVERAGE(Q864:Q869),1)&amp;" ≥ "&amp;$W$13&amp;" OK",ROUND(AVERAGE(Q864:Q869),1)&amp;" &lt; "&amp;$W$13&amp;" NC")),IF($X$13="/90",IF(#REF!="","",IF(AVERAGE(#REF!)&gt;=$W$13,ROUND(AVERAGE(#REF!),1)&amp;" ≥ "&amp;$W$13&amp;" OK",ROUND(AVERAGE(#REF!),1)&amp;" &lt; "&amp;$W$13&amp;" NC"))))</f>
        <v/>
      </c>
      <c r="T868" s="278" t="str">
        <f>IF($X$13="/28",IF(Q868="","",IF(Q868&gt;=$W$13-$S$12,ROUND((Q868),1)&amp;" ≥ "&amp;$W$13-$S$12&amp;" OK",ROUND((Q868),1)&amp;" &lt; "&amp;$W$13-$S$12&amp;" NC")),IF($X$13="/90",IF(#REF!="","",IF(#REF!&gt;=$W$13-$S$12,ROUND((#REF!),1)&amp;" ≥ "&amp;$W$13-$S$12&amp;" OK",ROUND((#REF!),1)&amp;" &lt; "&amp;$W$13-$S$12&amp;" NC"))))</f>
        <v/>
      </c>
      <c r="U868" s="14"/>
      <c r="V868" s="279"/>
      <c r="W868" s="280"/>
      <c r="X868" s="281"/>
      <c r="Y868" s="246"/>
      <c r="Z868" s="246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BP868" s="390" t="str">
        <f>IF($X$13="/28",IF(Q868="","",Q868),IF($X$13="/90",IF(#REF!="","",#REF!),"Falso"))</f>
        <v/>
      </c>
      <c r="BQ868" s="392" t="str">
        <f t="shared" si="1290"/>
        <v/>
      </c>
      <c r="BS868" s="50" t="str">
        <f>Q1718</f>
        <v/>
      </c>
      <c r="BT868" s="50" t="e">
        <f>#REF!</f>
        <v>#REF!</v>
      </c>
      <c r="BU868" s="39" t="str">
        <f t="shared" si="1337"/>
        <v/>
      </c>
      <c r="BV868" s="39" t="str">
        <f t="shared" si="1330"/>
        <v/>
      </c>
    </row>
    <row r="869" spans="1:74" ht="14.25" customHeight="1" x14ac:dyDescent="0.35">
      <c r="A869" s="294"/>
      <c r="B869" s="296"/>
      <c r="C869" s="298"/>
      <c r="D869" s="300"/>
      <c r="E869" s="302"/>
      <c r="F869" s="304"/>
      <c r="G869" s="276"/>
      <c r="H869" s="277"/>
      <c r="I869" s="290"/>
      <c r="J869" s="290"/>
      <c r="K869" s="291"/>
      <c r="L869" s="17"/>
      <c r="M869" s="286"/>
      <c r="N869" s="21"/>
      <c r="O869" s="286"/>
      <c r="P869" s="21"/>
      <c r="Q869" s="286"/>
      <c r="R869" s="248"/>
      <c r="S869" s="287"/>
      <c r="T869" s="248"/>
      <c r="U869" s="13"/>
      <c r="V869" s="282"/>
      <c r="W869" s="283"/>
      <c r="X869" s="284"/>
      <c r="Y869" s="245"/>
      <c r="Z869" s="245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BP869" s="391"/>
      <c r="BQ869" s="393"/>
      <c r="BS869" s="50" t="str">
        <f>Q1720</f>
        <v/>
      </c>
      <c r="BT869" s="50" t="e">
        <f>#REF!</f>
        <v>#REF!</v>
      </c>
      <c r="BU869" s="39" t="str">
        <f t="shared" si="1337"/>
        <v/>
      </c>
      <c r="BV869" s="39" t="str">
        <f t="shared" si="1330"/>
        <v/>
      </c>
    </row>
    <row r="870" spans="1:74" ht="14.25" customHeight="1" x14ac:dyDescent="0.35">
      <c r="A870" s="293">
        <v>427</v>
      </c>
      <c r="B870" s="295"/>
      <c r="C870" s="297"/>
      <c r="D870" s="299"/>
      <c r="E870" s="301"/>
      <c r="F870" s="303"/>
      <c r="G870" s="288"/>
      <c r="H870" s="289"/>
      <c r="I870" s="290"/>
      <c r="J870" s="290"/>
      <c r="K870" s="291"/>
      <c r="L870" s="18"/>
      <c r="M870" s="285" t="str">
        <f t="shared" ref="M870" si="1356">IF(COUNT(L870:L871)&lt;1,"",AVERAGE(L870:L871))</f>
        <v/>
      </c>
      <c r="N870" s="22"/>
      <c r="O870" s="285" t="str">
        <f t="shared" ref="O870" si="1357">IF(COUNT(N870:N871)&lt;1,"",AVERAGE(N870:N871))</f>
        <v/>
      </c>
      <c r="P870" s="22"/>
      <c r="Q870" s="285" t="str">
        <f t="shared" ref="Q870" si="1358">IF(COUNT(P870:P871)&lt;1,"",AVERAGE(P870:P871))</f>
        <v/>
      </c>
      <c r="R870" s="278" t="str">
        <f>IF($X$13="/28",IF(COUNT(P870:P871)&lt;=1,"",ABS(P870-P871)),IF($X$13="/90",IF(COUNT(#REF!)&lt;=1,"",ABS(#REF!-#REF!))))</f>
        <v/>
      </c>
      <c r="S870" s="278" t="str">
        <f>IF($X$13="/28",IF(Q870="","",IF(AVERAGE(Q866:Q871)&gt;=$W$13,ROUND(AVERAGE(Q866:Q871),1)&amp;" ≥ "&amp;$W$13&amp;" OK",ROUND(AVERAGE(Q866:Q871),1)&amp;" &lt; "&amp;$W$13&amp;" NC")),IF($X$13="/90",IF(#REF!="","",IF(AVERAGE(#REF!)&gt;=$W$13,ROUND(AVERAGE(#REF!),1)&amp;" ≥ "&amp;$W$13&amp;" OK",ROUND(AVERAGE(#REF!),1)&amp;" &lt; "&amp;$W$13&amp;" NC"))))</f>
        <v/>
      </c>
      <c r="T870" s="278" t="str">
        <f>IF($X$13="/28",IF(Q870="","",IF(Q870&gt;=$W$13-$S$12,ROUND((Q870),1)&amp;" ≥ "&amp;$W$13-$S$12&amp;" OK",ROUND((Q870),1)&amp;" &lt; "&amp;$W$13-$S$12&amp;" NC")),IF($X$13="/90",IF(#REF!="","",IF(#REF!&gt;=$W$13-$S$12,ROUND((#REF!),1)&amp;" ≥ "&amp;$W$13-$S$12&amp;" OK",ROUND((#REF!),1)&amp;" &lt; "&amp;$W$13-$S$12&amp;" NC"))))</f>
        <v/>
      </c>
      <c r="U870" s="14"/>
      <c r="V870" s="279"/>
      <c r="W870" s="280"/>
      <c r="X870" s="281"/>
      <c r="Y870" s="246"/>
      <c r="Z870" s="246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BP870" s="390" t="str">
        <f>IF($X$13="/28",IF(Q870="","",Q870),IF($X$13="/90",IF(#REF!="","",#REF!),"Falso"))</f>
        <v/>
      </c>
      <c r="BQ870" s="392" t="str">
        <f t="shared" si="1282"/>
        <v/>
      </c>
      <c r="BS870" s="50" t="str">
        <f>Q1722</f>
        <v/>
      </c>
      <c r="BT870" s="50" t="e">
        <f>#REF!</f>
        <v>#REF!</v>
      </c>
      <c r="BU870" s="39" t="str">
        <f t="shared" si="1337"/>
        <v/>
      </c>
      <c r="BV870" s="39" t="str">
        <f t="shared" si="1330"/>
        <v/>
      </c>
    </row>
    <row r="871" spans="1:74" ht="14.25" customHeight="1" x14ac:dyDescent="0.35">
      <c r="A871" s="294"/>
      <c r="B871" s="296"/>
      <c r="C871" s="298"/>
      <c r="D871" s="300"/>
      <c r="E871" s="302"/>
      <c r="F871" s="304"/>
      <c r="G871" s="276"/>
      <c r="H871" s="277"/>
      <c r="I871" s="290"/>
      <c r="J871" s="290"/>
      <c r="K871" s="291"/>
      <c r="L871" s="17"/>
      <c r="M871" s="286"/>
      <c r="N871" s="21"/>
      <c r="O871" s="286"/>
      <c r="P871" s="21"/>
      <c r="Q871" s="286"/>
      <c r="R871" s="248"/>
      <c r="S871" s="287"/>
      <c r="T871" s="248"/>
      <c r="U871" s="13"/>
      <c r="V871" s="282"/>
      <c r="W871" s="283"/>
      <c r="X871" s="284"/>
      <c r="Y871" s="245"/>
      <c r="Z871" s="245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BP871" s="391"/>
      <c r="BQ871" s="393"/>
      <c r="BS871" s="50" t="str">
        <f>Q1724</f>
        <v/>
      </c>
      <c r="BT871" s="50" t="e">
        <f>#REF!</f>
        <v>#REF!</v>
      </c>
      <c r="BU871" s="39" t="str">
        <f t="shared" si="1337"/>
        <v/>
      </c>
      <c r="BV871" s="39" t="str">
        <f t="shared" si="1330"/>
        <v/>
      </c>
    </row>
    <row r="872" spans="1:74" ht="14.25" customHeight="1" x14ac:dyDescent="0.35">
      <c r="A872" s="293">
        <v>428</v>
      </c>
      <c r="B872" s="295"/>
      <c r="C872" s="297"/>
      <c r="D872" s="299"/>
      <c r="E872" s="301"/>
      <c r="F872" s="303"/>
      <c r="G872" s="288"/>
      <c r="H872" s="289"/>
      <c r="I872" s="290"/>
      <c r="J872" s="290"/>
      <c r="K872" s="291"/>
      <c r="L872" s="18"/>
      <c r="M872" s="285" t="str">
        <f t="shared" ref="M872" si="1359">IF(COUNT(L872:L873)&lt;1,"",AVERAGE(L872:L873))</f>
        <v/>
      </c>
      <c r="N872" s="22"/>
      <c r="O872" s="285" t="str">
        <f t="shared" ref="O872" si="1360">IF(COUNT(N872:N873)&lt;1,"",AVERAGE(N872:N873))</f>
        <v/>
      </c>
      <c r="P872" s="22"/>
      <c r="Q872" s="285" t="str">
        <f t="shared" ref="Q872" si="1361">IF(COUNT(P872:P873)&lt;1,"",AVERAGE(P872:P873))</f>
        <v/>
      </c>
      <c r="R872" s="278" t="str">
        <f>IF($X$13="/28",IF(COUNT(P872:P873)&lt;=1,"",ABS(P872-P873)),IF($X$13="/90",IF(COUNT(#REF!)&lt;=1,"",ABS(#REF!-#REF!))))</f>
        <v/>
      </c>
      <c r="S872" s="278" t="str">
        <f>IF($X$13="/28",IF(Q872="","",IF(AVERAGE(Q868:Q873)&gt;=$W$13,ROUND(AVERAGE(Q868:Q873),1)&amp;" ≥ "&amp;$W$13&amp;" OK",ROUND(AVERAGE(Q868:Q873),1)&amp;" &lt; "&amp;$W$13&amp;" NC")),IF($X$13="/90",IF(#REF!="","",IF(AVERAGE(#REF!)&gt;=$W$13,ROUND(AVERAGE(#REF!),1)&amp;" ≥ "&amp;$W$13&amp;" OK",ROUND(AVERAGE(#REF!),1)&amp;" &lt; "&amp;$W$13&amp;" NC"))))</f>
        <v/>
      </c>
      <c r="T872" s="278" t="str">
        <f>IF($X$13="/28",IF(Q872="","",IF(Q872&gt;=$W$13-$S$12,ROUND((Q872),1)&amp;" ≥ "&amp;$W$13-$S$12&amp;" OK",ROUND((Q872),1)&amp;" &lt; "&amp;$W$13-$S$12&amp;" NC")),IF($X$13="/90",IF(#REF!="","",IF(#REF!&gt;=$W$13-$S$12,ROUND((#REF!),1)&amp;" ≥ "&amp;$W$13-$S$12&amp;" OK",ROUND((#REF!),1)&amp;" &lt; "&amp;$W$13-$S$12&amp;" NC"))))</f>
        <v/>
      </c>
      <c r="U872" s="14"/>
      <c r="V872" s="279"/>
      <c r="W872" s="280"/>
      <c r="X872" s="281"/>
      <c r="Y872" s="246"/>
      <c r="Z872" s="246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BP872" s="390" t="str">
        <f>IF($X$13="/28",IF(Q872="","",Q872),IF($X$13="/90",IF(#REF!="","",#REF!),"Falso"))</f>
        <v/>
      </c>
      <c r="BQ872" s="392" t="str">
        <f t="shared" si="1286"/>
        <v/>
      </c>
      <c r="BS872" s="50" t="str">
        <f>Q1726</f>
        <v/>
      </c>
      <c r="BT872" s="50" t="e">
        <f>#REF!</f>
        <v>#REF!</v>
      </c>
      <c r="BU872" s="39" t="str">
        <f t="shared" si="1337"/>
        <v/>
      </c>
      <c r="BV872" s="39" t="str">
        <f t="shared" si="1330"/>
        <v/>
      </c>
    </row>
    <row r="873" spans="1:74" ht="14.25" customHeight="1" x14ac:dyDescent="0.35">
      <c r="A873" s="294"/>
      <c r="B873" s="296"/>
      <c r="C873" s="298"/>
      <c r="D873" s="300"/>
      <c r="E873" s="302"/>
      <c r="F873" s="304"/>
      <c r="G873" s="276"/>
      <c r="H873" s="277"/>
      <c r="I873" s="290"/>
      <c r="J873" s="290"/>
      <c r="K873" s="291"/>
      <c r="L873" s="17"/>
      <c r="M873" s="286"/>
      <c r="N873" s="21"/>
      <c r="O873" s="286"/>
      <c r="P873" s="21"/>
      <c r="Q873" s="286"/>
      <c r="R873" s="248"/>
      <c r="S873" s="287"/>
      <c r="T873" s="248"/>
      <c r="U873" s="13"/>
      <c r="V873" s="282"/>
      <c r="W873" s="283"/>
      <c r="X873" s="284"/>
      <c r="Y873" s="245"/>
      <c r="Z873" s="245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BP873" s="391"/>
      <c r="BQ873" s="393"/>
      <c r="BS873" s="50" t="str">
        <f>Q1728</f>
        <v/>
      </c>
      <c r="BT873" s="50" t="e">
        <f>#REF!</f>
        <v>#REF!</v>
      </c>
      <c r="BU873" s="39" t="str">
        <f t="shared" si="1337"/>
        <v/>
      </c>
      <c r="BV873" s="39" t="str">
        <f t="shared" si="1330"/>
        <v/>
      </c>
    </row>
    <row r="874" spans="1:74" ht="14.25" customHeight="1" x14ac:dyDescent="0.35">
      <c r="A874" s="293">
        <v>429</v>
      </c>
      <c r="B874" s="295"/>
      <c r="C874" s="297"/>
      <c r="D874" s="299"/>
      <c r="E874" s="301"/>
      <c r="F874" s="303"/>
      <c r="G874" s="288"/>
      <c r="H874" s="289"/>
      <c r="I874" s="290"/>
      <c r="J874" s="290"/>
      <c r="K874" s="291"/>
      <c r="L874" s="18"/>
      <c r="M874" s="285" t="str">
        <f t="shared" ref="M874" si="1362">IF(COUNT(L874:L875)&lt;1,"",AVERAGE(L874:L875))</f>
        <v/>
      </c>
      <c r="N874" s="22"/>
      <c r="O874" s="285" t="str">
        <f t="shared" ref="O874" si="1363">IF(COUNT(N874:N875)&lt;1,"",AVERAGE(N874:N875))</f>
        <v/>
      </c>
      <c r="P874" s="22"/>
      <c r="Q874" s="285" t="str">
        <f t="shared" ref="Q874" si="1364">IF(COUNT(P874:P875)&lt;1,"",AVERAGE(P874:P875))</f>
        <v/>
      </c>
      <c r="R874" s="278" t="str">
        <f>IF($X$13="/28",IF(COUNT(P874:P875)&lt;=1,"",ABS(P874-P875)),IF($X$13="/90",IF(COUNT(#REF!)&lt;=1,"",ABS(#REF!-#REF!))))</f>
        <v/>
      </c>
      <c r="S874" s="278" t="str">
        <f>IF($X$13="/28",IF(Q874="","",IF(AVERAGE(Q870:Q875)&gt;=$W$13,ROUND(AVERAGE(Q870:Q875),1)&amp;" ≥ "&amp;$W$13&amp;" OK",ROUND(AVERAGE(Q870:Q875),1)&amp;" &lt; "&amp;$W$13&amp;" NC")),IF($X$13="/90",IF(#REF!="","",IF(AVERAGE(#REF!)&gt;=$W$13,ROUND(AVERAGE(#REF!),1)&amp;" ≥ "&amp;$W$13&amp;" OK",ROUND(AVERAGE(#REF!),1)&amp;" &lt; "&amp;$W$13&amp;" NC"))))</f>
        <v/>
      </c>
      <c r="T874" s="278" t="str">
        <f>IF($X$13="/28",IF(Q874="","",IF(Q874&gt;=$W$13-$S$12,ROUND((Q874),1)&amp;" ≥ "&amp;$W$13-$S$12&amp;" OK",ROUND((Q874),1)&amp;" &lt; "&amp;$W$13-$S$12&amp;" NC")),IF($X$13="/90",IF(#REF!="","",IF(#REF!&gt;=$W$13-$S$12,ROUND((#REF!),1)&amp;" ≥ "&amp;$W$13-$S$12&amp;" OK",ROUND((#REF!),1)&amp;" &lt; "&amp;$W$13-$S$12&amp;" NC"))))</f>
        <v/>
      </c>
      <c r="U874" s="14"/>
      <c r="V874" s="279"/>
      <c r="W874" s="280"/>
      <c r="X874" s="281"/>
      <c r="Y874" s="246"/>
      <c r="Z874" s="246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BP874" s="390" t="str">
        <f>IF($X$13="/28",IF(Q874="","",Q874),IF($X$13="/90",IF(#REF!="","",#REF!),"Falso"))</f>
        <v/>
      </c>
      <c r="BQ874" s="392" t="str">
        <f t="shared" si="1290"/>
        <v/>
      </c>
      <c r="BS874" s="50" t="str">
        <f>Q1730</f>
        <v/>
      </c>
      <c r="BT874" s="50" t="e">
        <f>#REF!</f>
        <v>#REF!</v>
      </c>
      <c r="BU874" s="39" t="str">
        <f t="shared" si="1337"/>
        <v/>
      </c>
      <c r="BV874" s="39" t="str">
        <f t="shared" si="1330"/>
        <v/>
      </c>
    </row>
    <row r="875" spans="1:74" ht="14.25" customHeight="1" x14ac:dyDescent="0.35">
      <c r="A875" s="294"/>
      <c r="B875" s="296"/>
      <c r="C875" s="298"/>
      <c r="D875" s="300"/>
      <c r="E875" s="302"/>
      <c r="F875" s="304"/>
      <c r="G875" s="276"/>
      <c r="H875" s="277"/>
      <c r="I875" s="290"/>
      <c r="J875" s="290"/>
      <c r="K875" s="291"/>
      <c r="L875" s="17"/>
      <c r="M875" s="286"/>
      <c r="N875" s="21"/>
      <c r="O875" s="286"/>
      <c r="P875" s="21"/>
      <c r="Q875" s="286"/>
      <c r="R875" s="248"/>
      <c r="S875" s="287"/>
      <c r="T875" s="248"/>
      <c r="U875" s="13"/>
      <c r="V875" s="282"/>
      <c r="W875" s="283"/>
      <c r="X875" s="284"/>
      <c r="Y875" s="245"/>
      <c r="Z875" s="245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BP875" s="391"/>
      <c r="BQ875" s="393"/>
      <c r="BS875" s="50" t="str">
        <f>Q1732</f>
        <v/>
      </c>
      <c r="BT875" s="50" t="e">
        <f>#REF!</f>
        <v>#REF!</v>
      </c>
      <c r="BU875" s="39" t="str">
        <f t="shared" si="1337"/>
        <v/>
      </c>
      <c r="BV875" s="39" t="str">
        <f t="shared" si="1330"/>
        <v/>
      </c>
    </row>
    <row r="876" spans="1:74" ht="14.25" customHeight="1" x14ac:dyDescent="0.35">
      <c r="A876" s="293">
        <v>430</v>
      </c>
      <c r="B876" s="295"/>
      <c r="C876" s="297"/>
      <c r="D876" s="299"/>
      <c r="E876" s="301"/>
      <c r="F876" s="303"/>
      <c r="G876" s="288"/>
      <c r="H876" s="289"/>
      <c r="I876" s="290"/>
      <c r="J876" s="290"/>
      <c r="K876" s="291"/>
      <c r="L876" s="18"/>
      <c r="M876" s="285" t="str">
        <f t="shared" ref="M876" si="1365">IF(COUNT(L876:L877)&lt;1,"",AVERAGE(L876:L877))</f>
        <v/>
      </c>
      <c r="N876" s="22"/>
      <c r="O876" s="285" t="str">
        <f t="shared" ref="O876" si="1366">IF(COUNT(N876:N877)&lt;1,"",AVERAGE(N876:N877))</f>
        <v/>
      </c>
      <c r="P876" s="22"/>
      <c r="Q876" s="285" t="str">
        <f t="shared" ref="Q876" si="1367">IF(COUNT(P876:P877)&lt;1,"",AVERAGE(P876:P877))</f>
        <v/>
      </c>
      <c r="R876" s="278" t="str">
        <f>IF($X$13="/28",IF(COUNT(P876:P877)&lt;=1,"",ABS(P876-P877)),IF($X$13="/90",IF(COUNT(#REF!)&lt;=1,"",ABS(#REF!-#REF!))))</f>
        <v/>
      </c>
      <c r="S876" s="278" t="str">
        <f>IF($X$13="/28",IF(Q876="","",IF(AVERAGE(Q872:Q877)&gt;=$W$13,ROUND(AVERAGE(Q872:Q877),1)&amp;" ≥ "&amp;$W$13&amp;" OK",ROUND(AVERAGE(Q872:Q877),1)&amp;" &lt; "&amp;$W$13&amp;" NC")),IF($X$13="/90",IF(#REF!="","",IF(AVERAGE(#REF!)&gt;=$W$13,ROUND(AVERAGE(#REF!),1)&amp;" ≥ "&amp;$W$13&amp;" OK",ROUND(AVERAGE(#REF!),1)&amp;" &lt; "&amp;$W$13&amp;" NC"))))</f>
        <v/>
      </c>
      <c r="T876" s="278" t="str">
        <f>IF($X$13="/28",IF(Q876="","",IF(Q876&gt;=$W$13-$S$12,ROUND((Q876),1)&amp;" ≥ "&amp;$W$13-$S$12&amp;" OK",ROUND((Q876),1)&amp;" &lt; "&amp;$W$13-$S$12&amp;" NC")),IF($X$13="/90",IF(#REF!="","",IF(#REF!&gt;=$W$13-$S$12,ROUND((#REF!),1)&amp;" ≥ "&amp;$W$13-$S$12&amp;" OK",ROUND((#REF!),1)&amp;" &lt; "&amp;$W$13-$S$12&amp;" NC"))))</f>
        <v/>
      </c>
      <c r="U876" s="14"/>
      <c r="V876" s="279"/>
      <c r="W876" s="280"/>
      <c r="X876" s="281"/>
      <c r="Y876" s="246"/>
      <c r="Z876" s="246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BP876" s="390" t="str">
        <f>IF($X$13="/28",IF(Q876="","",Q876),IF($X$13="/90",IF(#REF!="","",#REF!),"Falso"))</f>
        <v/>
      </c>
      <c r="BQ876" s="392" t="str">
        <f t="shared" si="1282"/>
        <v/>
      </c>
      <c r="BS876" s="50" t="str">
        <f>Q1734</f>
        <v/>
      </c>
      <c r="BT876" s="50" t="e">
        <f>#REF!</f>
        <v>#REF!</v>
      </c>
      <c r="BU876" s="39" t="str">
        <f t="shared" si="1337"/>
        <v/>
      </c>
      <c r="BV876" s="39" t="str">
        <f t="shared" si="1330"/>
        <v/>
      </c>
    </row>
    <row r="877" spans="1:74" ht="14.25" customHeight="1" x14ac:dyDescent="0.35">
      <c r="A877" s="294"/>
      <c r="B877" s="296"/>
      <c r="C877" s="298"/>
      <c r="D877" s="300"/>
      <c r="E877" s="302"/>
      <c r="F877" s="304"/>
      <c r="G877" s="276"/>
      <c r="H877" s="277"/>
      <c r="I877" s="290"/>
      <c r="J877" s="290"/>
      <c r="K877" s="291"/>
      <c r="L877" s="17"/>
      <c r="M877" s="286"/>
      <c r="N877" s="21"/>
      <c r="O877" s="286"/>
      <c r="P877" s="21"/>
      <c r="Q877" s="286"/>
      <c r="R877" s="248"/>
      <c r="S877" s="287"/>
      <c r="T877" s="248"/>
      <c r="U877" s="13"/>
      <c r="V877" s="282"/>
      <c r="W877" s="283"/>
      <c r="X877" s="284"/>
      <c r="Y877" s="245"/>
      <c r="Z877" s="245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BP877" s="391"/>
      <c r="BQ877" s="393"/>
      <c r="BS877" s="50" t="str">
        <f>Q1736</f>
        <v/>
      </c>
      <c r="BT877" s="50" t="e">
        <f>#REF!</f>
        <v>#REF!</v>
      </c>
      <c r="BU877" s="39" t="str">
        <f t="shared" si="1337"/>
        <v/>
      </c>
      <c r="BV877" s="39" t="str">
        <f t="shared" si="1330"/>
        <v/>
      </c>
    </row>
    <row r="878" spans="1:74" ht="14.25" customHeight="1" x14ac:dyDescent="0.35">
      <c r="A878" s="293">
        <v>431</v>
      </c>
      <c r="B878" s="295"/>
      <c r="C878" s="297"/>
      <c r="D878" s="299"/>
      <c r="E878" s="301"/>
      <c r="F878" s="303"/>
      <c r="G878" s="288"/>
      <c r="H878" s="289"/>
      <c r="I878" s="290"/>
      <c r="J878" s="290"/>
      <c r="K878" s="291"/>
      <c r="L878" s="18"/>
      <c r="M878" s="285" t="str">
        <f t="shared" ref="M878" si="1368">IF(COUNT(L878:L879)&lt;1,"",AVERAGE(L878:L879))</f>
        <v/>
      </c>
      <c r="N878" s="22"/>
      <c r="O878" s="285" t="str">
        <f t="shared" ref="O878" si="1369">IF(COUNT(N878:N879)&lt;1,"",AVERAGE(N878:N879))</f>
        <v/>
      </c>
      <c r="P878" s="22"/>
      <c r="Q878" s="285" t="str">
        <f t="shared" ref="Q878" si="1370">IF(COUNT(P878:P879)&lt;1,"",AVERAGE(P878:P879))</f>
        <v/>
      </c>
      <c r="R878" s="278" t="str">
        <f>IF($X$13="/28",IF(COUNT(P878:P879)&lt;=1,"",ABS(P878-P879)),IF($X$13="/90",IF(COUNT(#REF!)&lt;=1,"",ABS(#REF!-#REF!))))</f>
        <v/>
      </c>
      <c r="S878" s="278" t="str">
        <f>IF($X$13="/28",IF(Q878="","",IF(AVERAGE(Q874:Q879)&gt;=$W$13,ROUND(AVERAGE(Q874:Q879),1)&amp;" ≥ "&amp;$W$13&amp;" OK",ROUND(AVERAGE(Q874:Q879),1)&amp;" &lt; "&amp;$W$13&amp;" NC")),IF($X$13="/90",IF(#REF!="","",IF(AVERAGE(#REF!)&gt;=$W$13,ROUND(AVERAGE(#REF!),1)&amp;" ≥ "&amp;$W$13&amp;" OK",ROUND(AVERAGE(#REF!),1)&amp;" &lt; "&amp;$W$13&amp;" NC"))))</f>
        <v/>
      </c>
      <c r="T878" s="278" t="str">
        <f>IF($X$13="/28",IF(Q878="","",IF(Q878&gt;=$W$13-$S$12,ROUND((Q878),1)&amp;" ≥ "&amp;$W$13-$S$12&amp;" OK",ROUND((Q878),1)&amp;" &lt; "&amp;$W$13-$S$12&amp;" NC")),IF($X$13="/90",IF(#REF!="","",IF(#REF!&gt;=$W$13-$S$12,ROUND((#REF!),1)&amp;" ≥ "&amp;$W$13-$S$12&amp;" OK",ROUND((#REF!),1)&amp;" &lt; "&amp;$W$13-$S$12&amp;" NC"))))</f>
        <v/>
      </c>
      <c r="U878" s="14"/>
      <c r="V878" s="279"/>
      <c r="W878" s="280"/>
      <c r="X878" s="281"/>
      <c r="Y878" s="246"/>
      <c r="Z878" s="246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BP878" s="390" t="str">
        <f>IF($X$13="/28",IF(Q878="","",Q878),IF($X$13="/90",IF(#REF!="","",#REF!),"Falso"))</f>
        <v/>
      </c>
      <c r="BQ878" s="392" t="str">
        <f t="shared" si="1286"/>
        <v/>
      </c>
      <c r="BS878" s="50" t="str">
        <f>Q1738</f>
        <v/>
      </c>
      <c r="BT878" s="50" t="e">
        <f>#REF!</f>
        <v>#REF!</v>
      </c>
      <c r="BU878" s="39" t="str">
        <f t="shared" si="1337"/>
        <v/>
      </c>
      <c r="BV878" s="39" t="str">
        <f t="shared" si="1330"/>
        <v/>
      </c>
    </row>
    <row r="879" spans="1:74" ht="14.25" customHeight="1" x14ac:dyDescent="0.35">
      <c r="A879" s="294"/>
      <c r="B879" s="296"/>
      <c r="C879" s="298"/>
      <c r="D879" s="300"/>
      <c r="E879" s="302"/>
      <c r="F879" s="304"/>
      <c r="G879" s="276"/>
      <c r="H879" s="277"/>
      <c r="I879" s="290"/>
      <c r="J879" s="290"/>
      <c r="K879" s="291"/>
      <c r="L879" s="17"/>
      <c r="M879" s="286"/>
      <c r="N879" s="21"/>
      <c r="O879" s="286"/>
      <c r="P879" s="21"/>
      <c r="Q879" s="286"/>
      <c r="R879" s="248"/>
      <c r="S879" s="287"/>
      <c r="T879" s="248"/>
      <c r="U879" s="13"/>
      <c r="V879" s="282"/>
      <c r="W879" s="283"/>
      <c r="X879" s="284"/>
      <c r="Y879" s="245"/>
      <c r="Z879" s="245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BP879" s="391"/>
      <c r="BQ879" s="393"/>
      <c r="BS879" s="50" t="str">
        <f>Q1740</f>
        <v/>
      </c>
      <c r="BT879" s="50" t="e">
        <f>#REF!</f>
        <v>#REF!</v>
      </c>
      <c r="BU879" s="39" t="str">
        <f t="shared" si="1337"/>
        <v/>
      </c>
      <c r="BV879" s="39" t="str">
        <f t="shared" si="1330"/>
        <v/>
      </c>
    </row>
    <row r="880" spans="1:74" ht="14.25" customHeight="1" x14ac:dyDescent="0.35">
      <c r="A880" s="293">
        <v>432</v>
      </c>
      <c r="B880" s="295"/>
      <c r="C880" s="297"/>
      <c r="D880" s="299"/>
      <c r="E880" s="301"/>
      <c r="F880" s="303"/>
      <c r="G880" s="288"/>
      <c r="H880" s="289"/>
      <c r="I880" s="290"/>
      <c r="J880" s="290"/>
      <c r="K880" s="291"/>
      <c r="L880" s="18"/>
      <c r="M880" s="285" t="str">
        <f t="shared" ref="M880" si="1371">IF(COUNT(L880:L881)&lt;1,"",AVERAGE(L880:L881))</f>
        <v/>
      </c>
      <c r="N880" s="22"/>
      <c r="O880" s="285" t="str">
        <f t="shared" ref="O880" si="1372">IF(COUNT(N880:N881)&lt;1,"",AVERAGE(N880:N881))</f>
        <v/>
      </c>
      <c r="P880" s="22"/>
      <c r="Q880" s="285" t="str">
        <f t="shared" ref="Q880" si="1373">IF(COUNT(P880:P881)&lt;1,"",AVERAGE(P880:P881))</f>
        <v/>
      </c>
      <c r="R880" s="278" t="str">
        <f>IF($X$13="/28",IF(COUNT(P880:P881)&lt;=1,"",ABS(P880-P881)),IF($X$13="/90",IF(COUNT(#REF!)&lt;=1,"",ABS(#REF!-#REF!))))</f>
        <v/>
      </c>
      <c r="S880" s="278" t="str">
        <f>IF($X$13="/28",IF(Q880="","",IF(AVERAGE(Q876:Q881)&gt;=$W$13,ROUND(AVERAGE(Q876:Q881),1)&amp;" ≥ "&amp;$W$13&amp;" OK",ROUND(AVERAGE(Q876:Q881),1)&amp;" &lt; "&amp;$W$13&amp;" NC")),IF($X$13="/90",IF(#REF!="","",IF(AVERAGE(#REF!)&gt;=$W$13,ROUND(AVERAGE(#REF!),1)&amp;" ≥ "&amp;$W$13&amp;" OK",ROUND(AVERAGE(#REF!),1)&amp;" &lt; "&amp;$W$13&amp;" NC"))))</f>
        <v/>
      </c>
      <c r="T880" s="278" t="str">
        <f>IF($X$13="/28",IF(Q880="","",IF(Q880&gt;=$W$13-$S$12,ROUND((Q880),1)&amp;" ≥ "&amp;$W$13-$S$12&amp;" OK",ROUND((Q880),1)&amp;" &lt; "&amp;$W$13-$S$12&amp;" NC")),IF($X$13="/90",IF(#REF!="","",IF(#REF!&gt;=$W$13-$S$12,ROUND((#REF!),1)&amp;" ≥ "&amp;$W$13-$S$12&amp;" OK",ROUND((#REF!),1)&amp;" &lt; "&amp;$W$13-$S$12&amp;" NC"))))</f>
        <v/>
      </c>
      <c r="U880" s="14"/>
      <c r="V880" s="279"/>
      <c r="W880" s="280"/>
      <c r="X880" s="281"/>
      <c r="Y880" s="246"/>
      <c r="Z880" s="246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BP880" s="390" t="str">
        <f>IF($X$13="/28",IF(Q880="","",Q880),IF($X$13="/90",IF(#REF!="","",#REF!),"Falso"))</f>
        <v/>
      </c>
      <c r="BQ880" s="392" t="str">
        <f t="shared" si="1290"/>
        <v/>
      </c>
      <c r="BS880" s="50" t="str">
        <f>Q1742</f>
        <v/>
      </c>
      <c r="BT880" s="50" t="e">
        <f>#REF!</f>
        <v>#REF!</v>
      </c>
      <c r="BU880" s="39" t="str">
        <f t="shared" si="1337"/>
        <v/>
      </c>
      <c r="BV880" s="39" t="str">
        <f t="shared" si="1330"/>
        <v/>
      </c>
    </row>
    <row r="881" spans="1:74" ht="14.25" customHeight="1" x14ac:dyDescent="0.35">
      <c r="A881" s="294"/>
      <c r="B881" s="296"/>
      <c r="C881" s="298"/>
      <c r="D881" s="300"/>
      <c r="E881" s="302"/>
      <c r="F881" s="304"/>
      <c r="G881" s="276"/>
      <c r="H881" s="277"/>
      <c r="I881" s="290"/>
      <c r="J881" s="290"/>
      <c r="K881" s="291"/>
      <c r="L881" s="17"/>
      <c r="M881" s="286"/>
      <c r="N881" s="21"/>
      <c r="O881" s="286"/>
      <c r="P881" s="21"/>
      <c r="Q881" s="286"/>
      <c r="R881" s="248"/>
      <c r="S881" s="287"/>
      <c r="T881" s="248"/>
      <c r="U881" s="13"/>
      <c r="V881" s="282"/>
      <c r="W881" s="283"/>
      <c r="X881" s="284"/>
      <c r="Y881" s="245"/>
      <c r="Z881" s="245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BP881" s="391"/>
      <c r="BQ881" s="393"/>
      <c r="BS881" s="50" t="str">
        <f>Q1744</f>
        <v/>
      </c>
      <c r="BT881" s="50" t="e">
        <f>#REF!</f>
        <v>#REF!</v>
      </c>
      <c r="BU881" s="39" t="str">
        <f t="shared" si="1337"/>
        <v/>
      </c>
      <c r="BV881" s="39" t="str">
        <f t="shared" si="1330"/>
        <v/>
      </c>
    </row>
    <row r="882" spans="1:74" ht="14.25" customHeight="1" x14ac:dyDescent="0.35">
      <c r="A882" s="293">
        <v>433</v>
      </c>
      <c r="B882" s="295"/>
      <c r="C882" s="297"/>
      <c r="D882" s="299"/>
      <c r="E882" s="301"/>
      <c r="F882" s="303"/>
      <c r="G882" s="288"/>
      <c r="H882" s="289"/>
      <c r="I882" s="290"/>
      <c r="J882" s="290"/>
      <c r="K882" s="291"/>
      <c r="L882" s="18"/>
      <c r="M882" s="285" t="str">
        <f t="shared" ref="M882" si="1374">IF(COUNT(L882:L883)&lt;1,"",AVERAGE(L882:L883))</f>
        <v/>
      </c>
      <c r="N882" s="22"/>
      <c r="O882" s="285" t="str">
        <f t="shared" ref="O882" si="1375">IF(COUNT(N882:N883)&lt;1,"",AVERAGE(N882:N883))</f>
        <v/>
      </c>
      <c r="P882" s="22"/>
      <c r="Q882" s="285" t="str">
        <f t="shared" ref="Q882" si="1376">IF(COUNT(P882:P883)&lt;1,"",AVERAGE(P882:P883))</f>
        <v/>
      </c>
      <c r="R882" s="278" t="str">
        <f>IF($X$13="/28",IF(COUNT(P882:P883)&lt;=1,"",ABS(P882-P883)),IF($X$13="/90",IF(COUNT(#REF!)&lt;=1,"",ABS(#REF!-#REF!))))</f>
        <v/>
      </c>
      <c r="S882" s="278" t="str">
        <f>IF($X$13="/28",IF(Q882="","",IF(AVERAGE(Q878:Q883)&gt;=$W$13,ROUND(AVERAGE(Q878:Q883),1)&amp;" ≥ "&amp;$W$13&amp;" OK",ROUND(AVERAGE(Q878:Q883),1)&amp;" &lt; "&amp;$W$13&amp;" NC")),IF($X$13="/90",IF(#REF!="","",IF(AVERAGE(#REF!)&gt;=$W$13,ROUND(AVERAGE(#REF!),1)&amp;" ≥ "&amp;$W$13&amp;" OK",ROUND(AVERAGE(#REF!),1)&amp;" &lt; "&amp;$W$13&amp;" NC"))))</f>
        <v/>
      </c>
      <c r="T882" s="278" t="str">
        <f>IF($X$13="/28",IF(Q882="","",IF(Q882&gt;=$W$13-$S$12,ROUND((Q882),1)&amp;" ≥ "&amp;$W$13-$S$12&amp;" OK",ROUND((Q882),1)&amp;" &lt; "&amp;$W$13-$S$12&amp;" NC")),IF($X$13="/90",IF(#REF!="","",IF(#REF!&gt;=$W$13-$S$12,ROUND((#REF!),1)&amp;" ≥ "&amp;$W$13-$S$12&amp;" OK",ROUND((#REF!),1)&amp;" &lt; "&amp;$W$13-$S$12&amp;" NC"))))</f>
        <v/>
      </c>
      <c r="U882" s="14"/>
      <c r="V882" s="279"/>
      <c r="W882" s="280"/>
      <c r="X882" s="281"/>
      <c r="Y882" s="246"/>
      <c r="Z882" s="246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BP882" s="390" t="str">
        <f>IF($X$13="/28",IF(Q882="","",Q882),IF($X$13="/90",IF(#REF!="","",#REF!),"Falso"))</f>
        <v/>
      </c>
      <c r="BQ882" s="392" t="str">
        <f t="shared" si="1282"/>
        <v/>
      </c>
      <c r="BS882" s="50" t="str">
        <f>Q1746</f>
        <v/>
      </c>
      <c r="BT882" s="50" t="e">
        <f>#REF!</f>
        <v>#REF!</v>
      </c>
      <c r="BU882" s="39" t="str">
        <f t="shared" si="1337"/>
        <v/>
      </c>
      <c r="BV882" s="39" t="str">
        <f t="shared" si="1330"/>
        <v/>
      </c>
    </row>
    <row r="883" spans="1:74" ht="14.25" customHeight="1" x14ac:dyDescent="0.35">
      <c r="A883" s="294"/>
      <c r="B883" s="296"/>
      <c r="C883" s="298"/>
      <c r="D883" s="300"/>
      <c r="E883" s="302"/>
      <c r="F883" s="304"/>
      <c r="G883" s="276"/>
      <c r="H883" s="277"/>
      <c r="I883" s="290"/>
      <c r="J883" s="290"/>
      <c r="K883" s="291"/>
      <c r="L883" s="17"/>
      <c r="M883" s="286"/>
      <c r="N883" s="21"/>
      <c r="O883" s="286"/>
      <c r="P883" s="21"/>
      <c r="Q883" s="286"/>
      <c r="R883" s="248"/>
      <c r="S883" s="287"/>
      <c r="T883" s="248"/>
      <c r="U883" s="13"/>
      <c r="V883" s="282"/>
      <c r="W883" s="283"/>
      <c r="X883" s="284"/>
      <c r="Y883" s="245"/>
      <c r="Z883" s="245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BP883" s="391"/>
      <c r="BQ883" s="393"/>
      <c r="BS883" s="50" t="str">
        <f>Q1748</f>
        <v/>
      </c>
      <c r="BT883" s="50" t="e">
        <f>#REF!</f>
        <v>#REF!</v>
      </c>
      <c r="BU883" s="39" t="str">
        <f t="shared" si="1337"/>
        <v/>
      </c>
      <c r="BV883" s="39" t="str">
        <f t="shared" si="1330"/>
        <v/>
      </c>
    </row>
    <row r="884" spans="1:74" ht="14.25" customHeight="1" x14ac:dyDescent="0.35">
      <c r="A884" s="293">
        <v>434</v>
      </c>
      <c r="B884" s="295"/>
      <c r="C884" s="297"/>
      <c r="D884" s="299"/>
      <c r="E884" s="301"/>
      <c r="F884" s="303"/>
      <c r="G884" s="288"/>
      <c r="H884" s="289"/>
      <c r="I884" s="290"/>
      <c r="J884" s="290"/>
      <c r="K884" s="291"/>
      <c r="L884" s="18"/>
      <c r="M884" s="285" t="str">
        <f t="shared" ref="M884" si="1377">IF(COUNT(L884:L885)&lt;1,"",AVERAGE(L884:L885))</f>
        <v/>
      </c>
      <c r="N884" s="22"/>
      <c r="O884" s="285" t="str">
        <f t="shared" ref="O884" si="1378">IF(COUNT(N884:N885)&lt;1,"",AVERAGE(N884:N885))</f>
        <v/>
      </c>
      <c r="P884" s="22"/>
      <c r="Q884" s="285" t="str">
        <f t="shared" ref="Q884" si="1379">IF(COUNT(P884:P885)&lt;1,"",AVERAGE(P884:P885))</f>
        <v/>
      </c>
      <c r="R884" s="278" t="str">
        <f>IF($X$13="/28",IF(COUNT(P884:P885)&lt;=1,"",ABS(P884-P885)),IF($X$13="/90",IF(COUNT(#REF!)&lt;=1,"",ABS(#REF!-#REF!))))</f>
        <v/>
      </c>
      <c r="S884" s="278" t="str">
        <f>IF($X$13="/28",IF(Q884="","",IF(AVERAGE(Q880:Q885)&gt;=$W$13,ROUND(AVERAGE(Q880:Q885),1)&amp;" ≥ "&amp;$W$13&amp;" OK",ROUND(AVERAGE(Q880:Q885),1)&amp;" &lt; "&amp;$W$13&amp;" NC")),IF($X$13="/90",IF(#REF!="","",IF(AVERAGE(#REF!)&gt;=$W$13,ROUND(AVERAGE(#REF!),1)&amp;" ≥ "&amp;$W$13&amp;" OK",ROUND(AVERAGE(#REF!),1)&amp;" &lt; "&amp;$W$13&amp;" NC"))))</f>
        <v/>
      </c>
      <c r="T884" s="278" t="str">
        <f>IF($X$13="/28",IF(Q884="","",IF(Q884&gt;=$W$13-$S$12,ROUND((Q884),1)&amp;" ≥ "&amp;$W$13-$S$12&amp;" OK",ROUND((Q884),1)&amp;" &lt; "&amp;$W$13-$S$12&amp;" NC")),IF($X$13="/90",IF(#REF!="","",IF(#REF!&gt;=$W$13-$S$12,ROUND((#REF!),1)&amp;" ≥ "&amp;$W$13-$S$12&amp;" OK",ROUND((#REF!),1)&amp;" &lt; "&amp;$W$13-$S$12&amp;" NC"))))</f>
        <v/>
      </c>
      <c r="U884" s="14"/>
      <c r="V884" s="279"/>
      <c r="W884" s="280"/>
      <c r="X884" s="281"/>
      <c r="Y884" s="246"/>
      <c r="Z884" s="246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BP884" s="390" t="str">
        <f>IF($X$13="/28",IF(Q884="","",Q884),IF($X$13="/90",IF(#REF!="","",#REF!),"Falso"))</f>
        <v/>
      </c>
      <c r="BQ884" s="392" t="str">
        <f t="shared" si="1286"/>
        <v/>
      </c>
      <c r="BS884" s="50" t="str">
        <f>Q1750</f>
        <v/>
      </c>
      <c r="BT884" s="50" t="e">
        <f>#REF!</f>
        <v>#REF!</v>
      </c>
      <c r="BU884" s="39" t="str">
        <f t="shared" si="1337"/>
        <v/>
      </c>
      <c r="BV884" s="39" t="str">
        <f t="shared" si="1330"/>
        <v/>
      </c>
    </row>
    <row r="885" spans="1:74" ht="14.25" customHeight="1" x14ac:dyDescent="0.35">
      <c r="A885" s="294"/>
      <c r="B885" s="296"/>
      <c r="C885" s="298"/>
      <c r="D885" s="300"/>
      <c r="E885" s="302"/>
      <c r="F885" s="304"/>
      <c r="G885" s="276"/>
      <c r="H885" s="277"/>
      <c r="I885" s="290"/>
      <c r="J885" s="290"/>
      <c r="K885" s="291"/>
      <c r="L885" s="17"/>
      <c r="M885" s="286"/>
      <c r="N885" s="21"/>
      <c r="O885" s="286"/>
      <c r="P885" s="21"/>
      <c r="Q885" s="286"/>
      <c r="R885" s="248"/>
      <c r="S885" s="287"/>
      <c r="T885" s="248"/>
      <c r="U885" s="13"/>
      <c r="V885" s="282"/>
      <c r="W885" s="283"/>
      <c r="X885" s="284"/>
      <c r="Y885" s="245"/>
      <c r="Z885" s="245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BP885" s="391"/>
      <c r="BQ885" s="393"/>
      <c r="BS885" s="50" t="str">
        <f>Q1752</f>
        <v/>
      </c>
      <c r="BT885" s="50" t="e">
        <f>#REF!</f>
        <v>#REF!</v>
      </c>
      <c r="BU885" s="39" t="str">
        <f t="shared" si="1337"/>
        <v/>
      </c>
      <c r="BV885" s="39" t="str">
        <f t="shared" si="1330"/>
        <v/>
      </c>
    </row>
    <row r="886" spans="1:74" ht="14.25" customHeight="1" x14ac:dyDescent="0.35">
      <c r="A886" s="293">
        <v>435</v>
      </c>
      <c r="B886" s="295"/>
      <c r="C886" s="297"/>
      <c r="D886" s="299"/>
      <c r="E886" s="301"/>
      <c r="F886" s="303"/>
      <c r="G886" s="288"/>
      <c r="H886" s="289"/>
      <c r="I886" s="290"/>
      <c r="J886" s="290"/>
      <c r="K886" s="291"/>
      <c r="L886" s="18"/>
      <c r="M886" s="285" t="str">
        <f t="shared" ref="M886" si="1380">IF(COUNT(L886:L887)&lt;1,"",AVERAGE(L886:L887))</f>
        <v/>
      </c>
      <c r="N886" s="22"/>
      <c r="O886" s="285" t="str">
        <f t="shared" ref="O886" si="1381">IF(COUNT(N886:N887)&lt;1,"",AVERAGE(N886:N887))</f>
        <v/>
      </c>
      <c r="P886" s="22"/>
      <c r="Q886" s="285" t="str">
        <f t="shared" ref="Q886" si="1382">IF(COUNT(P886:P887)&lt;1,"",AVERAGE(P886:P887))</f>
        <v/>
      </c>
      <c r="R886" s="278" t="str">
        <f>IF($X$13="/28",IF(COUNT(P886:P887)&lt;=1,"",ABS(P886-P887)),IF($X$13="/90",IF(COUNT(#REF!)&lt;=1,"",ABS(#REF!-#REF!))))</f>
        <v/>
      </c>
      <c r="S886" s="278" t="str">
        <f>IF($X$13="/28",IF(Q886="","",IF(AVERAGE(Q882:Q887)&gt;=$W$13,ROUND(AVERAGE(Q882:Q887),1)&amp;" ≥ "&amp;$W$13&amp;" OK",ROUND(AVERAGE(Q882:Q887),1)&amp;" &lt; "&amp;$W$13&amp;" NC")),IF($X$13="/90",IF(#REF!="","",IF(AVERAGE(#REF!)&gt;=$W$13,ROUND(AVERAGE(#REF!),1)&amp;" ≥ "&amp;$W$13&amp;" OK",ROUND(AVERAGE(#REF!),1)&amp;" &lt; "&amp;$W$13&amp;" NC"))))</f>
        <v/>
      </c>
      <c r="T886" s="278" t="str">
        <f>IF($X$13="/28",IF(Q886="","",IF(Q886&gt;=$W$13-$S$12,ROUND((Q886),1)&amp;" ≥ "&amp;$W$13-$S$12&amp;" OK",ROUND((Q886),1)&amp;" &lt; "&amp;$W$13-$S$12&amp;" NC")),IF($X$13="/90",IF(#REF!="","",IF(#REF!&gt;=$W$13-$S$12,ROUND((#REF!),1)&amp;" ≥ "&amp;$W$13-$S$12&amp;" OK",ROUND((#REF!),1)&amp;" &lt; "&amp;$W$13-$S$12&amp;" NC"))))</f>
        <v/>
      </c>
      <c r="U886" s="14"/>
      <c r="V886" s="279"/>
      <c r="W886" s="280"/>
      <c r="X886" s="281"/>
      <c r="Y886" s="246"/>
      <c r="Z886" s="246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BP886" s="390" t="str">
        <f>IF($X$13="/28",IF(Q886="","",Q886),IF($X$13="/90",IF(#REF!="","",#REF!),"Falso"))</f>
        <v/>
      </c>
      <c r="BQ886" s="392" t="str">
        <f t="shared" si="1290"/>
        <v/>
      </c>
      <c r="BS886" s="50" t="str">
        <f>Q1754</f>
        <v/>
      </c>
      <c r="BT886" s="50" t="e">
        <f>#REF!</f>
        <v>#REF!</v>
      </c>
      <c r="BU886" s="39" t="str">
        <f t="shared" si="1337"/>
        <v/>
      </c>
      <c r="BV886" s="39" t="str">
        <f t="shared" si="1330"/>
        <v/>
      </c>
    </row>
    <row r="887" spans="1:74" ht="14.25" customHeight="1" x14ac:dyDescent="0.35">
      <c r="A887" s="294"/>
      <c r="B887" s="296"/>
      <c r="C887" s="298"/>
      <c r="D887" s="300"/>
      <c r="E887" s="302"/>
      <c r="F887" s="304"/>
      <c r="G887" s="276"/>
      <c r="H887" s="277"/>
      <c r="I887" s="290"/>
      <c r="J887" s="290"/>
      <c r="K887" s="291"/>
      <c r="L887" s="17"/>
      <c r="M887" s="286"/>
      <c r="N887" s="21"/>
      <c r="O887" s="286"/>
      <c r="P887" s="21"/>
      <c r="Q887" s="286"/>
      <c r="R887" s="248"/>
      <c r="S887" s="287"/>
      <c r="T887" s="248"/>
      <c r="U887" s="13"/>
      <c r="V887" s="282"/>
      <c r="W887" s="283"/>
      <c r="X887" s="284"/>
      <c r="Y887" s="245"/>
      <c r="Z887" s="245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BP887" s="391"/>
      <c r="BQ887" s="393"/>
      <c r="BS887" s="50" t="str">
        <f>Q1756</f>
        <v/>
      </c>
      <c r="BT887" s="50" t="e">
        <f>#REF!</f>
        <v>#REF!</v>
      </c>
      <c r="BU887" s="39" t="str">
        <f t="shared" si="1337"/>
        <v/>
      </c>
      <c r="BV887" s="39" t="str">
        <f t="shared" si="1330"/>
        <v/>
      </c>
    </row>
    <row r="888" spans="1:74" ht="14.25" customHeight="1" x14ac:dyDescent="0.35">
      <c r="A888" s="293">
        <v>436</v>
      </c>
      <c r="B888" s="295"/>
      <c r="C888" s="297"/>
      <c r="D888" s="299"/>
      <c r="E888" s="301"/>
      <c r="F888" s="303"/>
      <c r="G888" s="288"/>
      <c r="H888" s="289"/>
      <c r="I888" s="290"/>
      <c r="J888" s="290"/>
      <c r="K888" s="291"/>
      <c r="L888" s="18"/>
      <c r="M888" s="285" t="str">
        <f t="shared" ref="M888" si="1383">IF(COUNT(L888:L889)&lt;1,"",AVERAGE(L888:L889))</f>
        <v/>
      </c>
      <c r="N888" s="22"/>
      <c r="O888" s="285" t="str">
        <f t="shared" ref="O888" si="1384">IF(COUNT(N888:N889)&lt;1,"",AVERAGE(N888:N889))</f>
        <v/>
      </c>
      <c r="P888" s="22"/>
      <c r="Q888" s="285" t="str">
        <f t="shared" ref="Q888" si="1385">IF(COUNT(P888:P889)&lt;1,"",AVERAGE(P888:P889))</f>
        <v/>
      </c>
      <c r="R888" s="278" t="str">
        <f>IF($X$13="/28",IF(COUNT(P888:P889)&lt;=1,"",ABS(P888-P889)),IF($X$13="/90",IF(COUNT(#REF!)&lt;=1,"",ABS(#REF!-#REF!))))</f>
        <v/>
      </c>
      <c r="S888" s="278" t="str">
        <f>IF($X$13="/28",IF(Q888="","",IF(AVERAGE(Q884:Q889)&gt;=$W$13,ROUND(AVERAGE(Q884:Q889),1)&amp;" ≥ "&amp;$W$13&amp;" OK",ROUND(AVERAGE(Q884:Q889),1)&amp;" &lt; "&amp;$W$13&amp;" NC")),IF($X$13="/90",IF(#REF!="","",IF(AVERAGE(#REF!)&gt;=$W$13,ROUND(AVERAGE(#REF!),1)&amp;" ≥ "&amp;$W$13&amp;" OK",ROUND(AVERAGE(#REF!),1)&amp;" &lt; "&amp;$W$13&amp;" NC"))))</f>
        <v/>
      </c>
      <c r="T888" s="278" t="str">
        <f>IF($X$13="/28",IF(Q888="","",IF(Q888&gt;=$W$13-$S$12,ROUND((Q888),1)&amp;" ≥ "&amp;$W$13-$S$12&amp;" OK",ROUND((Q888),1)&amp;" &lt; "&amp;$W$13-$S$12&amp;" NC")),IF($X$13="/90",IF(#REF!="","",IF(#REF!&gt;=$W$13-$S$12,ROUND((#REF!),1)&amp;" ≥ "&amp;$W$13-$S$12&amp;" OK",ROUND((#REF!),1)&amp;" &lt; "&amp;$W$13-$S$12&amp;" NC"))))</f>
        <v/>
      </c>
      <c r="U888" s="14"/>
      <c r="V888" s="279"/>
      <c r="W888" s="280"/>
      <c r="X888" s="281"/>
      <c r="Y888" s="246"/>
      <c r="Z888" s="246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BP888" s="390" t="str">
        <f>IF($X$13="/28",IF(Q888="","",Q888),IF($X$13="/90",IF(#REF!="","",#REF!),"Falso"))</f>
        <v/>
      </c>
      <c r="BQ888" s="392" t="str">
        <f t="shared" ref="BQ888:BQ948" si="1386">IF(BP888="","",BQ886+1)</f>
        <v/>
      </c>
      <c r="BS888" s="50" t="str">
        <f>Q1758</f>
        <v/>
      </c>
      <c r="BT888" s="50" t="e">
        <f>#REF!</f>
        <v>#REF!</v>
      </c>
      <c r="BU888" s="39" t="str">
        <f t="shared" si="1337"/>
        <v/>
      </c>
      <c r="BV888" s="39" t="str">
        <f t="shared" si="1330"/>
        <v/>
      </c>
    </row>
    <row r="889" spans="1:74" ht="14.25" customHeight="1" x14ac:dyDescent="0.35">
      <c r="A889" s="294"/>
      <c r="B889" s="296"/>
      <c r="C889" s="298"/>
      <c r="D889" s="300"/>
      <c r="E889" s="302"/>
      <c r="F889" s="304"/>
      <c r="G889" s="276"/>
      <c r="H889" s="277"/>
      <c r="I889" s="290"/>
      <c r="J889" s="290"/>
      <c r="K889" s="291"/>
      <c r="L889" s="17"/>
      <c r="M889" s="286"/>
      <c r="N889" s="21"/>
      <c r="O889" s="286"/>
      <c r="P889" s="21"/>
      <c r="Q889" s="286"/>
      <c r="R889" s="248"/>
      <c r="S889" s="287"/>
      <c r="T889" s="248"/>
      <c r="U889" s="13"/>
      <c r="V889" s="282"/>
      <c r="W889" s="283"/>
      <c r="X889" s="284"/>
      <c r="Y889" s="245"/>
      <c r="Z889" s="245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BP889" s="391"/>
      <c r="BQ889" s="393"/>
      <c r="BS889" s="50" t="str">
        <f>Q1760</f>
        <v/>
      </c>
      <c r="BT889" s="50" t="e">
        <f>#REF!</f>
        <v>#REF!</v>
      </c>
      <c r="BU889" s="39" t="str">
        <f t="shared" si="1337"/>
        <v/>
      </c>
      <c r="BV889" s="39" t="str">
        <f t="shared" si="1330"/>
        <v/>
      </c>
    </row>
    <row r="890" spans="1:74" ht="14.25" customHeight="1" x14ac:dyDescent="0.35">
      <c r="A890" s="293">
        <v>437</v>
      </c>
      <c r="B890" s="295"/>
      <c r="C890" s="297"/>
      <c r="D890" s="299"/>
      <c r="E890" s="301"/>
      <c r="F890" s="303"/>
      <c r="G890" s="288"/>
      <c r="H890" s="289"/>
      <c r="I890" s="290"/>
      <c r="J890" s="290"/>
      <c r="K890" s="291"/>
      <c r="L890" s="18"/>
      <c r="M890" s="285" t="str">
        <f t="shared" ref="M890" si="1387">IF(COUNT(L890:L891)&lt;1,"",AVERAGE(L890:L891))</f>
        <v/>
      </c>
      <c r="N890" s="22"/>
      <c r="O890" s="285" t="str">
        <f t="shared" ref="O890" si="1388">IF(COUNT(N890:N891)&lt;1,"",AVERAGE(N890:N891))</f>
        <v/>
      </c>
      <c r="P890" s="22"/>
      <c r="Q890" s="285" t="str">
        <f t="shared" ref="Q890" si="1389">IF(COUNT(P890:P891)&lt;1,"",AVERAGE(P890:P891))</f>
        <v/>
      </c>
      <c r="R890" s="278" t="str">
        <f>IF($X$13="/28",IF(COUNT(P890:P891)&lt;=1,"",ABS(P890-P891)),IF($X$13="/90",IF(COUNT(#REF!)&lt;=1,"",ABS(#REF!-#REF!))))</f>
        <v/>
      </c>
      <c r="S890" s="278" t="str">
        <f>IF($X$13="/28",IF(Q890="","",IF(AVERAGE(Q886:Q891)&gt;=$W$13,ROUND(AVERAGE(Q886:Q891),1)&amp;" ≥ "&amp;$W$13&amp;" OK",ROUND(AVERAGE(Q886:Q891),1)&amp;" &lt; "&amp;$W$13&amp;" NC")),IF($X$13="/90",IF(#REF!="","",IF(AVERAGE(#REF!)&gt;=$W$13,ROUND(AVERAGE(#REF!),1)&amp;" ≥ "&amp;$W$13&amp;" OK",ROUND(AVERAGE(#REF!),1)&amp;" &lt; "&amp;$W$13&amp;" NC"))))</f>
        <v/>
      </c>
      <c r="T890" s="278" t="str">
        <f>IF($X$13="/28",IF(Q890="","",IF(Q890&gt;=$W$13-$S$12,ROUND((Q890),1)&amp;" ≥ "&amp;$W$13-$S$12&amp;" OK",ROUND((Q890),1)&amp;" &lt; "&amp;$W$13-$S$12&amp;" NC")),IF($X$13="/90",IF(#REF!="","",IF(#REF!&gt;=$W$13-$S$12,ROUND((#REF!),1)&amp;" ≥ "&amp;$W$13-$S$12&amp;" OK",ROUND((#REF!),1)&amp;" &lt; "&amp;$W$13-$S$12&amp;" NC"))))</f>
        <v/>
      </c>
      <c r="U890" s="14"/>
      <c r="V890" s="279"/>
      <c r="W890" s="280"/>
      <c r="X890" s="281"/>
      <c r="Y890" s="246"/>
      <c r="Z890" s="246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BP890" s="390" t="str">
        <f>IF($X$13="/28",IF(Q890="","",Q890),IF($X$13="/90",IF(#REF!="","",#REF!),"Falso"))</f>
        <v/>
      </c>
      <c r="BQ890" s="392" t="str">
        <f t="shared" ref="BQ890:BQ950" si="1390">IF(BP890="","",BQ888+1)</f>
        <v/>
      </c>
      <c r="BS890" s="50" t="str">
        <f>Q1762</f>
        <v/>
      </c>
      <c r="BT890" s="50" t="e">
        <f>#REF!</f>
        <v>#REF!</v>
      </c>
      <c r="BU890" s="39" t="str">
        <f t="shared" si="1337"/>
        <v/>
      </c>
      <c r="BV890" s="39" t="str">
        <f t="shared" si="1330"/>
        <v/>
      </c>
    </row>
    <row r="891" spans="1:74" ht="14.25" customHeight="1" x14ac:dyDescent="0.35">
      <c r="A891" s="294"/>
      <c r="B891" s="296"/>
      <c r="C891" s="298"/>
      <c r="D891" s="300"/>
      <c r="E891" s="302"/>
      <c r="F891" s="304"/>
      <c r="G891" s="276"/>
      <c r="H891" s="277"/>
      <c r="I891" s="290"/>
      <c r="J891" s="290"/>
      <c r="K891" s="291"/>
      <c r="L891" s="17"/>
      <c r="M891" s="286"/>
      <c r="N891" s="21"/>
      <c r="O891" s="286"/>
      <c r="P891" s="21"/>
      <c r="Q891" s="286"/>
      <c r="R891" s="248"/>
      <c r="S891" s="287"/>
      <c r="T891" s="248"/>
      <c r="U891" s="13"/>
      <c r="V891" s="282"/>
      <c r="W891" s="283"/>
      <c r="X891" s="284"/>
      <c r="Y891" s="245"/>
      <c r="Z891" s="245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BP891" s="391"/>
      <c r="BQ891" s="393"/>
      <c r="BS891" s="50" t="str">
        <f>Q1764</f>
        <v/>
      </c>
      <c r="BT891" s="50" t="e">
        <f>#REF!</f>
        <v>#REF!</v>
      </c>
      <c r="BU891" s="39" t="str">
        <f t="shared" si="1337"/>
        <v/>
      </c>
      <c r="BV891" s="39" t="str">
        <f t="shared" si="1330"/>
        <v/>
      </c>
    </row>
    <row r="892" spans="1:74" ht="14.25" customHeight="1" x14ac:dyDescent="0.35">
      <c r="A892" s="293">
        <v>438</v>
      </c>
      <c r="B892" s="295"/>
      <c r="C892" s="297"/>
      <c r="D892" s="299"/>
      <c r="E892" s="301"/>
      <c r="F892" s="303"/>
      <c r="G892" s="288"/>
      <c r="H892" s="289"/>
      <c r="I892" s="290"/>
      <c r="J892" s="290"/>
      <c r="K892" s="291"/>
      <c r="L892" s="18"/>
      <c r="M892" s="285" t="str">
        <f t="shared" ref="M892" si="1391">IF(COUNT(L892:L893)&lt;1,"",AVERAGE(L892:L893))</f>
        <v/>
      </c>
      <c r="N892" s="22"/>
      <c r="O892" s="285" t="str">
        <f t="shared" ref="O892" si="1392">IF(COUNT(N892:N893)&lt;1,"",AVERAGE(N892:N893))</f>
        <v/>
      </c>
      <c r="P892" s="22"/>
      <c r="Q892" s="285" t="str">
        <f t="shared" ref="Q892" si="1393">IF(COUNT(P892:P893)&lt;1,"",AVERAGE(P892:P893))</f>
        <v/>
      </c>
      <c r="R892" s="278" t="str">
        <f>IF($X$13="/28",IF(COUNT(P892:P893)&lt;=1,"",ABS(P892-P893)),IF($X$13="/90",IF(COUNT(#REF!)&lt;=1,"",ABS(#REF!-#REF!))))</f>
        <v/>
      </c>
      <c r="S892" s="278" t="str">
        <f>IF($X$13="/28",IF(Q892="","",IF(AVERAGE(Q888:Q893)&gt;=$W$13,ROUND(AVERAGE(Q888:Q893),1)&amp;" ≥ "&amp;$W$13&amp;" OK",ROUND(AVERAGE(Q888:Q893),1)&amp;" &lt; "&amp;$W$13&amp;" NC")),IF($X$13="/90",IF(#REF!="","",IF(AVERAGE(#REF!)&gt;=$W$13,ROUND(AVERAGE(#REF!),1)&amp;" ≥ "&amp;$W$13&amp;" OK",ROUND(AVERAGE(#REF!),1)&amp;" &lt; "&amp;$W$13&amp;" NC"))))</f>
        <v/>
      </c>
      <c r="T892" s="278" t="str">
        <f>IF($X$13="/28",IF(Q892="","",IF(Q892&gt;=$W$13-$S$12,ROUND((Q892),1)&amp;" ≥ "&amp;$W$13-$S$12&amp;" OK",ROUND((Q892),1)&amp;" &lt; "&amp;$W$13-$S$12&amp;" NC")),IF($X$13="/90",IF(#REF!="","",IF(#REF!&gt;=$W$13-$S$12,ROUND((#REF!),1)&amp;" ≥ "&amp;$W$13-$S$12&amp;" OK",ROUND((#REF!),1)&amp;" &lt; "&amp;$W$13-$S$12&amp;" NC"))))</f>
        <v/>
      </c>
      <c r="U892" s="14"/>
      <c r="V892" s="279"/>
      <c r="W892" s="280"/>
      <c r="X892" s="281"/>
      <c r="Y892" s="246"/>
      <c r="Z892" s="246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BP892" s="390" t="str">
        <f>IF($X$13="/28",IF(Q892="","",Q892),IF($X$13="/90",IF(#REF!="","",#REF!),"Falso"))</f>
        <v/>
      </c>
      <c r="BQ892" s="392" t="str">
        <f t="shared" ref="BQ892:BQ952" si="1394">IF(BP892="","",BQ890+1)</f>
        <v/>
      </c>
      <c r="BS892" s="50" t="str">
        <f>Q1766</f>
        <v/>
      </c>
      <c r="BT892" s="50" t="e">
        <f>#REF!</f>
        <v>#REF!</v>
      </c>
      <c r="BU892" s="39" t="str">
        <f t="shared" si="1337"/>
        <v/>
      </c>
      <c r="BV892" s="39" t="str">
        <f t="shared" si="1330"/>
        <v/>
      </c>
    </row>
    <row r="893" spans="1:74" ht="14.25" customHeight="1" x14ac:dyDescent="0.35">
      <c r="A893" s="294"/>
      <c r="B893" s="296"/>
      <c r="C893" s="298"/>
      <c r="D893" s="300"/>
      <c r="E893" s="302"/>
      <c r="F893" s="304"/>
      <c r="G893" s="276"/>
      <c r="H893" s="277"/>
      <c r="I893" s="290"/>
      <c r="J893" s="290"/>
      <c r="K893" s="291"/>
      <c r="L893" s="17"/>
      <c r="M893" s="286"/>
      <c r="N893" s="21"/>
      <c r="O893" s="286"/>
      <c r="P893" s="21"/>
      <c r="Q893" s="286"/>
      <c r="R893" s="248"/>
      <c r="S893" s="287"/>
      <c r="T893" s="248"/>
      <c r="U893" s="13"/>
      <c r="V893" s="282"/>
      <c r="W893" s="283"/>
      <c r="X893" s="284"/>
      <c r="Y893" s="245"/>
      <c r="Z893" s="245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BP893" s="391"/>
      <c r="BQ893" s="393"/>
      <c r="BS893" s="50" t="str">
        <f>Q1768</f>
        <v/>
      </c>
      <c r="BT893" s="50" t="e">
        <f>#REF!</f>
        <v>#REF!</v>
      </c>
      <c r="BU893" s="39" t="str">
        <f t="shared" si="1337"/>
        <v/>
      </c>
      <c r="BV893" s="39" t="str">
        <f t="shared" si="1330"/>
        <v/>
      </c>
    </row>
    <row r="894" spans="1:74" ht="14.25" customHeight="1" x14ac:dyDescent="0.35">
      <c r="A894" s="293">
        <v>439</v>
      </c>
      <c r="B894" s="295"/>
      <c r="C894" s="297"/>
      <c r="D894" s="299"/>
      <c r="E894" s="301"/>
      <c r="F894" s="303"/>
      <c r="G894" s="288"/>
      <c r="H894" s="289"/>
      <c r="I894" s="290"/>
      <c r="J894" s="290"/>
      <c r="K894" s="291"/>
      <c r="L894" s="18"/>
      <c r="M894" s="285" t="str">
        <f t="shared" ref="M894" si="1395">IF(COUNT(L894:L895)&lt;1,"",AVERAGE(L894:L895))</f>
        <v/>
      </c>
      <c r="N894" s="22"/>
      <c r="O894" s="285" t="str">
        <f t="shared" ref="O894" si="1396">IF(COUNT(N894:N895)&lt;1,"",AVERAGE(N894:N895))</f>
        <v/>
      </c>
      <c r="P894" s="22"/>
      <c r="Q894" s="285" t="str">
        <f t="shared" ref="Q894" si="1397">IF(COUNT(P894:P895)&lt;1,"",AVERAGE(P894:P895))</f>
        <v/>
      </c>
      <c r="R894" s="278" t="str">
        <f>IF($X$13="/28",IF(COUNT(P894:P895)&lt;=1,"",ABS(P894-P895)),IF($X$13="/90",IF(COUNT(#REF!)&lt;=1,"",ABS(#REF!-#REF!))))</f>
        <v/>
      </c>
      <c r="S894" s="278" t="str">
        <f>IF($X$13="/28",IF(Q894="","",IF(AVERAGE(Q890:Q895)&gt;=$W$13,ROUND(AVERAGE(Q890:Q895),1)&amp;" ≥ "&amp;$W$13&amp;" OK",ROUND(AVERAGE(Q890:Q895),1)&amp;" &lt; "&amp;$W$13&amp;" NC")),IF($X$13="/90",IF(#REF!="","",IF(AVERAGE(#REF!)&gt;=$W$13,ROUND(AVERAGE(#REF!),1)&amp;" ≥ "&amp;$W$13&amp;" OK",ROUND(AVERAGE(#REF!),1)&amp;" &lt; "&amp;$W$13&amp;" NC"))))</f>
        <v/>
      </c>
      <c r="T894" s="278" t="str">
        <f>IF($X$13="/28",IF(Q894="","",IF(Q894&gt;=$W$13-$S$12,ROUND((Q894),1)&amp;" ≥ "&amp;$W$13-$S$12&amp;" OK",ROUND((Q894),1)&amp;" &lt; "&amp;$W$13-$S$12&amp;" NC")),IF($X$13="/90",IF(#REF!="","",IF(#REF!&gt;=$W$13-$S$12,ROUND((#REF!),1)&amp;" ≥ "&amp;$W$13-$S$12&amp;" OK",ROUND((#REF!),1)&amp;" &lt; "&amp;$W$13-$S$12&amp;" NC"))))</f>
        <v/>
      </c>
      <c r="U894" s="14"/>
      <c r="V894" s="279"/>
      <c r="W894" s="280"/>
      <c r="X894" s="281"/>
      <c r="Y894" s="246"/>
      <c r="Z894" s="246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BP894" s="390" t="str">
        <f>IF($X$13="/28",IF(Q894="","",Q894),IF($X$13="/90",IF(#REF!="","",#REF!),"Falso"))</f>
        <v/>
      </c>
      <c r="BQ894" s="392" t="str">
        <f t="shared" si="1386"/>
        <v/>
      </c>
      <c r="BS894" s="50" t="str">
        <f>Q1770</f>
        <v/>
      </c>
      <c r="BT894" s="50" t="e">
        <f>#REF!</f>
        <v>#REF!</v>
      </c>
      <c r="BU894" s="39" t="str">
        <f t="shared" si="1337"/>
        <v/>
      </c>
      <c r="BV894" s="39" t="str">
        <f t="shared" si="1330"/>
        <v/>
      </c>
    </row>
    <row r="895" spans="1:74" ht="14.25" customHeight="1" x14ac:dyDescent="0.35">
      <c r="A895" s="294"/>
      <c r="B895" s="296"/>
      <c r="C895" s="298"/>
      <c r="D895" s="300"/>
      <c r="E895" s="302"/>
      <c r="F895" s="304"/>
      <c r="G895" s="276"/>
      <c r="H895" s="277"/>
      <c r="I895" s="290"/>
      <c r="J895" s="290"/>
      <c r="K895" s="291"/>
      <c r="L895" s="17"/>
      <c r="M895" s="286"/>
      <c r="N895" s="21"/>
      <c r="O895" s="286"/>
      <c r="P895" s="21"/>
      <c r="Q895" s="286"/>
      <c r="R895" s="248"/>
      <c r="S895" s="287"/>
      <c r="T895" s="248"/>
      <c r="U895" s="13"/>
      <c r="V895" s="282"/>
      <c r="W895" s="283"/>
      <c r="X895" s="284"/>
      <c r="Y895" s="245"/>
      <c r="Z895" s="245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BP895" s="391"/>
      <c r="BQ895" s="393"/>
      <c r="BS895" s="50" t="str">
        <f>Q1772</f>
        <v/>
      </c>
      <c r="BT895" s="50" t="e">
        <f>#REF!</f>
        <v>#REF!</v>
      </c>
      <c r="BU895" s="39" t="str">
        <f t="shared" si="1337"/>
        <v/>
      </c>
      <c r="BV895" s="39" t="str">
        <f t="shared" si="1330"/>
        <v/>
      </c>
    </row>
    <row r="896" spans="1:74" ht="14.25" customHeight="1" x14ac:dyDescent="0.35">
      <c r="A896" s="293">
        <v>440</v>
      </c>
      <c r="B896" s="295"/>
      <c r="C896" s="297"/>
      <c r="D896" s="299"/>
      <c r="E896" s="301"/>
      <c r="F896" s="303"/>
      <c r="G896" s="288"/>
      <c r="H896" s="289"/>
      <c r="I896" s="290"/>
      <c r="J896" s="290"/>
      <c r="K896" s="291"/>
      <c r="L896" s="18"/>
      <c r="M896" s="285" t="str">
        <f t="shared" ref="M896" si="1398">IF(COUNT(L896:L897)&lt;1,"",AVERAGE(L896:L897))</f>
        <v/>
      </c>
      <c r="N896" s="22"/>
      <c r="O896" s="285" t="str">
        <f t="shared" ref="O896" si="1399">IF(COUNT(N896:N897)&lt;1,"",AVERAGE(N896:N897))</f>
        <v/>
      </c>
      <c r="P896" s="22"/>
      <c r="Q896" s="285" t="str">
        <f t="shared" ref="Q896" si="1400">IF(COUNT(P896:P897)&lt;1,"",AVERAGE(P896:P897))</f>
        <v/>
      </c>
      <c r="R896" s="278" t="str">
        <f>IF($X$13="/28",IF(COUNT(P896:P897)&lt;=1,"",ABS(P896-P897)),IF($X$13="/90",IF(COUNT(#REF!)&lt;=1,"",ABS(#REF!-#REF!))))</f>
        <v/>
      </c>
      <c r="S896" s="278" t="str">
        <f>IF($X$13="/28",IF(Q896="","",IF(AVERAGE(Q892:Q897)&gt;=$W$13,ROUND(AVERAGE(Q892:Q897),1)&amp;" ≥ "&amp;$W$13&amp;" OK",ROUND(AVERAGE(Q892:Q897),1)&amp;" &lt; "&amp;$W$13&amp;" NC")),IF($X$13="/90",IF(#REF!="","",IF(AVERAGE(#REF!)&gt;=$W$13,ROUND(AVERAGE(#REF!),1)&amp;" ≥ "&amp;$W$13&amp;" OK",ROUND(AVERAGE(#REF!),1)&amp;" &lt; "&amp;$W$13&amp;" NC"))))</f>
        <v/>
      </c>
      <c r="T896" s="278" t="str">
        <f>IF($X$13="/28",IF(Q896="","",IF(Q896&gt;=$W$13-$S$12,ROUND((Q896),1)&amp;" ≥ "&amp;$W$13-$S$12&amp;" OK",ROUND((Q896),1)&amp;" &lt; "&amp;$W$13-$S$12&amp;" NC")),IF($X$13="/90",IF(#REF!="","",IF(#REF!&gt;=$W$13-$S$12,ROUND((#REF!),1)&amp;" ≥ "&amp;$W$13-$S$12&amp;" OK",ROUND((#REF!),1)&amp;" &lt; "&amp;$W$13-$S$12&amp;" NC"))))</f>
        <v/>
      </c>
      <c r="U896" s="14"/>
      <c r="V896" s="279"/>
      <c r="W896" s="280"/>
      <c r="X896" s="281"/>
      <c r="Y896" s="246"/>
      <c r="Z896" s="246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BP896" s="390" t="str">
        <f>IF($X$13="/28",IF(Q896="","",Q896),IF($X$13="/90",IF(#REF!="","",#REF!),"Falso"))</f>
        <v/>
      </c>
      <c r="BQ896" s="392" t="str">
        <f t="shared" si="1390"/>
        <v/>
      </c>
      <c r="BS896" s="50" t="str">
        <f>Q1774</f>
        <v/>
      </c>
      <c r="BT896" s="50" t="e">
        <f>#REF!</f>
        <v>#REF!</v>
      </c>
      <c r="BU896" s="39" t="str">
        <f t="shared" si="1337"/>
        <v/>
      </c>
      <c r="BV896" s="39" t="str">
        <f t="shared" si="1330"/>
        <v/>
      </c>
    </row>
    <row r="897" spans="1:74" ht="14.25" customHeight="1" x14ac:dyDescent="0.35">
      <c r="A897" s="294"/>
      <c r="B897" s="296"/>
      <c r="C897" s="298"/>
      <c r="D897" s="300"/>
      <c r="E897" s="302"/>
      <c r="F897" s="304"/>
      <c r="G897" s="276"/>
      <c r="H897" s="277"/>
      <c r="I897" s="290"/>
      <c r="J897" s="290"/>
      <c r="K897" s="291"/>
      <c r="L897" s="17"/>
      <c r="M897" s="286"/>
      <c r="N897" s="21"/>
      <c r="O897" s="286"/>
      <c r="P897" s="21"/>
      <c r="Q897" s="286"/>
      <c r="R897" s="248"/>
      <c r="S897" s="287"/>
      <c r="T897" s="248"/>
      <c r="U897" s="13"/>
      <c r="V897" s="282"/>
      <c r="W897" s="283"/>
      <c r="X897" s="284"/>
      <c r="Y897" s="245"/>
      <c r="Z897" s="245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BP897" s="391"/>
      <c r="BQ897" s="393"/>
      <c r="BS897" s="50" t="str">
        <f>Q1776</f>
        <v/>
      </c>
      <c r="BT897" s="50" t="e">
        <f>#REF!</f>
        <v>#REF!</v>
      </c>
      <c r="BU897" s="39" t="str">
        <f t="shared" si="1337"/>
        <v/>
      </c>
      <c r="BV897" s="39" t="str">
        <f t="shared" si="1330"/>
        <v/>
      </c>
    </row>
    <row r="898" spans="1:74" ht="14.25" customHeight="1" x14ac:dyDescent="0.35">
      <c r="A898" s="293">
        <v>441</v>
      </c>
      <c r="B898" s="295"/>
      <c r="C898" s="297"/>
      <c r="D898" s="299"/>
      <c r="E898" s="301"/>
      <c r="F898" s="303"/>
      <c r="G898" s="288"/>
      <c r="H898" s="289"/>
      <c r="I898" s="290"/>
      <c r="J898" s="290"/>
      <c r="K898" s="291"/>
      <c r="L898" s="18"/>
      <c r="M898" s="285" t="str">
        <f t="shared" ref="M898" si="1401">IF(COUNT(L898:L899)&lt;1,"",AVERAGE(L898:L899))</f>
        <v/>
      </c>
      <c r="N898" s="22"/>
      <c r="O898" s="285" t="str">
        <f t="shared" ref="O898" si="1402">IF(COUNT(N898:N899)&lt;1,"",AVERAGE(N898:N899))</f>
        <v/>
      </c>
      <c r="P898" s="22"/>
      <c r="Q898" s="285" t="str">
        <f t="shared" ref="Q898" si="1403">IF(COUNT(P898:P899)&lt;1,"",AVERAGE(P898:P899))</f>
        <v/>
      </c>
      <c r="R898" s="278" t="str">
        <f>IF($X$13="/28",IF(COUNT(P898:P899)&lt;=1,"",ABS(P898-P899)),IF($X$13="/90",IF(COUNT(#REF!)&lt;=1,"",ABS(#REF!-#REF!))))</f>
        <v/>
      </c>
      <c r="S898" s="278" t="str">
        <f>IF($X$13="/28",IF(Q898="","",IF(AVERAGE(Q894:Q899)&gt;=$W$13,ROUND(AVERAGE(Q894:Q899),1)&amp;" ≥ "&amp;$W$13&amp;" OK",ROUND(AVERAGE(Q894:Q899),1)&amp;" &lt; "&amp;$W$13&amp;" NC")),IF($X$13="/90",IF(#REF!="","",IF(AVERAGE(#REF!)&gt;=$W$13,ROUND(AVERAGE(#REF!),1)&amp;" ≥ "&amp;$W$13&amp;" OK",ROUND(AVERAGE(#REF!),1)&amp;" &lt; "&amp;$W$13&amp;" NC"))))</f>
        <v/>
      </c>
      <c r="T898" s="278" t="str">
        <f>IF($X$13="/28",IF(Q898="","",IF(Q898&gt;=$W$13-$S$12,ROUND((Q898),1)&amp;" ≥ "&amp;$W$13-$S$12&amp;" OK",ROUND((Q898),1)&amp;" &lt; "&amp;$W$13-$S$12&amp;" NC")),IF($X$13="/90",IF(#REF!="","",IF(#REF!&gt;=$W$13-$S$12,ROUND((#REF!),1)&amp;" ≥ "&amp;$W$13-$S$12&amp;" OK",ROUND((#REF!),1)&amp;" &lt; "&amp;$W$13-$S$12&amp;" NC"))))</f>
        <v/>
      </c>
      <c r="U898" s="14"/>
      <c r="V898" s="279"/>
      <c r="W898" s="280"/>
      <c r="X898" s="281"/>
      <c r="Y898" s="246"/>
      <c r="Z898" s="246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BP898" s="390" t="str">
        <f>IF($X$13="/28",IF(Q898="","",Q898),IF($X$13="/90",IF(#REF!="","",#REF!),"Falso"))</f>
        <v/>
      </c>
      <c r="BQ898" s="392" t="str">
        <f t="shared" si="1394"/>
        <v/>
      </c>
      <c r="BS898" s="50" t="str">
        <f>Q1778</f>
        <v/>
      </c>
      <c r="BT898" s="50" t="e">
        <f>#REF!</f>
        <v>#REF!</v>
      </c>
      <c r="BU898" s="39" t="str">
        <f t="shared" si="1337"/>
        <v/>
      </c>
      <c r="BV898" s="39" t="str">
        <f t="shared" si="1330"/>
        <v/>
      </c>
    </row>
    <row r="899" spans="1:74" ht="14.25" customHeight="1" x14ac:dyDescent="0.35">
      <c r="A899" s="294"/>
      <c r="B899" s="296"/>
      <c r="C899" s="298"/>
      <c r="D899" s="300"/>
      <c r="E899" s="302"/>
      <c r="F899" s="304"/>
      <c r="G899" s="276"/>
      <c r="H899" s="277"/>
      <c r="I899" s="290"/>
      <c r="J899" s="290"/>
      <c r="K899" s="291"/>
      <c r="L899" s="17"/>
      <c r="M899" s="286"/>
      <c r="N899" s="21"/>
      <c r="O899" s="286"/>
      <c r="P899" s="21"/>
      <c r="Q899" s="286"/>
      <c r="R899" s="248"/>
      <c r="S899" s="287"/>
      <c r="T899" s="248"/>
      <c r="U899" s="13"/>
      <c r="V899" s="282"/>
      <c r="W899" s="283"/>
      <c r="X899" s="284"/>
      <c r="Y899" s="245"/>
      <c r="Z899" s="245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BP899" s="391"/>
      <c r="BQ899" s="393"/>
      <c r="BS899" s="50" t="str">
        <f>Q1780</f>
        <v/>
      </c>
      <c r="BT899" s="50" t="e">
        <f>#REF!</f>
        <v>#REF!</v>
      </c>
      <c r="BU899" s="39" t="str">
        <f t="shared" si="1337"/>
        <v/>
      </c>
      <c r="BV899" s="39" t="str">
        <f t="shared" si="1330"/>
        <v/>
      </c>
    </row>
    <row r="900" spans="1:74" ht="14.25" customHeight="1" x14ac:dyDescent="0.35">
      <c r="A900" s="293">
        <v>442</v>
      </c>
      <c r="B900" s="295"/>
      <c r="C900" s="297"/>
      <c r="D900" s="299"/>
      <c r="E900" s="301"/>
      <c r="F900" s="303"/>
      <c r="G900" s="288"/>
      <c r="H900" s="289"/>
      <c r="I900" s="290"/>
      <c r="J900" s="290"/>
      <c r="K900" s="291"/>
      <c r="L900" s="18"/>
      <c r="M900" s="285" t="str">
        <f t="shared" ref="M900" si="1404">IF(COUNT(L900:L901)&lt;1,"",AVERAGE(L900:L901))</f>
        <v/>
      </c>
      <c r="N900" s="22"/>
      <c r="O900" s="285" t="str">
        <f t="shared" ref="O900" si="1405">IF(COUNT(N900:N901)&lt;1,"",AVERAGE(N900:N901))</f>
        <v/>
      </c>
      <c r="P900" s="22"/>
      <c r="Q900" s="285" t="str">
        <f t="shared" ref="Q900" si="1406">IF(COUNT(P900:P901)&lt;1,"",AVERAGE(P900:P901))</f>
        <v/>
      </c>
      <c r="R900" s="278" t="str">
        <f>IF($X$13="/28",IF(COUNT(P900:P901)&lt;=1,"",ABS(P900-P901)),IF($X$13="/90",IF(COUNT(#REF!)&lt;=1,"",ABS(#REF!-#REF!))))</f>
        <v/>
      </c>
      <c r="S900" s="278" t="str">
        <f>IF($X$13="/28",IF(Q900="","",IF(AVERAGE(Q896:Q901)&gt;=$W$13,ROUND(AVERAGE(Q896:Q901),1)&amp;" ≥ "&amp;$W$13&amp;" OK",ROUND(AVERAGE(Q896:Q901),1)&amp;" &lt; "&amp;$W$13&amp;" NC")),IF($X$13="/90",IF(#REF!="","",IF(AVERAGE(#REF!)&gt;=$W$13,ROUND(AVERAGE(#REF!),1)&amp;" ≥ "&amp;$W$13&amp;" OK",ROUND(AVERAGE(#REF!),1)&amp;" &lt; "&amp;$W$13&amp;" NC"))))</f>
        <v/>
      </c>
      <c r="T900" s="278" t="str">
        <f>IF($X$13="/28",IF(Q900="","",IF(Q900&gt;=$W$13-$S$12,ROUND((Q900),1)&amp;" ≥ "&amp;$W$13-$S$12&amp;" OK",ROUND((Q900),1)&amp;" &lt; "&amp;$W$13-$S$12&amp;" NC")),IF($X$13="/90",IF(#REF!="","",IF(#REF!&gt;=$W$13-$S$12,ROUND((#REF!),1)&amp;" ≥ "&amp;$W$13-$S$12&amp;" OK",ROUND((#REF!),1)&amp;" &lt; "&amp;$W$13-$S$12&amp;" NC"))))</f>
        <v/>
      </c>
      <c r="U900" s="14"/>
      <c r="V900" s="279"/>
      <c r="W900" s="280"/>
      <c r="X900" s="281"/>
      <c r="Y900" s="246"/>
      <c r="Z900" s="246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BP900" s="390" t="str">
        <f>IF($X$13="/28",IF(Q900="","",Q900),IF($X$13="/90",IF(#REF!="","",#REF!),"Falso"))</f>
        <v/>
      </c>
      <c r="BQ900" s="392" t="str">
        <f t="shared" si="1386"/>
        <v/>
      </c>
      <c r="BS900" s="50" t="str">
        <f>Q1782</f>
        <v/>
      </c>
      <c r="BT900" s="50" t="e">
        <f>#REF!</f>
        <v>#REF!</v>
      </c>
      <c r="BU900" s="39" t="str">
        <f t="shared" si="1337"/>
        <v/>
      </c>
      <c r="BV900" s="39" t="str">
        <f t="shared" si="1330"/>
        <v/>
      </c>
    </row>
    <row r="901" spans="1:74" ht="14.25" customHeight="1" x14ac:dyDescent="0.35">
      <c r="A901" s="294"/>
      <c r="B901" s="296"/>
      <c r="C901" s="298"/>
      <c r="D901" s="300"/>
      <c r="E901" s="302"/>
      <c r="F901" s="304"/>
      <c r="G901" s="276"/>
      <c r="H901" s="277"/>
      <c r="I901" s="290"/>
      <c r="J901" s="290"/>
      <c r="K901" s="291"/>
      <c r="L901" s="17"/>
      <c r="M901" s="286"/>
      <c r="N901" s="21"/>
      <c r="O901" s="286"/>
      <c r="P901" s="21"/>
      <c r="Q901" s="286"/>
      <c r="R901" s="248"/>
      <c r="S901" s="287"/>
      <c r="T901" s="248"/>
      <c r="U901" s="13"/>
      <c r="V901" s="282"/>
      <c r="W901" s="283"/>
      <c r="X901" s="284"/>
      <c r="Y901" s="245"/>
      <c r="Z901" s="245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BP901" s="391"/>
      <c r="BQ901" s="393"/>
      <c r="BS901" s="50" t="str">
        <f>Q1784</f>
        <v/>
      </c>
      <c r="BT901" s="50" t="e">
        <f>#REF!</f>
        <v>#REF!</v>
      </c>
      <c r="BU901" s="39" t="str">
        <f t="shared" si="1337"/>
        <v/>
      </c>
      <c r="BV901" s="39" t="str">
        <f t="shared" si="1330"/>
        <v/>
      </c>
    </row>
    <row r="902" spans="1:74" ht="14.25" customHeight="1" x14ac:dyDescent="0.35">
      <c r="A902" s="293">
        <v>443</v>
      </c>
      <c r="B902" s="295"/>
      <c r="C902" s="297"/>
      <c r="D902" s="299"/>
      <c r="E902" s="301"/>
      <c r="F902" s="303"/>
      <c r="G902" s="288"/>
      <c r="H902" s="289"/>
      <c r="I902" s="290"/>
      <c r="J902" s="290"/>
      <c r="K902" s="291"/>
      <c r="L902" s="18"/>
      <c r="M902" s="285" t="str">
        <f t="shared" ref="M902" si="1407">IF(COUNT(L902:L903)&lt;1,"",AVERAGE(L902:L903))</f>
        <v/>
      </c>
      <c r="N902" s="22"/>
      <c r="O902" s="285" t="str">
        <f t="shared" ref="O902" si="1408">IF(COUNT(N902:N903)&lt;1,"",AVERAGE(N902:N903))</f>
        <v/>
      </c>
      <c r="P902" s="22"/>
      <c r="Q902" s="285" t="str">
        <f t="shared" ref="Q902" si="1409">IF(COUNT(P902:P903)&lt;1,"",AVERAGE(P902:P903))</f>
        <v/>
      </c>
      <c r="R902" s="278" t="str">
        <f>IF($X$13="/28",IF(COUNT(P902:P903)&lt;=1,"",ABS(P902-P903)),IF($X$13="/90",IF(COUNT(#REF!)&lt;=1,"",ABS(#REF!-#REF!))))</f>
        <v/>
      </c>
      <c r="S902" s="278" t="str">
        <f>IF($X$13="/28",IF(Q902="","",IF(AVERAGE(Q898:Q903)&gt;=$W$13,ROUND(AVERAGE(Q898:Q903),1)&amp;" ≥ "&amp;$W$13&amp;" OK",ROUND(AVERAGE(Q898:Q903),1)&amp;" &lt; "&amp;$W$13&amp;" NC")),IF($X$13="/90",IF(#REF!="","",IF(AVERAGE(#REF!)&gt;=$W$13,ROUND(AVERAGE(#REF!),1)&amp;" ≥ "&amp;$W$13&amp;" OK",ROUND(AVERAGE(#REF!),1)&amp;" &lt; "&amp;$W$13&amp;" NC"))))</f>
        <v/>
      </c>
      <c r="T902" s="278" t="str">
        <f>IF($X$13="/28",IF(Q902="","",IF(Q902&gt;=$W$13-$S$12,ROUND((Q902),1)&amp;" ≥ "&amp;$W$13-$S$12&amp;" OK",ROUND((Q902),1)&amp;" &lt; "&amp;$W$13-$S$12&amp;" NC")),IF($X$13="/90",IF(#REF!="","",IF(#REF!&gt;=$W$13-$S$12,ROUND((#REF!),1)&amp;" ≥ "&amp;$W$13-$S$12&amp;" OK",ROUND((#REF!),1)&amp;" &lt; "&amp;$W$13-$S$12&amp;" NC"))))</f>
        <v/>
      </c>
      <c r="U902" s="14"/>
      <c r="V902" s="279"/>
      <c r="W902" s="280"/>
      <c r="X902" s="281"/>
      <c r="Y902" s="246"/>
      <c r="Z902" s="246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BP902" s="390" t="str">
        <f>IF($X$13="/28",IF(Q902="","",Q902),IF($X$13="/90",IF(#REF!="","",#REF!),"Falso"))</f>
        <v/>
      </c>
      <c r="BQ902" s="392" t="str">
        <f t="shared" si="1390"/>
        <v/>
      </c>
      <c r="BS902" s="50" t="str">
        <f>Q1786</f>
        <v/>
      </c>
      <c r="BT902" s="50" t="e">
        <f>#REF!</f>
        <v>#REF!</v>
      </c>
      <c r="BU902" s="39" t="str">
        <f t="shared" si="1337"/>
        <v/>
      </c>
      <c r="BV902" s="39" t="str">
        <f t="shared" si="1330"/>
        <v/>
      </c>
    </row>
    <row r="903" spans="1:74" ht="14.25" customHeight="1" x14ac:dyDescent="0.35">
      <c r="A903" s="294"/>
      <c r="B903" s="296"/>
      <c r="C903" s="298"/>
      <c r="D903" s="300"/>
      <c r="E903" s="302"/>
      <c r="F903" s="304"/>
      <c r="G903" s="276"/>
      <c r="H903" s="277"/>
      <c r="I903" s="290"/>
      <c r="J903" s="290"/>
      <c r="K903" s="291"/>
      <c r="L903" s="17"/>
      <c r="M903" s="286"/>
      <c r="N903" s="21"/>
      <c r="O903" s="286"/>
      <c r="P903" s="21"/>
      <c r="Q903" s="286"/>
      <c r="R903" s="248"/>
      <c r="S903" s="287"/>
      <c r="T903" s="248"/>
      <c r="U903" s="13"/>
      <c r="V903" s="282"/>
      <c r="W903" s="283"/>
      <c r="X903" s="284"/>
      <c r="Y903" s="245"/>
      <c r="Z903" s="245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BP903" s="391"/>
      <c r="BQ903" s="393"/>
      <c r="BS903" s="50" t="str">
        <f>Q1788</f>
        <v/>
      </c>
      <c r="BT903" s="50" t="e">
        <f>#REF!</f>
        <v>#REF!</v>
      </c>
      <c r="BU903" s="39" t="str">
        <f t="shared" si="1337"/>
        <v/>
      </c>
      <c r="BV903" s="39" t="str">
        <f t="shared" si="1330"/>
        <v/>
      </c>
    </row>
    <row r="904" spans="1:74" ht="14.25" customHeight="1" x14ac:dyDescent="0.35">
      <c r="A904" s="293">
        <v>444</v>
      </c>
      <c r="B904" s="295"/>
      <c r="C904" s="297"/>
      <c r="D904" s="299"/>
      <c r="E904" s="301"/>
      <c r="F904" s="303"/>
      <c r="G904" s="288"/>
      <c r="H904" s="289"/>
      <c r="I904" s="290"/>
      <c r="J904" s="290"/>
      <c r="K904" s="291"/>
      <c r="L904" s="18"/>
      <c r="M904" s="285" t="str">
        <f t="shared" ref="M904" si="1410">IF(COUNT(L904:L905)&lt;1,"",AVERAGE(L904:L905))</f>
        <v/>
      </c>
      <c r="N904" s="22"/>
      <c r="O904" s="285" t="str">
        <f t="shared" ref="O904" si="1411">IF(COUNT(N904:N905)&lt;1,"",AVERAGE(N904:N905))</f>
        <v/>
      </c>
      <c r="P904" s="22"/>
      <c r="Q904" s="285" t="str">
        <f t="shared" ref="Q904" si="1412">IF(COUNT(P904:P905)&lt;1,"",AVERAGE(P904:P905))</f>
        <v/>
      </c>
      <c r="R904" s="278" t="str">
        <f>IF($X$13="/28",IF(COUNT(P904:P905)&lt;=1,"",ABS(P904-P905)),IF($X$13="/90",IF(COUNT(#REF!)&lt;=1,"",ABS(#REF!-#REF!))))</f>
        <v/>
      </c>
      <c r="S904" s="278" t="str">
        <f>IF($X$13="/28",IF(Q904="","",IF(AVERAGE(Q900:Q905)&gt;=$W$13,ROUND(AVERAGE(Q900:Q905),1)&amp;" ≥ "&amp;$W$13&amp;" OK",ROUND(AVERAGE(Q900:Q905),1)&amp;" &lt; "&amp;$W$13&amp;" NC")),IF($X$13="/90",IF(#REF!="","",IF(AVERAGE(#REF!)&gt;=$W$13,ROUND(AVERAGE(#REF!),1)&amp;" ≥ "&amp;$W$13&amp;" OK",ROUND(AVERAGE(#REF!),1)&amp;" &lt; "&amp;$W$13&amp;" NC"))))</f>
        <v/>
      </c>
      <c r="T904" s="278" t="str">
        <f>IF($X$13="/28",IF(Q904="","",IF(Q904&gt;=$W$13-$S$12,ROUND((Q904),1)&amp;" ≥ "&amp;$W$13-$S$12&amp;" OK",ROUND((Q904),1)&amp;" &lt; "&amp;$W$13-$S$12&amp;" NC")),IF($X$13="/90",IF(#REF!="","",IF(#REF!&gt;=$W$13-$S$12,ROUND((#REF!),1)&amp;" ≥ "&amp;$W$13-$S$12&amp;" OK",ROUND((#REF!),1)&amp;" &lt; "&amp;$W$13-$S$12&amp;" NC"))))</f>
        <v/>
      </c>
      <c r="U904" s="14"/>
      <c r="V904" s="279"/>
      <c r="W904" s="280"/>
      <c r="X904" s="281"/>
      <c r="Y904" s="246"/>
      <c r="Z904" s="246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BP904" s="390" t="str">
        <f>IF($X$13="/28",IF(Q904="","",Q904),IF($X$13="/90",IF(#REF!="","",#REF!),"Falso"))</f>
        <v/>
      </c>
      <c r="BQ904" s="392" t="str">
        <f t="shared" si="1394"/>
        <v/>
      </c>
      <c r="BS904" s="50" t="str">
        <f>Q1790</f>
        <v/>
      </c>
      <c r="BT904" s="50" t="e">
        <f>#REF!</f>
        <v>#REF!</v>
      </c>
      <c r="BU904" s="39" t="str">
        <f t="shared" si="1337"/>
        <v/>
      </c>
      <c r="BV904" s="39" t="str">
        <f t="shared" si="1330"/>
        <v/>
      </c>
    </row>
    <row r="905" spans="1:74" ht="14.25" customHeight="1" x14ac:dyDescent="0.35">
      <c r="A905" s="294"/>
      <c r="B905" s="296"/>
      <c r="C905" s="298"/>
      <c r="D905" s="300"/>
      <c r="E905" s="302"/>
      <c r="F905" s="304"/>
      <c r="G905" s="276"/>
      <c r="H905" s="277"/>
      <c r="I905" s="290"/>
      <c r="J905" s="290"/>
      <c r="K905" s="291"/>
      <c r="L905" s="17"/>
      <c r="M905" s="286"/>
      <c r="N905" s="21"/>
      <c r="O905" s="286"/>
      <c r="P905" s="21"/>
      <c r="Q905" s="286"/>
      <c r="R905" s="248"/>
      <c r="S905" s="287"/>
      <c r="T905" s="248"/>
      <c r="U905" s="13"/>
      <c r="V905" s="282"/>
      <c r="W905" s="283"/>
      <c r="X905" s="284"/>
      <c r="Y905" s="245"/>
      <c r="Z905" s="245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BP905" s="391"/>
      <c r="BQ905" s="393"/>
      <c r="BS905" s="50" t="str">
        <f>Q1792</f>
        <v/>
      </c>
      <c r="BT905" s="50" t="e">
        <f>#REF!</f>
        <v>#REF!</v>
      </c>
      <c r="BU905" s="39" t="str">
        <f t="shared" si="1337"/>
        <v/>
      </c>
      <c r="BV905" s="39" t="str">
        <f t="shared" si="1330"/>
        <v/>
      </c>
    </row>
    <row r="906" spans="1:74" ht="14.25" customHeight="1" x14ac:dyDescent="0.35">
      <c r="A906" s="293">
        <v>445</v>
      </c>
      <c r="B906" s="295"/>
      <c r="C906" s="297"/>
      <c r="D906" s="299"/>
      <c r="E906" s="301"/>
      <c r="F906" s="303"/>
      <c r="G906" s="288"/>
      <c r="H906" s="289"/>
      <c r="I906" s="290"/>
      <c r="J906" s="290"/>
      <c r="K906" s="291"/>
      <c r="L906" s="18"/>
      <c r="M906" s="285" t="str">
        <f t="shared" ref="M906" si="1413">IF(COUNT(L906:L907)&lt;1,"",AVERAGE(L906:L907))</f>
        <v/>
      </c>
      <c r="N906" s="22"/>
      <c r="O906" s="285" t="str">
        <f t="shared" ref="O906" si="1414">IF(COUNT(N906:N907)&lt;1,"",AVERAGE(N906:N907))</f>
        <v/>
      </c>
      <c r="P906" s="22"/>
      <c r="Q906" s="285" t="str">
        <f t="shared" ref="Q906" si="1415">IF(COUNT(P906:P907)&lt;1,"",AVERAGE(P906:P907))</f>
        <v/>
      </c>
      <c r="R906" s="278" t="str">
        <f>IF($X$13="/28",IF(COUNT(P906:P907)&lt;=1,"",ABS(P906-P907)),IF($X$13="/90",IF(COUNT(#REF!)&lt;=1,"",ABS(#REF!-#REF!))))</f>
        <v/>
      </c>
      <c r="S906" s="278" t="str">
        <f>IF($X$13="/28",IF(Q906="","",IF(AVERAGE(Q902:Q907)&gt;=$W$13,ROUND(AVERAGE(Q902:Q907),1)&amp;" ≥ "&amp;$W$13&amp;" OK",ROUND(AVERAGE(Q902:Q907),1)&amp;" &lt; "&amp;$W$13&amp;" NC")),IF($X$13="/90",IF(#REF!="","",IF(AVERAGE(#REF!)&gt;=$W$13,ROUND(AVERAGE(#REF!),1)&amp;" ≥ "&amp;$W$13&amp;" OK",ROUND(AVERAGE(#REF!),1)&amp;" &lt; "&amp;$W$13&amp;" NC"))))</f>
        <v/>
      </c>
      <c r="T906" s="278" t="str">
        <f>IF($X$13="/28",IF(Q906="","",IF(Q906&gt;=$W$13-$S$12,ROUND((Q906),1)&amp;" ≥ "&amp;$W$13-$S$12&amp;" OK",ROUND((Q906),1)&amp;" &lt; "&amp;$W$13-$S$12&amp;" NC")),IF($X$13="/90",IF(#REF!="","",IF(#REF!&gt;=$W$13-$S$12,ROUND((#REF!),1)&amp;" ≥ "&amp;$W$13-$S$12&amp;" OK",ROUND((#REF!),1)&amp;" &lt; "&amp;$W$13-$S$12&amp;" NC"))))</f>
        <v/>
      </c>
      <c r="U906" s="14"/>
      <c r="V906" s="279"/>
      <c r="W906" s="280"/>
      <c r="X906" s="281"/>
      <c r="Y906" s="246"/>
      <c r="Z906" s="246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BP906" s="390" t="str">
        <f>IF($X$13="/28",IF(Q906="","",Q906),IF($X$13="/90",IF(#REF!="","",#REF!),"Falso"))</f>
        <v/>
      </c>
      <c r="BQ906" s="392" t="str">
        <f t="shared" si="1386"/>
        <v/>
      </c>
      <c r="BS906" s="50" t="str">
        <f>Q1794</f>
        <v/>
      </c>
      <c r="BT906" s="50" t="e">
        <f>#REF!</f>
        <v>#REF!</v>
      </c>
      <c r="BU906" s="39" t="str">
        <f t="shared" si="1337"/>
        <v/>
      </c>
      <c r="BV906" s="39" t="str">
        <f t="shared" si="1330"/>
        <v/>
      </c>
    </row>
    <row r="907" spans="1:74" ht="14.25" customHeight="1" x14ac:dyDescent="0.35">
      <c r="A907" s="294"/>
      <c r="B907" s="296"/>
      <c r="C907" s="298"/>
      <c r="D907" s="300"/>
      <c r="E907" s="302"/>
      <c r="F907" s="304"/>
      <c r="G907" s="276"/>
      <c r="H907" s="277"/>
      <c r="I907" s="290"/>
      <c r="J907" s="290"/>
      <c r="K907" s="291"/>
      <c r="L907" s="17"/>
      <c r="M907" s="286"/>
      <c r="N907" s="21"/>
      <c r="O907" s="286"/>
      <c r="P907" s="21"/>
      <c r="Q907" s="286"/>
      <c r="R907" s="248"/>
      <c r="S907" s="287"/>
      <c r="T907" s="248"/>
      <c r="U907" s="13"/>
      <c r="V907" s="282"/>
      <c r="W907" s="283"/>
      <c r="X907" s="284"/>
      <c r="Y907" s="245"/>
      <c r="Z907" s="245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BP907" s="391"/>
      <c r="BQ907" s="393"/>
      <c r="BS907" s="50" t="str">
        <f>Q1796</f>
        <v/>
      </c>
      <c r="BT907" s="50" t="e">
        <f>#REF!</f>
        <v>#REF!</v>
      </c>
      <c r="BU907" s="39" t="str">
        <f t="shared" si="1337"/>
        <v/>
      </c>
      <c r="BV907" s="39" t="str">
        <f t="shared" si="1330"/>
        <v/>
      </c>
    </row>
    <row r="908" spans="1:74" ht="14.25" customHeight="1" x14ac:dyDescent="0.35">
      <c r="A908" s="293">
        <v>446</v>
      </c>
      <c r="B908" s="295"/>
      <c r="C908" s="297"/>
      <c r="D908" s="299"/>
      <c r="E908" s="301"/>
      <c r="F908" s="303"/>
      <c r="G908" s="288"/>
      <c r="H908" s="289"/>
      <c r="I908" s="290"/>
      <c r="J908" s="290"/>
      <c r="K908" s="291"/>
      <c r="L908" s="18"/>
      <c r="M908" s="285" t="str">
        <f t="shared" ref="M908" si="1416">IF(COUNT(L908:L909)&lt;1,"",AVERAGE(L908:L909))</f>
        <v/>
      </c>
      <c r="N908" s="22"/>
      <c r="O908" s="285" t="str">
        <f t="shared" ref="O908" si="1417">IF(COUNT(N908:N909)&lt;1,"",AVERAGE(N908:N909))</f>
        <v/>
      </c>
      <c r="P908" s="22"/>
      <c r="Q908" s="285" t="str">
        <f t="shared" ref="Q908" si="1418">IF(COUNT(P908:P909)&lt;1,"",AVERAGE(P908:P909))</f>
        <v/>
      </c>
      <c r="R908" s="278" t="str">
        <f>IF($X$13="/28",IF(COUNT(P908:P909)&lt;=1,"",ABS(P908-P909)),IF($X$13="/90",IF(COUNT(#REF!)&lt;=1,"",ABS(#REF!-#REF!))))</f>
        <v/>
      </c>
      <c r="S908" s="278" t="str">
        <f>IF($X$13="/28",IF(Q908="","",IF(AVERAGE(Q904:Q909)&gt;=$W$13,ROUND(AVERAGE(Q904:Q909),1)&amp;" ≥ "&amp;$W$13&amp;" OK",ROUND(AVERAGE(Q904:Q909),1)&amp;" &lt; "&amp;$W$13&amp;" NC")),IF($X$13="/90",IF(#REF!="","",IF(AVERAGE(#REF!)&gt;=$W$13,ROUND(AVERAGE(#REF!),1)&amp;" ≥ "&amp;$W$13&amp;" OK",ROUND(AVERAGE(#REF!),1)&amp;" &lt; "&amp;$W$13&amp;" NC"))))</f>
        <v/>
      </c>
      <c r="T908" s="278" t="str">
        <f>IF($X$13="/28",IF(Q908="","",IF(Q908&gt;=$W$13-$S$12,ROUND((Q908),1)&amp;" ≥ "&amp;$W$13-$S$12&amp;" OK",ROUND((Q908),1)&amp;" &lt; "&amp;$W$13-$S$12&amp;" NC")),IF($X$13="/90",IF(#REF!="","",IF(#REF!&gt;=$W$13-$S$12,ROUND((#REF!),1)&amp;" ≥ "&amp;$W$13-$S$12&amp;" OK",ROUND((#REF!),1)&amp;" &lt; "&amp;$W$13-$S$12&amp;" NC"))))</f>
        <v/>
      </c>
      <c r="U908" s="14"/>
      <c r="V908" s="279"/>
      <c r="W908" s="280"/>
      <c r="X908" s="281"/>
      <c r="Y908" s="246"/>
      <c r="Z908" s="246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BP908" s="390" t="str">
        <f>IF($X$13="/28",IF(Q908="","",Q908),IF($X$13="/90",IF(#REF!="","",#REF!),"Falso"))</f>
        <v/>
      </c>
      <c r="BQ908" s="392" t="str">
        <f t="shared" si="1390"/>
        <v/>
      </c>
      <c r="BS908" s="50" t="str">
        <f>Q1798</f>
        <v/>
      </c>
      <c r="BT908" s="50" t="e">
        <f>#REF!</f>
        <v>#REF!</v>
      </c>
      <c r="BU908" s="39" t="str">
        <f t="shared" si="1337"/>
        <v/>
      </c>
      <c r="BV908" s="39" t="str">
        <f t="shared" si="1330"/>
        <v/>
      </c>
    </row>
    <row r="909" spans="1:74" ht="14.25" customHeight="1" x14ac:dyDescent="0.35">
      <c r="A909" s="294"/>
      <c r="B909" s="296"/>
      <c r="C909" s="298"/>
      <c r="D909" s="300"/>
      <c r="E909" s="302"/>
      <c r="F909" s="304"/>
      <c r="G909" s="276"/>
      <c r="H909" s="277"/>
      <c r="I909" s="290"/>
      <c r="J909" s="290"/>
      <c r="K909" s="291"/>
      <c r="L909" s="17"/>
      <c r="M909" s="286"/>
      <c r="N909" s="21"/>
      <c r="O909" s="286"/>
      <c r="P909" s="21"/>
      <c r="Q909" s="286"/>
      <c r="R909" s="248"/>
      <c r="S909" s="287"/>
      <c r="T909" s="248"/>
      <c r="U909" s="13"/>
      <c r="V909" s="282"/>
      <c r="W909" s="283"/>
      <c r="X909" s="284"/>
      <c r="Y909" s="245"/>
      <c r="Z909" s="245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BP909" s="391"/>
      <c r="BQ909" s="393"/>
      <c r="BS909" s="50" t="str">
        <f>Q1800</f>
        <v/>
      </c>
      <c r="BT909" s="50" t="e">
        <f>#REF!</f>
        <v>#REF!</v>
      </c>
      <c r="BU909" s="39" t="str">
        <f t="shared" si="1337"/>
        <v/>
      </c>
      <c r="BV909" s="39" t="str">
        <f t="shared" si="1330"/>
        <v/>
      </c>
    </row>
    <row r="910" spans="1:74" ht="14.25" customHeight="1" x14ac:dyDescent="0.35">
      <c r="A910" s="293">
        <v>447</v>
      </c>
      <c r="B910" s="295"/>
      <c r="C910" s="297"/>
      <c r="D910" s="299"/>
      <c r="E910" s="301"/>
      <c r="F910" s="303"/>
      <c r="G910" s="288"/>
      <c r="H910" s="289"/>
      <c r="I910" s="290"/>
      <c r="J910" s="290"/>
      <c r="K910" s="291"/>
      <c r="L910" s="18"/>
      <c r="M910" s="285" t="str">
        <f t="shared" ref="M910" si="1419">IF(COUNT(L910:L911)&lt;1,"",AVERAGE(L910:L911))</f>
        <v/>
      </c>
      <c r="N910" s="22"/>
      <c r="O910" s="285" t="str">
        <f t="shared" ref="O910" si="1420">IF(COUNT(N910:N911)&lt;1,"",AVERAGE(N910:N911))</f>
        <v/>
      </c>
      <c r="P910" s="22"/>
      <c r="Q910" s="285" t="str">
        <f t="shared" ref="Q910" si="1421">IF(COUNT(P910:P911)&lt;1,"",AVERAGE(P910:P911))</f>
        <v/>
      </c>
      <c r="R910" s="278" t="str">
        <f>IF($X$13="/28",IF(COUNT(P910:P911)&lt;=1,"",ABS(P910-P911)),IF($X$13="/90",IF(COUNT(#REF!)&lt;=1,"",ABS(#REF!-#REF!))))</f>
        <v/>
      </c>
      <c r="S910" s="278" t="str">
        <f>IF($X$13="/28",IF(Q910="","",IF(AVERAGE(Q906:Q911)&gt;=$W$13,ROUND(AVERAGE(Q906:Q911),1)&amp;" ≥ "&amp;$W$13&amp;" OK",ROUND(AVERAGE(Q906:Q911),1)&amp;" &lt; "&amp;$W$13&amp;" NC")),IF($X$13="/90",IF(#REF!="","",IF(AVERAGE(#REF!)&gt;=$W$13,ROUND(AVERAGE(#REF!),1)&amp;" ≥ "&amp;$W$13&amp;" OK",ROUND(AVERAGE(#REF!),1)&amp;" &lt; "&amp;$W$13&amp;" NC"))))</f>
        <v/>
      </c>
      <c r="T910" s="278" t="str">
        <f>IF($X$13="/28",IF(Q910="","",IF(Q910&gt;=$W$13-$S$12,ROUND((Q910),1)&amp;" ≥ "&amp;$W$13-$S$12&amp;" OK",ROUND((Q910),1)&amp;" &lt; "&amp;$W$13-$S$12&amp;" NC")),IF($X$13="/90",IF(#REF!="","",IF(#REF!&gt;=$W$13-$S$12,ROUND((#REF!),1)&amp;" ≥ "&amp;$W$13-$S$12&amp;" OK",ROUND((#REF!),1)&amp;" &lt; "&amp;$W$13-$S$12&amp;" NC"))))</f>
        <v/>
      </c>
      <c r="U910" s="14"/>
      <c r="V910" s="279"/>
      <c r="W910" s="280"/>
      <c r="X910" s="281"/>
      <c r="Y910" s="246"/>
      <c r="Z910" s="246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BP910" s="390" t="str">
        <f>IF($X$13="/28",IF(Q910="","",Q910),IF($X$13="/90",IF(#REF!="","",#REF!),"Falso"))</f>
        <v/>
      </c>
      <c r="BQ910" s="392" t="str">
        <f t="shared" si="1394"/>
        <v/>
      </c>
      <c r="BS910" s="50" t="str">
        <f>Q1802</f>
        <v/>
      </c>
      <c r="BT910" s="50" t="e">
        <f>#REF!</f>
        <v>#REF!</v>
      </c>
      <c r="BU910" s="39" t="str">
        <f t="shared" si="1337"/>
        <v/>
      </c>
      <c r="BV910" s="39" t="str">
        <f t="shared" si="1330"/>
        <v/>
      </c>
    </row>
    <row r="911" spans="1:74" ht="14.25" customHeight="1" x14ac:dyDescent="0.35">
      <c r="A911" s="294"/>
      <c r="B911" s="296"/>
      <c r="C911" s="298"/>
      <c r="D911" s="300"/>
      <c r="E911" s="302"/>
      <c r="F911" s="304"/>
      <c r="G911" s="276"/>
      <c r="H911" s="277"/>
      <c r="I911" s="290"/>
      <c r="J911" s="290"/>
      <c r="K911" s="291"/>
      <c r="L911" s="17"/>
      <c r="M911" s="286"/>
      <c r="N911" s="21"/>
      <c r="O911" s="286"/>
      <c r="P911" s="21"/>
      <c r="Q911" s="286"/>
      <c r="R911" s="248"/>
      <c r="S911" s="287"/>
      <c r="T911" s="248"/>
      <c r="U911" s="13"/>
      <c r="V911" s="282"/>
      <c r="W911" s="283"/>
      <c r="X911" s="284"/>
      <c r="Y911" s="245"/>
      <c r="Z911" s="245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BP911" s="391"/>
      <c r="BQ911" s="393"/>
      <c r="BS911" s="50" t="str">
        <f>Q1804</f>
        <v/>
      </c>
      <c r="BT911" s="50" t="e">
        <f>#REF!</f>
        <v>#REF!</v>
      </c>
      <c r="BU911" s="39" t="str">
        <f t="shared" si="1337"/>
        <v/>
      </c>
      <c r="BV911" s="39" t="str">
        <f t="shared" si="1330"/>
        <v/>
      </c>
    </row>
    <row r="912" spans="1:74" ht="14.25" customHeight="1" x14ac:dyDescent="0.35">
      <c r="A912" s="293">
        <v>448</v>
      </c>
      <c r="B912" s="295"/>
      <c r="C912" s="297"/>
      <c r="D912" s="299"/>
      <c r="E912" s="301"/>
      <c r="F912" s="303"/>
      <c r="G912" s="288"/>
      <c r="H912" s="289"/>
      <c r="I912" s="290"/>
      <c r="J912" s="290"/>
      <c r="K912" s="291"/>
      <c r="L912" s="18"/>
      <c r="M912" s="285" t="str">
        <f t="shared" ref="M912" si="1422">IF(COUNT(L912:L913)&lt;1,"",AVERAGE(L912:L913))</f>
        <v/>
      </c>
      <c r="N912" s="22"/>
      <c r="O912" s="285" t="str">
        <f t="shared" ref="O912" si="1423">IF(COUNT(N912:N913)&lt;1,"",AVERAGE(N912:N913))</f>
        <v/>
      </c>
      <c r="P912" s="22"/>
      <c r="Q912" s="285" t="str">
        <f t="shared" ref="Q912" si="1424">IF(COUNT(P912:P913)&lt;1,"",AVERAGE(P912:P913))</f>
        <v/>
      </c>
      <c r="R912" s="278" t="str">
        <f>IF($X$13="/28",IF(COUNT(P912:P913)&lt;=1,"",ABS(P912-P913)),IF($X$13="/90",IF(COUNT(#REF!)&lt;=1,"",ABS(#REF!-#REF!))))</f>
        <v/>
      </c>
      <c r="S912" s="278" t="str">
        <f>IF($X$13="/28",IF(Q912="","",IF(AVERAGE(Q908:Q913)&gt;=$W$13,ROUND(AVERAGE(Q908:Q913),1)&amp;" ≥ "&amp;$W$13&amp;" OK",ROUND(AVERAGE(Q908:Q913),1)&amp;" &lt; "&amp;$W$13&amp;" NC")),IF($X$13="/90",IF(#REF!="","",IF(AVERAGE(#REF!)&gt;=$W$13,ROUND(AVERAGE(#REF!),1)&amp;" ≥ "&amp;$W$13&amp;" OK",ROUND(AVERAGE(#REF!),1)&amp;" &lt; "&amp;$W$13&amp;" NC"))))</f>
        <v/>
      </c>
      <c r="T912" s="278" t="str">
        <f>IF($X$13="/28",IF(Q912="","",IF(Q912&gt;=$W$13-$S$12,ROUND((Q912),1)&amp;" ≥ "&amp;$W$13-$S$12&amp;" OK",ROUND((Q912),1)&amp;" &lt; "&amp;$W$13-$S$12&amp;" NC")),IF($X$13="/90",IF(#REF!="","",IF(#REF!&gt;=$W$13-$S$12,ROUND((#REF!),1)&amp;" ≥ "&amp;$W$13-$S$12&amp;" OK",ROUND((#REF!),1)&amp;" &lt; "&amp;$W$13-$S$12&amp;" NC"))))</f>
        <v/>
      </c>
      <c r="U912" s="14"/>
      <c r="V912" s="279"/>
      <c r="W912" s="280"/>
      <c r="X912" s="281"/>
      <c r="Y912" s="246"/>
      <c r="Z912" s="246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BP912" s="390" t="str">
        <f>IF($X$13="/28",IF(Q912="","",Q912),IF($X$13="/90",IF(#REF!="","",#REF!),"Falso"))</f>
        <v/>
      </c>
      <c r="BQ912" s="392" t="str">
        <f t="shared" si="1386"/>
        <v/>
      </c>
      <c r="BS912" s="50" t="str">
        <f>Q1806</f>
        <v/>
      </c>
      <c r="BT912" s="50" t="e">
        <f>#REF!</f>
        <v>#REF!</v>
      </c>
      <c r="BU912" s="39" t="str">
        <f t="shared" si="1337"/>
        <v/>
      </c>
      <c r="BV912" s="39" t="str">
        <f t="shared" si="1330"/>
        <v/>
      </c>
    </row>
    <row r="913" spans="1:74" ht="14.25" customHeight="1" x14ac:dyDescent="0.35">
      <c r="A913" s="294"/>
      <c r="B913" s="296"/>
      <c r="C913" s="298"/>
      <c r="D913" s="300"/>
      <c r="E913" s="302"/>
      <c r="F913" s="304"/>
      <c r="G913" s="276"/>
      <c r="H913" s="277"/>
      <c r="I913" s="290"/>
      <c r="J913" s="290"/>
      <c r="K913" s="291"/>
      <c r="L913" s="17"/>
      <c r="M913" s="286"/>
      <c r="N913" s="21"/>
      <c r="O913" s="286"/>
      <c r="P913" s="21"/>
      <c r="Q913" s="286"/>
      <c r="R913" s="248"/>
      <c r="S913" s="287"/>
      <c r="T913" s="248"/>
      <c r="U913" s="13"/>
      <c r="V913" s="282"/>
      <c r="W913" s="283"/>
      <c r="X913" s="284"/>
      <c r="Y913" s="245"/>
      <c r="Z913" s="245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BP913" s="391"/>
      <c r="BQ913" s="393"/>
      <c r="BS913" s="50" t="str">
        <f>Q1808</f>
        <v/>
      </c>
      <c r="BT913" s="50" t="e">
        <f>#REF!</f>
        <v>#REF!</v>
      </c>
      <c r="BU913" s="39" t="str">
        <f t="shared" si="1337"/>
        <v/>
      </c>
      <c r="BV913" s="39" t="str">
        <f t="shared" si="1330"/>
        <v/>
      </c>
    </row>
    <row r="914" spans="1:74" ht="14.25" customHeight="1" x14ac:dyDescent="0.35">
      <c r="A914" s="293">
        <v>449</v>
      </c>
      <c r="B914" s="295"/>
      <c r="C914" s="297"/>
      <c r="D914" s="299"/>
      <c r="E914" s="301"/>
      <c r="F914" s="303"/>
      <c r="G914" s="288"/>
      <c r="H914" s="289"/>
      <c r="I914" s="290"/>
      <c r="J914" s="290"/>
      <c r="K914" s="291"/>
      <c r="L914" s="18"/>
      <c r="M914" s="285" t="str">
        <f t="shared" ref="M914" si="1425">IF(COUNT(L914:L915)&lt;1,"",AVERAGE(L914:L915))</f>
        <v/>
      </c>
      <c r="N914" s="22"/>
      <c r="O914" s="285" t="str">
        <f t="shared" ref="O914" si="1426">IF(COUNT(N914:N915)&lt;1,"",AVERAGE(N914:N915))</f>
        <v/>
      </c>
      <c r="P914" s="22"/>
      <c r="Q914" s="285" t="str">
        <f t="shared" ref="Q914" si="1427">IF(COUNT(P914:P915)&lt;1,"",AVERAGE(P914:P915))</f>
        <v/>
      </c>
      <c r="R914" s="278" t="str">
        <f>IF($X$13="/28",IF(COUNT(P914:P915)&lt;=1,"",ABS(P914-P915)),IF($X$13="/90",IF(COUNT(#REF!)&lt;=1,"",ABS(#REF!-#REF!))))</f>
        <v/>
      </c>
      <c r="S914" s="278" t="str">
        <f>IF($X$13="/28",IF(Q914="","",IF(AVERAGE(Q910:Q915)&gt;=$W$13,ROUND(AVERAGE(Q910:Q915),1)&amp;" ≥ "&amp;$W$13&amp;" OK",ROUND(AVERAGE(Q910:Q915),1)&amp;" &lt; "&amp;$W$13&amp;" NC")),IF($X$13="/90",IF(#REF!="","",IF(AVERAGE(#REF!)&gt;=$W$13,ROUND(AVERAGE(#REF!),1)&amp;" ≥ "&amp;$W$13&amp;" OK",ROUND(AVERAGE(#REF!),1)&amp;" &lt; "&amp;$W$13&amp;" NC"))))</f>
        <v/>
      </c>
      <c r="T914" s="278" t="str">
        <f>IF($X$13="/28",IF(Q914="","",IF(Q914&gt;=$W$13-$S$12,ROUND((Q914),1)&amp;" ≥ "&amp;$W$13-$S$12&amp;" OK",ROUND((Q914),1)&amp;" &lt; "&amp;$W$13-$S$12&amp;" NC")),IF($X$13="/90",IF(#REF!="","",IF(#REF!&gt;=$W$13-$S$12,ROUND((#REF!),1)&amp;" ≥ "&amp;$W$13-$S$12&amp;" OK",ROUND((#REF!),1)&amp;" &lt; "&amp;$W$13-$S$12&amp;" NC"))))</f>
        <v/>
      </c>
      <c r="U914" s="14"/>
      <c r="V914" s="279"/>
      <c r="W914" s="280"/>
      <c r="X914" s="281"/>
      <c r="Y914" s="246"/>
      <c r="Z914" s="246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BP914" s="390" t="str">
        <f>IF($X$13="/28",IF(Q914="","",Q914),IF($X$13="/90",IF(#REF!="","",#REF!),"Falso"))</f>
        <v/>
      </c>
      <c r="BQ914" s="392" t="str">
        <f t="shared" si="1390"/>
        <v/>
      </c>
      <c r="BS914" s="50" t="str">
        <f>Q1810</f>
        <v/>
      </c>
      <c r="BT914" s="50" t="e">
        <f>#REF!</f>
        <v>#REF!</v>
      </c>
      <c r="BU914" s="39" t="str">
        <f t="shared" si="1337"/>
        <v/>
      </c>
      <c r="BV914" s="39" t="str">
        <f t="shared" si="1330"/>
        <v/>
      </c>
    </row>
    <row r="915" spans="1:74" ht="14.25" customHeight="1" x14ac:dyDescent="0.35">
      <c r="A915" s="294"/>
      <c r="B915" s="296"/>
      <c r="C915" s="298"/>
      <c r="D915" s="300"/>
      <c r="E915" s="302"/>
      <c r="F915" s="304"/>
      <c r="G915" s="276"/>
      <c r="H915" s="277"/>
      <c r="I915" s="290"/>
      <c r="J915" s="290"/>
      <c r="K915" s="291"/>
      <c r="L915" s="17"/>
      <c r="M915" s="286"/>
      <c r="N915" s="21"/>
      <c r="O915" s="286"/>
      <c r="P915" s="21"/>
      <c r="Q915" s="286"/>
      <c r="R915" s="248"/>
      <c r="S915" s="287"/>
      <c r="T915" s="248"/>
      <c r="U915" s="13"/>
      <c r="V915" s="282"/>
      <c r="W915" s="283"/>
      <c r="X915" s="284"/>
      <c r="Y915" s="245"/>
      <c r="Z915" s="245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BP915" s="391"/>
      <c r="BQ915" s="393"/>
      <c r="BS915" s="50" t="str">
        <f>Q1812</f>
        <v/>
      </c>
      <c r="BT915" s="50" t="e">
        <f>#REF!</f>
        <v>#REF!</v>
      </c>
      <c r="BU915" s="39" t="str">
        <f t="shared" si="1337"/>
        <v/>
      </c>
      <c r="BV915" s="39" t="str">
        <f t="shared" si="1330"/>
        <v/>
      </c>
    </row>
    <row r="916" spans="1:74" ht="14.25" customHeight="1" x14ac:dyDescent="0.35">
      <c r="A916" s="293">
        <v>450</v>
      </c>
      <c r="B916" s="295"/>
      <c r="C916" s="297"/>
      <c r="D916" s="299"/>
      <c r="E916" s="301"/>
      <c r="F916" s="303"/>
      <c r="G916" s="288"/>
      <c r="H916" s="289"/>
      <c r="I916" s="290"/>
      <c r="J916" s="290"/>
      <c r="K916" s="291"/>
      <c r="L916" s="18"/>
      <c r="M916" s="285" t="str">
        <f t="shared" ref="M916" si="1428">IF(COUNT(L916:L917)&lt;1,"",AVERAGE(L916:L917))</f>
        <v/>
      </c>
      <c r="N916" s="22"/>
      <c r="O916" s="285" t="str">
        <f t="shared" ref="O916" si="1429">IF(COUNT(N916:N917)&lt;1,"",AVERAGE(N916:N917))</f>
        <v/>
      </c>
      <c r="P916" s="22"/>
      <c r="Q916" s="285" t="str">
        <f t="shared" ref="Q916" si="1430">IF(COUNT(P916:P917)&lt;1,"",AVERAGE(P916:P917))</f>
        <v/>
      </c>
      <c r="R916" s="278" t="str">
        <f>IF($X$13="/28",IF(COUNT(P916:P917)&lt;=1,"",ABS(P916-P917)),IF($X$13="/90",IF(COUNT(#REF!)&lt;=1,"",ABS(#REF!-#REF!))))</f>
        <v/>
      </c>
      <c r="S916" s="278" t="str">
        <f>IF($X$13="/28",IF(Q916="","",IF(AVERAGE(Q912:Q917)&gt;=$W$13,ROUND(AVERAGE(Q912:Q917),1)&amp;" ≥ "&amp;$W$13&amp;" OK",ROUND(AVERAGE(Q912:Q917),1)&amp;" &lt; "&amp;$W$13&amp;" NC")),IF($X$13="/90",IF(#REF!="","",IF(AVERAGE(#REF!)&gt;=$W$13,ROUND(AVERAGE(#REF!),1)&amp;" ≥ "&amp;$W$13&amp;" OK",ROUND(AVERAGE(#REF!),1)&amp;" &lt; "&amp;$W$13&amp;" NC"))))</f>
        <v/>
      </c>
      <c r="T916" s="278" t="str">
        <f>IF($X$13="/28",IF(Q916="","",IF(Q916&gt;=$W$13-$S$12,ROUND((Q916),1)&amp;" ≥ "&amp;$W$13-$S$12&amp;" OK",ROUND((Q916),1)&amp;" &lt; "&amp;$W$13-$S$12&amp;" NC")),IF($X$13="/90",IF(#REF!="","",IF(#REF!&gt;=$W$13-$S$12,ROUND((#REF!),1)&amp;" ≥ "&amp;$W$13-$S$12&amp;" OK",ROUND((#REF!),1)&amp;" &lt; "&amp;$W$13-$S$12&amp;" NC"))))</f>
        <v/>
      </c>
      <c r="U916" s="14"/>
      <c r="V916" s="279"/>
      <c r="W916" s="280"/>
      <c r="X916" s="281"/>
      <c r="Y916" s="246"/>
      <c r="Z916" s="246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BP916" s="390" t="str">
        <f>IF($X$13="/28",IF(Q916="","",Q916),IF($X$13="/90",IF(#REF!="","",#REF!),"Falso"))</f>
        <v/>
      </c>
      <c r="BQ916" s="392" t="str">
        <f t="shared" si="1394"/>
        <v/>
      </c>
      <c r="BS916" s="50" t="str">
        <f>Q1814</f>
        <v/>
      </c>
      <c r="BT916" s="50" t="e">
        <f>#REF!</f>
        <v>#REF!</v>
      </c>
      <c r="BU916" s="39" t="str">
        <f t="shared" si="1337"/>
        <v/>
      </c>
      <c r="BV916" s="39" t="str">
        <f t="shared" ref="BV916:BV979" si="1431">IF(BU916="","",BV915+1)</f>
        <v/>
      </c>
    </row>
    <row r="917" spans="1:74" ht="14.25" customHeight="1" thickBot="1" x14ac:dyDescent="0.4">
      <c r="A917" s="384"/>
      <c r="B917" s="385"/>
      <c r="C917" s="386"/>
      <c r="D917" s="387"/>
      <c r="E917" s="388"/>
      <c r="F917" s="389"/>
      <c r="G917" s="377"/>
      <c r="H917" s="378"/>
      <c r="I917" s="382"/>
      <c r="J917" s="382"/>
      <c r="K917" s="383"/>
      <c r="L917" s="19"/>
      <c r="M917" s="379"/>
      <c r="N917" s="23"/>
      <c r="O917" s="379"/>
      <c r="P917" s="23"/>
      <c r="Q917" s="379"/>
      <c r="R917" s="380"/>
      <c r="S917" s="381"/>
      <c r="T917" s="380"/>
      <c r="U917" s="15"/>
      <c r="V917" s="373"/>
      <c r="W917" s="374"/>
      <c r="X917" s="375"/>
      <c r="Y917" s="376"/>
      <c r="Z917" s="376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BP917" s="391"/>
      <c r="BQ917" s="393"/>
      <c r="BS917" s="50" t="str">
        <f>Q1816</f>
        <v/>
      </c>
      <c r="BT917" s="50" t="e">
        <f>#REF!</f>
        <v>#REF!</v>
      </c>
      <c r="BU917" s="39" t="str">
        <f t="shared" si="1337"/>
        <v/>
      </c>
      <c r="BV917" s="39" t="str">
        <f t="shared" si="1431"/>
        <v/>
      </c>
    </row>
    <row r="918" spans="1:74" ht="14.25" customHeight="1" x14ac:dyDescent="0.35">
      <c r="A918" s="311">
        <v>451</v>
      </c>
      <c r="B918" s="312"/>
      <c r="C918" s="313"/>
      <c r="D918" s="314"/>
      <c r="E918" s="315"/>
      <c r="F918" s="353"/>
      <c r="G918" s="354"/>
      <c r="H918" s="355"/>
      <c r="I918" s="356"/>
      <c r="J918" s="356"/>
      <c r="K918" s="357"/>
      <c r="L918" s="16"/>
      <c r="M918" s="352" t="str">
        <f t="shared" ref="M918" si="1432">IF(COUNT(L918:L919)&lt;1,"",AVERAGE(L918:L919))</f>
        <v/>
      </c>
      <c r="N918" s="20"/>
      <c r="O918" s="352" t="str">
        <f t="shared" ref="O918" si="1433">IF(COUNT(N918:N919)&lt;1,"",AVERAGE(N918:N919))</f>
        <v/>
      </c>
      <c r="P918" s="20"/>
      <c r="Q918" s="352" t="str">
        <f t="shared" ref="Q918" si="1434">IF(COUNT(P918:P919)&lt;1,"",AVERAGE(P918:P919))</f>
        <v/>
      </c>
      <c r="R918" s="247" t="str">
        <f>IF($X$13="/28",IF(COUNT(P918:P919)&lt;=1,"",ABS(P918-P919)),IF($X$13="/90",IF(COUNT(#REF!)&lt;=1,"",ABS(#REF!-#REF!))))</f>
        <v/>
      </c>
      <c r="S918" s="247" t="str">
        <f>IF($X$13="/28",IF(Q918="","",IF(AVERAGE(Q914:Q919)&gt;=$W$13,ROUND(AVERAGE(Q914:Q919),1)&amp;" ≥ "&amp;$W$13&amp;" OK",ROUND(AVERAGE(Q914:Q919),1)&amp;" &lt; "&amp;$W$13&amp;" NC")),IF($X$13="/90",IF(#REF!="","",IF(AVERAGE(#REF!)&gt;=$W$13,ROUND(AVERAGE(#REF!),1)&amp;" ≥ "&amp;$W$13&amp;" OK",ROUND(AVERAGE(#REF!),1)&amp;" &lt; "&amp;$W$13&amp;" NC"))))</f>
        <v/>
      </c>
      <c r="T918" s="247" t="str">
        <f>IF($X$13="/28",IF(Q918="","",IF(Q918&gt;=$W$13-$S$12,ROUND((Q918),1)&amp;" ≥ "&amp;$W$13-$S$12&amp;" OK",ROUND((Q918),1)&amp;" &lt; "&amp;$W$13-$S$12&amp;" NC")),IF($X$13="/90",IF(#REF!="","",IF(#REF!&gt;=$W$13-$S$12,ROUND((#REF!),1)&amp;" ≥ "&amp;$W$13-$S$12&amp;" OK",ROUND((#REF!),1)&amp;" &lt; "&amp;$W$13-$S$12&amp;" NC"))))</f>
        <v/>
      </c>
      <c r="U918" s="12"/>
      <c r="V918" s="349"/>
      <c r="W918" s="350"/>
      <c r="X918" s="351"/>
      <c r="Y918" s="244"/>
      <c r="Z918" s="244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BP918" s="390" t="str">
        <f>IF($X$13="/28",IF(Q918="","",Q918),IF($X$13="/90",IF(#REF!="","",#REF!),"Falso"))</f>
        <v/>
      </c>
      <c r="BQ918" s="392" t="str">
        <f t="shared" si="1386"/>
        <v/>
      </c>
      <c r="BS918" s="50" t="str">
        <f>Q1818</f>
        <v/>
      </c>
      <c r="BT918" s="50" t="e">
        <f>#REF!</f>
        <v>#REF!</v>
      </c>
      <c r="BU918" s="39" t="str">
        <f t="shared" si="1337"/>
        <v/>
      </c>
      <c r="BV918" s="39" t="str">
        <f t="shared" si="1431"/>
        <v/>
      </c>
    </row>
    <row r="919" spans="1:74" ht="14.25" customHeight="1" x14ac:dyDescent="0.35">
      <c r="A919" s="294"/>
      <c r="B919" s="296"/>
      <c r="C919" s="298"/>
      <c r="D919" s="300"/>
      <c r="E919" s="302"/>
      <c r="F919" s="304"/>
      <c r="G919" s="276"/>
      <c r="H919" s="277"/>
      <c r="I919" s="290"/>
      <c r="J919" s="290"/>
      <c r="K919" s="291"/>
      <c r="L919" s="17"/>
      <c r="M919" s="286"/>
      <c r="N919" s="21"/>
      <c r="O919" s="286"/>
      <c r="P919" s="21"/>
      <c r="Q919" s="286"/>
      <c r="R919" s="248"/>
      <c r="S919" s="248"/>
      <c r="T919" s="248"/>
      <c r="U919" s="13"/>
      <c r="V919" s="282"/>
      <c r="W919" s="283"/>
      <c r="X919" s="284"/>
      <c r="Y919" s="245"/>
      <c r="Z919" s="245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BP919" s="391"/>
      <c r="BQ919" s="393"/>
      <c r="BS919" s="50" t="str">
        <f>Q1820</f>
        <v/>
      </c>
      <c r="BT919" s="50" t="e">
        <f>#REF!</f>
        <v>#REF!</v>
      </c>
      <c r="BU919" s="39" t="str">
        <f t="shared" si="1337"/>
        <v/>
      </c>
      <c r="BV919" s="39" t="str">
        <f t="shared" si="1431"/>
        <v/>
      </c>
    </row>
    <row r="920" spans="1:74" ht="14.25" customHeight="1" x14ac:dyDescent="0.35">
      <c r="A920" s="293">
        <v>452</v>
      </c>
      <c r="B920" s="295"/>
      <c r="C920" s="297"/>
      <c r="D920" s="299"/>
      <c r="E920" s="301"/>
      <c r="F920" s="303"/>
      <c r="G920" s="288"/>
      <c r="H920" s="289"/>
      <c r="I920" s="290"/>
      <c r="J920" s="290"/>
      <c r="K920" s="291"/>
      <c r="L920" s="18"/>
      <c r="M920" s="285" t="str">
        <f t="shared" ref="M920" si="1435">IF(COUNT(L920:L921)&lt;1,"",AVERAGE(L920:L921))</f>
        <v/>
      </c>
      <c r="N920" s="22"/>
      <c r="O920" s="285" t="str">
        <f t="shared" ref="O920" si="1436">IF(COUNT(N920:N921)&lt;1,"",AVERAGE(N920:N921))</f>
        <v/>
      </c>
      <c r="P920" s="22"/>
      <c r="Q920" s="285" t="str">
        <f t="shared" ref="Q920" si="1437">IF(COUNT(P920:P921)&lt;1,"",AVERAGE(P920:P921))</f>
        <v/>
      </c>
      <c r="R920" s="278" t="str">
        <f>IF($X$13="/28",IF(COUNT(P920:P921)&lt;=1,"",ABS(P920-P921)),IF($X$13="/90",IF(COUNT(#REF!)&lt;=1,"",ABS(#REF!-#REF!))))</f>
        <v/>
      </c>
      <c r="S920" s="278" t="str">
        <f>IF($X$13="/28",IF(Q920="","",IF(AVERAGE(Q916:Q921)&gt;=$W$13,ROUND(AVERAGE(Q916:Q921),1)&amp;" ≥ "&amp;$W$13&amp;" OK",ROUND(AVERAGE(Q916:Q921),1)&amp;" &lt; "&amp;$W$13&amp;" NC")),IF($X$13="/90",IF(#REF!="","",IF(AVERAGE(#REF!)&gt;=$W$13,ROUND(AVERAGE(#REF!),1)&amp;" ≥ "&amp;$W$13&amp;" OK",ROUND(AVERAGE(#REF!),1)&amp;" &lt; "&amp;$W$13&amp;" NC"))))</f>
        <v/>
      </c>
      <c r="T920" s="278" t="str">
        <f>IF($X$13="/28",IF(Q920="","",IF(Q920&gt;=$W$13-$S$12,ROUND((Q920),1)&amp;" ≥ "&amp;$W$13-$S$12&amp;" OK",ROUND((Q920),1)&amp;" &lt; "&amp;$W$13-$S$12&amp;" NC")),IF($X$13="/90",IF(#REF!="","",IF(#REF!&gt;=$W$13-$S$12,ROUND((#REF!),1)&amp;" ≥ "&amp;$W$13-$S$12&amp;" OK",ROUND((#REF!),1)&amp;" &lt; "&amp;$W$13-$S$12&amp;" NC"))))</f>
        <v/>
      </c>
      <c r="U920" s="14"/>
      <c r="V920" s="279"/>
      <c r="W920" s="280"/>
      <c r="X920" s="281"/>
      <c r="Y920" s="246"/>
      <c r="Z920" s="246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BP920" s="390" t="str">
        <f>IF($X$13="/28",IF(Q920="","",Q920),IF($X$13="/90",IF(#REF!="","",#REF!),"Falso"))</f>
        <v/>
      </c>
      <c r="BQ920" s="392" t="str">
        <f t="shared" si="1390"/>
        <v/>
      </c>
      <c r="BS920" s="50" t="str">
        <f>Q1822</f>
        <v/>
      </c>
      <c r="BT920" s="50" t="e">
        <f>#REF!</f>
        <v>#REF!</v>
      </c>
      <c r="BU920" s="39" t="str">
        <f t="shared" ref="BU920:BU983" si="1438">IF($X$13="/28",IF(BS920="","",BS920),IF($X$13="/90",IF(BT920="","",BT920),"Falso"))</f>
        <v/>
      </c>
      <c r="BV920" s="39" t="str">
        <f t="shared" si="1431"/>
        <v/>
      </c>
    </row>
    <row r="921" spans="1:74" ht="14.25" customHeight="1" x14ac:dyDescent="0.35">
      <c r="A921" s="294"/>
      <c r="B921" s="296"/>
      <c r="C921" s="298"/>
      <c r="D921" s="300"/>
      <c r="E921" s="302"/>
      <c r="F921" s="304"/>
      <c r="G921" s="276"/>
      <c r="H921" s="277"/>
      <c r="I921" s="290"/>
      <c r="J921" s="290"/>
      <c r="K921" s="291"/>
      <c r="L921" s="17"/>
      <c r="M921" s="286"/>
      <c r="N921" s="21"/>
      <c r="O921" s="286"/>
      <c r="P921" s="21"/>
      <c r="Q921" s="286"/>
      <c r="R921" s="248"/>
      <c r="S921" s="248"/>
      <c r="T921" s="248"/>
      <c r="U921" s="13"/>
      <c r="V921" s="282"/>
      <c r="W921" s="283"/>
      <c r="X921" s="284"/>
      <c r="Y921" s="245"/>
      <c r="Z921" s="245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BP921" s="391"/>
      <c r="BQ921" s="393"/>
      <c r="BS921" s="50" t="str">
        <f>Q1824</f>
        <v/>
      </c>
      <c r="BT921" s="50" t="e">
        <f>#REF!</f>
        <v>#REF!</v>
      </c>
      <c r="BU921" s="39" t="str">
        <f t="shared" si="1438"/>
        <v/>
      </c>
      <c r="BV921" s="39" t="str">
        <f t="shared" si="1431"/>
        <v/>
      </c>
    </row>
    <row r="922" spans="1:74" ht="14.25" customHeight="1" x14ac:dyDescent="0.35">
      <c r="A922" s="293">
        <v>453</v>
      </c>
      <c r="B922" s="295"/>
      <c r="C922" s="297"/>
      <c r="D922" s="299"/>
      <c r="E922" s="301"/>
      <c r="F922" s="303"/>
      <c r="G922" s="288"/>
      <c r="H922" s="289"/>
      <c r="I922" s="290"/>
      <c r="J922" s="290"/>
      <c r="K922" s="291"/>
      <c r="L922" s="18"/>
      <c r="M922" s="285" t="str">
        <f t="shared" ref="M922" si="1439">IF(COUNT(L922:L923)&lt;1,"",AVERAGE(L922:L923))</f>
        <v/>
      </c>
      <c r="N922" s="22"/>
      <c r="O922" s="285" t="str">
        <f t="shared" ref="O922" si="1440">IF(COUNT(N922:N923)&lt;1,"",AVERAGE(N922:N923))</f>
        <v/>
      </c>
      <c r="P922" s="22"/>
      <c r="Q922" s="285" t="str">
        <f t="shared" ref="Q922" si="1441">IF(COUNT(P922:P923)&lt;1,"",AVERAGE(P922:P923))</f>
        <v/>
      </c>
      <c r="R922" s="278" t="str">
        <f>IF($X$13="/28",IF(COUNT(P922:P923)&lt;=1,"",ABS(P922-P923)),IF($X$13="/90",IF(COUNT(#REF!)&lt;=1,"",ABS(#REF!-#REF!))))</f>
        <v/>
      </c>
      <c r="S922" s="278" t="str">
        <f>IF($X$13="/28",IF(Q922="","",IF(AVERAGE(Q918:Q923)&gt;=$W$13,ROUND(AVERAGE(Q918:Q923),1)&amp;" ≥ "&amp;$W$13&amp;" OK",ROUND(AVERAGE(Q918:Q923),1)&amp;" &lt; "&amp;$W$13&amp;" NC")),IF($X$13="/90",IF(#REF!="","",IF(AVERAGE(#REF!)&gt;=$W$13,ROUND(AVERAGE(#REF!),1)&amp;" ≥ "&amp;$W$13&amp;" OK",ROUND(AVERAGE(#REF!),1)&amp;" &lt; "&amp;$W$13&amp;" NC"))))</f>
        <v/>
      </c>
      <c r="T922" s="278" t="str">
        <f>IF($X$13="/28",IF(Q922="","",IF(Q922&gt;=$W$13-$S$12,ROUND((Q922),1)&amp;" ≥ "&amp;$W$13-$S$12&amp;" OK",ROUND((Q922),1)&amp;" &lt; "&amp;$W$13-$S$12&amp;" NC")),IF($X$13="/90",IF(#REF!="","",IF(#REF!&gt;=$W$13-$S$12,ROUND((#REF!),1)&amp;" ≥ "&amp;$W$13-$S$12&amp;" OK",ROUND((#REF!),1)&amp;" &lt; "&amp;$W$13-$S$12&amp;" NC"))))</f>
        <v/>
      </c>
      <c r="U922" s="14"/>
      <c r="V922" s="279"/>
      <c r="W922" s="280"/>
      <c r="X922" s="281"/>
      <c r="Y922" s="246"/>
      <c r="Z922" s="246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BP922" s="390" t="str">
        <f>IF($X$13="/28",IF(Q922="","",Q922),IF($X$13="/90",IF(#REF!="","",#REF!),"Falso"))</f>
        <v/>
      </c>
      <c r="BQ922" s="392" t="str">
        <f t="shared" si="1394"/>
        <v/>
      </c>
      <c r="BS922" s="50" t="str">
        <f>Q1826</f>
        <v/>
      </c>
      <c r="BT922" s="50" t="e">
        <f>#REF!</f>
        <v>#REF!</v>
      </c>
      <c r="BU922" s="39" t="str">
        <f t="shared" si="1438"/>
        <v/>
      </c>
      <c r="BV922" s="39" t="str">
        <f t="shared" si="1431"/>
        <v/>
      </c>
    </row>
    <row r="923" spans="1:74" ht="14.25" customHeight="1" x14ac:dyDescent="0.35">
      <c r="A923" s="294"/>
      <c r="B923" s="296"/>
      <c r="C923" s="298"/>
      <c r="D923" s="300"/>
      <c r="E923" s="302"/>
      <c r="F923" s="304"/>
      <c r="G923" s="276"/>
      <c r="H923" s="277"/>
      <c r="I923" s="290"/>
      <c r="J923" s="290"/>
      <c r="K923" s="291"/>
      <c r="L923" s="17"/>
      <c r="M923" s="286"/>
      <c r="N923" s="21"/>
      <c r="O923" s="286"/>
      <c r="P923" s="21"/>
      <c r="Q923" s="286"/>
      <c r="R923" s="248"/>
      <c r="S923" s="287"/>
      <c r="T923" s="248"/>
      <c r="U923" s="13"/>
      <c r="V923" s="282"/>
      <c r="W923" s="283"/>
      <c r="X923" s="284"/>
      <c r="Y923" s="245"/>
      <c r="Z923" s="245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BP923" s="391"/>
      <c r="BQ923" s="393"/>
      <c r="BS923" s="50" t="str">
        <f>Q1828</f>
        <v/>
      </c>
      <c r="BT923" s="50" t="e">
        <f>#REF!</f>
        <v>#REF!</v>
      </c>
      <c r="BU923" s="39" t="str">
        <f t="shared" si="1438"/>
        <v/>
      </c>
      <c r="BV923" s="39" t="str">
        <f t="shared" si="1431"/>
        <v/>
      </c>
    </row>
    <row r="924" spans="1:74" ht="14.25" customHeight="1" x14ac:dyDescent="0.35">
      <c r="A924" s="293">
        <v>454</v>
      </c>
      <c r="B924" s="295"/>
      <c r="C924" s="297"/>
      <c r="D924" s="299"/>
      <c r="E924" s="301"/>
      <c r="F924" s="303"/>
      <c r="G924" s="288"/>
      <c r="H924" s="289"/>
      <c r="I924" s="290"/>
      <c r="J924" s="290"/>
      <c r="K924" s="291"/>
      <c r="L924" s="18"/>
      <c r="M924" s="285" t="str">
        <f t="shared" ref="M924" si="1442">IF(COUNT(L924:L925)&lt;1,"",AVERAGE(L924:L925))</f>
        <v/>
      </c>
      <c r="N924" s="22"/>
      <c r="O924" s="285" t="str">
        <f t="shared" ref="O924" si="1443">IF(COUNT(N924:N925)&lt;1,"",AVERAGE(N924:N925))</f>
        <v/>
      </c>
      <c r="P924" s="22"/>
      <c r="Q924" s="285" t="str">
        <f t="shared" ref="Q924" si="1444">IF(COUNT(P924:P925)&lt;1,"",AVERAGE(P924:P925))</f>
        <v/>
      </c>
      <c r="R924" s="278" t="str">
        <f>IF($X$13="/28",IF(COUNT(P924:P925)&lt;=1,"",ABS(P924-P925)),IF($X$13="/90",IF(COUNT(#REF!)&lt;=1,"",ABS(#REF!-#REF!))))</f>
        <v/>
      </c>
      <c r="S924" s="278" t="str">
        <f>IF($X$13="/28",IF(Q924="","",IF(AVERAGE(Q920:Q925)&gt;=$W$13,ROUND(AVERAGE(Q920:Q925),1)&amp;" ≥ "&amp;$W$13&amp;" OK",ROUND(AVERAGE(Q920:Q925),1)&amp;" &lt; "&amp;$W$13&amp;" NC")),IF($X$13="/90",IF(#REF!="","",IF(AVERAGE(#REF!)&gt;=$W$13,ROUND(AVERAGE(#REF!),1)&amp;" ≥ "&amp;$W$13&amp;" OK",ROUND(AVERAGE(#REF!),1)&amp;" &lt; "&amp;$W$13&amp;" NC"))))</f>
        <v/>
      </c>
      <c r="T924" s="278" t="str">
        <f>IF($X$13="/28",IF(Q924="","",IF(Q924&gt;=$W$13-$S$12,ROUND((Q924),1)&amp;" ≥ "&amp;$W$13-$S$12&amp;" OK",ROUND((Q924),1)&amp;" &lt; "&amp;$W$13-$S$12&amp;" NC")),IF($X$13="/90",IF(#REF!="","",IF(#REF!&gt;=$W$13-$S$12,ROUND((#REF!),1)&amp;" ≥ "&amp;$W$13-$S$12&amp;" OK",ROUND((#REF!),1)&amp;" &lt; "&amp;$W$13-$S$12&amp;" NC"))))</f>
        <v/>
      </c>
      <c r="U924" s="14"/>
      <c r="V924" s="279"/>
      <c r="W924" s="280"/>
      <c r="X924" s="281"/>
      <c r="Y924" s="246"/>
      <c r="Z924" s="246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BP924" s="390" t="str">
        <f>IF($X$13="/28",IF(Q924="","",Q924),IF($X$13="/90",IF(#REF!="","",#REF!),"Falso"))</f>
        <v/>
      </c>
      <c r="BQ924" s="392" t="str">
        <f t="shared" si="1386"/>
        <v/>
      </c>
      <c r="BS924" s="50" t="str">
        <f>Q1830</f>
        <v/>
      </c>
      <c r="BT924" s="50" t="e">
        <f>#REF!</f>
        <v>#REF!</v>
      </c>
      <c r="BU924" s="39" t="str">
        <f t="shared" si="1438"/>
        <v/>
      </c>
      <c r="BV924" s="39" t="str">
        <f t="shared" si="1431"/>
        <v/>
      </c>
    </row>
    <row r="925" spans="1:74" ht="14.25" customHeight="1" x14ac:dyDescent="0.35">
      <c r="A925" s="294"/>
      <c r="B925" s="296"/>
      <c r="C925" s="298"/>
      <c r="D925" s="300"/>
      <c r="E925" s="302"/>
      <c r="F925" s="304"/>
      <c r="G925" s="276"/>
      <c r="H925" s="277"/>
      <c r="I925" s="290"/>
      <c r="J925" s="290"/>
      <c r="K925" s="291"/>
      <c r="L925" s="17"/>
      <c r="M925" s="286"/>
      <c r="N925" s="21"/>
      <c r="O925" s="286"/>
      <c r="P925" s="21"/>
      <c r="Q925" s="286"/>
      <c r="R925" s="248"/>
      <c r="S925" s="287"/>
      <c r="T925" s="248"/>
      <c r="U925" s="13"/>
      <c r="V925" s="282"/>
      <c r="W925" s="283"/>
      <c r="X925" s="284"/>
      <c r="Y925" s="245"/>
      <c r="Z925" s="245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BP925" s="391"/>
      <c r="BQ925" s="393"/>
      <c r="BS925" s="50" t="str">
        <f>Q1832</f>
        <v/>
      </c>
      <c r="BT925" s="50" t="e">
        <f>#REF!</f>
        <v>#REF!</v>
      </c>
      <c r="BU925" s="39" t="str">
        <f t="shared" si="1438"/>
        <v/>
      </c>
      <c r="BV925" s="39" t="str">
        <f t="shared" si="1431"/>
        <v/>
      </c>
    </row>
    <row r="926" spans="1:74" ht="14.25" customHeight="1" x14ac:dyDescent="0.35">
      <c r="A926" s="293">
        <v>455</v>
      </c>
      <c r="B926" s="295"/>
      <c r="C926" s="297"/>
      <c r="D926" s="299"/>
      <c r="E926" s="301"/>
      <c r="F926" s="303"/>
      <c r="G926" s="288"/>
      <c r="H926" s="289"/>
      <c r="I926" s="290"/>
      <c r="J926" s="290"/>
      <c r="K926" s="291"/>
      <c r="L926" s="18"/>
      <c r="M926" s="285" t="str">
        <f t="shared" ref="M926" si="1445">IF(COUNT(L926:L927)&lt;1,"",AVERAGE(L926:L927))</f>
        <v/>
      </c>
      <c r="N926" s="22"/>
      <c r="O926" s="285" t="str">
        <f t="shared" ref="O926" si="1446">IF(COUNT(N926:N927)&lt;1,"",AVERAGE(N926:N927))</f>
        <v/>
      </c>
      <c r="P926" s="22"/>
      <c r="Q926" s="285" t="str">
        <f t="shared" ref="Q926" si="1447">IF(COUNT(P926:P927)&lt;1,"",AVERAGE(P926:P927))</f>
        <v/>
      </c>
      <c r="R926" s="278" t="str">
        <f>IF($X$13="/28",IF(COUNT(P926:P927)&lt;=1,"",ABS(P926-P927)),IF($X$13="/90",IF(COUNT(#REF!)&lt;=1,"",ABS(#REF!-#REF!))))</f>
        <v/>
      </c>
      <c r="S926" s="278" t="str">
        <f>IF($X$13="/28",IF(Q926="","",IF(AVERAGE(Q922:Q927)&gt;=$W$13,ROUND(AVERAGE(Q922:Q927),1)&amp;" ≥ "&amp;$W$13&amp;" OK",ROUND(AVERAGE(Q922:Q927),1)&amp;" &lt; "&amp;$W$13&amp;" NC")),IF($X$13="/90",IF(#REF!="","",IF(AVERAGE(#REF!)&gt;=$W$13,ROUND(AVERAGE(#REF!),1)&amp;" ≥ "&amp;$W$13&amp;" OK",ROUND(AVERAGE(#REF!),1)&amp;" &lt; "&amp;$W$13&amp;" NC"))))</f>
        <v/>
      </c>
      <c r="T926" s="278" t="str">
        <f>IF($X$13="/28",IF(Q926="","",IF(Q926&gt;=$W$13-$S$12,ROUND((Q926),1)&amp;" ≥ "&amp;$W$13-$S$12&amp;" OK",ROUND((Q926),1)&amp;" &lt; "&amp;$W$13-$S$12&amp;" NC")),IF($X$13="/90",IF(#REF!="","",IF(#REF!&gt;=$W$13-$S$12,ROUND((#REF!),1)&amp;" ≥ "&amp;$W$13-$S$12&amp;" OK",ROUND((#REF!),1)&amp;" &lt; "&amp;$W$13-$S$12&amp;" NC"))))</f>
        <v/>
      </c>
      <c r="U926" s="14"/>
      <c r="V926" s="279"/>
      <c r="W926" s="280"/>
      <c r="X926" s="281"/>
      <c r="Y926" s="246"/>
      <c r="Z926" s="246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BP926" s="390" t="str">
        <f>IF($X$13="/28",IF(Q926="","",Q926),IF($X$13="/90",IF(#REF!="","",#REF!),"Falso"))</f>
        <v/>
      </c>
      <c r="BQ926" s="392" t="str">
        <f t="shared" si="1390"/>
        <v/>
      </c>
      <c r="BS926" s="50" t="str">
        <f>Q1834</f>
        <v/>
      </c>
      <c r="BT926" s="50" t="e">
        <f>#REF!</f>
        <v>#REF!</v>
      </c>
      <c r="BU926" s="39" t="str">
        <f t="shared" si="1438"/>
        <v/>
      </c>
      <c r="BV926" s="39" t="str">
        <f t="shared" si="1431"/>
        <v/>
      </c>
    </row>
    <row r="927" spans="1:74" ht="14.25" customHeight="1" x14ac:dyDescent="0.35">
      <c r="A927" s="294"/>
      <c r="B927" s="296"/>
      <c r="C927" s="298"/>
      <c r="D927" s="300"/>
      <c r="E927" s="302"/>
      <c r="F927" s="304"/>
      <c r="G927" s="276"/>
      <c r="H927" s="277"/>
      <c r="I927" s="290"/>
      <c r="J927" s="290"/>
      <c r="K927" s="291"/>
      <c r="L927" s="17"/>
      <c r="M927" s="286"/>
      <c r="N927" s="21"/>
      <c r="O927" s="286"/>
      <c r="P927" s="21"/>
      <c r="Q927" s="286"/>
      <c r="R927" s="248"/>
      <c r="S927" s="287"/>
      <c r="T927" s="248"/>
      <c r="U927" s="13"/>
      <c r="V927" s="282"/>
      <c r="W927" s="283"/>
      <c r="X927" s="284"/>
      <c r="Y927" s="245"/>
      <c r="Z927" s="245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BP927" s="391"/>
      <c r="BQ927" s="393"/>
      <c r="BS927" s="50" t="str">
        <f>Q1836</f>
        <v/>
      </c>
      <c r="BT927" s="50" t="e">
        <f>#REF!</f>
        <v>#REF!</v>
      </c>
      <c r="BU927" s="39" t="str">
        <f t="shared" si="1438"/>
        <v/>
      </c>
      <c r="BV927" s="39" t="str">
        <f t="shared" si="1431"/>
        <v/>
      </c>
    </row>
    <row r="928" spans="1:74" ht="14.25" customHeight="1" x14ac:dyDescent="0.35">
      <c r="A928" s="293">
        <v>456</v>
      </c>
      <c r="B928" s="295"/>
      <c r="C928" s="297"/>
      <c r="D928" s="299"/>
      <c r="E928" s="301"/>
      <c r="F928" s="303"/>
      <c r="G928" s="288"/>
      <c r="H928" s="289"/>
      <c r="I928" s="290"/>
      <c r="J928" s="290"/>
      <c r="K928" s="291"/>
      <c r="L928" s="18"/>
      <c r="M928" s="285" t="str">
        <f t="shared" ref="M928" si="1448">IF(COUNT(L928:L929)&lt;1,"",AVERAGE(L928:L929))</f>
        <v/>
      </c>
      <c r="N928" s="22"/>
      <c r="O928" s="285" t="str">
        <f t="shared" ref="O928" si="1449">IF(COUNT(N928:N929)&lt;1,"",AVERAGE(N928:N929))</f>
        <v/>
      </c>
      <c r="P928" s="22"/>
      <c r="Q928" s="285" t="str">
        <f t="shared" ref="Q928" si="1450">IF(COUNT(P928:P929)&lt;1,"",AVERAGE(P928:P929))</f>
        <v/>
      </c>
      <c r="R928" s="278" t="str">
        <f>IF($X$13="/28",IF(COUNT(P928:P929)&lt;=1,"",ABS(P928-P929)),IF($X$13="/90",IF(COUNT(#REF!)&lt;=1,"",ABS(#REF!-#REF!))))</f>
        <v/>
      </c>
      <c r="S928" s="278" t="str">
        <f>IF($X$13="/28",IF(Q928="","",IF(AVERAGE(Q924:Q929)&gt;=$W$13,ROUND(AVERAGE(Q924:Q929),1)&amp;" ≥ "&amp;$W$13&amp;" OK",ROUND(AVERAGE(Q924:Q929),1)&amp;" &lt; "&amp;$W$13&amp;" NC")),IF($X$13="/90",IF(#REF!="","",IF(AVERAGE(#REF!)&gt;=$W$13,ROUND(AVERAGE(#REF!),1)&amp;" ≥ "&amp;$W$13&amp;" OK",ROUND(AVERAGE(#REF!),1)&amp;" &lt; "&amp;$W$13&amp;" NC"))))</f>
        <v/>
      </c>
      <c r="T928" s="278" t="str">
        <f>IF($X$13="/28",IF(Q928="","",IF(Q928&gt;=$W$13-$S$12,ROUND((Q928),1)&amp;" ≥ "&amp;$W$13-$S$12&amp;" OK",ROUND((Q928),1)&amp;" &lt; "&amp;$W$13-$S$12&amp;" NC")),IF($X$13="/90",IF(#REF!="","",IF(#REF!&gt;=$W$13-$S$12,ROUND((#REF!),1)&amp;" ≥ "&amp;$W$13-$S$12&amp;" OK",ROUND((#REF!),1)&amp;" &lt; "&amp;$W$13-$S$12&amp;" NC"))))</f>
        <v/>
      </c>
      <c r="U928" s="14"/>
      <c r="V928" s="279"/>
      <c r="W928" s="280"/>
      <c r="X928" s="281"/>
      <c r="Y928" s="246"/>
      <c r="Z928" s="246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BP928" s="390" t="str">
        <f>IF($X$13="/28",IF(Q928="","",Q928),IF($X$13="/90",IF(#REF!="","",#REF!),"Falso"))</f>
        <v/>
      </c>
      <c r="BQ928" s="392" t="str">
        <f t="shared" si="1394"/>
        <v/>
      </c>
      <c r="BS928" s="50" t="str">
        <f>Q1838</f>
        <v/>
      </c>
      <c r="BT928" s="50" t="e">
        <f>#REF!</f>
        <v>#REF!</v>
      </c>
      <c r="BU928" s="39" t="str">
        <f t="shared" si="1438"/>
        <v/>
      </c>
      <c r="BV928" s="39" t="str">
        <f t="shared" si="1431"/>
        <v/>
      </c>
    </row>
    <row r="929" spans="1:74" ht="14.25" customHeight="1" x14ac:dyDescent="0.35">
      <c r="A929" s="294"/>
      <c r="B929" s="296"/>
      <c r="C929" s="298"/>
      <c r="D929" s="300"/>
      <c r="E929" s="302"/>
      <c r="F929" s="304"/>
      <c r="G929" s="276"/>
      <c r="H929" s="277"/>
      <c r="I929" s="290"/>
      <c r="J929" s="290"/>
      <c r="K929" s="291"/>
      <c r="L929" s="17"/>
      <c r="M929" s="286"/>
      <c r="N929" s="21"/>
      <c r="O929" s="286"/>
      <c r="P929" s="21"/>
      <c r="Q929" s="286"/>
      <c r="R929" s="248"/>
      <c r="S929" s="287"/>
      <c r="T929" s="248"/>
      <c r="U929" s="13"/>
      <c r="V929" s="282"/>
      <c r="W929" s="283"/>
      <c r="X929" s="284"/>
      <c r="Y929" s="245"/>
      <c r="Z929" s="245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BP929" s="391"/>
      <c r="BQ929" s="393"/>
      <c r="BS929" s="50" t="str">
        <f>Q1840</f>
        <v/>
      </c>
      <c r="BT929" s="50" t="e">
        <f>#REF!</f>
        <v>#REF!</v>
      </c>
      <c r="BU929" s="39" t="str">
        <f t="shared" si="1438"/>
        <v/>
      </c>
      <c r="BV929" s="39" t="str">
        <f t="shared" si="1431"/>
        <v/>
      </c>
    </row>
    <row r="930" spans="1:74" ht="14.25" customHeight="1" x14ac:dyDescent="0.35">
      <c r="A930" s="293">
        <v>457</v>
      </c>
      <c r="B930" s="295"/>
      <c r="C930" s="297"/>
      <c r="D930" s="299"/>
      <c r="E930" s="301"/>
      <c r="F930" s="303"/>
      <c r="G930" s="288"/>
      <c r="H930" s="289"/>
      <c r="I930" s="290"/>
      <c r="J930" s="290"/>
      <c r="K930" s="291"/>
      <c r="L930" s="18"/>
      <c r="M930" s="285" t="str">
        <f t="shared" ref="M930" si="1451">IF(COUNT(L930:L931)&lt;1,"",AVERAGE(L930:L931))</f>
        <v/>
      </c>
      <c r="N930" s="22"/>
      <c r="O930" s="285" t="str">
        <f t="shared" ref="O930" si="1452">IF(COUNT(N930:N931)&lt;1,"",AVERAGE(N930:N931))</f>
        <v/>
      </c>
      <c r="P930" s="22"/>
      <c r="Q930" s="285" t="str">
        <f t="shared" ref="Q930" si="1453">IF(COUNT(P930:P931)&lt;1,"",AVERAGE(P930:P931))</f>
        <v/>
      </c>
      <c r="R930" s="278" t="str">
        <f>IF($X$13="/28",IF(COUNT(P930:P931)&lt;=1,"",ABS(P930-P931)),IF($X$13="/90",IF(COUNT(#REF!)&lt;=1,"",ABS(#REF!-#REF!))))</f>
        <v/>
      </c>
      <c r="S930" s="278" t="str">
        <f>IF($X$13="/28",IF(Q930="","",IF(AVERAGE(Q926:Q931)&gt;=$W$13,ROUND(AVERAGE(Q926:Q931),1)&amp;" ≥ "&amp;$W$13&amp;" OK",ROUND(AVERAGE(Q926:Q931),1)&amp;" &lt; "&amp;$W$13&amp;" NC")),IF($X$13="/90",IF(#REF!="","",IF(AVERAGE(#REF!)&gt;=$W$13,ROUND(AVERAGE(#REF!),1)&amp;" ≥ "&amp;$W$13&amp;" OK",ROUND(AVERAGE(#REF!),1)&amp;" &lt; "&amp;$W$13&amp;" NC"))))</f>
        <v/>
      </c>
      <c r="T930" s="278" t="str">
        <f>IF($X$13="/28",IF(Q930="","",IF(Q930&gt;=$W$13-$S$12,ROUND((Q930),1)&amp;" ≥ "&amp;$W$13-$S$12&amp;" OK",ROUND((Q930),1)&amp;" &lt; "&amp;$W$13-$S$12&amp;" NC")),IF($X$13="/90",IF(#REF!="","",IF(#REF!&gt;=$W$13-$S$12,ROUND((#REF!),1)&amp;" ≥ "&amp;$W$13-$S$12&amp;" OK",ROUND((#REF!),1)&amp;" &lt; "&amp;$W$13-$S$12&amp;" NC"))))</f>
        <v/>
      </c>
      <c r="U930" s="14"/>
      <c r="V930" s="279"/>
      <c r="W930" s="280"/>
      <c r="X930" s="281"/>
      <c r="Y930" s="246"/>
      <c r="Z930" s="246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BP930" s="390" t="str">
        <f>IF($X$13="/28",IF(Q930="","",Q930),IF($X$13="/90",IF(#REF!="","",#REF!),"Falso"))</f>
        <v/>
      </c>
      <c r="BQ930" s="392" t="str">
        <f t="shared" si="1386"/>
        <v/>
      </c>
      <c r="BS930" s="50" t="str">
        <f>Q1842</f>
        <v/>
      </c>
      <c r="BT930" s="50" t="e">
        <f>#REF!</f>
        <v>#REF!</v>
      </c>
      <c r="BU930" s="39" t="str">
        <f t="shared" si="1438"/>
        <v/>
      </c>
      <c r="BV930" s="39" t="str">
        <f t="shared" si="1431"/>
        <v/>
      </c>
    </row>
    <row r="931" spans="1:74" ht="14.25" customHeight="1" x14ac:dyDescent="0.35">
      <c r="A931" s="294"/>
      <c r="B931" s="296"/>
      <c r="C931" s="298"/>
      <c r="D931" s="300"/>
      <c r="E931" s="302"/>
      <c r="F931" s="304"/>
      <c r="G931" s="276"/>
      <c r="H931" s="277"/>
      <c r="I931" s="290"/>
      <c r="J931" s="290"/>
      <c r="K931" s="291"/>
      <c r="L931" s="17"/>
      <c r="M931" s="286"/>
      <c r="N931" s="21"/>
      <c r="O931" s="286"/>
      <c r="P931" s="21"/>
      <c r="Q931" s="286"/>
      <c r="R931" s="248"/>
      <c r="S931" s="287"/>
      <c r="T931" s="248"/>
      <c r="U931" s="13"/>
      <c r="V931" s="282"/>
      <c r="W931" s="283"/>
      <c r="X931" s="284"/>
      <c r="Y931" s="245"/>
      <c r="Z931" s="245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BP931" s="391"/>
      <c r="BQ931" s="393"/>
      <c r="BS931" s="50" t="str">
        <f>Q1844</f>
        <v/>
      </c>
      <c r="BT931" s="50" t="e">
        <f>#REF!</f>
        <v>#REF!</v>
      </c>
      <c r="BU931" s="39" t="str">
        <f t="shared" si="1438"/>
        <v/>
      </c>
      <c r="BV931" s="39" t="str">
        <f t="shared" si="1431"/>
        <v/>
      </c>
    </row>
    <row r="932" spans="1:74" ht="14.25" customHeight="1" x14ac:dyDescent="0.35">
      <c r="A932" s="293">
        <v>458</v>
      </c>
      <c r="B932" s="295"/>
      <c r="C932" s="297"/>
      <c r="D932" s="299"/>
      <c r="E932" s="301"/>
      <c r="F932" s="303"/>
      <c r="G932" s="288"/>
      <c r="H932" s="289"/>
      <c r="I932" s="290"/>
      <c r="J932" s="290"/>
      <c r="K932" s="291"/>
      <c r="L932" s="18"/>
      <c r="M932" s="285" t="str">
        <f t="shared" ref="M932" si="1454">IF(COUNT(L932:L933)&lt;1,"",AVERAGE(L932:L933))</f>
        <v/>
      </c>
      <c r="N932" s="22"/>
      <c r="O932" s="285" t="str">
        <f t="shared" ref="O932" si="1455">IF(COUNT(N932:N933)&lt;1,"",AVERAGE(N932:N933))</f>
        <v/>
      </c>
      <c r="P932" s="22"/>
      <c r="Q932" s="285" t="str">
        <f t="shared" ref="Q932" si="1456">IF(COUNT(P932:P933)&lt;1,"",AVERAGE(P932:P933))</f>
        <v/>
      </c>
      <c r="R932" s="278" t="str">
        <f>IF($X$13="/28",IF(COUNT(P932:P933)&lt;=1,"",ABS(P932-P933)),IF($X$13="/90",IF(COUNT(#REF!)&lt;=1,"",ABS(#REF!-#REF!))))</f>
        <v/>
      </c>
      <c r="S932" s="278" t="str">
        <f>IF($X$13="/28",IF(Q932="","",IF(AVERAGE(Q928:Q933)&gt;=$W$13,ROUND(AVERAGE(Q928:Q933),1)&amp;" ≥ "&amp;$W$13&amp;" OK",ROUND(AVERAGE(Q928:Q933),1)&amp;" &lt; "&amp;$W$13&amp;" NC")),IF($X$13="/90",IF(#REF!="","",IF(AVERAGE(#REF!)&gt;=$W$13,ROUND(AVERAGE(#REF!),1)&amp;" ≥ "&amp;$W$13&amp;" OK",ROUND(AVERAGE(#REF!),1)&amp;" &lt; "&amp;$W$13&amp;" NC"))))</f>
        <v/>
      </c>
      <c r="T932" s="278" t="str">
        <f>IF($X$13="/28",IF(Q932="","",IF(Q932&gt;=$W$13-$S$12,ROUND((Q932),1)&amp;" ≥ "&amp;$W$13-$S$12&amp;" OK",ROUND((Q932),1)&amp;" &lt; "&amp;$W$13-$S$12&amp;" NC")),IF($X$13="/90",IF(#REF!="","",IF(#REF!&gt;=$W$13-$S$12,ROUND((#REF!),1)&amp;" ≥ "&amp;$W$13-$S$12&amp;" OK",ROUND((#REF!),1)&amp;" &lt; "&amp;$W$13-$S$12&amp;" NC"))))</f>
        <v/>
      </c>
      <c r="U932" s="14"/>
      <c r="V932" s="279"/>
      <c r="W932" s="280"/>
      <c r="X932" s="281"/>
      <c r="Y932" s="246"/>
      <c r="Z932" s="246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BP932" s="390" t="str">
        <f>IF($X$13="/28",IF(Q932="","",Q932),IF($X$13="/90",IF(#REF!="","",#REF!),"Falso"))</f>
        <v/>
      </c>
      <c r="BQ932" s="392" t="str">
        <f t="shared" si="1390"/>
        <v/>
      </c>
      <c r="BS932" s="50" t="str">
        <f>Q1846</f>
        <v/>
      </c>
      <c r="BT932" s="50" t="e">
        <f>#REF!</f>
        <v>#REF!</v>
      </c>
      <c r="BU932" s="39" t="str">
        <f t="shared" si="1438"/>
        <v/>
      </c>
      <c r="BV932" s="39" t="str">
        <f t="shared" si="1431"/>
        <v/>
      </c>
    </row>
    <row r="933" spans="1:74" ht="14.25" customHeight="1" x14ac:dyDescent="0.35">
      <c r="A933" s="294"/>
      <c r="B933" s="296"/>
      <c r="C933" s="298"/>
      <c r="D933" s="300"/>
      <c r="E933" s="302"/>
      <c r="F933" s="304"/>
      <c r="G933" s="276"/>
      <c r="H933" s="277"/>
      <c r="I933" s="290"/>
      <c r="J933" s="290"/>
      <c r="K933" s="291"/>
      <c r="L933" s="17"/>
      <c r="M933" s="286"/>
      <c r="N933" s="21"/>
      <c r="O933" s="286"/>
      <c r="P933" s="21"/>
      <c r="Q933" s="286"/>
      <c r="R933" s="248"/>
      <c r="S933" s="287"/>
      <c r="T933" s="248"/>
      <c r="U933" s="13"/>
      <c r="V933" s="282"/>
      <c r="W933" s="283"/>
      <c r="X933" s="284"/>
      <c r="Y933" s="245"/>
      <c r="Z933" s="245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BP933" s="391"/>
      <c r="BQ933" s="393"/>
      <c r="BS933" s="50" t="str">
        <f>Q1848</f>
        <v/>
      </c>
      <c r="BT933" s="50" t="e">
        <f>#REF!</f>
        <v>#REF!</v>
      </c>
      <c r="BU933" s="39" t="str">
        <f t="shared" si="1438"/>
        <v/>
      </c>
      <c r="BV933" s="39" t="str">
        <f t="shared" si="1431"/>
        <v/>
      </c>
    </row>
    <row r="934" spans="1:74" ht="14.25" customHeight="1" x14ac:dyDescent="0.35">
      <c r="A934" s="293">
        <v>459</v>
      </c>
      <c r="B934" s="295"/>
      <c r="C934" s="297"/>
      <c r="D934" s="299"/>
      <c r="E934" s="301"/>
      <c r="F934" s="303"/>
      <c r="G934" s="288"/>
      <c r="H934" s="289"/>
      <c r="I934" s="290"/>
      <c r="J934" s="290"/>
      <c r="K934" s="291"/>
      <c r="L934" s="18"/>
      <c r="M934" s="285" t="str">
        <f t="shared" ref="M934" si="1457">IF(COUNT(L934:L935)&lt;1,"",AVERAGE(L934:L935))</f>
        <v/>
      </c>
      <c r="N934" s="22"/>
      <c r="O934" s="285" t="str">
        <f t="shared" ref="O934" si="1458">IF(COUNT(N934:N935)&lt;1,"",AVERAGE(N934:N935))</f>
        <v/>
      </c>
      <c r="P934" s="22"/>
      <c r="Q934" s="285" t="str">
        <f t="shared" ref="Q934" si="1459">IF(COUNT(P934:P935)&lt;1,"",AVERAGE(P934:P935))</f>
        <v/>
      </c>
      <c r="R934" s="278" t="str">
        <f>IF($X$13="/28",IF(COUNT(P934:P935)&lt;=1,"",ABS(P934-P935)),IF($X$13="/90",IF(COUNT(#REF!)&lt;=1,"",ABS(#REF!-#REF!))))</f>
        <v/>
      </c>
      <c r="S934" s="278" t="str">
        <f>IF($X$13="/28",IF(Q934="","",IF(AVERAGE(Q930:Q935)&gt;=$W$13,ROUND(AVERAGE(Q930:Q935),1)&amp;" ≥ "&amp;$W$13&amp;" OK",ROUND(AVERAGE(Q930:Q935),1)&amp;" &lt; "&amp;$W$13&amp;" NC")),IF($X$13="/90",IF(#REF!="","",IF(AVERAGE(#REF!)&gt;=$W$13,ROUND(AVERAGE(#REF!),1)&amp;" ≥ "&amp;$W$13&amp;" OK",ROUND(AVERAGE(#REF!),1)&amp;" &lt; "&amp;$W$13&amp;" NC"))))</f>
        <v/>
      </c>
      <c r="T934" s="278" t="str">
        <f>IF($X$13="/28",IF(Q934="","",IF(Q934&gt;=$W$13-$S$12,ROUND((Q934),1)&amp;" ≥ "&amp;$W$13-$S$12&amp;" OK",ROUND((Q934),1)&amp;" &lt; "&amp;$W$13-$S$12&amp;" NC")),IF($X$13="/90",IF(#REF!="","",IF(#REF!&gt;=$W$13-$S$12,ROUND((#REF!),1)&amp;" ≥ "&amp;$W$13-$S$12&amp;" OK",ROUND((#REF!),1)&amp;" &lt; "&amp;$W$13-$S$12&amp;" NC"))))</f>
        <v/>
      </c>
      <c r="U934" s="14"/>
      <c r="V934" s="279"/>
      <c r="W934" s="280"/>
      <c r="X934" s="281"/>
      <c r="Y934" s="246"/>
      <c r="Z934" s="246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BP934" s="390" t="str">
        <f>IF($X$13="/28",IF(Q934="","",Q934),IF($X$13="/90",IF(#REF!="","",#REF!),"Falso"))</f>
        <v/>
      </c>
      <c r="BQ934" s="392" t="str">
        <f t="shared" si="1394"/>
        <v/>
      </c>
      <c r="BS934" s="50" t="str">
        <f>Q1850</f>
        <v/>
      </c>
      <c r="BT934" s="50" t="e">
        <f>#REF!</f>
        <v>#REF!</v>
      </c>
      <c r="BU934" s="39" t="str">
        <f t="shared" si="1438"/>
        <v/>
      </c>
      <c r="BV934" s="39" t="str">
        <f t="shared" si="1431"/>
        <v/>
      </c>
    </row>
    <row r="935" spans="1:74" ht="14.25" customHeight="1" x14ac:dyDescent="0.35">
      <c r="A935" s="294"/>
      <c r="B935" s="296"/>
      <c r="C935" s="298"/>
      <c r="D935" s="300"/>
      <c r="E935" s="302"/>
      <c r="F935" s="304"/>
      <c r="G935" s="276"/>
      <c r="H935" s="277"/>
      <c r="I935" s="290"/>
      <c r="J935" s="290"/>
      <c r="K935" s="291"/>
      <c r="L935" s="17"/>
      <c r="M935" s="286"/>
      <c r="N935" s="21"/>
      <c r="O935" s="286"/>
      <c r="P935" s="21"/>
      <c r="Q935" s="286"/>
      <c r="R935" s="248"/>
      <c r="S935" s="287"/>
      <c r="T935" s="248"/>
      <c r="U935" s="13"/>
      <c r="V935" s="282"/>
      <c r="W935" s="283"/>
      <c r="X935" s="284"/>
      <c r="Y935" s="245"/>
      <c r="Z935" s="245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BP935" s="391"/>
      <c r="BQ935" s="393"/>
      <c r="BS935" s="50" t="str">
        <f>Q1852</f>
        <v/>
      </c>
      <c r="BT935" s="50" t="e">
        <f>#REF!</f>
        <v>#REF!</v>
      </c>
      <c r="BU935" s="39" t="str">
        <f t="shared" si="1438"/>
        <v/>
      </c>
      <c r="BV935" s="39" t="str">
        <f t="shared" si="1431"/>
        <v/>
      </c>
    </row>
    <row r="936" spans="1:74" ht="14.25" customHeight="1" x14ac:dyDescent="0.35">
      <c r="A936" s="293">
        <v>460</v>
      </c>
      <c r="B936" s="295"/>
      <c r="C936" s="297"/>
      <c r="D936" s="299"/>
      <c r="E936" s="301"/>
      <c r="F936" s="303"/>
      <c r="G936" s="288"/>
      <c r="H936" s="289"/>
      <c r="I936" s="290"/>
      <c r="J936" s="290"/>
      <c r="K936" s="291"/>
      <c r="L936" s="18"/>
      <c r="M936" s="285" t="str">
        <f t="shared" ref="M936" si="1460">IF(COUNT(L936:L937)&lt;1,"",AVERAGE(L936:L937))</f>
        <v/>
      </c>
      <c r="N936" s="22"/>
      <c r="O936" s="285" t="str">
        <f t="shared" ref="O936" si="1461">IF(COUNT(N936:N937)&lt;1,"",AVERAGE(N936:N937))</f>
        <v/>
      </c>
      <c r="P936" s="22"/>
      <c r="Q936" s="285" t="str">
        <f t="shared" ref="Q936" si="1462">IF(COUNT(P936:P937)&lt;1,"",AVERAGE(P936:P937))</f>
        <v/>
      </c>
      <c r="R936" s="278" t="str">
        <f>IF($X$13="/28",IF(COUNT(P936:P937)&lt;=1,"",ABS(P936-P937)),IF($X$13="/90",IF(COUNT(#REF!)&lt;=1,"",ABS(#REF!-#REF!))))</f>
        <v/>
      </c>
      <c r="S936" s="278" t="str">
        <f>IF($X$13="/28",IF(Q936="","",IF(AVERAGE(Q932:Q937)&gt;=$W$13,ROUND(AVERAGE(Q932:Q937),1)&amp;" ≥ "&amp;$W$13&amp;" OK",ROUND(AVERAGE(Q932:Q937),1)&amp;" &lt; "&amp;$W$13&amp;" NC")),IF($X$13="/90",IF(#REF!="","",IF(AVERAGE(#REF!)&gt;=$W$13,ROUND(AVERAGE(#REF!),1)&amp;" ≥ "&amp;$W$13&amp;" OK",ROUND(AVERAGE(#REF!),1)&amp;" &lt; "&amp;$W$13&amp;" NC"))))</f>
        <v/>
      </c>
      <c r="T936" s="278" t="str">
        <f>IF($X$13="/28",IF(Q936="","",IF(Q936&gt;=$W$13-$S$12,ROUND((Q936),1)&amp;" ≥ "&amp;$W$13-$S$12&amp;" OK",ROUND((Q936),1)&amp;" &lt; "&amp;$W$13-$S$12&amp;" NC")),IF($X$13="/90",IF(#REF!="","",IF(#REF!&gt;=$W$13-$S$12,ROUND((#REF!),1)&amp;" ≥ "&amp;$W$13-$S$12&amp;" OK",ROUND((#REF!),1)&amp;" &lt; "&amp;$W$13-$S$12&amp;" NC"))))</f>
        <v/>
      </c>
      <c r="U936" s="14"/>
      <c r="V936" s="279"/>
      <c r="W936" s="280"/>
      <c r="X936" s="281"/>
      <c r="Y936" s="246"/>
      <c r="Z936" s="246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BP936" s="390" t="str">
        <f>IF($X$13="/28",IF(Q936="","",Q936),IF($X$13="/90",IF(#REF!="","",#REF!),"Falso"))</f>
        <v/>
      </c>
      <c r="BQ936" s="392" t="str">
        <f t="shared" si="1386"/>
        <v/>
      </c>
      <c r="BS936" s="50" t="str">
        <f>Q1854</f>
        <v/>
      </c>
      <c r="BT936" s="50" t="e">
        <f>#REF!</f>
        <v>#REF!</v>
      </c>
      <c r="BU936" s="39" t="str">
        <f t="shared" si="1438"/>
        <v/>
      </c>
      <c r="BV936" s="39" t="str">
        <f t="shared" si="1431"/>
        <v/>
      </c>
    </row>
    <row r="937" spans="1:74" ht="14.25" customHeight="1" x14ac:dyDescent="0.35">
      <c r="A937" s="294"/>
      <c r="B937" s="296"/>
      <c r="C937" s="298"/>
      <c r="D937" s="300"/>
      <c r="E937" s="302"/>
      <c r="F937" s="304"/>
      <c r="G937" s="276"/>
      <c r="H937" s="277"/>
      <c r="I937" s="290"/>
      <c r="J937" s="290"/>
      <c r="K937" s="291"/>
      <c r="L937" s="17"/>
      <c r="M937" s="286"/>
      <c r="N937" s="21"/>
      <c r="O937" s="286"/>
      <c r="P937" s="21"/>
      <c r="Q937" s="286"/>
      <c r="R937" s="248"/>
      <c r="S937" s="287"/>
      <c r="T937" s="248"/>
      <c r="U937" s="13"/>
      <c r="V937" s="282"/>
      <c r="W937" s="283"/>
      <c r="X937" s="284"/>
      <c r="Y937" s="245"/>
      <c r="Z937" s="245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BP937" s="391"/>
      <c r="BQ937" s="393"/>
      <c r="BS937" s="50" t="str">
        <f>Q1856</f>
        <v/>
      </c>
      <c r="BT937" s="50" t="e">
        <f>#REF!</f>
        <v>#REF!</v>
      </c>
      <c r="BU937" s="39" t="str">
        <f t="shared" si="1438"/>
        <v/>
      </c>
      <c r="BV937" s="39" t="str">
        <f t="shared" si="1431"/>
        <v/>
      </c>
    </row>
    <row r="938" spans="1:74" ht="14.25" customHeight="1" x14ac:dyDescent="0.35">
      <c r="A938" s="293">
        <v>461</v>
      </c>
      <c r="B938" s="295"/>
      <c r="C938" s="297"/>
      <c r="D938" s="299"/>
      <c r="E938" s="301"/>
      <c r="F938" s="303"/>
      <c r="G938" s="288"/>
      <c r="H938" s="289"/>
      <c r="I938" s="290"/>
      <c r="J938" s="290"/>
      <c r="K938" s="291"/>
      <c r="L938" s="18"/>
      <c r="M938" s="285" t="str">
        <f t="shared" ref="M938" si="1463">IF(COUNT(L938:L939)&lt;1,"",AVERAGE(L938:L939))</f>
        <v/>
      </c>
      <c r="N938" s="22"/>
      <c r="O938" s="285" t="str">
        <f t="shared" ref="O938" si="1464">IF(COUNT(N938:N939)&lt;1,"",AVERAGE(N938:N939))</f>
        <v/>
      </c>
      <c r="P938" s="22"/>
      <c r="Q938" s="285" t="str">
        <f t="shared" ref="Q938" si="1465">IF(COUNT(P938:P939)&lt;1,"",AVERAGE(P938:P939))</f>
        <v/>
      </c>
      <c r="R938" s="278" t="str">
        <f>IF($X$13="/28",IF(COUNT(P938:P939)&lt;=1,"",ABS(P938-P939)),IF($X$13="/90",IF(COUNT(#REF!)&lt;=1,"",ABS(#REF!-#REF!))))</f>
        <v/>
      </c>
      <c r="S938" s="278" t="str">
        <f>IF($X$13="/28",IF(Q938="","",IF(AVERAGE(Q934:Q939)&gt;=$W$13,ROUND(AVERAGE(Q934:Q939),1)&amp;" ≥ "&amp;$W$13&amp;" OK",ROUND(AVERAGE(Q934:Q939),1)&amp;" &lt; "&amp;$W$13&amp;" NC")),IF($X$13="/90",IF(#REF!="","",IF(AVERAGE(#REF!)&gt;=$W$13,ROUND(AVERAGE(#REF!),1)&amp;" ≥ "&amp;$W$13&amp;" OK",ROUND(AVERAGE(#REF!),1)&amp;" &lt; "&amp;$W$13&amp;" NC"))))</f>
        <v/>
      </c>
      <c r="T938" s="278" t="str">
        <f>IF($X$13="/28",IF(Q938="","",IF(Q938&gt;=$W$13-$S$12,ROUND((Q938),1)&amp;" ≥ "&amp;$W$13-$S$12&amp;" OK",ROUND((Q938),1)&amp;" &lt; "&amp;$W$13-$S$12&amp;" NC")),IF($X$13="/90",IF(#REF!="","",IF(#REF!&gt;=$W$13-$S$12,ROUND((#REF!),1)&amp;" ≥ "&amp;$W$13-$S$12&amp;" OK",ROUND((#REF!),1)&amp;" &lt; "&amp;$W$13-$S$12&amp;" NC"))))</f>
        <v/>
      </c>
      <c r="U938" s="14"/>
      <c r="V938" s="279"/>
      <c r="W938" s="280"/>
      <c r="X938" s="281"/>
      <c r="Y938" s="246"/>
      <c r="Z938" s="246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BP938" s="390" t="str">
        <f>IF($X$13="/28",IF(Q938="","",Q938),IF($X$13="/90",IF(#REF!="","",#REF!),"Falso"))</f>
        <v/>
      </c>
      <c r="BQ938" s="392" t="str">
        <f t="shared" si="1390"/>
        <v/>
      </c>
      <c r="BS938" s="50" t="str">
        <f>Q1858</f>
        <v/>
      </c>
      <c r="BT938" s="50" t="e">
        <f>#REF!</f>
        <v>#REF!</v>
      </c>
      <c r="BU938" s="39" t="str">
        <f t="shared" si="1438"/>
        <v/>
      </c>
      <c r="BV938" s="39" t="str">
        <f t="shared" si="1431"/>
        <v/>
      </c>
    </row>
    <row r="939" spans="1:74" ht="14.25" customHeight="1" x14ac:dyDescent="0.35">
      <c r="A939" s="294"/>
      <c r="B939" s="296"/>
      <c r="C939" s="298"/>
      <c r="D939" s="300"/>
      <c r="E939" s="302"/>
      <c r="F939" s="304"/>
      <c r="G939" s="276"/>
      <c r="H939" s="277"/>
      <c r="I939" s="290"/>
      <c r="J939" s="290"/>
      <c r="K939" s="291"/>
      <c r="L939" s="17"/>
      <c r="M939" s="286"/>
      <c r="N939" s="21"/>
      <c r="O939" s="286"/>
      <c r="P939" s="21"/>
      <c r="Q939" s="286"/>
      <c r="R939" s="248"/>
      <c r="S939" s="287"/>
      <c r="T939" s="248"/>
      <c r="U939" s="13"/>
      <c r="V939" s="282"/>
      <c r="W939" s="283"/>
      <c r="X939" s="284"/>
      <c r="Y939" s="245"/>
      <c r="Z939" s="245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BP939" s="391"/>
      <c r="BQ939" s="393"/>
      <c r="BS939" s="50" t="str">
        <f>Q1860</f>
        <v/>
      </c>
      <c r="BT939" s="50" t="e">
        <f>#REF!</f>
        <v>#REF!</v>
      </c>
      <c r="BU939" s="39" t="str">
        <f t="shared" si="1438"/>
        <v/>
      </c>
      <c r="BV939" s="39" t="str">
        <f t="shared" si="1431"/>
        <v/>
      </c>
    </row>
    <row r="940" spans="1:74" ht="14.25" customHeight="1" x14ac:dyDescent="0.35">
      <c r="A940" s="293">
        <v>462</v>
      </c>
      <c r="B940" s="295"/>
      <c r="C940" s="297"/>
      <c r="D940" s="299"/>
      <c r="E940" s="301"/>
      <c r="F940" s="303"/>
      <c r="G940" s="288"/>
      <c r="H940" s="289"/>
      <c r="I940" s="290"/>
      <c r="J940" s="290"/>
      <c r="K940" s="291"/>
      <c r="L940" s="18"/>
      <c r="M940" s="285" t="str">
        <f t="shared" ref="M940" si="1466">IF(COUNT(L940:L941)&lt;1,"",AVERAGE(L940:L941))</f>
        <v/>
      </c>
      <c r="N940" s="22"/>
      <c r="O940" s="285" t="str">
        <f t="shared" ref="O940" si="1467">IF(COUNT(N940:N941)&lt;1,"",AVERAGE(N940:N941))</f>
        <v/>
      </c>
      <c r="P940" s="22"/>
      <c r="Q940" s="285" t="str">
        <f t="shared" ref="Q940" si="1468">IF(COUNT(P940:P941)&lt;1,"",AVERAGE(P940:P941))</f>
        <v/>
      </c>
      <c r="R940" s="278" t="str">
        <f>IF($X$13="/28",IF(COUNT(P940:P941)&lt;=1,"",ABS(P940-P941)),IF($X$13="/90",IF(COUNT(#REF!)&lt;=1,"",ABS(#REF!-#REF!))))</f>
        <v/>
      </c>
      <c r="S940" s="278" t="str">
        <f>IF($X$13="/28",IF(Q940="","",IF(AVERAGE(Q936:Q941)&gt;=$W$13,ROUND(AVERAGE(Q936:Q941),1)&amp;" ≥ "&amp;$W$13&amp;" OK",ROUND(AVERAGE(Q936:Q941),1)&amp;" &lt; "&amp;$W$13&amp;" NC")),IF($X$13="/90",IF(#REF!="","",IF(AVERAGE(#REF!)&gt;=$W$13,ROUND(AVERAGE(#REF!),1)&amp;" ≥ "&amp;$W$13&amp;" OK",ROUND(AVERAGE(#REF!),1)&amp;" &lt; "&amp;$W$13&amp;" NC"))))</f>
        <v/>
      </c>
      <c r="T940" s="278" t="str">
        <f>IF($X$13="/28",IF(Q940="","",IF(Q940&gt;=$W$13-$S$12,ROUND((Q940),1)&amp;" ≥ "&amp;$W$13-$S$12&amp;" OK",ROUND((Q940),1)&amp;" &lt; "&amp;$W$13-$S$12&amp;" NC")),IF($X$13="/90",IF(#REF!="","",IF(#REF!&gt;=$W$13-$S$12,ROUND((#REF!),1)&amp;" ≥ "&amp;$W$13-$S$12&amp;" OK",ROUND((#REF!),1)&amp;" &lt; "&amp;$W$13-$S$12&amp;" NC"))))</f>
        <v/>
      </c>
      <c r="U940" s="14"/>
      <c r="V940" s="279"/>
      <c r="W940" s="280"/>
      <c r="X940" s="281"/>
      <c r="Y940" s="246"/>
      <c r="Z940" s="246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BP940" s="390" t="str">
        <f>IF($X$13="/28",IF(Q940="","",Q940),IF($X$13="/90",IF(#REF!="","",#REF!),"Falso"))</f>
        <v/>
      </c>
      <c r="BQ940" s="392" t="str">
        <f t="shared" si="1394"/>
        <v/>
      </c>
      <c r="BS940" s="50" t="str">
        <f>Q1862</f>
        <v/>
      </c>
      <c r="BT940" s="50" t="e">
        <f>#REF!</f>
        <v>#REF!</v>
      </c>
      <c r="BU940" s="39" t="str">
        <f t="shared" si="1438"/>
        <v/>
      </c>
      <c r="BV940" s="39" t="str">
        <f t="shared" si="1431"/>
        <v/>
      </c>
    </row>
    <row r="941" spans="1:74" ht="14.25" customHeight="1" x14ac:dyDescent="0.35">
      <c r="A941" s="294"/>
      <c r="B941" s="296"/>
      <c r="C941" s="298"/>
      <c r="D941" s="300"/>
      <c r="E941" s="302"/>
      <c r="F941" s="304"/>
      <c r="G941" s="276"/>
      <c r="H941" s="277"/>
      <c r="I941" s="290"/>
      <c r="J941" s="290"/>
      <c r="K941" s="291"/>
      <c r="L941" s="17"/>
      <c r="M941" s="286"/>
      <c r="N941" s="21"/>
      <c r="O941" s="286"/>
      <c r="P941" s="21"/>
      <c r="Q941" s="286"/>
      <c r="R941" s="248"/>
      <c r="S941" s="287"/>
      <c r="T941" s="248"/>
      <c r="U941" s="13"/>
      <c r="V941" s="282"/>
      <c r="W941" s="283"/>
      <c r="X941" s="284"/>
      <c r="Y941" s="245"/>
      <c r="Z941" s="245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BP941" s="391"/>
      <c r="BQ941" s="393"/>
      <c r="BS941" s="50" t="str">
        <f>Q1864</f>
        <v/>
      </c>
      <c r="BT941" s="50" t="e">
        <f>#REF!</f>
        <v>#REF!</v>
      </c>
      <c r="BU941" s="39" t="str">
        <f t="shared" si="1438"/>
        <v/>
      </c>
      <c r="BV941" s="39" t="str">
        <f t="shared" si="1431"/>
        <v/>
      </c>
    </row>
    <row r="942" spans="1:74" ht="14.25" customHeight="1" x14ac:dyDescent="0.35">
      <c r="A942" s="293">
        <v>463</v>
      </c>
      <c r="B942" s="295"/>
      <c r="C942" s="297"/>
      <c r="D942" s="299"/>
      <c r="E942" s="301"/>
      <c r="F942" s="303"/>
      <c r="G942" s="288"/>
      <c r="H942" s="289"/>
      <c r="I942" s="290"/>
      <c r="J942" s="290"/>
      <c r="K942" s="291"/>
      <c r="L942" s="18"/>
      <c r="M942" s="285" t="str">
        <f t="shared" ref="M942" si="1469">IF(COUNT(L942:L943)&lt;1,"",AVERAGE(L942:L943))</f>
        <v/>
      </c>
      <c r="N942" s="22"/>
      <c r="O942" s="285" t="str">
        <f t="shared" ref="O942" si="1470">IF(COUNT(N942:N943)&lt;1,"",AVERAGE(N942:N943))</f>
        <v/>
      </c>
      <c r="P942" s="22"/>
      <c r="Q942" s="285" t="str">
        <f t="shared" ref="Q942" si="1471">IF(COUNT(P942:P943)&lt;1,"",AVERAGE(P942:P943))</f>
        <v/>
      </c>
      <c r="R942" s="278" t="str">
        <f>IF($X$13="/28",IF(COUNT(P942:P943)&lt;=1,"",ABS(P942-P943)),IF($X$13="/90",IF(COUNT(#REF!)&lt;=1,"",ABS(#REF!-#REF!))))</f>
        <v/>
      </c>
      <c r="S942" s="278" t="str">
        <f>IF($X$13="/28",IF(Q942="","",IF(AVERAGE(Q938:Q943)&gt;=$W$13,ROUND(AVERAGE(Q938:Q943),1)&amp;" ≥ "&amp;$W$13&amp;" OK",ROUND(AVERAGE(Q938:Q943),1)&amp;" &lt; "&amp;$W$13&amp;" NC")),IF($X$13="/90",IF(#REF!="","",IF(AVERAGE(#REF!)&gt;=$W$13,ROUND(AVERAGE(#REF!),1)&amp;" ≥ "&amp;$W$13&amp;" OK",ROUND(AVERAGE(#REF!),1)&amp;" &lt; "&amp;$W$13&amp;" NC"))))</f>
        <v/>
      </c>
      <c r="T942" s="278" t="str">
        <f>IF($X$13="/28",IF(Q942="","",IF(Q942&gt;=$W$13-$S$12,ROUND((Q942),1)&amp;" ≥ "&amp;$W$13-$S$12&amp;" OK",ROUND((Q942),1)&amp;" &lt; "&amp;$W$13-$S$12&amp;" NC")),IF($X$13="/90",IF(#REF!="","",IF(#REF!&gt;=$W$13-$S$12,ROUND((#REF!),1)&amp;" ≥ "&amp;$W$13-$S$12&amp;" OK",ROUND((#REF!),1)&amp;" &lt; "&amp;$W$13-$S$12&amp;" NC"))))</f>
        <v/>
      </c>
      <c r="U942" s="14"/>
      <c r="V942" s="279"/>
      <c r="W942" s="280"/>
      <c r="X942" s="281"/>
      <c r="Y942" s="246"/>
      <c r="Z942" s="246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BP942" s="390" t="str">
        <f>IF($X$13="/28",IF(Q942="","",Q942),IF($X$13="/90",IF(#REF!="","",#REF!),"Falso"))</f>
        <v/>
      </c>
      <c r="BQ942" s="392" t="str">
        <f t="shared" si="1386"/>
        <v/>
      </c>
      <c r="BS942" s="50" t="str">
        <f>Q1866</f>
        <v/>
      </c>
      <c r="BT942" s="50" t="e">
        <f>#REF!</f>
        <v>#REF!</v>
      </c>
      <c r="BU942" s="39" t="str">
        <f t="shared" si="1438"/>
        <v/>
      </c>
      <c r="BV942" s="39" t="str">
        <f t="shared" si="1431"/>
        <v/>
      </c>
    </row>
    <row r="943" spans="1:74" ht="14.25" customHeight="1" x14ac:dyDescent="0.35">
      <c r="A943" s="294"/>
      <c r="B943" s="296"/>
      <c r="C943" s="298"/>
      <c r="D943" s="300"/>
      <c r="E943" s="302"/>
      <c r="F943" s="304"/>
      <c r="G943" s="276"/>
      <c r="H943" s="277"/>
      <c r="I943" s="290"/>
      <c r="J943" s="290"/>
      <c r="K943" s="291"/>
      <c r="L943" s="17"/>
      <c r="M943" s="286"/>
      <c r="N943" s="21"/>
      <c r="O943" s="286"/>
      <c r="P943" s="21"/>
      <c r="Q943" s="286"/>
      <c r="R943" s="248"/>
      <c r="S943" s="287"/>
      <c r="T943" s="248"/>
      <c r="U943" s="13"/>
      <c r="V943" s="282"/>
      <c r="W943" s="283"/>
      <c r="X943" s="284"/>
      <c r="Y943" s="245"/>
      <c r="Z943" s="245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BP943" s="391"/>
      <c r="BQ943" s="393"/>
      <c r="BS943" s="50" t="str">
        <f>Q1868</f>
        <v/>
      </c>
      <c r="BT943" s="50" t="e">
        <f>#REF!</f>
        <v>#REF!</v>
      </c>
      <c r="BU943" s="39" t="str">
        <f t="shared" si="1438"/>
        <v/>
      </c>
      <c r="BV943" s="39" t="str">
        <f t="shared" si="1431"/>
        <v/>
      </c>
    </row>
    <row r="944" spans="1:74" ht="14.25" customHeight="1" x14ac:dyDescent="0.35">
      <c r="A944" s="293">
        <v>464</v>
      </c>
      <c r="B944" s="295"/>
      <c r="C944" s="297"/>
      <c r="D944" s="299"/>
      <c r="E944" s="301"/>
      <c r="F944" s="303"/>
      <c r="G944" s="288"/>
      <c r="H944" s="289"/>
      <c r="I944" s="290"/>
      <c r="J944" s="290"/>
      <c r="K944" s="291"/>
      <c r="L944" s="18"/>
      <c r="M944" s="285" t="str">
        <f t="shared" ref="M944" si="1472">IF(COUNT(L944:L945)&lt;1,"",AVERAGE(L944:L945))</f>
        <v/>
      </c>
      <c r="N944" s="22"/>
      <c r="O944" s="285" t="str">
        <f t="shared" ref="O944" si="1473">IF(COUNT(N944:N945)&lt;1,"",AVERAGE(N944:N945))</f>
        <v/>
      </c>
      <c r="P944" s="22"/>
      <c r="Q944" s="285" t="str">
        <f t="shared" ref="Q944" si="1474">IF(COUNT(P944:P945)&lt;1,"",AVERAGE(P944:P945))</f>
        <v/>
      </c>
      <c r="R944" s="278" t="str">
        <f>IF($X$13="/28",IF(COUNT(P944:P945)&lt;=1,"",ABS(P944-P945)),IF($X$13="/90",IF(COUNT(#REF!)&lt;=1,"",ABS(#REF!-#REF!))))</f>
        <v/>
      </c>
      <c r="S944" s="278" t="str">
        <f>IF($X$13="/28",IF(Q944="","",IF(AVERAGE(Q940:Q945)&gt;=$W$13,ROUND(AVERAGE(Q940:Q945),1)&amp;" ≥ "&amp;$W$13&amp;" OK",ROUND(AVERAGE(Q940:Q945),1)&amp;" &lt; "&amp;$W$13&amp;" NC")),IF($X$13="/90",IF(#REF!="","",IF(AVERAGE(#REF!)&gt;=$W$13,ROUND(AVERAGE(#REF!),1)&amp;" ≥ "&amp;$W$13&amp;" OK",ROUND(AVERAGE(#REF!),1)&amp;" &lt; "&amp;$W$13&amp;" NC"))))</f>
        <v/>
      </c>
      <c r="T944" s="278" t="str">
        <f>IF($X$13="/28",IF(Q944="","",IF(Q944&gt;=$W$13-$S$12,ROUND((Q944),1)&amp;" ≥ "&amp;$W$13-$S$12&amp;" OK",ROUND((Q944),1)&amp;" &lt; "&amp;$W$13-$S$12&amp;" NC")),IF($X$13="/90",IF(#REF!="","",IF(#REF!&gt;=$W$13-$S$12,ROUND((#REF!),1)&amp;" ≥ "&amp;$W$13-$S$12&amp;" OK",ROUND((#REF!),1)&amp;" &lt; "&amp;$W$13-$S$12&amp;" NC"))))</f>
        <v/>
      </c>
      <c r="U944" s="14"/>
      <c r="V944" s="279"/>
      <c r="W944" s="280"/>
      <c r="X944" s="281"/>
      <c r="Y944" s="246"/>
      <c r="Z944" s="246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BP944" s="390" t="str">
        <f>IF($X$13="/28",IF(Q944="","",Q944),IF($X$13="/90",IF(#REF!="","",#REF!),"Falso"))</f>
        <v/>
      </c>
      <c r="BQ944" s="392" t="str">
        <f t="shared" si="1390"/>
        <v/>
      </c>
      <c r="BS944" s="50" t="str">
        <f>Q1870</f>
        <v/>
      </c>
      <c r="BT944" s="50" t="e">
        <f>#REF!</f>
        <v>#REF!</v>
      </c>
      <c r="BU944" s="39" t="str">
        <f t="shared" si="1438"/>
        <v/>
      </c>
      <c r="BV944" s="39" t="str">
        <f t="shared" si="1431"/>
        <v/>
      </c>
    </row>
    <row r="945" spans="1:74" ht="14.25" customHeight="1" x14ac:dyDescent="0.35">
      <c r="A945" s="294"/>
      <c r="B945" s="296"/>
      <c r="C945" s="298"/>
      <c r="D945" s="300"/>
      <c r="E945" s="302"/>
      <c r="F945" s="304"/>
      <c r="G945" s="276"/>
      <c r="H945" s="277"/>
      <c r="I945" s="290"/>
      <c r="J945" s="290"/>
      <c r="K945" s="291"/>
      <c r="L945" s="17"/>
      <c r="M945" s="286"/>
      <c r="N945" s="21"/>
      <c r="O945" s="286"/>
      <c r="P945" s="21"/>
      <c r="Q945" s="286"/>
      <c r="R945" s="248"/>
      <c r="S945" s="287"/>
      <c r="T945" s="248"/>
      <c r="U945" s="13"/>
      <c r="V945" s="282"/>
      <c r="W945" s="283"/>
      <c r="X945" s="284"/>
      <c r="Y945" s="245"/>
      <c r="Z945" s="245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BP945" s="391"/>
      <c r="BQ945" s="393"/>
      <c r="BS945" s="50" t="str">
        <f>Q1872</f>
        <v/>
      </c>
      <c r="BT945" s="50" t="e">
        <f>#REF!</f>
        <v>#REF!</v>
      </c>
      <c r="BU945" s="39" t="str">
        <f t="shared" si="1438"/>
        <v/>
      </c>
      <c r="BV945" s="39" t="str">
        <f t="shared" si="1431"/>
        <v/>
      </c>
    </row>
    <row r="946" spans="1:74" ht="14.25" customHeight="1" x14ac:dyDescent="0.35">
      <c r="A946" s="293">
        <v>465</v>
      </c>
      <c r="B946" s="295"/>
      <c r="C946" s="297"/>
      <c r="D946" s="299"/>
      <c r="E946" s="301"/>
      <c r="F946" s="303"/>
      <c r="G946" s="288"/>
      <c r="H946" s="289"/>
      <c r="I946" s="290"/>
      <c r="J946" s="290"/>
      <c r="K946" s="291"/>
      <c r="L946" s="18"/>
      <c r="M946" s="285" t="str">
        <f t="shared" ref="M946" si="1475">IF(COUNT(L946:L947)&lt;1,"",AVERAGE(L946:L947))</f>
        <v/>
      </c>
      <c r="N946" s="22"/>
      <c r="O946" s="285" t="str">
        <f t="shared" ref="O946" si="1476">IF(COUNT(N946:N947)&lt;1,"",AVERAGE(N946:N947))</f>
        <v/>
      </c>
      <c r="P946" s="22"/>
      <c r="Q946" s="285" t="str">
        <f t="shared" ref="Q946" si="1477">IF(COUNT(P946:P947)&lt;1,"",AVERAGE(P946:P947))</f>
        <v/>
      </c>
      <c r="R946" s="278" t="str">
        <f>IF($X$13="/28",IF(COUNT(P946:P947)&lt;=1,"",ABS(P946-P947)),IF($X$13="/90",IF(COUNT(#REF!)&lt;=1,"",ABS(#REF!-#REF!))))</f>
        <v/>
      </c>
      <c r="S946" s="278" t="str">
        <f>IF($X$13="/28",IF(Q946="","",IF(AVERAGE(Q942:Q947)&gt;=$W$13,ROUND(AVERAGE(Q942:Q947),1)&amp;" ≥ "&amp;$W$13&amp;" OK",ROUND(AVERAGE(Q942:Q947),1)&amp;" &lt; "&amp;$W$13&amp;" NC")),IF($X$13="/90",IF(#REF!="","",IF(AVERAGE(#REF!)&gt;=$W$13,ROUND(AVERAGE(#REF!),1)&amp;" ≥ "&amp;$W$13&amp;" OK",ROUND(AVERAGE(#REF!),1)&amp;" &lt; "&amp;$W$13&amp;" NC"))))</f>
        <v/>
      </c>
      <c r="T946" s="278" t="str">
        <f>IF($X$13="/28",IF(Q946="","",IF(Q946&gt;=$W$13-$S$12,ROUND((Q946),1)&amp;" ≥ "&amp;$W$13-$S$12&amp;" OK",ROUND((Q946),1)&amp;" &lt; "&amp;$W$13-$S$12&amp;" NC")),IF($X$13="/90",IF(#REF!="","",IF(#REF!&gt;=$W$13-$S$12,ROUND((#REF!),1)&amp;" ≥ "&amp;$W$13-$S$12&amp;" OK",ROUND((#REF!),1)&amp;" &lt; "&amp;$W$13-$S$12&amp;" NC"))))</f>
        <v/>
      </c>
      <c r="U946" s="14"/>
      <c r="V946" s="279"/>
      <c r="W946" s="280"/>
      <c r="X946" s="281"/>
      <c r="Y946" s="246"/>
      <c r="Z946" s="246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BP946" s="390" t="str">
        <f>IF($X$13="/28",IF(Q946="","",Q946),IF($X$13="/90",IF(#REF!="","",#REF!),"Falso"))</f>
        <v/>
      </c>
      <c r="BQ946" s="392" t="str">
        <f t="shared" si="1394"/>
        <v/>
      </c>
      <c r="BS946" s="50" t="str">
        <f>Q1874</f>
        <v/>
      </c>
      <c r="BT946" s="50" t="e">
        <f>#REF!</f>
        <v>#REF!</v>
      </c>
      <c r="BU946" s="39" t="str">
        <f t="shared" si="1438"/>
        <v/>
      </c>
      <c r="BV946" s="39" t="str">
        <f t="shared" si="1431"/>
        <v/>
      </c>
    </row>
    <row r="947" spans="1:74" ht="14.25" customHeight="1" x14ac:dyDescent="0.35">
      <c r="A947" s="294"/>
      <c r="B947" s="296"/>
      <c r="C947" s="298"/>
      <c r="D947" s="300"/>
      <c r="E947" s="302"/>
      <c r="F947" s="304"/>
      <c r="G947" s="276"/>
      <c r="H947" s="277"/>
      <c r="I947" s="290"/>
      <c r="J947" s="290"/>
      <c r="K947" s="291"/>
      <c r="L947" s="17"/>
      <c r="M947" s="286"/>
      <c r="N947" s="21"/>
      <c r="O947" s="286"/>
      <c r="P947" s="21"/>
      <c r="Q947" s="286"/>
      <c r="R947" s="248"/>
      <c r="S947" s="287"/>
      <c r="T947" s="248"/>
      <c r="U947" s="13"/>
      <c r="V947" s="282"/>
      <c r="W947" s="283"/>
      <c r="X947" s="284"/>
      <c r="Y947" s="245"/>
      <c r="Z947" s="245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BP947" s="391"/>
      <c r="BQ947" s="393"/>
      <c r="BS947" s="50" t="str">
        <f>Q1876</f>
        <v/>
      </c>
      <c r="BT947" s="50" t="e">
        <f>#REF!</f>
        <v>#REF!</v>
      </c>
      <c r="BU947" s="39" t="str">
        <f t="shared" si="1438"/>
        <v/>
      </c>
      <c r="BV947" s="39" t="str">
        <f t="shared" si="1431"/>
        <v/>
      </c>
    </row>
    <row r="948" spans="1:74" ht="14.25" customHeight="1" x14ac:dyDescent="0.35">
      <c r="A948" s="293">
        <v>466</v>
      </c>
      <c r="B948" s="295"/>
      <c r="C948" s="297"/>
      <c r="D948" s="299"/>
      <c r="E948" s="301"/>
      <c r="F948" s="303"/>
      <c r="G948" s="288"/>
      <c r="H948" s="289"/>
      <c r="I948" s="290"/>
      <c r="J948" s="290"/>
      <c r="K948" s="291"/>
      <c r="L948" s="18"/>
      <c r="M948" s="285" t="str">
        <f t="shared" ref="M948" si="1478">IF(COUNT(L948:L949)&lt;1,"",AVERAGE(L948:L949))</f>
        <v/>
      </c>
      <c r="N948" s="22"/>
      <c r="O948" s="285" t="str">
        <f t="shared" ref="O948" si="1479">IF(COUNT(N948:N949)&lt;1,"",AVERAGE(N948:N949))</f>
        <v/>
      </c>
      <c r="P948" s="22"/>
      <c r="Q948" s="285" t="str">
        <f t="shared" ref="Q948" si="1480">IF(COUNT(P948:P949)&lt;1,"",AVERAGE(P948:P949))</f>
        <v/>
      </c>
      <c r="R948" s="278" t="str">
        <f>IF($X$13="/28",IF(COUNT(P948:P949)&lt;=1,"",ABS(P948-P949)),IF($X$13="/90",IF(COUNT(#REF!)&lt;=1,"",ABS(#REF!-#REF!))))</f>
        <v/>
      </c>
      <c r="S948" s="278" t="str">
        <f>IF($X$13="/28",IF(Q948="","",IF(AVERAGE(Q944:Q949)&gt;=$W$13,ROUND(AVERAGE(Q944:Q949),1)&amp;" ≥ "&amp;$W$13&amp;" OK",ROUND(AVERAGE(Q944:Q949),1)&amp;" &lt; "&amp;$W$13&amp;" NC")),IF($X$13="/90",IF(#REF!="","",IF(AVERAGE(#REF!)&gt;=$W$13,ROUND(AVERAGE(#REF!),1)&amp;" ≥ "&amp;$W$13&amp;" OK",ROUND(AVERAGE(#REF!),1)&amp;" &lt; "&amp;$W$13&amp;" NC"))))</f>
        <v/>
      </c>
      <c r="T948" s="278" t="str">
        <f>IF($X$13="/28",IF(Q948="","",IF(Q948&gt;=$W$13-$S$12,ROUND((Q948),1)&amp;" ≥ "&amp;$W$13-$S$12&amp;" OK",ROUND((Q948),1)&amp;" &lt; "&amp;$W$13-$S$12&amp;" NC")),IF($X$13="/90",IF(#REF!="","",IF(#REF!&gt;=$W$13-$S$12,ROUND((#REF!),1)&amp;" ≥ "&amp;$W$13-$S$12&amp;" OK",ROUND((#REF!),1)&amp;" &lt; "&amp;$W$13-$S$12&amp;" NC"))))</f>
        <v/>
      </c>
      <c r="U948" s="14"/>
      <c r="V948" s="279"/>
      <c r="W948" s="280"/>
      <c r="X948" s="281"/>
      <c r="Y948" s="246"/>
      <c r="Z948" s="246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BP948" s="390" t="str">
        <f>IF($X$13="/28",IF(Q948="","",Q948),IF($X$13="/90",IF(#REF!="","",#REF!),"Falso"))</f>
        <v/>
      </c>
      <c r="BQ948" s="392" t="str">
        <f t="shared" si="1386"/>
        <v/>
      </c>
      <c r="BS948" s="50" t="str">
        <f>Q1878</f>
        <v/>
      </c>
      <c r="BT948" s="50" t="e">
        <f>#REF!</f>
        <v>#REF!</v>
      </c>
      <c r="BU948" s="39" t="str">
        <f t="shared" si="1438"/>
        <v/>
      </c>
      <c r="BV948" s="39" t="str">
        <f t="shared" si="1431"/>
        <v/>
      </c>
    </row>
    <row r="949" spans="1:74" ht="14.25" customHeight="1" x14ac:dyDescent="0.35">
      <c r="A949" s="294"/>
      <c r="B949" s="296"/>
      <c r="C949" s="298"/>
      <c r="D949" s="300"/>
      <c r="E949" s="302"/>
      <c r="F949" s="304"/>
      <c r="G949" s="276"/>
      <c r="H949" s="277"/>
      <c r="I949" s="290"/>
      <c r="J949" s="290"/>
      <c r="K949" s="291"/>
      <c r="L949" s="17"/>
      <c r="M949" s="286"/>
      <c r="N949" s="21"/>
      <c r="O949" s="286"/>
      <c r="P949" s="21"/>
      <c r="Q949" s="286"/>
      <c r="R949" s="248"/>
      <c r="S949" s="287"/>
      <c r="T949" s="248"/>
      <c r="U949" s="13"/>
      <c r="V949" s="282"/>
      <c r="W949" s="283"/>
      <c r="X949" s="284"/>
      <c r="Y949" s="245"/>
      <c r="Z949" s="245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BP949" s="391"/>
      <c r="BQ949" s="393"/>
      <c r="BS949" s="50" t="str">
        <f>Q1880</f>
        <v/>
      </c>
      <c r="BT949" s="50" t="e">
        <f>#REF!</f>
        <v>#REF!</v>
      </c>
      <c r="BU949" s="39" t="str">
        <f t="shared" si="1438"/>
        <v/>
      </c>
      <c r="BV949" s="39" t="str">
        <f t="shared" si="1431"/>
        <v/>
      </c>
    </row>
    <row r="950" spans="1:74" ht="14.25" customHeight="1" x14ac:dyDescent="0.35">
      <c r="A950" s="293">
        <v>467</v>
      </c>
      <c r="B950" s="295"/>
      <c r="C950" s="297"/>
      <c r="D950" s="299"/>
      <c r="E950" s="301"/>
      <c r="F950" s="303"/>
      <c r="G950" s="288"/>
      <c r="H950" s="289"/>
      <c r="I950" s="290"/>
      <c r="J950" s="290"/>
      <c r="K950" s="291"/>
      <c r="L950" s="18"/>
      <c r="M950" s="285" t="str">
        <f t="shared" ref="M950" si="1481">IF(COUNT(L950:L951)&lt;1,"",AVERAGE(L950:L951))</f>
        <v/>
      </c>
      <c r="N950" s="22"/>
      <c r="O950" s="285" t="str">
        <f t="shared" ref="O950" si="1482">IF(COUNT(N950:N951)&lt;1,"",AVERAGE(N950:N951))</f>
        <v/>
      </c>
      <c r="P950" s="22"/>
      <c r="Q950" s="285" t="str">
        <f t="shared" ref="Q950" si="1483">IF(COUNT(P950:P951)&lt;1,"",AVERAGE(P950:P951))</f>
        <v/>
      </c>
      <c r="R950" s="278" t="str">
        <f>IF($X$13="/28",IF(COUNT(P950:P951)&lt;=1,"",ABS(P950-P951)),IF($X$13="/90",IF(COUNT(#REF!)&lt;=1,"",ABS(#REF!-#REF!))))</f>
        <v/>
      </c>
      <c r="S950" s="278" t="str">
        <f>IF($X$13="/28",IF(Q950="","",IF(AVERAGE(Q946:Q951)&gt;=$W$13,ROUND(AVERAGE(Q946:Q951),1)&amp;" ≥ "&amp;$W$13&amp;" OK",ROUND(AVERAGE(Q946:Q951),1)&amp;" &lt; "&amp;$W$13&amp;" NC")),IF($X$13="/90",IF(#REF!="","",IF(AVERAGE(#REF!)&gt;=$W$13,ROUND(AVERAGE(#REF!),1)&amp;" ≥ "&amp;$W$13&amp;" OK",ROUND(AVERAGE(#REF!),1)&amp;" &lt; "&amp;$W$13&amp;" NC"))))</f>
        <v/>
      </c>
      <c r="T950" s="278" t="str">
        <f>IF($X$13="/28",IF(Q950="","",IF(Q950&gt;=$W$13-$S$12,ROUND((Q950),1)&amp;" ≥ "&amp;$W$13-$S$12&amp;" OK",ROUND((Q950),1)&amp;" &lt; "&amp;$W$13-$S$12&amp;" NC")),IF($X$13="/90",IF(#REF!="","",IF(#REF!&gt;=$W$13-$S$12,ROUND((#REF!),1)&amp;" ≥ "&amp;$W$13-$S$12&amp;" OK",ROUND((#REF!),1)&amp;" &lt; "&amp;$W$13-$S$12&amp;" NC"))))</f>
        <v/>
      </c>
      <c r="U950" s="14"/>
      <c r="V950" s="279"/>
      <c r="W950" s="280"/>
      <c r="X950" s="281"/>
      <c r="Y950" s="246"/>
      <c r="Z950" s="246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BP950" s="390" t="str">
        <f>IF($X$13="/28",IF(Q950="","",Q950),IF($X$13="/90",IF(#REF!="","",#REF!),"Falso"))</f>
        <v/>
      </c>
      <c r="BQ950" s="392" t="str">
        <f t="shared" si="1390"/>
        <v/>
      </c>
      <c r="BS950" s="50" t="str">
        <f>Q1882</f>
        <v/>
      </c>
      <c r="BT950" s="50" t="e">
        <f>#REF!</f>
        <v>#REF!</v>
      </c>
      <c r="BU950" s="39" t="str">
        <f t="shared" si="1438"/>
        <v/>
      </c>
      <c r="BV950" s="39" t="str">
        <f t="shared" si="1431"/>
        <v/>
      </c>
    </row>
    <row r="951" spans="1:74" ht="14.25" customHeight="1" x14ac:dyDescent="0.35">
      <c r="A951" s="294"/>
      <c r="B951" s="296"/>
      <c r="C951" s="298"/>
      <c r="D951" s="300"/>
      <c r="E951" s="302"/>
      <c r="F951" s="304"/>
      <c r="G951" s="276"/>
      <c r="H951" s="277"/>
      <c r="I951" s="290"/>
      <c r="J951" s="290"/>
      <c r="K951" s="291"/>
      <c r="L951" s="17"/>
      <c r="M951" s="286"/>
      <c r="N951" s="21"/>
      <c r="O951" s="286"/>
      <c r="P951" s="21"/>
      <c r="Q951" s="286"/>
      <c r="R951" s="248"/>
      <c r="S951" s="287"/>
      <c r="T951" s="248"/>
      <c r="U951" s="13"/>
      <c r="V951" s="282"/>
      <c r="W951" s="283"/>
      <c r="X951" s="284"/>
      <c r="Y951" s="245"/>
      <c r="Z951" s="245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BP951" s="391"/>
      <c r="BQ951" s="393"/>
      <c r="BS951" s="50" t="str">
        <f>Q1884</f>
        <v/>
      </c>
      <c r="BT951" s="50" t="e">
        <f>#REF!</f>
        <v>#REF!</v>
      </c>
      <c r="BU951" s="39" t="str">
        <f t="shared" si="1438"/>
        <v/>
      </c>
      <c r="BV951" s="39" t="str">
        <f t="shared" si="1431"/>
        <v/>
      </c>
    </row>
    <row r="952" spans="1:74" ht="14.25" customHeight="1" x14ac:dyDescent="0.35">
      <c r="A952" s="293">
        <v>468</v>
      </c>
      <c r="B952" s="295"/>
      <c r="C952" s="297"/>
      <c r="D952" s="299"/>
      <c r="E952" s="301"/>
      <c r="F952" s="303"/>
      <c r="G952" s="288"/>
      <c r="H952" s="289"/>
      <c r="I952" s="290"/>
      <c r="J952" s="290"/>
      <c r="K952" s="291"/>
      <c r="L952" s="18"/>
      <c r="M952" s="285" t="str">
        <f t="shared" ref="M952" si="1484">IF(COUNT(L952:L953)&lt;1,"",AVERAGE(L952:L953))</f>
        <v/>
      </c>
      <c r="N952" s="22"/>
      <c r="O952" s="285" t="str">
        <f t="shared" ref="O952" si="1485">IF(COUNT(N952:N953)&lt;1,"",AVERAGE(N952:N953))</f>
        <v/>
      </c>
      <c r="P952" s="22"/>
      <c r="Q952" s="285" t="str">
        <f t="shared" ref="Q952" si="1486">IF(COUNT(P952:P953)&lt;1,"",AVERAGE(P952:P953))</f>
        <v/>
      </c>
      <c r="R952" s="278" t="str">
        <f>IF($X$13="/28",IF(COUNT(P952:P953)&lt;=1,"",ABS(P952-P953)),IF($X$13="/90",IF(COUNT(#REF!)&lt;=1,"",ABS(#REF!-#REF!))))</f>
        <v/>
      </c>
      <c r="S952" s="278" t="str">
        <f>IF($X$13="/28",IF(Q952="","",IF(AVERAGE(Q948:Q953)&gt;=$W$13,ROUND(AVERAGE(Q948:Q953),1)&amp;" ≥ "&amp;$W$13&amp;" OK",ROUND(AVERAGE(Q948:Q953),1)&amp;" &lt; "&amp;$W$13&amp;" NC")),IF($X$13="/90",IF(#REF!="","",IF(AVERAGE(#REF!)&gt;=$W$13,ROUND(AVERAGE(#REF!),1)&amp;" ≥ "&amp;$W$13&amp;" OK",ROUND(AVERAGE(#REF!),1)&amp;" &lt; "&amp;$W$13&amp;" NC"))))</f>
        <v/>
      </c>
      <c r="T952" s="278" t="str">
        <f>IF($X$13="/28",IF(Q952="","",IF(Q952&gt;=$W$13-$S$12,ROUND((Q952),1)&amp;" ≥ "&amp;$W$13-$S$12&amp;" OK",ROUND((Q952),1)&amp;" &lt; "&amp;$W$13-$S$12&amp;" NC")),IF($X$13="/90",IF(#REF!="","",IF(#REF!&gt;=$W$13-$S$12,ROUND((#REF!),1)&amp;" ≥ "&amp;$W$13-$S$12&amp;" OK",ROUND((#REF!),1)&amp;" &lt; "&amp;$W$13-$S$12&amp;" NC"))))</f>
        <v/>
      </c>
      <c r="U952" s="14"/>
      <c r="V952" s="279"/>
      <c r="W952" s="280"/>
      <c r="X952" s="281"/>
      <c r="Y952" s="246"/>
      <c r="Z952" s="246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BP952" s="390" t="str">
        <f>IF($X$13="/28",IF(Q952="","",Q952),IF($X$13="/90",IF(#REF!="","",#REF!),"Falso"))</f>
        <v/>
      </c>
      <c r="BQ952" s="392" t="str">
        <f t="shared" si="1394"/>
        <v/>
      </c>
      <c r="BS952" s="50" t="str">
        <f>Q1886</f>
        <v/>
      </c>
      <c r="BT952" s="50" t="e">
        <f>#REF!</f>
        <v>#REF!</v>
      </c>
      <c r="BU952" s="39" t="str">
        <f t="shared" si="1438"/>
        <v/>
      </c>
      <c r="BV952" s="39" t="str">
        <f t="shared" si="1431"/>
        <v/>
      </c>
    </row>
    <row r="953" spans="1:74" ht="14.25" customHeight="1" x14ac:dyDescent="0.35">
      <c r="A953" s="294"/>
      <c r="B953" s="296"/>
      <c r="C953" s="298"/>
      <c r="D953" s="300"/>
      <c r="E953" s="302"/>
      <c r="F953" s="304"/>
      <c r="G953" s="276"/>
      <c r="H953" s="277"/>
      <c r="I953" s="290"/>
      <c r="J953" s="290"/>
      <c r="K953" s="291"/>
      <c r="L953" s="17"/>
      <c r="M953" s="286"/>
      <c r="N953" s="21"/>
      <c r="O953" s="286"/>
      <c r="P953" s="21"/>
      <c r="Q953" s="286"/>
      <c r="R953" s="248"/>
      <c r="S953" s="287"/>
      <c r="T953" s="248"/>
      <c r="U953" s="13"/>
      <c r="V953" s="282"/>
      <c r="W953" s="283"/>
      <c r="X953" s="284"/>
      <c r="Y953" s="245"/>
      <c r="Z953" s="245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BP953" s="391"/>
      <c r="BQ953" s="393"/>
      <c r="BS953" s="50" t="str">
        <f>Q1888</f>
        <v/>
      </c>
      <c r="BT953" s="50" t="e">
        <f>#REF!</f>
        <v>#REF!</v>
      </c>
      <c r="BU953" s="39" t="str">
        <f t="shared" si="1438"/>
        <v/>
      </c>
      <c r="BV953" s="39" t="str">
        <f t="shared" si="1431"/>
        <v/>
      </c>
    </row>
    <row r="954" spans="1:74" ht="14.25" customHeight="1" x14ac:dyDescent="0.35">
      <c r="A954" s="293">
        <v>469</v>
      </c>
      <c r="B954" s="295"/>
      <c r="C954" s="297"/>
      <c r="D954" s="299"/>
      <c r="E954" s="301"/>
      <c r="F954" s="303"/>
      <c r="G954" s="288"/>
      <c r="H954" s="289"/>
      <c r="I954" s="290"/>
      <c r="J954" s="290"/>
      <c r="K954" s="291"/>
      <c r="L954" s="18"/>
      <c r="M954" s="285" t="str">
        <f t="shared" ref="M954" si="1487">IF(COUNT(L954:L955)&lt;1,"",AVERAGE(L954:L955))</f>
        <v/>
      </c>
      <c r="N954" s="22"/>
      <c r="O954" s="285" t="str">
        <f t="shared" ref="O954" si="1488">IF(COUNT(N954:N955)&lt;1,"",AVERAGE(N954:N955))</f>
        <v/>
      </c>
      <c r="P954" s="22"/>
      <c r="Q954" s="285" t="str">
        <f t="shared" ref="Q954" si="1489">IF(COUNT(P954:P955)&lt;1,"",AVERAGE(P954:P955))</f>
        <v/>
      </c>
      <c r="R954" s="278" t="str">
        <f>IF($X$13="/28",IF(COUNT(P954:P955)&lt;=1,"",ABS(P954-P955)),IF($X$13="/90",IF(COUNT(#REF!)&lt;=1,"",ABS(#REF!-#REF!))))</f>
        <v/>
      </c>
      <c r="S954" s="278" t="str">
        <f>IF($X$13="/28",IF(Q954="","",IF(AVERAGE(Q950:Q955)&gt;=$W$13,ROUND(AVERAGE(Q950:Q955),1)&amp;" ≥ "&amp;$W$13&amp;" OK",ROUND(AVERAGE(Q950:Q955),1)&amp;" &lt; "&amp;$W$13&amp;" NC")),IF($X$13="/90",IF(#REF!="","",IF(AVERAGE(#REF!)&gt;=$W$13,ROUND(AVERAGE(#REF!),1)&amp;" ≥ "&amp;$W$13&amp;" OK",ROUND(AVERAGE(#REF!),1)&amp;" &lt; "&amp;$W$13&amp;" NC"))))</f>
        <v/>
      </c>
      <c r="T954" s="278" t="str">
        <f>IF($X$13="/28",IF(Q954="","",IF(Q954&gt;=$W$13-$S$12,ROUND((Q954),1)&amp;" ≥ "&amp;$W$13-$S$12&amp;" OK",ROUND((Q954),1)&amp;" &lt; "&amp;$W$13-$S$12&amp;" NC")),IF($X$13="/90",IF(#REF!="","",IF(#REF!&gt;=$W$13-$S$12,ROUND((#REF!),1)&amp;" ≥ "&amp;$W$13-$S$12&amp;" OK",ROUND((#REF!),1)&amp;" &lt; "&amp;$W$13-$S$12&amp;" NC"))))</f>
        <v/>
      </c>
      <c r="U954" s="14"/>
      <c r="V954" s="279"/>
      <c r="W954" s="280"/>
      <c r="X954" s="281"/>
      <c r="Y954" s="246"/>
      <c r="Z954" s="246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BP954" s="390" t="str">
        <f>IF($X$13="/28",IF(Q954="","",Q954),IF($X$13="/90",IF(#REF!="","",#REF!),"Falso"))</f>
        <v/>
      </c>
      <c r="BQ954" s="392" t="str">
        <f t="shared" ref="BQ954:BQ1014" si="1490">IF(BP954="","",BQ952+1)</f>
        <v/>
      </c>
      <c r="BS954" s="50" t="str">
        <f>Q1890</f>
        <v/>
      </c>
      <c r="BT954" s="50" t="e">
        <f>#REF!</f>
        <v>#REF!</v>
      </c>
      <c r="BU954" s="39" t="str">
        <f t="shared" si="1438"/>
        <v/>
      </c>
      <c r="BV954" s="39" t="str">
        <f t="shared" si="1431"/>
        <v/>
      </c>
    </row>
    <row r="955" spans="1:74" ht="14.25" customHeight="1" x14ac:dyDescent="0.35">
      <c r="A955" s="294"/>
      <c r="B955" s="296"/>
      <c r="C955" s="298"/>
      <c r="D955" s="300"/>
      <c r="E955" s="302"/>
      <c r="F955" s="304"/>
      <c r="G955" s="276"/>
      <c r="H955" s="277"/>
      <c r="I955" s="290"/>
      <c r="J955" s="290"/>
      <c r="K955" s="291"/>
      <c r="L955" s="17"/>
      <c r="M955" s="286"/>
      <c r="N955" s="21"/>
      <c r="O955" s="286"/>
      <c r="P955" s="21"/>
      <c r="Q955" s="286"/>
      <c r="R955" s="248"/>
      <c r="S955" s="287"/>
      <c r="T955" s="248"/>
      <c r="U955" s="13"/>
      <c r="V955" s="282"/>
      <c r="W955" s="283"/>
      <c r="X955" s="284"/>
      <c r="Y955" s="245"/>
      <c r="Z955" s="245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BP955" s="391"/>
      <c r="BQ955" s="393"/>
      <c r="BS955" s="50" t="str">
        <f>Q1892</f>
        <v/>
      </c>
      <c r="BT955" s="50" t="e">
        <f>#REF!</f>
        <v>#REF!</v>
      </c>
      <c r="BU955" s="39" t="str">
        <f t="shared" si="1438"/>
        <v/>
      </c>
      <c r="BV955" s="39" t="str">
        <f t="shared" si="1431"/>
        <v/>
      </c>
    </row>
    <row r="956" spans="1:74" ht="14.25" customHeight="1" x14ac:dyDescent="0.35">
      <c r="A956" s="293">
        <v>470</v>
      </c>
      <c r="B956" s="295"/>
      <c r="C956" s="297"/>
      <c r="D956" s="299"/>
      <c r="E956" s="301"/>
      <c r="F956" s="303"/>
      <c r="G956" s="288"/>
      <c r="H956" s="289"/>
      <c r="I956" s="290"/>
      <c r="J956" s="290"/>
      <c r="K956" s="291"/>
      <c r="L956" s="18"/>
      <c r="M956" s="285" t="str">
        <f t="shared" ref="M956" si="1491">IF(COUNT(L956:L957)&lt;1,"",AVERAGE(L956:L957))</f>
        <v/>
      </c>
      <c r="N956" s="22"/>
      <c r="O956" s="285" t="str">
        <f t="shared" ref="O956" si="1492">IF(COUNT(N956:N957)&lt;1,"",AVERAGE(N956:N957))</f>
        <v/>
      </c>
      <c r="P956" s="22"/>
      <c r="Q956" s="285" t="str">
        <f t="shared" ref="Q956" si="1493">IF(COUNT(P956:P957)&lt;1,"",AVERAGE(P956:P957))</f>
        <v/>
      </c>
      <c r="R956" s="278" t="str">
        <f>IF($X$13="/28",IF(COUNT(P956:P957)&lt;=1,"",ABS(P956-P957)),IF($X$13="/90",IF(COUNT(#REF!)&lt;=1,"",ABS(#REF!-#REF!))))</f>
        <v/>
      </c>
      <c r="S956" s="278" t="str">
        <f>IF($X$13="/28",IF(Q956="","",IF(AVERAGE(Q952:Q957)&gt;=$W$13,ROUND(AVERAGE(Q952:Q957),1)&amp;" ≥ "&amp;$W$13&amp;" OK",ROUND(AVERAGE(Q952:Q957),1)&amp;" &lt; "&amp;$W$13&amp;" NC")),IF($X$13="/90",IF(#REF!="","",IF(AVERAGE(#REF!)&gt;=$W$13,ROUND(AVERAGE(#REF!),1)&amp;" ≥ "&amp;$W$13&amp;" OK",ROUND(AVERAGE(#REF!),1)&amp;" &lt; "&amp;$W$13&amp;" NC"))))</f>
        <v/>
      </c>
      <c r="T956" s="278" t="str">
        <f>IF($X$13="/28",IF(Q956="","",IF(Q956&gt;=$W$13-$S$12,ROUND((Q956),1)&amp;" ≥ "&amp;$W$13-$S$12&amp;" OK",ROUND((Q956),1)&amp;" &lt; "&amp;$W$13-$S$12&amp;" NC")),IF($X$13="/90",IF(#REF!="","",IF(#REF!&gt;=$W$13-$S$12,ROUND((#REF!),1)&amp;" ≥ "&amp;$W$13-$S$12&amp;" OK",ROUND((#REF!),1)&amp;" &lt; "&amp;$W$13-$S$12&amp;" NC"))))</f>
        <v/>
      </c>
      <c r="U956" s="14"/>
      <c r="V956" s="279"/>
      <c r="W956" s="280"/>
      <c r="X956" s="281"/>
      <c r="Y956" s="246"/>
      <c r="Z956" s="246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BP956" s="390" t="str">
        <f>IF($X$13="/28",IF(Q956="","",Q956),IF($X$13="/90",IF(#REF!="","",#REF!),"Falso"))</f>
        <v/>
      </c>
      <c r="BQ956" s="392" t="str">
        <f t="shared" ref="BQ956:BQ1016" si="1494">IF(BP956="","",BQ954+1)</f>
        <v/>
      </c>
      <c r="BS956" s="50" t="str">
        <f>Q1894</f>
        <v/>
      </c>
      <c r="BT956" s="50" t="e">
        <f>#REF!</f>
        <v>#REF!</v>
      </c>
      <c r="BU956" s="39" t="str">
        <f t="shared" si="1438"/>
        <v/>
      </c>
      <c r="BV956" s="39" t="str">
        <f t="shared" si="1431"/>
        <v/>
      </c>
    </row>
    <row r="957" spans="1:74" ht="14.25" customHeight="1" x14ac:dyDescent="0.35">
      <c r="A957" s="294"/>
      <c r="B957" s="296"/>
      <c r="C957" s="298"/>
      <c r="D957" s="300"/>
      <c r="E957" s="302"/>
      <c r="F957" s="304"/>
      <c r="G957" s="276"/>
      <c r="H957" s="277"/>
      <c r="I957" s="290"/>
      <c r="J957" s="290"/>
      <c r="K957" s="291"/>
      <c r="L957" s="17"/>
      <c r="M957" s="286"/>
      <c r="N957" s="21"/>
      <c r="O957" s="286"/>
      <c r="P957" s="21"/>
      <c r="Q957" s="286"/>
      <c r="R957" s="248"/>
      <c r="S957" s="287"/>
      <c r="T957" s="248"/>
      <c r="U957" s="13"/>
      <c r="V957" s="282"/>
      <c r="W957" s="283"/>
      <c r="X957" s="284"/>
      <c r="Y957" s="245"/>
      <c r="Z957" s="245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BP957" s="391"/>
      <c r="BQ957" s="393"/>
      <c r="BS957" s="50" t="str">
        <f>Q1896</f>
        <v/>
      </c>
      <c r="BT957" s="50" t="e">
        <f>#REF!</f>
        <v>#REF!</v>
      </c>
      <c r="BU957" s="39" t="str">
        <f t="shared" si="1438"/>
        <v/>
      </c>
      <c r="BV957" s="39" t="str">
        <f t="shared" si="1431"/>
        <v/>
      </c>
    </row>
    <row r="958" spans="1:74" ht="14.25" customHeight="1" x14ac:dyDescent="0.35">
      <c r="A958" s="293">
        <v>471</v>
      </c>
      <c r="B958" s="295"/>
      <c r="C958" s="297"/>
      <c r="D958" s="299"/>
      <c r="E958" s="301"/>
      <c r="F958" s="303"/>
      <c r="G958" s="288"/>
      <c r="H958" s="289"/>
      <c r="I958" s="290"/>
      <c r="J958" s="290"/>
      <c r="K958" s="291"/>
      <c r="L958" s="18"/>
      <c r="M958" s="285" t="str">
        <f t="shared" ref="M958" si="1495">IF(COUNT(L958:L959)&lt;1,"",AVERAGE(L958:L959))</f>
        <v/>
      </c>
      <c r="N958" s="22"/>
      <c r="O958" s="285" t="str">
        <f t="shared" ref="O958" si="1496">IF(COUNT(N958:N959)&lt;1,"",AVERAGE(N958:N959))</f>
        <v/>
      </c>
      <c r="P958" s="22"/>
      <c r="Q958" s="285" t="str">
        <f t="shared" ref="Q958" si="1497">IF(COUNT(P958:P959)&lt;1,"",AVERAGE(P958:P959))</f>
        <v/>
      </c>
      <c r="R958" s="278" t="str">
        <f>IF($X$13="/28",IF(COUNT(P958:P959)&lt;=1,"",ABS(P958-P959)),IF($X$13="/90",IF(COUNT(#REF!)&lt;=1,"",ABS(#REF!-#REF!))))</f>
        <v/>
      </c>
      <c r="S958" s="278" t="str">
        <f>IF($X$13="/28",IF(Q958="","",IF(AVERAGE(Q954:Q959)&gt;=$W$13,ROUND(AVERAGE(Q954:Q959),1)&amp;" ≥ "&amp;$W$13&amp;" OK",ROUND(AVERAGE(Q954:Q959),1)&amp;" &lt; "&amp;$W$13&amp;" NC")),IF($X$13="/90",IF(#REF!="","",IF(AVERAGE(#REF!)&gt;=$W$13,ROUND(AVERAGE(#REF!),1)&amp;" ≥ "&amp;$W$13&amp;" OK",ROUND(AVERAGE(#REF!),1)&amp;" &lt; "&amp;$W$13&amp;" NC"))))</f>
        <v/>
      </c>
      <c r="T958" s="278" t="str">
        <f>IF($X$13="/28",IF(Q958="","",IF(Q958&gt;=$W$13-$S$12,ROUND((Q958),1)&amp;" ≥ "&amp;$W$13-$S$12&amp;" OK",ROUND((Q958),1)&amp;" &lt; "&amp;$W$13-$S$12&amp;" NC")),IF($X$13="/90",IF(#REF!="","",IF(#REF!&gt;=$W$13-$S$12,ROUND((#REF!),1)&amp;" ≥ "&amp;$W$13-$S$12&amp;" OK",ROUND((#REF!),1)&amp;" &lt; "&amp;$W$13-$S$12&amp;" NC"))))</f>
        <v/>
      </c>
      <c r="U958" s="14"/>
      <c r="V958" s="279"/>
      <c r="W958" s="280"/>
      <c r="X958" s="281"/>
      <c r="Y958" s="246"/>
      <c r="Z958" s="246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BP958" s="390" t="str">
        <f>IF($X$13="/28",IF(Q958="","",Q958),IF($X$13="/90",IF(#REF!="","",#REF!),"Falso"))</f>
        <v/>
      </c>
      <c r="BQ958" s="392" t="str">
        <f t="shared" ref="BQ958:BQ1018" si="1498">IF(BP958="","",BQ956+1)</f>
        <v/>
      </c>
      <c r="BS958" s="50" t="str">
        <f>Q1898</f>
        <v/>
      </c>
      <c r="BT958" s="50" t="e">
        <f>#REF!</f>
        <v>#REF!</v>
      </c>
      <c r="BU958" s="39" t="str">
        <f t="shared" si="1438"/>
        <v/>
      </c>
      <c r="BV958" s="39" t="str">
        <f t="shared" si="1431"/>
        <v/>
      </c>
    </row>
    <row r="959" spans="1:74" ht="14.25" customHeight="1" x14ac:dyDescent="0.35">
      <c r="A959" s="294"/>
      <c r="B959" s="296"/>
      <c r="C959" s="298"/>
      <c r="D959" s="300"/>
      <c r="E959" s="302"/>
      <c r="F959" s="304"/>
      <c r="G959" s="276"/>
      <c r="H959" s="277"/>
      <c r="I959" s="290"/>
      <c r="J959" s="290"/>
      <c r="K959" s="291"/>
      <c r="L959" s="17"/>
      <c r="M959" s="286"/>
      <c r="N959" s="21"/>
      <c r="O959" s="286"/>
      <c r="P959" s="21"/>
      <c r="Q959" s="286"/>
      <c r="R959" s="248"/>
      <c r="S959" s="287"/>
      <c r="T959" s="248"/>
      <c r="U959" s="13"/>
      <c r="V959" s="282"/>
      <c r="W959" s="283"/>
      <c r="X959" s="284"/>
      <c r="Y959" s="245"/>
      <c r="Z959" s="245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BP959" s="391"/>
      <c r="BQ959" s="393"/>
      <c r="BS959" s="50" t="str">
        <f>Q1900</f>
        <v/>
      </c>
      <c r="BT959" s="50" t="e">
        <f>#REF!</f>
        <v>#REF!</v>
      </c>
      <c r="BU959" s="39" t="str">
        <f t="shared" si="1438"/>
        <v/>
      </c>
      <c r="BV959" s="39" t="str">
        <f t="shared" si="1431"/>
        <v/>
      </c>
    </row>
    <row r="960" spans="1:74" ht="14.25" customHeight="1" x14ac:dyDescent="0.35">
      <c r="A960" s="293">
        <v>472</v>
      </c>
      <c r="B960" s="295"/>
      <c r="C960" s="297"/>
      <c r="D960" s="299"/>
      <c r="E960" s="301"/>
      <c r="F960" s="303"/>
      <c r="G960" s="288"/>
      <c r="H960" s="289"/>
      <c r="I960" s="290"/>
      <c r="J960" s="290"/>
      <c r="K960" s="291"/>
      <c r="L960" s="18"/>
      <c r="M960" s="285" t="str">
        <f t="shared" ref="M960" si="1499">IF(COUNT(L960:L961)&lt;1,"",AVERAGE(L960:L961))</f>
        <v/>
      </c>
      <c r="N960" s="22"/>
      <c r="O960" s="285" t="str">
        <f t="shared" ref="O960" si="1500">IF(COUNT(N960:N961)&lt;1,"",AVERAGE(N960:N961))</f>
        <v/>
      </c>
      <c r="P960" s="22"/>
      <c r="Q960" s="285" t="str">
        <f t="shared" ref="Q960" si="1501">IF(COUNT(P960:P961)&lt;1,"",AVERAGE(P960:P961))</f>
        <v/>
      </c>
      <c r="R960" s="278" t="str">
        <f>IF($X$13="/28",IF(COUNT(P960:P961)&lt;=1,"",ABS(P960-P961)),IF($X$13="/90",IF(COUNT(#REF!)&lt;=1,"",ABS(#REF!-#REF!))))</f>
        <v/>
      </c>
      <c r="S960" s="278" t="str">
        <f>IF($X$13="/28",IF(Q960="","",IF(AVERAGE(Q956:Q961)&gt;=$W$13,ROUND(AVERAGE(Q956:Q961),1)&amp;" ≥ "&amp;$W$13&amp;" OK",ROUND(AVERAGE(Q956:Q961),1)&amp;" &lt; "&amp;$W$13&amp;" NC")),IF($X$13="/90",IF(#REF!="","",IF(AVERAGE(#REF!)&gt;=$W$13,ROUND(AVERAGE(#REF!),1)&amp;" ≥ "&amp;$W$13&amp;" OK",ROUND(AVERAGE(#REF!),1)&amp;" &lt; "&amp;$W$13&amp;" NC"))))</f>
        <v/>
      </c>
      <c r="T960" s="278" t="str">
        <f>IF($X$13="/28",IF(Q960="","",IF(Q960&gt;=$W$13-$S$12,ROUND((Q960),1)&amp;" ≥ "&amp;$W$13-$S$12&amp;" OK",ROUND((Q960),1)&amp;" &lt; "&amp;$W$13-$S$12&amp;" NC")),IF($X$13="/90",IF(#REF!="","",IF(#REF!&gt;=$W$13-$S$12,ROUND((#REF!),1)&amp;" ≥ "&amp;$W$13-$S$12&amp;" OK",ROUND((#REF!),1)&amp;" &lt; "&amp;$W$13-$S$12&amp;" NC"))))</f>
        <v/>
      </c>
      <c r="U960" s="14"/>
      <c r="V960" s="279"/>
      <c r="W960" s="280"/>
      <c r="X960" s="281"/>
      <c r="Y960" s="246"/>
      <c r="Z960" s="246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BP960" s="390" t="str">
        <f>IF($X$13="/28",IF(Q960="","",Q960),IF($X$13="/90",IF(#REF!="","",#REF!),"Falso"))</f>
        <v/>
      </c>
      <c r="BQ960" s="392" t="str">
        <f t="shared" si="1490"/>
        <v/>
      </c>
      <c r="BS960" s="50" t="str">
        <f>Q1902</f>
        <v/>
      </c>
      <c r="BT960" s="50" t="e">
        <f>#REF!</f>
        <v>#REF!</v>
      </c>
      <c r="BU960" s="39" t="str">
        <f t="shared" si="1438"/>
        <v/>
      </c>
      <c r="BV960" s="39" t="str">
        <f t="shared" si="1431"/>
        <v/>
      </c>
    </row>
    <row r="961" spans="1:74" ht="14.25" customHeight="1" x14ac:dyDescent="0.35">
      <c r="A961" s="294"/>
      <c r="B961" s="296"/>
      <c r="C961" s="298"/>
      <c r="D961" s="300"/>
      <c r="E961" s="302"/>
      <c r="F961" s="304"/>
      <c r="G961" s="276"/>
      <c r="H961" s="277"/>
      <c r="I961" s="290"/>
      <c r="J961" s="290"/>
      <c r="K961" s="291"/>
      <c r="L961" s="17"/>
      <c r="M961" s="286"/>
      <c r="N961" s="21"/>
      <c r="O961" s="286"/>
      <c r="P961" s="21"/>
      <c r="Q961" s="286"/>
      <c r="R961" s="248"/>
      <c r="S961" s="287"/>
      <c r="T961" s="248"/>
      <c r="U961" s="13"/>
      <c r="V961" s="282"/>
      <c r="W961" s="283"/>
      <c r="X961" s="284"/>
      <c r="Y961" s="245"/>
      <c r="Z961" s="245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BP961" s="391"/>
      <c r="BQ961" s="393"/>
      <c r="BS961" s="50" t="str">
        <f>Q1904</f>
        <v/>
      </c>
      <c r="BT961" s="50" t="e">
        <f>#REF!</f>
        <v>#REF!</v>
      </c>
      <c r="BU961" s="39" t="str">
        <f t="shared" si="1438"/>
        <v/>
      </c>
      <c r="BV961" s="39" t="str">
        <f t="shared" si="1431"/>
        <v/>
      </c>
    </row>
    <row r="962" spans="1:74" ht="14.25" customHeight="1" x14ac:dyDescent="0.35">
      <c r="A962" s="293">
        <v>473</v>
      </c>
      <c r="B962" s="295"/>
      <c r="C962" s="297"/>
      <c r="D962" s="299"/>
      <c r="E962" s="301"/>
      <c r="F962" s="303"/>
      <c r="G962" s="288"/>
      <c r="H962" s="289"/>
      <c r="I962" s="290"/>
      <c r="J962" s="290"/>
      <c r="K962" s="291"/>
      <c r="L962" s="18"/>
      <c r="M962" s="285" t="str">
        <f t="shared" ref="M962" si="1502">IF(COUNT(L962:L963)&lt;1,"",AVERAGE(L962:L963))</f>
        <v/>
      </c>
      <c r="N962" s="22"/>
      <c r="O962" s="285" t="str">
        <f t="shared" ref="O962" si="1503">IF(COUNT(N962:N963)&lt;1,"",AVERAGE(N962:N963))</f>
        <v/>
      </c>
      <c r="P962" s="22"/>
      <c r="Q962" s="285" t="str">
        <f t="shared" ref="Q962" si="1504">IF(COUNT(P962:P963)&lt;1,"",AVERAGE(P962:P963))</f>
        <v/>
      </c>
      <c r="R962" s="278" t="str">
        <f>IF($X$13="/28",IF(COUNT(P962:P963)&lt;=1,"",ABS(P962-P963)),IF($X$13="/90",IF(COUNT(#REF!)&lt;=1,"",ABS(#REF!-#REF!))))</f>
        <v/>
      </c>
      <c r="S962" s="278" t="str">
        <f>IF($X$13="/28",IF(Q962="","",IF(AVERAGE(Q958:Q963)&gt;=$W$13,ROUND(AVERAGE(Q958:Q963),1)&amp;" ≥ "&amp;$W$13&amp;" OK",ROUND(AVERAGE(Q958:Q963),1)&amp;" &lt; "&amp;$W$13&amp;" NC")),IF($X$13="/90",IF(#REF!="","",IF(AVERAGE(#REF!)&gt;=$W$13,ROUND(AVERAGE(#REF!),1)&amp;" ≥ "&amp;$W$13&amp;" OK",ROUND(AVERAGE(#REF!),1)&amp;" &lt; "&amp;$W$13&amp;" NC"))))</f>
        <v/>
      </c>
      <c r="T962" s="278" t="str">
        <f>IF($X$13="/28",IF(Q962="","",IF(Q962&gt;=$W$13-$S$12,ROUND((Q962),1)&amp;" ≥ "&amp;$W$13-$S$12&amp;" OK",ROUND((Q962),1)&amp;" &lt; "&amp;$W$13-$S$12&amp;" NC")),IF($X$13="/90",IF(#REF!="","",IF(#REF!&gt;=$W$13-$S$12,ROUND((#REF!),1)&amp;" ≥ "&amp;$W$13-$S$12&amp;" OK",ROUND((#REF!),1)&amp;" &lt; "&amp;$W$13-$S$12&amp;" NC"))))</f>
        <v/>
      </c>
      <c r="U962" s="14"/>
      <c r="V962" s="279"/>
      <c r="W962" s="280"/>
      <c r="X962" s="281"/>
      <c r="Y962" s="246"/>
      <c r="Z962" s="246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BP962" s="390" t="str">
        <f>IF($X$13="/28",IF(Q962="","",Q962),IF($X$13="/90",IF(#REF!="","",#REF!),"Falso"))</f>
        <v/>
      </c>
      <c r="BQ962" s="392" t="str">
        <f t="shared" si="1494"/>
        <v/>
      </c>
      <c r="BS962" s="50" t="str">
        <f>Q1906</f>
        <v/>
      </c>
      <c r="BT962" s="50" t="e">
        <f>#REF!</f>
        <v>#REF!</v>
      </c>
      <c r="BU962" s="39" t="str">
        <f t="shared" si="1438"/>
        <v/>
      </c>
      <c r="BV962" s="39" t="str">
        <f t="shared" si="1431"/>
        <v/>
      </c>
    </row>
    <row r="963" spans="1:74" ht="14.25" customHeight="1" x14ac:dyDescent="0.35">
      <c r="A963" s="294"/>
      <c r="B963" s="296"/>
      <c r="C963" s="298"/>
      <c r="D963" s="300"/>
      <c r="E963" s="302"/>
      <c r="F963" s="304"/>
      <c r="G963" s="276"/>
      <c r="H963" s="277"/>
      <c r="I963" s="290"/>
      <c r="J963" s="290"/>
      <c r="K963" s="291"/>
      <c r="L963" s="17"/>
      <c r="M963" s="286"/>
      <c r="N963" s="21"/>
      <c r="O963" s="286"/>
      <c r="P963" s="21"/>
      <c r="Q963" s="286"/>
      <c r="R963" s="248"/>
      <c r="S963" s="287"/>
      <c r="T963" s="248"/>
      <c r="U963" s="13"/>
      <c r="V963" s="282"/>
      <c r="W963" s="283"/>
      <c r="X963" s="284"/>
      <c r="Y963" s="245"/>
      <c r="Z963" s="245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BP963" s="391"/>
      <c r="BQ963" s="393"/>
      <c r="BS963" s="50" t="str">
        <f>Q1908</f>
        <v/>
      </c>
      <c r="BT963" s="50" t="e">
        <f>#REF!</f>
        <v>#REF!</v>
      </c>
      <c r="BU963" s="39" t="str">
        <f t="shared" si="1438"/>
        <v/>
      </c>
      <c r="BV963" s="39" t="str">
        <f t="shared" si="1431"/>
        <v/>
      </c>
    </row>
    <row r="964" spans="1:74" ht="14.25" customHeight="1" x14ac:dyDescent="0.35">
      <c r="A964" s="293">
        <v>474</v>
      </c>
      <c r="B964" s="295"/>
      <c r="C964" s="297"/>
      <c r="D964" s="299"/>
      <c r="E964" s="301"/>
      <c r="F964" s="303"/>
      <c r="G964" s="288"/>
      <c r="H964" s="289"/>
      <c r="I964" s="290"/>
      <c r="J964" s="290"/>
      <c r="K964" s="291"/>
      <c r="L964" s="18"/>
      <c r="M964" s="285" t="str">
        <f t="shared" ref="M964" si="1505">IF(COUNT(L964:L965)&lt;1,"",AVERAGE(L964:L965))</f>
        <v/>
      </c>
      <c r="N964" s="22"/>
      <c r="O964" s="285" t="str">
        <f t="shared" ref="O964" si="1506">IF(COUNT(N964:N965)&lt;1,"",AVERAGE(N964:N965))</f>
        <v/>
      </c>
      <c r="P964" s="22"/>
      <c r="Q964" s="285" t="str">
        <f t="shared" ref="Q964" si="1507">IF(COUNT(P964:P965)&lt;1,"",AVERAGE(P964:P965))</f>
        <v/>
      </c>
      <c r="R964" s="278" t="str">
        <f>IF($X$13="/28",IF(COUNT(P964:P965)&lt;=1,"",ABS(P964-P965)),IF($X$13="/90",IF(COUNT(#REF!)&lt;=1,"",ABS(#REF!-#REF!))))</f>
        <v/>
      </c>
      <c r="S964" s="278" t="str">
        <f>IF($X$13="/28",IF(Q964="","",IF(AVERAGE(Q960:Q965)&gt;=$W$13,ROUND(AVERAGE(Q960:Q965),1)&amp;" ≥ "&amp;$W$13&amp;" OK",ROUND(AVERAGE(Q960:Q965),1)&amp;" &lt; "&amp;$W$13&amp;" NC")),IF($X$13="/90",IF(#REF!="","",IF(AVERAGE(#REF!)&gt;=$W$13,ROUND(AVERAGE(#REF!),1)&amp;" ≥ "&amp;$W$13&amp;" OK",ROUND(AVERAGE(#REF!),1)&amp;" &lt; "&amp;$W$13&amp;" NC"))))</f>
        <v/>
      </c>
      <c r="T964" s="278" t="str">
        <f>IF($X$13="/28",IF(Q964="","",IF(Q964&gt;=$W$13-$S$12,ROUND((Q964),1)&amp;" ≥ "&amp;$W$13-$S$12&amp;" OK",ROUND((Q964),1)&amp;" &lt; "&amp;$W$13-$S$12&amp;" NC")),IF($X$13="/90",IF(#REF!="","",IF(#REF!&gt;=$W$13-$S$12,ROUND((#REF!),1)&amp;" ≥ "&amp;$W$13-$S$12&amp;" OK",ROUND((#REF!),1)&amp;" &lt; "&amp;$W$13-$S$12&amp;" NC"))))</f>
        <v/>
      </c>
      <c r="U964" s="14"/>
      <c r="V964" s="279"/>
      <c r="W964" s="280"/>
      <c r="X964" s="281"/>
      <c r="Y964" s="246"/>
      <c r="Z964" s="246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BP964" s="390" t="str">
        <f>IF($X$13="/28",IF(Q964="","",Q964),IF($X$13="/90",IF(#REF!="","",#REF!),"Falso"))</f>
        <v/>
      </c>
      <c r="BQ964" s="392" t="str">
        <f t="shared" si="1498"/>
        <v/>
      </c>
      <c r="BS964" s="50" t="str">
        <f>Q1910</f>
        <v/>
      </c>
      <c r="BT964" s="50" t="e">
        <f>#REF!</f>
        <v>#REF!</v>
      </c>
      <c r="BU964" s="39" t="str">
        <f t="shared" si="1438"/>
        <v/>
      </c>
      <c r="BV964" s="39" t="str">
        <f t="shared" si="1431"/>
        <v/>
      </c>
    </row>
    <row r="965" spans="1:74" ht="14.25" customHeight="1" x14ac:dyDescent="0.35">
      <c r="A965" s="294"/>
      <c r="B965" s="296"/>
      <c r="C965" s="298"/>
      <c r="D965" s="300"/>
      <c r="E965" s="302"/>
      <c r="F965" s="304"/>
      <c r="G965" s="276"/>
      <c r="H965" s="277"/>
      <c r="I965" s="290"/>
      <c r="J965" s="290"/>
      <c r="K965" s="291"/>
      <c r="L965" s="17"/>
      <c r="M965" s="286"/>
      <c r="N965" s="21"/>
      <c r="O965" s="286"/>
      <c r="P965" s="21"/>
      <c r="Q965" s="286"/>
      <c r="R965" s="248"/>
      <c r="S965" s="287"/>
      <c r="T965" s="248"/>
      <c r="U965" s="13"/>
      <c r="V965" s="282"/>
      <c r="W965" s="283"/>
      <c r="X965" s="284"/>
      <c r="Y965" s="245"/>
      <c r="Z965" s="245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BP965" s="391"/>
      <c r="BQ965" s="393"/>
      <c r="BS965" s="50" t="str">
        <f>Q1912</f>
        <v/>
      </c>
      <c r="BT965" s="50" t="e">
        <f>#REF!</f>
        <v>#REF!</v>
      </c>
      <c r="BU965" s="39" t="str">
        <f t="shared" si="1438"/>
        <v/>
      </c>
      <c r="BV965" s="39" t="str">
        <f t="shared" si="1431"/>
        <v/>
      </c>
    </row>
    <row r="966" spans="1:74" ht="14.25" customHeight="1" x14ac:dyDescent="0.35">
      <c r="A966" s="293">
        <v>475</v>
      </c>
      <c r="B966" s="295"/>
      <c r="C966" s="297"/>
      <c r="D966" s="299"/>
      <c r="E966" s="301"/>
      <c r="F966" s="303"/>
      <c r="G966" s="288"/>
      <c r="H966" s="289"/>
      <c r="I966" s="290"/>
      <c r="J966" s="290"/>
      <c r="K966" s="291"/>
      <c r="L966" s="18"/>
      <c r="M966" s="285" t="str">
        <f t="shared" ref="M966" si="1508">IF(COUNT(L966:L967)&lt;1,"",AVERAGE(L966:L967))</f>
        <v/>
      </c>
      <c r="N966" s="22"/>
      <c r="O966" s="285" t="str">
        <f t="shared" ref="O966" si="1509">IF(COUNT(N966:N967)&lt;1,"",AVERAGE(N966:N967))</f>
        <v/>
      </c>
      <c r="P966" s="22"/>
      <c r="Q966" s="285" t="str">
        <f t="shared" ref="Q966" si="1510">IF(COUNT(P966:P967)&lt;1,"",AVERAGE(P966:P967))</f>
        <v/>
      </c>
      <c r="R966" s="278" t="str">
        <f>IF($X$13="/28",IF(COUNT(P966:P967)&lt;=1,"",ABS(P966-P967)),IF($X$13="/90",IF(COUNT(#REF!)&lt;=1,"",ABS(#REF!-#REF!))))</f>
        <v/>
      </c>
      <c r="S966" s="278" t="str">
        <f>IF($X$13="/28",IF(Q966="","",IF(AVERAGE(Q962:Q967)&gt;=$W$13,ROUND(AVERAGE(Q962:Q967),1)&amp;" ≥ "&amp;$W$13&amp;" OK",ROUND(AVERAGE(Q962:Q967),1)&amp;" &lt; "&amp;$W$13&amp;" NC")),IF($X$13="/90",IF(#REF!="","",IF(AVERAGE(#REF!)&gt;=$W$13,ROUND(AVERAGE(#REF!),1)&amp;" ≥ "&amp;$W$13&amp;" OK",ROUND(AVERAGE(#REF!),1)&amp;" &lt; "&amp;$W$13&amp;" NC"))))</f>
        <v/>
      </c>
      <c r="T966" s="278" t="str">
        <f>IF($X$13="/28",IF(Q966="","",IF(Q966&gt;=$W$13-$S$12,ROUND((Q966),1)&amp;" ≥ "&amp;$W$13-$S$12&amp;" OK",ROUND((Q966),1)&amp;" &lt; "&amp;$W$13-$S$12&amp;" NC")),IF($X$13="/90",IF(#REF!="","",IF(#REF!&gt;=$W$13-$S$12,ROUND((#REF!),1)&amp;" ≥ "&amp;$W$13-$S$12&amp;" OK",ROUND((#REF!),1)&amp;" &lt; "&amp;$W$13-$S$12&amp;" NC"))))</f>
        <v/>
      </c>
      <c r="U966" s="14"/>
      <c r="V966" s="279"/>
      <c r="W966" s="280"/>
      <c r="X966" s="281"/>
      <c r="Y966" s="246"/>
      <c r="Z966" s="246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BP966" s="390" t="str">
        <f>IF($X$13="/28",IF(Q966="","",Q966),IF($X$13="/90",IF(#REF!="","",#REF!),"Falso"))</f>
        <v/>
      </c>
      <c r="BQ966" s="392" t="str">
        <f t="shared" si="1490"/>
        <v/>
      </c>
      <c r="BS966" s="50" t="str">
        <f>Q1914</f>
        <v/>
      </c>
      <c r="BT966" s="50" t="e">
        <f>#REF!</f>
        <v>#REF!</v>
      </c>
      <c r="BU966" s="39" t="str">
        <f t="shared" si="1438"/>
        <v/>
      </c>
      <c r="BV966" s="39" t="str">
        <f t="shared" si="1431"/>
        <v/>
      </c>
    </row>
    <row r="967" spans="1:74" ht="14.25" customHeight="1" x14ac:dyDescent="0.35">
      <c r="A967" s="294"/>
      <c r="B967" s="296"/>
      <c r="C967" s="298"/>
      <c r="D967" s="300"/>
      <c r="E967" s="302"/>
      <c r="F967" s="304"/>
      <c r="G967" s="276"/>
      <c r="H967" s="277"/>
      <c r="I967" s="290"/>
      <c r="J967" s="290"/>
      <c r="K967" s="291"/>
      <c r="L967" s="17"/>
      <c r="M967" s="286"/>
      <c r="N967" s="21"/>
      <c r="O967" s="286"/>
      <c r="P967" s="21"/>
      <c r="Q967" s="286"/>
      <c r="R967" s="248"/>
      <c r="S967" s="287"/>
      <c r="T967" s="248"/>
      <c r="U967" s="13"/>
      <c r="V967" s="282"/>
      <c r="W967" s="283"/>
      <c r="X967" s="284"/>
      <c r="Y967" s="245"/>
      <c r="Z967" s="245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BP967" s="391"/>
      <c r="BQ967" s="393"/>
      <c r="BS967" s="50" t="str">
        <f>Q1916</f>
        <v/>
      </c>
      <c r="BT967" s="50" t="e">
        <f>#REF!</f>
        <v>#REF!</v>
      </c>
      <c r="BU967" s="39" t="str">
        <f t="shared" si="1438"/>
        <v/>
      </c>
      <c r="BV967" s="39" t="str">
        <f t="shared" si="1431"/>
        <v/>
      </c>
    </row>
    <row r="968" spans="1:74" ht="14.25" customHeight="1" x14ac:dyDescent="0.35">
      <c r="A968" s="293">
        <v>476</v>
      </c>
      <c r="B968" s="295"/>
      <c r="C968" s="297"/>
      <c r="D968" s="299"/>
      <c r="E968" s="301"/>
      <c r="F968" s="303"/>
      <c r="G968" s="288"/>
      <c r="H968" s="289"/>
      <c r="I968" s="290"/>
      <c r="J968" s="290"/>
      <c r="K968" s="291"/>
      <c r="L968" s="18"/>
      <c r="M968" s="285" t="str">
        <f t="shared" ref="M968" si="1511">IF(COUNT(L968:L969)&lt;1,"",AVERAGE(L968:L969))</f>
        <v/>
      </c>
      <c r="N968" s="22"/>
      <c r="O968" s="285" t="str">
        <f t="shared" ref="O968" si="1512">IF(COUNT(N968:N969)&lt;1,"",AVERAGE(N968:N969))</f>
        <v/>
      </c>
      <c r="P968" s="22"/>
      <c r="Q968" s="285" t="str">
        <f t="shared" ref="Q968" si="1513">IF(COUNT(P968:P969)&lt;1,"",AVERAGE(P968:P969))</f>
        <v/>
      </c>
      <c r="R968" s="278" t="str">
        <f>IF($X$13="/28",IF(COUNT(P968:P969)&lt;=1,"",ABS(P968-P969)),IF($X$13="/90",IF(COUNT(#REF!)&lt;=1,"",ABS(#REF!-#REF!))))</f>
        <v/>
      </c>
      <c r="S968" s="278" t="str">
        <f>IF($X$13="/28",IF(Q968="","",IF(AVERAGE(Q964:Q969)&gt;=$W$13,ROUND(AVERAGE(Q964:Q969),1)&amp;" ≥ "&amp;$W$13&amp;" OK",ROUND(AVERAGE(Q964:Q969),1)&amp;" &lt; "&amp;$W$13&amp;" NC")),IF($X$13="/90",IF(#REF!="","",IF(AVERAGE(#REF!)&gt;=$W$13,ROUND(AVERAGE(#REF!),1)&amp;" ≥ "&amp;$W$13&amp;" OK",ROUND(AVERAGE(#REF!),1)&amp;" &lt; "&amp;$W$13&amp;" NC"))))</f>
        <v/>
      </c>
      <c r="T968" s="278" t="str">
        <f>IF($X$13="/28",IF(Q968="","",IF(Q968&gt;=$W$13-$S$12,ROUND((Q968),1)&amp;" ≥ "&amp;$W$13-$S$12&amp;" OK",ROUND((Q968),1)&amp;" &lt; "&amp;$W$13-$S$12&amp;" NC")),IF($X$13="/90",IF(#REF!="","",IF(#REF!&gt;=$W$13-$S$12,ROUND((#REF!),1)&amp;" ≥ "&amp;$W$13-$S$12&amp;" OK",ROUND((#REF!),1)&amp;" &lt; "&amp;$W$13-$S$12&amp;" NC"))))</f>
        <v/>
      </c>
      <c r="U968" s="14"/>
      <c r="V968" s="279"/>
      <c r="W968" s="280"/>
      <c r="X968" s="281"/>
      <c r="Y968" s="246"/>
      <c r="Z968" s="246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BP968" s="390" t="str">
        <f>IF($X$13="/28",IF(Q968="","",Q968),IF($X$13="/90",IF(#REF!="","",#REF!),"Falso"))</f>
        <v/>
      </c>
      <c r="BQ968" s="392" t="str">
        <f t="shared" si="1494"/>
        <v/>
      </c>
      <c r="BS968" s="50" t="str">
        <f>Q1918</f>
        <v/>
      </c>
      <c r="BT968" s="50" t="e">
        <f>#REF!</f>
        <v>#REF!</v>
      </c>
      <c r="BU968" s="39" t="str">
        <f t="shared" si="1438"/>
        <v/>
      </c>
      <c r="BV968" s="39" t="str">
        <f t="shared" si="1431"/>
        <v/>
      </c>
    </row>
    <row r="969" spans="1:74" ht="14.25" customHeight="1" x14ac:dyDescent="0.35">
      <c r="A969" s="294"/>
      <c r="B969" s="296"/>
      <c r="C969" s="298"/>
      <c r="D969" s="300"/>
      <c r="E969" s="302"/>
      <c r="F969" s="304"/>
      <c r="G969" s="276"/>
      <c r="H969" s="277"/>
      <c r="I969" s="290"/>
      <c r="J969" s="290"/>
      <c r="K969" s="291"/>
      <c r="L969" s="17"/>
      <c r="M969" s="286"/>
      <c r="N969" s="21"/>
      <c r="O969" s="286"/>
      <c r="P969" s="21"/>
      <c r="Q969" s="286"/>
      <c r="R969" s="248"/>
      <c r="S969" s="287"/>
      <c r="T969" s="248"/>
      <c r="U969" s="13"/>
      <c r="V969" s="282"/>
      <c r="W969" s="283"/>
      <c r="X969" s="284"/>
      <c r="Y969" s="245"/>
      <c r="Z969" s="245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BP969" s="391"/>
      <c r="BQ969" s="393"/>
      <c r="BS969" s="50" t="str">
        <f>Q1920</f>
        <v/>
      </c>
      <c r="BT969" s="50" t="e">
        <f>#REF!</f>
        <v>#REF!</v>
      </c>
      <c r="BU969" s="39" t="str">
        <f t="shared" si="1438"/>
        <v/>
      </c>
      <c r="BV969" s="39" t="str">
        <f t="shared" si="1431"/>
        <v/>
      </c>
    </row>
    <row r="970" spans="1:74" ht="14.25" customHeight="1" x14ac:dyDescent="0.35">
      <c r="A970" s="293">
        <v>477</v>
      </c>
      <c r="B970" s="295"/>
      <c r="C970" s="297"/>
      <c r="D970" s="299"/>
      <c r="E970" s="301"/>
      <c r="F970" s="303"/>
      <c r="G970" s="288"/>
      <c r="H970" s="289"/>
      <c r="I970" s="290"/>
      <c r="J970" s="290"/>
      <c r="K970" s="291"/>
      <c r="L970" s="18"/>
      <c r="M970" s="285" t="str">
        <f t="shared" ref="M970" si="1514">IF(COUNT(L970:L971)&lt;1,"",AVERAGE(L970:L971))</f>
        <v/>
      </c>
      <c r="N970" s="22"/>
      <c r="O970" s="285" t="str">
        <f t="shared" ref="O970" si="1515">IF(COUNT(N970:N971)&lt;1,"",AVERAGE(N970:N971))</f>
        <v/>
      </c>
      <c r="P970" s="22"/>
      <c r="Q970" s="285" t="str">
        <f t="shared" ref="Q970" si="1516">IF(COUNT(P970:P971)&lt;1,"",AVERAGE(P970:P971))</f>
        <v/>
      </c>
      <c r="R970" s="278" t="str">
        <f>IF($X$13="/28",IF(COUNT(P970:P971)&lt;=1,"",ABS(P970-P971)),IF($X$13="/90",IF(COUNT(#REF!)&lt;=1,"",ABS(#REF!-#REF!))))</f>
        <v/>
      </c>
      <c r="S970" s="278" t="str">
        <f>IF($X$13="/28",IF(Q970="","",IF(AVERAGE(Q966:Q971)&gt;=$W$13,ROUND(AVERAGE(Q966:Q971),1)&amp;" ≥ "&amp;$W$13&amp;" OK",ROUND(AVERAGE(Q966:Q971),1)&amp;" &lt; "&amp;$W$13&amp;" NC")),IF($X$13="/90",IF(#REF!="","",IF(AVERAGE(#REF!)&gt;=$W$13,ROUND(AVERAGE(#REF!),1)&amp;" ≥ "&amp;$W$13&amp;" OK",ROUND(AVERAGE(#REF!),1)&amp;" &lt; "&amp;$W$13&amp;" NC"))))</f>
        <v/>
      </c>
      <c r="T970" s="278" t="str">
        <f>IF($X$13="/28",IF(Q970="","",IF(Q970&gt;=$W$13-$S$12,ROUND((Q970),1)&amp;" ≥ "&amp;$W$13-$S$12&amp;" OK",ROUND((Q970),1)&amp;" &lt; "&amp;$W$13-$S$12&amp;" NC")),IF($X$13="/90",IF(#REF!="","",IF(#REF!&gt;=$W$13-$S$12,ROUND((#REF!),1)&amp;" ≥ "&amp;$W$13-$S$12&amp;" OK",ROUND((#REF!),1)&amp;" &lt; "&amp;$W$13-$S$12&amp;" NC"))))</f>
        <v/>
      </c>
      <c r="U970" s="14"/>
      <c r="V970" s="279"/>
      <c r="W970" s="280"/>
      <c r="X970" s="281"/>
      <c r="Y970" s="246"/>
      <c r="Z970" s="246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BP970" s="390" t="str">
        <f>IF($X$13="/28",IF(Q970="","",Q970),IF($X$13="/90",IF(#REF!="","",#REF!),"Falso"))</f>
        <v/>
      </c>
      <c r="BQ970" s="392" t="str">
        <f t="shared" si="1498"/>
        <v/>
      </c>
      <c r="BS970" s="50" t="str">
        <f>Q1922</f>
        <v/>
      </c>
      <c r="BT970" s="50" t="e">
        <f>#REF!</f>
        <v>#REF!</v>
      </c>
      <c r="BU970" s="39" t="str">
        <f t="shared" si="1438"/>
        <v/>
      </c>
      <c r="BV970" s="39" t="str">
        <f t="shared" si="1431"/>
        <v/>
      </c>
    </row>
    <row r="971" spans="1:74" ht="14.25" customHeight="1" x14ac:dyDescent="0.35">
      <c r="A971" s="294"/>
      <c r="B971" s="296"/>
      <c r="C971" s="298"/>
      <c r="D971" s="300"/>
      <c r="E971" s="302"/>
      <c r="F971" s="304"/>
      <c r="G971" s="276"/>
      <c r="H971" s="277"/>
      <c r="I971" s="290"/>
      <c r="J971" s="290"/>
      <c r="K971" s="291"/>
      <c r="L971" s="17"/>
      <c r="M971" s="286"/>
      <c r="N971" s="21"/>
      <c r="O971" s="286"/>
      <c r="P971" s="21"/>
      <c r="Q971" s="286"/>
      <c r="R971" s="248"/>
      <c r="S971" s="287"/>
      <c r="T971" s="248"/>
      <c r="U971" s="13"/>
      <c r="V971" s="282"/>
      <c r="W971" s="283"/>
      <c r="X971" s="284"/>
      <c r="Y971" s="245"/>
      <c r="Z971" s="245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BP971" s="391"/>
      <c r="BQ971" s="393"/>
      <c r="BS971" s="50" t="str">
        <f>Q1924</f>
        <v/>
      </c>
      <c r="BT971" s="50" t="e">
        <f>#REF!</f>
        <v>#REF!</v>
      </c>
      <c r="BU971" s="39" t="str">
        <f t="shared" si="1438"/>
        <v/>
      </c>
      <c r="BV971" s="39" t="str">
        <f t="shared" si="1431"/>
        <v/>
      </c>
    </row>
    <row r="972" spans="1:74" ht="14.25" customHeight="1" x14ac:dyDescent="0.35">
      <c r="A972" s="293">
        <v>478</v>
      </c>
      <c r="B972" s="295"/>
      <c r="C972" s="297"/>
      <c r="D972" s="299"/>
      <c r="E972" s="301"/>
      <c r="F972" s="303"/>
      <c r="G972" s="288"/>
      <c r="H972" s="289"/>
      <c r="I972" s="290"/>
      <c r="J972" s="290"/>
      <c r="K972" s="291"/>
      <c r="L972" s="18"/>
      <c r="M972" s="285" t="str">
        <f t="shared" ref="M972" si="1517">IF(COUNT(L972:L973)&lt;1,"",AVERAGE(L972:L973))</f>
        <v/>
      </c>
      <c r="N972" s="22"/>
      <c r="O972" s="285" t="str">
        <f t="shared" ref="O972" si="1518">IF(COUNT(N972:N973)&lt;1,"",AVERAGE(N972:N973))</f>
        <v/>
      </c>
      <c r="P972" s="22"/>
      <c r="Q972" s="285" t="str">
        <f t="shared" ref="Q972" si="1519">IF(COUNT(P972:P973)&lt;1,"",AVERAGE(P972:P973))</f>
        <v/>
      </c>
      <c r="R972" s="278" t="str">
        <f>IF($X$13="/28",IF(COUNT(P972:P973)&lt;=1,"",ABS(P972-P973)),IF($X$13="/90",IF(COUNT(#REF!)&lt;=1,"",ABS(#REF!-#REF!))))</f>
        <v/>
      </c>
      <c r="S972" s="278" t="str">
        <f>IF($X$13="/28",IF(Q972="","",IF(AVERAGE(Q968:Q973)&gt;=$W$13,ROUND(AVERAGE(Q968:Q973),1)&amp;" ≥ "&amp;$W$13&amp;" OK",ROUND(AVERAGE(Q968:Q973),1)&amp;" &lt; "&amp;$W$13&amp;" NC")),IF($X$13="/90",IF(#REF!="","",IF(AVERAGE(#REF!)&gt;=$W$13,ROUND(AVERAGE(#REF!),1)&amp;" ≥ "&amp;$W$13&amp;" OK",ROUND(AVERAGE(#REF!),1)&amp;" &lt; "&amp;$W$13&amp;" NC"))))</f>
        <v/>
      </c>
      <c r="T972" s="278" t="str">
        <f>IF($X$13="/28",IF(Q972="","",IF(Q972&gt;=$W$13-$S$12,ROUND((Q972),1)&amp;" ≥ "&amp;$W$13-$S$12&amp;" OK",ROUND((Q972),1)&amp;" &lt; "&amp;$W$13-$S$12&amp;" NC")),IF($X$13="/90",IF(#REF!="","",IF(#REF!&gt;=$W$13-$S$12,ROUND((#REF!),1)&amp;" ≥ "&amp;$W$13-$S$12&amp;" OK",ROUND((#REF!),1)&amp;" &lt; "&amp;$W$13-$S$12&amp;" NC"))))</f>
        <v/>
      </c>
      <c r="U972" s="14"/>
      <c r="V972" s="279"/>
      <c r="W972" s="280"/>
      <c r="X972" s="281"/>
      <c r="Y972" s="246"/>
      <c r="Z972" s="246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BP972" s="390" t="str">
        <f>IF($X$13="/28",IF(Q972="","",Q972),IF($X$13="/90",IF(#REF!="","",#REF!),"Falso"))</f>
        <v/>
      </c>
      <c r="BQ972" s="392" t="str">
        <f t="shared" si="1490"/>
        <v/>
      </c>
      <c r="BS972" s="50" t="str">
        <f>Q1926</f>
        <v/>
      </c>
      <c r="BT972" s="50" t="e">
        <f>#REF!</f>
        <v>#REF!</v>
      </c>
      <c r="BU972" s="39" t="str">
        <f t="shared" si="1438"/>
        <v/>
      </c>
      <c r="BV972" s="39" t="str">
        <f t="shared" si="1431"/>
        <v/>
      </c>
    </row>
    <row r="973" spans="1:74" ht="14.25" customHeight="1" x14ac:dyDescent="0.35">
      <c r="A973" s="294"/>
      <c r="B973" s="296"/>
      <c r="C973" s="298"/>
      <c r="D973" s="300"/>
      <c r="E973" s="302"/>
      <c r="F973" s="304"/>
      <c r="G973" s="276"/>
      <c r="H973" s="277"/>
      <c r="I973" s="290"/>
      <c r="J973" s="290"/>
      <c r="K973" s="291"/>
      <c r="L973" s="17"/>
      <c r="M973" s="286"/>
      <c r="N973" s="21"/>
      <c r="O973" s="286"/>
      <c r="P973" s="21"/>
      <c r="Q973" s="286"/>
      <c r="R973" s="248"/>
      <c r="S973" s="287"/>
      <c r="T973" s="248"/>
      <c r="U973" s="13"/>
      <c r="V973" s="282"/>
      <c r="W973" s="283"/>
      <c r="X973" s="284"/>
      <c r="Y973" s="245"/>
      <c r="Z973" s="245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BP973" s="391"/>
      <c r="BQ973" s="393"/>
      <c r="BS973" s="50" t="str">
        <f>Q1928</f>
        <v/>
      </c>
      <c r="BT973" s="50" t="e">
        <f>#REF!</f>
        <v>#REF!</v>
      </c>
      <c r="BU973" s="39" t="str">
        <f t="shared" si="1438"/>
        <v/>
      </c>
      <c r="BV973" s="39" t="str">
        <f t="shared" si="1431"/>
        <v/>
      </c>
    </row>
    <row r="974" spans="1:74" ht="14.25" customHeight="1" x14ac:dyDescent="0.35">
      <c r="A974" s="293">
        <v>479</v>
      </c>
      <c r="B974" s="295"/>
      <c r="C974" s="297"/>
      <c r="D974" s="299"/>
      <c r="E974" s="301"/>
      <c r="F974" s="303"/>
      <c r="G974" s="288"/>
      <c r="H974" s="289"/>
      <c r="I974" s="290"/>
      <c r="J974" s="290"/>
      <c r="K974" s="291"/>
      <c r="L974" s="18"/>
      <c r="M974" s="285" t="str">
        <f t="shared" ref="M974" si="1520">IF(COUNT(L974:L975)&lt;1,"",AVERAGE(L974:L975))</f>
        <v/>
      </c>
      <c r="N974" s="22"/>
      <c r="O974" s="285" t="str">
        <f t="shared" ref="O974" si="1521">IF(COUNT(N974:N975)&lt;1,"",AVERAGE(N974:N975))</f>
        <v/>
      </c>
      <c r="P974" s="22"/>
      <c r="Q974" s="285" t="str">
        <f t="shared" ref="Q974" si="1522">IF(COUNT(P974:P975)&lt;1,"",AVERAGE(P974:P975))</f>
        <v/>
      </c>
      <c r="R974" s="278" t="str">
        <f>IF($X$13="/28",IF(COUNT(P974:P975)&lt;=1,"",ABS(P974-P975)),IF($X$13="/90",IF(COUNT(#REF!)&lt;=1,"",ABS(#REF!-#REF!))))</f>
        <v/>
      </c>
      <c r="S974" s="278" t="str">
        <f>IF($X$13="/28",IF(Q974="","",IF(AVERAGE(Q970:Q975)&gt;=$W$13,ROUND(AVERAGE(Q970:Q975),1)&amp;" ≥ "&amp;$W$13&amp;" OK",ROUND(AVERAGE(Q970:Q975),1)&amp;" &lt; "&amp;$W$13&amp;" NC")),IF($X$13="/90",IF(#REF!="","",IF(AVERAGE(#REF!)&gt;=$W$13,ROUND(AVERAGE(#REF!),1)&amp;" ≥ "&amp;$W$13&amp;" OK",ROUND(AVERAGE(#REF!),1)&amp;" &lt; "&amp;$W$13&amp;" NC"))))</f>
        <v/>
      </c>
      <c r="T974" s="278" t="str">
        <f>IF($X$13="/28",IF(Q974="","",IF(Q974&gt;=$W$13-$S$12,ROUND((Q974),1)&amp;" ≥ "&amp;$W$13-$S$12&amp;" OK",ROUND((Q974),1)&amp;" &lt; "&amp;$W$13-$S$12&amp;" NC")),IF($X$13="/90",IF(#REF!="","",IF(#REF!&gt;=$W$13-$S$12,ROUND((#REF!),1)&amp;" ≥ "&amp;$W$13-$S$12&amp;" OK",ROUND((#REF!),1)&amp;" &lt; "&amp;$W$13-$S$12&amp;" NC"))))</f>
        <v/>
      </c>
      <c r="U974" s="14"/>
      <c r="V974" s="279"/>
      <c r="W974" s="280"/>
      <c r="X974" s="281"/>
      <c r="Y974" s="246"/>
      <c r="Z974" s="246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BP974" s="390" t="str">
        <f>IF($X$13="/28",IF(Q974="","",Q974),IF($X$13="/90",IF(#REF!="","",#REF!),"Falso"))</f>
        <v/>
      </c>
      <c r="BQ974" s="392" t="str">
        <f t="shared" si="1494"/>
        <v/>
      </c>
      <c r="BS974" s="50" t="str">
        <f>Q1930</f>
        <v/>
      </c>
      <c r="BT974" s="50" t="e">
        <f>#REF!</f>
        <v>#REF!</v>
      </c>
      <c r="BU974" s="39" t="str">
        <f t="shared" si="1438"/>
        <v/>
      </c>
      <c r="BV974" s="39" t="str">
        <f t="shared" si="1431"/>
        <v/>
      </c>
    </row>
    <row r="975" spans="1:74" ht="14.25" customHeight="1" x14ac:dyDescent="0.35">
      <c r="A975" s="294"/>
      <c r="B975" s="296"/>
      <c r="C975" s="298"/>
      <c r="D975" s="300"/>
      <c r="E975" s="302"/>
      <c r="F975" s="304"/>
      <c r="G975" s="276"/>
      <c r="H975" s="277"/>
      <c r="I975" s="290"/>
      <c r="J975" s="290"/>
      <c r="K975" s="291"/>
      <c r="L975" s="17"/>
      <c r="M975" s="286"/>
      <c r="N975" s="21"/>
      <c r="O975" s="286"/>
      <c r="P975" s="21"/>
      <c r="Q975" s="286"/>
      <c r="R975" s="248"/>
      <c r="S975" s="287"/>
      <c r="T975" s="248"/>
      <c r="U975" s="13"/>
      <c r="V975" s="282"/>
      <c r="W975" s="283"/>
      <c r="X975" s="284"/>
      <c r="Y975" s="245"/>
      <c r="Z975" s="245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BP975" s="391"/>
      <c r="BQ975" s="393"/>
      <c r="BS975" s="50" t="str">
        <f>Q1932</f>
        <v/>
      </c>
      <c r="BT975" s="50" t="e">
        <f>#REF!</f>
        <v>#REF!</v>
      </c>
      <c r="BU975" s="39" t="str">
        <f t="shared" si="1438"/>
        <v/>
      </c>
      <c r="BV975" s="39" t="str">
        <f t="shared" si="1431"/>
        <v/>
      </c>
    </row>
    <row r="976" spans="1:74" ht="14.25" customHeight="1" x14ac:dyDescent="0.35">
      <c r="A976" s="293">
        <v>480</v>
      </c>
      <c r="B976" s="295"/>
      <c r="C976" s="297"/>
      <c r="D976" s="299"/>
      <c r="E976" s="301"/>
      <c r="F976" s="303"/>
      <c r="G976" s="288"/>
      <c r="H976" s="289"/>
      <c r="I976" s="290"/>
      <c r="J976" s="290"/>
      <c r="K976" s="291"/>
      <c r="L976" s="18"/>
      <c r="M976" s="285" t="str">
        <f t="shared" ref="M976" si="1523">IF(COUNT(L976:L977)&lt;1,"",AVERAGE(L976:L977))</f>
        <v/>
      </c>
      <c r="N976" s="22"/>
      <c r="O976" s="285" t="str">
        <f t="shared" ref="O976" si="1524">IF(COUNT(N976:N977)&lt;1,"",AVERAGE(N976:N977))</f>
        <v/>
      </c>
      <c r="P976" s="22"/>
      <c r="Q976" s="285" t="str">
        <f t="shared" ref="Q976" si="1525">IF(COUNT(P976:P977)&lt;1,"",AVERAGE(P976:P977))</f>
        <v/>
      </c>
      <c r="R976" s="278" t="str">
        <f>IF($X$13="/28",IF(COUNT(P976:P977)&lt;=1,"",ABS(P976-P977)),IF($X$13="/90",IF(COUNT(#REF!)&lt;=1,"",ABS(#REF!-#REF!))))</f>
        <v/>
      </c>
      <c r="S976" s="278" t="str">
        <f>IF($X$13="/28",IF(Q976="","",IF(AVERAGE(Q972:Q977)&gt;=$W$13,ROUND(AVERAGE(Q972:Q977),1)&amp;" ≥ "&amp;$W$13&amp;" OK",ROUND(AVERAGE(Q972:Q977),1)&amp;" &lt; "&amp;$W$13&amp;" NC")),IF($X$13="/90",IF(#REF!="","",IF(AVERAGE(#REF!)&gt;=$W$13,ROUND(AVERAGE(#REF!),1)&amp;" ≥ "&amp;$W$13&amp;" OK",ROUND(AVERAGE(#REF!),1)&amp;" &lt; "&amp;$W$13&amp;" NC"))))</f>
        <v/>
      </c>
      <c r="T976" s="278" t="str">
        <f>IF($X$13="/28",IF(Q976="","",IF(Q976&gt;=$W$13-$S$12,ROUND((Q976),1)&amp;" ≥ "&amp;$W$13-$S$12&amp;" OK",ROUND((Q976),1)&amp;" &lt; "&amp;$W$13-$S$12&amp;" NC")),IF($X$13="/90",IF(#REF!="","",IF(#REF!&gt;=$W$13-$S$12,ROUND((#REF!),1)&amp;" ≥ "&amp;$W$13-$S$12&amp;" OK",ROUND((#REF!),1)&amp;" &lt; "&amp;$W$13-$S$12&amp;" NC"))))</f>
        <v/>
      </c>
      <c r="U976" s="14"/>
      <c r="V976" s="279"/>
      <c r="W976" s="280"/>
      <c r="X976" s="281"/>
      <c r="Y976" s="246"/>
      <c r="Z976" s="246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BP976" s="390" t="str">
        <f>IF($X$13="/28",IF(Q976="","",Q976),IF($X$13="/90",IF(#REF!="","",#REF!),"Falso"))</f>
        <v/>
      </c>
      <c r="BQ976" s="392" t="str">
        <f t="shared" si="1498"/>
        <v/>
      </c>
      <c r="BS976" s="50" t="str">
        <f>Q1934</f>
        <v/>
      </c>
      <c r="BT976" s="50" t="e">
        <f>#REF!</f>
        <v>#REF!</v>
      </c>
      <c r="BU976" s="39" t="str">
        <f t="shared" si="1438"/>
        <v/>
      </c>
      <c r="BV976" s="39" t="str">
        <f t="shared" si="1431"/>
        <v/>
      </c>
    </row>
    <row r="977" spans="1:74" ht="14.25" customHeight="1" thickBot="1" x14ac:dyDescent="0.4">
      <c r="A977" s="384"/>
      <c r="B977" s="385"/>
      <c r="C977" s="386"/>
      <c r="D977" s="387"/>
      <c r="E977" s="388"/>
      <c r="F977" s="389"/>
      <c r="G977" s="377"/>
      <c r="H977" s="378"/>
      <c r="I977" s="382"/>
      <c r="J977" s="382"/>
      <c r="K977" s="383"/>
      <c r="L977" s="19"/>
      <c r="M977" s="379"/>
      <c r="N977" s="23"/>
      <c r="O977" s="379"/>
      <c r="P977" s="23"/>
      <c r="Q977" s="379"/>
      <c r="R977" s="380"/>
      <c r="S977" s="381"/>
      <c r="T977" s="380"/>
      <c r="U977" s="15"/>
      <c r="V977" s="373"/>
      <c r="W977" s="374"/>
      <c r="X977" s="375"/>
      <c r="Y977" s="376"/>
      <c r="Z977" s="376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BP977" s="391"/>
      <c r="BQ977" s="393"/>
      <c r="BS977" s="50" t="str">
        <f>Q1936</f>
        <v/>
      </c>
      <c r="BT977" s="50" t="e">
        <f>#REF!</f>
        <v>#REF!</v>
      </c>
      <c r="BU977" s="39" t="str">
        <f t="shared" si="1438"/>
        <v/>
      </c>
      <c r="BV977" s="39" t="str">
        <f t="shared" si="1431"/>
        <v/>
      </c>
    </row>
    <row r="978" spans="1:74" ht="14.25" customHeight="1" x14ac:dyDescent="0.35">
      <c r="A978" s="311">
        <v>481</v>
      </c>
      <c r="B978" s="312"/>
      <c r="C978" s="313"/>
      <c r="D978" s="314"/>
      <c r="E978" s="315"/>
      <c r="F978" s="353"/>
      <c r="G978" s="354"/>
      <c r="H978" s="355"/>
      <c r="I978" s="356"/>
      <c r="J978" s="356"/>
      <c r="K978" s="357"/>
      <c r="L978" s="16"/>
      <c r="M978" s="352" t="str">
        <f t="shared" ref="M978" si="1526">IF(COUNT(L978:L979)&lt;1,"",AVERAGE(L978:L979))</f>
        <v/>
      </c>
      <c r="N978" s="20"/>
      <c r="O978" s="352" t="str">
        <f t="shared" ref="O978" si="1527">IF(COUNT(N978:N979)&lt;1,"",AVERAGE(N978:N979))</f>
        <v/>
      </c>
      <c r="P978" s="20"/>
      <c r="Q978" s="352" t="str">
        <f t="shared" ref="Q978" si="1528">IF(COUNT(P978:P979)&lt;1,"",AVERAGE(P978:P979))</f>
        <v/>
      </c>
      <c r="R978" s="247" t="str">
        <f>IF($X$13="/28",IF(COUNT(P978:P979)&lt;=1,"",ABS(P978-P979)),IF($X$13="/90",IF(COUNT(#REF!)&lt;=1,"",ABS(#REF!-#REF!))))</f>
        <v/>
      </c>
      <c r="S978" s="247" t="str">
        <f>IF($X$13="/28",IF(Q978="","",IF(AVERAGE(Q974:Q979)&gt;=$W$13,ROUND(AVERAGE(Q974:Q979),1)&amp;" ≥ "&amp;$W$13&amp;" OK",ROUND(AVERAGE(Q974:Q979),1)&amp;" &lt; "&amp;$W$13&amp;" NC")),IF($X$13="/90",IF(#REF!="","",IF(AVERAGE(#REF!)&gt;=$W$13,ROUND(AVERAGE(#REF!),1)&amp;" ≥ "&amp;$W$13&amp;" OK",ROUND(AVERAGE(#REF!),1)&amp;" &lt; "&amp;$W$13&amp;" NC"))))</f>
        <v/>
      </c>
      <c r="T978" s="247" t="str">
        <f>IF($X$13="/28",IF(Q978="","",IF(Q978&gt;=$W$13-$S$12,ROUND((Q978),1)&amp;" ≥ "&amp;$W$13-$S$12&amp;" OK",ROUND((Q978),1)&amp;" &lt; "&amp;$W$13-$S$12&amp;" NC")),IF($X$13="/90",IF(#REF!="","",IF(#REF!&gt;=$W$13-$S$12,ROUND((#REF!),1)&amp;" ≥ "&amp;$W$13-$S$12&amp;" OK",ROUND((#REF!),1)&amp;" &lt; "&amp;$W$13-$S$12&amp;" NC"))))</f>
        <v/>
      </c>
      <c r="U978" s="12"/>
      <c r="V978" s="349"/>
      <c r="W978" s="350"/>
      <c r="X978" s="351"/>
      <c r="Y978" s="244"/>
      <c r="Z978" s="244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BP978" s="390" t="str">
        <f>IF($X$13="/28",IF(Q978="","",Q978),IF($X$13="/90",IF(#REF!="","",#REF!),"Falso"))</f>
        <v/>
      </c>
      <c r="BQ978" s="392" t="str">
        <f t="shared" si="1490"/>
        <v/>
      </c>
      <c r="BS978" s="50" t="str">
        <f>Q1938</f>
        <v/>
      </c>
      <c r="BT978" s="50" t="e">
        <f>#REF!</f>
        <v>#REF!</v>
      </c>
      <c r="BU978" s="39" t="str">
        <f t="shared" si="1438"/>
        <v/>
      </c>
      <c r="BV978" s="39" t="str">
        <f t="shared" si="1431"/>
        <v/>
      </c>
    </row>
    <row r="979" spans="1:74" ht="14.25" customHeight="1" x14ac:dyDescent="0.35">
      <c r="A979" s="294"/>
      <c r="B979" s="296"/>
      <c r="C979" s="298"/>
      <c r="D979" s="300"/>
      <c r="E979" s="302"/>
      <c r="F979" s="304"/>
      <c r="G979" s="276"/>
      <c r="H979" s="277"/>
      <c r="I979" s="290"/>
      <c r="J979" s="290"/>
      <c r="K979" s="291"/>
      <c r="L979" s="17"/>
      <c r="M979" s="286"/>
      <c r="N979" s="21"/>
      <c r="O979" s="286"/>
      <c r="P979" s="21"/>
      <c r="Q979" s="286"/>
      <c r="R979" s="248"/>
      <c r="S979" s="248"/>
      <c r="T979" s="248"/>
      <c r="U979" s="13"/>
      <c r="V979" s="282"/>
      <c r="W979" s="283"/>
      <c r="X979" s="284"/>
      <c r="Y979" s="245"/>
      <c r="Z979" s="245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BP979" s="391"/>
      <c r="BQ979" s="393"/>
      <c r="BS979" s="50" t="str">
        <f>Q1940</f>
        <v/>
      </c>
      <c r="BT979" s="50" t="e">
        <f>#REF!</f>
        <v>#REF!</v>
      </c>
      <c r="BU979" s="39" t="str">
        <f t="shared" si="1438"/>
        <v/>
      </c>
      <c r="BV979" s="39" t="str">
        <f t="shared" si="1431"/>
        <v/>
      </c>
    </row>
    <row r="980" spans="1:74" ht="14.25" customHeight="1" x14ac:dyDescent="0.35">
      <c r="A980" s="293">
        <v>482</v>
      </c>
      <c r="B980" s="295"/>
      <c r="C980" s="297"/>
      <c r="D980" s="299"/>
      <c r="E980" s="301"/>
      <c r="F980" s="303"/>
      <c r="G980" s="288"/>
      <c r="H980" s="289"/>
      <c r="I980" s="290"/>
      <c r="J980" s="290"/>
      <c r="K980" s="291"/>
      <c r="L980" s="18"/>
      <c r="M980" s="285" t="str">
        <f t="shared" ref="M980" si="1529">IF(COUNT(L980:L981)&lt;1,"",AVERAGE(L980:L981))</f>
        <v/>
      </c>
      <c r="N980" s="22"/>
      <c r="O980" s="285" t="str">
        <f t="shared" ref="O980" si="1530">IF(COUNT(N980:N981)&lt;1,"",AVERAGE(N980:N981))</f>
        <v/>
      </c>
      <c r="P980" s="22"/>
      <c r="Q980" s="285" t="str">
        <f t="shared" ref="Q980" si="1531">IF(COUNT(P980:P981)&lt;1,"",AVERAGE(P980:P981))</f>
        <v/>
      </c>
      <c r="R980" s="278" t="str">
        <f>IF($X$13="/28",IF(COUNT(P980:P981)&lt;=1,"",ABS(P980-P981)),IF($X$13="/90",IF(COUNT(#REF!)&lt;=1,"",ABS(#REF!-#REF!))))</f>
        <v/>
      </c>
      <c r="S980" s="278" t="str">
        <f>IF($X$13="/28",IF(Q980="","",IF(AVERAGE(Q976:Q981)&gt;=$W$13,ROUND(AVERAGE(Q976:Q981),1)&amp;" ≥ "&amp;$W$13&amp;" OK",ROUND(AVERAGE(Q976:Q981),1)&amp;" &lt; "&amp;$W$13&amp;" NC")),IF($X$13="/90",IF(#REF!="","",IF(AVERAGE(#REF!)&gt;=$W$13,ROUND(AVERAGE(#REF!),1)&amp;" ≥ "&amp;$W$13&amp;" OK",ROUND(AVERAGE(#REF!),1)&amp;" &lt; "&amp;$W$13&amp;" NC"))))</f>
        <v/>
      </c>
      <c r="T980" s="278" t="str">
        <f>IF($X$13="/28",IF(Q980="","",IF(Q980&gt;=$W$13-$S$12,ROUND((Q980),1)&amp;" ≥ "&amp;$W$13-$S$12&amp;" OK",ROUND((Q980),1)&amp;" &lt; "&amp;$W$13-$S$12&amp;" NC")),IF($X$13="/90",IF(#REF!="","",IF(#REF!&gt;=$W$13-$S$12,ROUND((#REF!),1)&amp;" ≥ "&amp;$W$13-$S$12&amp;" OK",ROUND((#REF!),1)&amp;" &lt; "&amp;$W$13-$S$12&amp;" NC"))))</f>
        <v/>
      </c>
      <c r="U980" s="14"/>
      <c r="V980" s="279"/>
      <c r="W980" s="280"/>
      <c r="X980" s="281"/>
      <c r="Y980" s="246"/>
      <c r="Z980" s="246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BP980" s="390" t="str">
        <f>IF($X$13="/28",IF(Q980="","",Q980),IF($X$13="/90",IF(#REF!="","",#REF!),"Falso"))</f>
        <v/>
      </c>
      <c r="BQ980" s="392" t="str">
        <f t="shared" si="1494"/>
        <v/>
      </c>
      <c r="BS980" s="50" t="str">
        <f>Q1942</f>
        <v/>
      </c>
      <c r="BT980" s="50" t="e">
        <f>#REF!</f>
        <v>#REF!</v>
      </c>
      <c r="BU980" s="39" t="str">
        <f t="shared" si="1438"/>
        <v/>
      </c>
      <c r="BV980" s="39" t="str">
        <f t="shared" ref="BV980:BV1007" si="1532">IF(BU980="","",BV979+1)</f>
        <v/>
      </c>
    </row>
    <row r="981" spans="1:74" ht="14.25" customHeight="1" x14ac:dyDescent="0.35">
      <c r="A981" s="294"/>
      <c r="B981" s="296"/>
      <c r="C981" s="298"/>
      <c r="D981" s="300"/>
      <c r="E981" s="302"/>
      <c r="F981" s="304"/>
      <c r="G981" s="276"/>
      <c r="H981" s="277"/>
      <c r="I981" s="290"/>
      <c r="J981" s="290"/>
      <c r="K981" s="291"/>
      <c r="L981" s="17"/>
      <c r="M981" s="286"/>
      <c r="N981" s="21"/>
      <c r="O981" s="286"/>
      <c r="P981" s="21"/>
      <c r="Q981" s="286"/>
      <c r="R981" s="248"/>
      <c r="S981" s="248"/>
      <c r="T981" s="248"/>
      <c r="U981" s="13"/>
      <c r="V981" s="282"/>
      <c r="W981" s="283"/>
      <c r="X981" s="284"/>
      <c r="Y981" s="245"/>
      <c r="Z981" s="245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BP981" s="391"/>
      <c r="BQ981" s="393"/>
      <c r="BS981" s="50" t="str">
        <f>Q1944</f>
        <v/>
      </c>
      <c r="BT981" s="50" t="e">
        <f>#REF!</f>
        <v>#REF!</v>
      </c>
      <c r="BU981" s="39" t="str">
        <f t="shared" si="1438"/>
        <v/>
      </c>
      <c r="BV981" s="39" t="str">
        <f t="shared" si="1532"/>
        <v/>
      </c>
    </row>
    <row r="982" spans="1:74" ht="14.25" customHeight="1" x14ac:dyDescent="0.35">
      <c r="A982" s="293">
        <v>483</v>
      </c>
      <c r="B982" s="295"/>
      <c r="C982" s="297"/>
      <c r="D982" s="299"/>
      <c r="E982" s="301"/>
      <c r="F982" s="303"/>
      <c r="G982" s="288"/>
      <c r="H982" s="289"/>
      <c r="I982" s="290"/>
      <c r="J982" s="290"/>
      <c r="K982" s="291"/>
      <c r="L982" s="18"/>
      <c r="M982" s="285" t="str">
        <f t="shared" ref="M982" si="1533">IF(COUNT(L982:L983)&lt;1,"",AVERAGE(L982:L983))</f>
        <v/>
      </c>
      <c r="N982" s="22"/>
      <c r="O982" s="285" t="str">
        <f t="shared" ref="O982" si="1534">IF(COUNT(N982:N983)&lt;1,"",AVERAGE(N982:N983))</f>
        <v/>
      </c>
      <c r="P982" s="22"/>
      <c r="Q982" s="285" t="str">
        <f t="shared" ref="Q982" si="1535">IF(COUNT(P982:P983)&lt;1,"",AVERAGE(P982:P983))</f>
        <v/>
      </c>
      <c r="R982" s="278" t="str">
        <f>IF($X$13="/28",IF(COUNT(P982:P983)&lt;=1,"",ABS(P982-P983)),IF($X$13="/90",IF(COUNT(#REF!)&lt;=1,"",ABS(#REF!-#REF!))))</f>
        <v/>
      </c>
      <c r="S982" s="278" t="str">
        <f>IF($X$13="/28",IF(Q982="","",IF(AVERAGE(Q978:Q983)&gt;=$W$13,ROUND(AVERAGE(Q978:Q983),1)&amp;" ≥ "&amp;$W$13&amp;" OK",ROUND(AVERAGE(Q978:Q983),1)&amp;" &lt; "&amp;$W$13&amp;" NC")),IF($X$13="/90",IF(#REF!="","",IF(AVERAGE(#REF!)&gt;=$W$13,ROUND(AVERAGE(#REF!),1)&amp;" ≥ "&amp;$W$13&amp;" OK",ROUND(AVERAGE(#REF!),1)&amp;" &lt; "&amp;$W$13&amp;" NC"))))</f>
        <v/>
      </c>
      <c r="T982" s="278" t="str">
        <f>IF($X$13="/28",IF(Q982="","",IF(Q982&gt;=$W$13-$S$12,ROUND((Q982),1)&amp;" ≥ "&amp;$W$13-$S$12&amp;" OK",ROUND((Q982),1)&amp;" &lt; "&amp;$W$13-$S$12&amp;" NC")),IF($X$13="/90",IF(#REF!="","",IF(#REF!&gt;=$W$13-$S$12,ROUND((#REF!),1)&amp;" ≥ "&amp;$W$13-$S$12&amp;" OK",ROUND((#REF!),1)&amp;" &lt; "&amp;$W$13-$S$12&amp;" NC"))))</f>
        <v/>
      </c>
      <c r="U982" s="14"/>
      <c r="V982" s="279"/>
      <c r="W982" s="280"/>
      <c r="X982" s="281"/>
      <c r="Y982" s="246"/>
      <c r="Z982" s="246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BP982" s="390" t="str">
        <f>IF($X$13="/28",IF(Q982="","",Q982),IF($X$13="/90",IF(#REF!="","",#REF!),"Falso"))</f>
        <v/>
      </c>
      <c r="BQ982" s="392" t="str">
        <f t="shared" si="1498"/>
        <v/>
      </c>
      <c r="BS982" s="50" t="str">
        <f>Q1946</f>
        <v/>
      </c>
      <c r="BT982" s="50" t="e">
        <f>#REF!</f>
        <v>#REF!</v>
      </c>
      <c r="BU982" s="39" t="str">
        <f t="shared" si="1438"/>
        <v/>
      </c>
      <c r="BV982" s="39" t="str">
        <f t="shared" si="1532"/>
        <v/>
      </c>
    </row>
    <row r="983" spans="1:74" ht="14.25" customHeight="1" x14ac:dyDescent="0.35">
      <c r="A983" s="294"/>
      <c r="B983" s="296"/>
      <c r="C983" s="298"/>
      <c r="D983" s="300"/>
      <c r="E983" s="302"/>
      <c r="F983" s="304"/>
      <c r="G983" s="276"/>
      <c r="H983" s="277"/>
      <c r="I983" s="290"/>
      <c r="J983" s="290"/>
      <c r="K983" s="291"/>
      <c r="L983" s="17"/>
      <c r="M983" s="286"/>
      <c r="N983" s="21"/>
      <c r="O983" s="286"/>
      <c r="P983" s="21"/>
      <c r="Q983" s="286"/>
      <c r="R983" s="248"/>
      <c r="S983" s="287"/>
      <c r="T983" s="248"/>
      <c r="U983" s="13"/>
      <c r="V983" s="282"/>
      <c r="W983" s="283"/>
      <c r="X983" s="284"/>
      <c r="Y983" s="245"/>
      <c r="Z983" s="245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BP983" s="391"/>
      <c r="BQ983" s="393"/>
      <c r="BS983" s="50" t="str">
        <f>Q1948</f>
        <v/>
      </c>
      <c r="BT983" s="50" t="e">
        <f>#REF!</f>
        <v>#REF!</v>
      </c>
      <c r="BU983" s="39" t="str">
        <f t="shared" si="1438"/>
        <v/>
      </c>
      <c r="BV983" s="39" t="str">
        <f t="shared" si="1532"/>
        <v/>
      </c>
    </row>
    <row r="984" spans="1:74" ht="14.25" customHeight="1" x14ac:dyDescent="0.35">
      <c r="A984" s="293">
        <v>484</v>
      </c>
      <c r="B984" s="295"/>
      <c r="C984" s="297"/>
      <c r="D984" s="299"/>
      <c r="E984" s="301"/>
      <c r="F984" s="303"/>
      <c r="G984" s="288"/>
      <c r="H984" s="289"/>
      <c r="I984" s="290"/>
      <c r="J984" s="290"/>
      <c r="K984" s="291"/>
      <c r="L984" s="18"/>
      <c r="M984" s="285" t="str">
        <f t="shared" ref="M984" si="1536">IF(COUNT(L984:L985)&lt;1,"",AVERAGE(L984:L985))</f>
        <v/>
      </c>
      <c r="N984" s="22"/>
      <c r="O984" s="285" t="str">
        <f t="shared" ref="O984" si="1537">IF(COUNT(N984:N985)&lt;1,"",AVERAGE(N984:N985))</f>
        <v/>
      </c>
      <c r="P984" s="22"/>
      <c r="Q984" s="285" t="str">
        <f t="shared" ref="Q984" si="1538">IF(COUNT(P984:P985)&lt;1,"",AVERAGE(P984:P985))</f>
        <v/>
      </c>
      <c r="R984" s="278" t="str">
        <f>IF($X$13="/28",IF(COUNT(P984:P985)&lt;=1,"",ABS(P984-P985)),IF($X$13="/90",IF(COUNT(#REF!)&lt;=1,"",ABS(#REF!-#REF!))))</f>
        <v/>
      </c>
      <c r="S984" s="278" t="str">
        <f>IF($X$13="/28",IF(Q984="","",IF(AVERAGE(Q980:Q985)&gt;=$W$13,ROUND(AVERAGE(Q980:Q985),1)&amp;" ≥ "&amp;$W$13&amp;" OK",ROUND(AVERAGE(Q980:Q985),1)&amp;" &lt; "&amp;$W$13&amp;" NC")),IF($X$13="/90",IF(#REF!="","",IF(AVERAGE(#REF!)&gt;=$W$13,ROUND(AVERAGE(#REF!),1)&amp;" ≥ "&amp;$W$13&amp;" OK",ROUND(AVERAGE(#REF!),1)&amp;" &lt; "&amp;$W$13&amp;" NC"))))</f>
        <v/>
      </c>
      <c r="T984" s="278" t="str">
        <f>IF($X$13="/28",IF(Q984="","",IF(Q984&gt;=$W$13-$S$12,ROUND((Q984),1)&amp;" ≥ "&amp;$W$13-$S$12&amp;" OK",ROUND((Q984),1)&amp;" &lt; "&amp;$W$13-$S$12&amp;" NC")),IF($X$13="/90",IF(#REF!="","",IF(#REF!&gt;=$W$13-$S$12,ROUND((#REF!),1)&amp;" ≥ "&amp;$W$13-$S$12&amp;" OK",ROUND((#REF!),1)&amp;" &lt; "&amp;$W$13-$S$12&amp;" NC"))))</f>
        <v/>
      </c>
      <c r="U984" s="14"/>
      <c r="V984" s="279"/>
      <c r="W984" s="280"/>
      <c r="X984" s="281"/>
      <c r="Y984" s="246"/>
      <c r="Z984" s="246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BP984" s="390" t="str">
        <f>IF($X$13="/28",IF(Q984="","",Q984),IF($X$13="/90",IF(#REF!="","",#REF!),"Falso"))</f>
        <v/>
      </c>
      <c r="BQ984" s="392" t="str">
        <f t="shared" si="1490"/>
        <v/>
      </c>
      <c r="BS984" s="50" t="str">
        <f>Q1950</f>
        <v/>
      </c>
      <c r="BT984" s="50" t="e">
        <f>#REF!</f>
        <v>#REF!</v>
      </c>
      <c r="BU984" s="39" t="str">
        <f t="shared" ref="BU984:BU1007" si="1539">IF($X$13="/28",IF(BS984="","",BS984),IF($X$13="/90",IF(BT984="","",BT984),"Falso"))</f>
        <v/>
      </c>
      <c r="BV984" s="39" t="str">
        <f t="shared" si="1532"/>
        <v/>
      </c>
    </row>
    <row r="985" spans="1:74" ht="14.25" customHeight="1" x14ac:dyDescent="0.35">
      <c r="A985" s="294"/>
      <c r="B985" s="296"/>
      <c r="C985" s="298"/>
      <c r="D985" s="300"/>
      <c r="E985" s="302"/>
      <c r="F985" s="304"/>
      <c r="G985" s="276"/>
      <c r="H985" s="277"/>
      <c r="I985" s="290"/>
      <c r="J985" s="290"/>
      <c r="K985" s="291"/>
      <c r="L985" s="17"/>
      <c r="M985" s="286"/>
      <c r="N985" s="21"/>
      <c r="O985" s="286"/>
      <c r="P985" s="21"/>
      <c r="Q985" s="286"/>
      <c r="R985" s="248"/>
      <c r="S985" s="287"/>
      <c r="T985" s="248"/>
      <c r="U985" s="13"/>
      <c r="V985" s="282"/>
      <c r="W985" s="283"/>
      <c r="X985" s="284"/>
      <c r="Y985" s="245"/>
      <c r="Z985" s="245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BP985" s="391"/>
      <c r="BQ985" s="393"/>
      <c r="BS985" s="50" t="str">
        <f>Q1952</f>
        <v/>
      </c>
      <c r="BT985" s="50" t="e">
        <f>#REF!</f>
        <v>#REF!</v>
      </c>
      <c r="BU985" s="39" t="str">
        <f t="shared" si="1539"/>
        <v/>
      </c>
      <c r="BV985" s="39" t="str">
        <f t="shared" si="1532"/>
        <v/>
      </c>
    </row>
    <row r="986" spans="1:74" ht="14.25" customHeight="1" x14ac:dyDescent="0.35">
      <c r="A986" s="293">
        <v>485</v>
      </c>
      <c r="B986" s="295"/>
      <c r="C986" s="297"/>
      <c r="D986" s="299"/>
      <c r="E986" s="301"/>
      <c r="F986" s="303"/>
      <c r="G986" s="288"/>
      <c r="H986" s="289"/>
      <c r="I986" s="290"/>
      <c r="J986" s="290"/>
      <c r="K986" s="291"/>
      <c r="L986" s="18"/>
      <c r="M986" s="285" t="str">
        <f t="shared" ref="M986" si="1540">IF(COUNT(L986:L987)&lt;1,"",AVERAGE(L986:L987))</f>
        <v/>
      </c>
      <c r="N986" s="22"/>
      <c r="O986" s="285" t="str">
        <f t="shared" ref="O986" si="1541">IF(COUNT(N986:N987)&lt;1,"",AVERAGE(N986:N987))</f>
        <v/>
      </c>
      <c r="P986" s="22"/>
      <c r="Q986" s="285" t="str">
        <f t="shared" ref="Q986" si="1542">IF(COUNT(P986:P987)&lt;1,"",AVERAGE(P986:P987))</f>
        <v/>
      </c>
      <c r="R986" s="278" t="str">
        <f>IF($X$13="/28",IF(COUNT(P986:P987)&lt;=1,"",ABS(P986-P987)),IF($X$13="/90",IF(COUNT(#REF!)&lt;=1,"",ABS(#REF!-#REF!))))</f>
        <v/>
      </c>
      <c r="S986" s="278" t="str">
        <f>IF($X$13="/28",IF(Q986="","",IF(AVERAGE(Q982:Q987)&gt;=$W$13,ROUND(AVERAGE(Q982:Q987),1)&amp;" ≥ "&amp;$W$13&amp;" OK",ROUND(AVERAGE(Q982:Q987),1)&amp;" &lt; "&amp;$W$13&amp;" NC")),IF($X$13="/90",IF(#REF!="","",IF(AVERAGE(#REF!)&gt;=$W$13,ROUND(AVERAGE(#REF!),1)&amp;" ≥ "&amp;$W$13&amp;" OK",ROUND(AVERAGE(#REF!),1)&amp;" &lt; "&amp;$W$13&amp;" NC"))))</f>
        <v/>
      </c>
      <c r="T986" s="278" t="str">
        <f>IF($X$13="/28",IF(Q986="","",IF(Q986&gt;=$W$13-$S$12,ROUND((Q986),1)&amp;" ≥ "&amp;$W$13-$S$12&amp;" OK",ROUND((Q986),1)&amp;" &lt; "&amp;$W$13-$S$12&amp;" NC")),IF($X$13="/90",IF(#REF!="","",IF(#REF!&gt;=$W$13-$S$12,ROUND((#REF!),1)&amp;" ≥ "&amp;$W$13-$S$12&amp;" OK",ROUND((#REF!),1)&amp;" &lt; "&amp;$W$13-$S$12&amp;" NC"))))</f>
        <v/>
      </c>
      <c r="U986" s="14"/>
      <c r="V986" s="279"/>
      <c r="W986" s="280"/>
      <c r="X986" s="281"/>
      <c r="Y986" s="246"/>
      <c r="Z986" s="246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BP986" s="390" t="str">
        <f>IF($X$13="/28",IF(Q986="","",Q986),IF($X$13="/90",IF(#REF!="","",#REF!),"Falso"))</f>
        <v/>
      </c>
      <c r="BQ986" s="392" t="str">
        <f t="shared" si="1494"/>
        <v/>
      </c>
      <c r="BS986" s="50" t="str">
        <f>Q1954</f>
        <v/>
      </c>
      <c r="BT986" s="50" t="e">
        <f>#REF!</f>
        <v>#REF!</v>
      </c>
      <c r="BU986" s="39" t="str">
        <f t="shared" si="1539"/>
        <v/>
      </c>
      <c r="BV986" s="39" t="str">
        <f t="shared" si="1532"/>
        <v/>
      </c>
    </row>
    <row r="987" spans="1:74" ht="14.25" customHeight="1" x14ac:dyDescent="0.35">
      <c r="A987" s="294"/>
      <c r="B987" s="296"/>
      <c r="C987" s="298"/>
      <c r="D987" s="300"/>
      <c r="E987" s="302"/>
      <c r="F987" s="304"/>
      <c r="G987" s="276"/>
      <c r="H987" s="277"/>
      <c r="I987" s="290"/>
      <c r="J987" s="290"/>
      <c r="K987" s="291"/>
      <c r="L987" s="17"/>
      <c r="M987" s="286"/>
      <c r="N987" s="21"/>
      <c r="O987" s="286"/>
      <c r="P987" s="21"/>
      <c r="Q987" s="286"/>
      <c r="R987" s="248"/>
      <c r="S987" s="287"/>
      <c r="T987" s="248"/>
      <c r="U987" s="13"/>
      <c r="V987" s="282"/>
      <c r="W987" s="283"/>
      <c r="X987" s="284"/>
      <c r="Y987" s="245"/>
      <c r="Z987" s="245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BP987" s="391"/>
      <c r="BQ987" s="393"/>
      <c r="BS987" s="50" t="str">
        <f>Q1956</f>
        <v/>
      </c>
      <c r="BT987" s="50" t="e">
        <f>#REF!</f>
        <v>#REF!</v>
      </c>
      <c r="BU987" s="39" t="str">
        <f t="shared" si="1539"/>
        <v/>
      </c>
      <c r="BV987" s="39" t="str">
        <f t="shared" si="1532"/>
        <v/>
      </c>
    </row>
    <row r="988" spans="1:74" ht="14.25" customHeight="1" x14ac:dyDescent="0.35">
      <c r="A988" s="293">
        <v>486</v>
      </c>
      <c r="B988" s="295"/>
      <c r="C988" s="297"/>
      <c r="D988" s="299"/>
      <c r="E988" s="301"/>
      <c r="F988" s="303"/>
      <c r="G988" s="288"/>
      <c r="H988" s="289"/>
      <c r="I988" s="290"/>
      <c r="J988" s="290"/>
      <c r="K988" s="291"/>
      <c r="L988" s="18"/>
      <c r="M988" s="285" t="str">
        <f t="shared" ref="M988" si="1543">IF(COUNT(L988:L989)&lt;1,"",AVERAGE(L988:L989))</f>
        <v/>
      </c>
      <c r="N988" s="22"/>
      <c r="O988" s="285" t="str">
        <f t="shared" ref="O988" si="1544">IF(COUNT(N988:N989)&lt;1,"",AVERAGE(N988:N989))</f>
        <v/>
      </c>
      <c r="P988" s="22"/>
      <c r="Q988" s="285" t="str">
        <f t="shared" ref="Q988" si="1545">IF(COUNT(P988:P989)&lt;1,"",AVERAGE(P988:P989))</f>
        <v/>
      </c>
      <c r="R988" s="278" t="str">
        <f>IF($X$13="/28",IF(COUNT(P988:P989)&lt;=1,"",ABS(P988-P989)),IF($X$13="/90",IF(COUNT(#REF!)&lt;=1,"",ABS(#REF!-#REF!))))</f>
        <v/>
      </c>
      <c r="S988" s="278" t="str">
        <f>IF($X$13="/28",IF(Q988="","",IF(AVERAGE(Q984:Q989)&gt;=$W$13,ROUND(AVERAGE(Q984:Q989),1)&amp;" ≥ "&amp;$W$13&amp;" OK",ROUND(AVERAGE(Q984:Q989),1)&amp;" &lt; "&amp;$W$13&amp;" NC")),IF($X$13="/90",IF(#REF!="","",IF(AVERAGE(#REF!)&gt;=$W$13,ROUND(AVERAGE(#REF!),1)&amp;" ≥ "&amp;$W$13&amp;" OK",ROUND(AVERAGE(#REF!),1)&amp;" &lt; "&amp;$W$13&amp;" NC"))))</f>
        <v/>
      </c>
      <c r="T988" s="278" t="str">
        <f>IF($X$13="/28",IF(Q988="","",IF(Q988&gt;=$W$13-$S$12,ROUND((Q988),1)&amp;" ≥ "&amp;$W$13-$S$12&amp;" OK",ROUND((Q988),1)&amp;" &lt; "&amp;$W$13-$S$12&amp;" NC")),IF($X$13="/90",IF(#REF!="","",IF(#REF!&gt;=$W$13-$S$12,ROUND((#REF!),1)&amp;" ≥ "&amp;$W$13-$S$12&amp;" OK",ROUND((#REF!),1)&amp;" &lt; "&amp;$W$13-$S$12&amp;" NC"))))</f>
        <v/>
      </c>
      <c r="U988" s="14"/>
      <c r="V988" s="279"/>
      <c r="W988" s="280"/>
      <c r="X988" s="281"/>
      <c r="Y988" s="246"/>
      <c r="Z988" s="246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BP988" s="390" t="str">
        <f>IF($X$13="/28",IF(Q988="","",Q988),IF($X$13="/90",IF(#REF!="","",#REF!),"Falso"))</f>
        <v/>
      </c>
      <c r="BQ988" s="392" t="str">
        <f t="shared" si="1498"/>
        <v/>
      </c>
      <c r="BS988" s="50" t="str">
        <f>Q1958</f>
        <v/>
      </c>
      <c r="BT988" s="50" t="e">
        <f>#REF!</f>
        <v>#REF!</v>
      </c>
      <c r="BU988" s="39" t="str">
        <f t="shared" si="1539"/>
        <v/>
      </c>
      <c r="BV988" s="39" t="str">
        <f t="shared" si="1532"/>
        <v/>
      </c>
    </row>
    <row r="989" spans="1:74" ht="14.25" customHeight="1" x14ac:dyDescent="0.35">
      <c r="A989" s="294"/>
      <c r="B989" s="296"/>
      <c r="C989" s="298"/>
      <c r="D989" s="300"/>
      <c r="E989" s="302"/>
      <c r="F989" s="304"/>
      <c r="G989" s="276"/>
      <c r="H989" s="277"/>
      <c r="I989" s="290"/>
      <c r="J989" s="290"/>
      <c r="K989" s="291"/>
      <c r="L989" s="17"/>
      <c r="M989" s="286"/>
      <c r="N989" s="21"/>
      <c r="O989" s="286"/>
      <c r="P989" s="21"/>
      <c r="Q989" s="286"/>
      <c r="R989" s="248"/>
      <c r="S989" s="287"/>
      <c r="T989" s="248"/>
      <c r="U989" s="13"/>
      <c r="V989" s="282"/>
      <c r="W989" s="283"/>
      <c r="X989" s="284"/>
      <c r="Y989" s="245"/>
      <c r="Z989" s="245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BP989" s="391"/>
      <c r="BQ989" s="393"/>
      <c r="BS989" s="50" t="str">
        <f>Q1960</f>
        <v/>
      </c>
      <c r="BT989" s="50" t="e">
        <f>#REF!</f>
        <v>#REF!</v>
      </c>
      <c r="BU989" s="39" t="str">
        <f t="shared" si="1539"/>
        <v/>
      </c>
      <c r="BV989" s="39" t="str">
        <f t="shared" si="1532"/>
        <v/>
      </c>
    </row>
    <row r="990" spans="1:74" ht="14.25" customHeight="1" x14ac:dyDescent="0.35">
      <c r="A990" s="293">
        <v>487</v>
      </c>
      <c r="B990" s="295"/>
      <c r="C990" s="297"/>
      <c r="D990" s="299"/>
      <c r="E990" s="301"/>
      <c r="F990" s="303"/>
      <c r="G990" s="288"/>
      <c r="H990" s="289"/>
      <c r="I990" s="290"/>
      <c r="J990" s="290"/>
      <c r="K990" s="291"/>
      <c r="L990" s="18"/>
      <c r="M990" s="285" t="str">
        <f t="shared" ref="M990" si="1546">IF(COUNT(L990:L991)&lt;1,"",AVERAGE(L990:L991))</f>
        <v/>
      </c>
      <c r="N990" s="22"/>
      <c r="O990" s="285" t="str">
        <f t="shared" ref="O990" si="1547">IF(COUNT(N990:N991)&lt;1,"",AVERAGE(N990:N991))</f>
        <v/>
      </c>
      <c r="P990" s="22"/>
      <c r="Q990" s="285" t="str">
        <f t="shared" ref="Q990" si="1548">IF(COUNT(P990:P991)&lt;1,"",AVERAGE(P990:P991))</f>
        <v/>
      </c>
      <c r="R990" s="278" t="str">
        <f>IF($X$13="/28",IF(COUNT(P990:P991)&lt;=1,"",ABS(P990-P991)),IF($X$13="/90",IF(COUNT(#REF!)&lt;=1,"",ABS(#REF!-#REF!))))</f>
        <v/>
      </c>
      <c r="S990" s="278" t="str">
        <f>IF($X$13="/28",IF(Q990="","",IF(AVERAGE(Q986:Q991)&gt;=$W$13,ROUND(AVERAGE(Q986:Q991),1)&amp;" ≥ "&amp;$W$13&amp;" OK",ROUND(AVERAGE(Q986:Q991),1)&amp;" &lt; "&amp;$W$13&amp;" NC")),IF($X$13="/90",IF(#REF!="","",IF(AVERAGE(#REF!)&gt;=$W$13,ROUND(AVERAGE(#REF!),1)&amp;" ≥ "&amp;$W$13&amp;" OK",ROUND(AVERAGE(#REF!),1)&amp;" &lt; "&amp;$W$13&amp;" NC"))))</f>
        <v/>
      </c>
      <c r="T990" s="278" t="str">
        <f>IF($X$13="/28",IF(Q990="","",IF(Q990&gt;=$W$13-$S$12,ROUND((Q990),1)&amp;" ≥ "&amp;$W$13-$S$12&amp;" OK",ROUND((Q990),1)&amp;" &lt; "&amp;$W$13-$S$12&amp;" NC")),IF($X$13="/90",IF(#REF!="","",IF(#REF!&gt;=$W$13-$S$12,ROUND((#REF!),1)&amp;" ≥ "&amp;$W$13-$S$12&amp;" OK",ROUND((#REF!),1)&amp;" &lt; "&amp;$W$13-$S$12&amp;" NC"))))</f>
        <v/>
      </c>
      <c r="U990" s="14"/>
      <c r="V990" s="279"/>
      <c r="W990" s="280"/>
      <c r="X990" s="281"/>
      <c r="Y990" s="246"/>
      <c r="Z990" s="246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BP990" s="390" t="str">
        <f>IF($X$13="/28",IF(Q990="","",Q990),IF($X$13="/90",IF(#REF!="","",#REF!),"Falso"))</f>
        <v/>
      </c>
      <c r="BQ990" s="392" t="str">
        <f t="shared" si="1490"/>
        <v/>
      </c>
      <c r="BS990" s="50" t="str">
        <f>Q1962</f>
        <v/>
      </c>
      <c r="BT990" s="50" t="e">
        <f>#REF!</f>
        <v>#REF!</v>
      </c>
      <c r="BU990" s="39" t="str">
        <f t="shared" si="1539"/>
        <v/>
      </c>
      <c r="BV990" s="39" t="str">
        <f t="shared" si="1532"/>
        <v/>
      </c>
    </row>
    <row r="991" spans="1:74" ht="14.25" customHeight="1" x14ac:dyDescent="0.35">
      <c r="A991" s="294"/>
      <c r="B991" s="296"/>
      <c r="C991" s="298"/>
      <c r="D991" s="300"/>
      <c r="E991" s="302"/>
      <c r="F991" s="304"/>
      <c r="G991" s="276"/>
      <c r="H991" s="277"/>
      <c r="I991" s="290"/>
      <c r="J991" s="290"/>
      <c r="K991" s="291"/>
      <c r="L991" s="17"/>
      <c r="M991" s="286"/>
      <c r="N991" s="21"/>
      <c r="O991" s="286"/>
      <c r="P991" s="21"/>
      <c r="Q991" s="286"/>
      <c r="R991" s="248"/>
      <c r="S991" s="287"/>
      <c r="T991" s="248"/>
      <c r="U991" s="13"/>
      <c r="V991" s="282"/>
      <c r="W991" s="283"/>
      <c r="X991" s="284"/>
      <c r="Y991" s="245"/>
      <c r="Z991" s="245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BP991" s="391"/>
      <c r="BQ991" s="393"/>
      <c r="BS991" s="50" t="str">
        <f>Q1964</f>
        <v/>
      </c>
      <c r="BT991" s="50" t="e">
        <f>#REF!</f>
        <v>#REF!</v>
      </c>
      <c r="BU991" s="39" t="str">
        <f t="shared" si="1539"/>
        <v/>
      </c>
      <c r="BV991" s="39" t="str">
        <f t="shared" si="1532"/>
        <v/>
      </c>
    </row>
    <row r="992" spans="1:74" ht="14.25" customHeight="1" x14ac:dyDescent="0.35">
      <c r="A992" s="293">
        <v>488</v>
      </c>
      <c r="B992" s="295"/>
      <c r="C992" s="297"/>
      <c r="D992" s="299"/>
      <c r="E992" s="301"/>
      <c r="F992" s="303"/>
      <c r="G992" s="288"/>
      <c r="H992" s="289"/>
      <c r="I992" s="290"/>
      <c r="J992" s="290"/>
      <c r="K992" s="291"/>
      <c r="L992" s="18"/>
      <c r="M992" s="285" t="str">
        <f t="shared" ref="M992" si="1549">IF(COUNT(L992:L993)&lt;1,"",AVERAGE(L992:L993))</f>
        <v/>
      </c>
      <c r="N992" s="22"/>
      <c r="O992" s="285" t="str">
        <f t="shared" ref="O992" si="1550">IF(COUNT(N992:N993)&lt;1,"",AVERAGE(N992:N993))</f>
        <v/>
      </c>
      <c r="P992" s="22"/>
      <c r="Q992" s="285" t="str">
        <f t="shared" ref="Q992" si="1551">IF(COUNT(P992:P993)&lt;1,"",AVERAGE(P992:P993))</f>
        <v/>
      </c>
      <c r="R992" s="278" t="str">
        <f>IF($X$13="/28",IF(COUNT(P992:P993)&lt;=1,"",ABS(P992-P993)),IF($X$13="/90",IF(COUNT(#REF!)&lt;=1,"",ABS(#REF!-#REF!))))</f>
        <v/>
      </c>
      <c r="S992" s="278" t="str">
        <f>IF($X$13="/28",IF(Q992="","",IF(AVERAGE(Q988:Q993)&gt;=$W$13,ROUND(AVERAGE(Q988:Q993),1)&amp;" ≥ "&amp;$W$13&amp;" OK",ROUND(AVERAGE(Q988:Q993),1)&amp;" &lt; "&amp;$W$13&amp;" NC")),IF($X$13="/90",IF(#REF!="","",IF(AVERAGE(#REF!)&gt;=$W$13,ROUND(AVERAGE(#REF!),1)&amp;" ≥ "&amp;$W$13&amp;" OK",ROUND(AVERAGE(#REF!),1)&amp;" &lt; "&amp;$W$13&amp;" NC"))))</f>
        <v/>
      </c>
      <c r="T992" s="278" t="str">
        <f>IF($X$13="/28",IF(Q992="","",IF(Q992&gt;=$W$13-$S$12,ROUND((Q992),1)&amp;" ≥ "&amp;$W$13-$S$12&amp;" OK",ROUND((Q992),1)&amp;" &lt; "&amp;$W$13-$S$12&amp;" NC")),IF($X$13="/90",IF(#REF!="","",IF(#REF!&gt;=$W$13-$S$12,ROUND((#REF!),1)&amp;" ≥ "&amp;$W$13-$S$12&amp;" OK",ROUND((#REF!),1)&amp;" &lt; "&amp;$W$13-$S$12&amp;" NC"))))</f>
        <v/>
      </c>
      <c r="U992" s="14"/>
      <c r="V992" s="279"/>
      <c r="W992" s="280"/>
      <c r="X992" s="281"/>
      <c r="Y992" s="246"/>
      <c r="Z992" s="246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BP992" s="390" t="str">
        <f>IF($X$13="/28",IF(Q992="","",Q992),IF($X$13="/90",IF(#REF!="","",#REF!),"Falso"))</f>
        <v/>
      </c>
      <c r="BQ992" s="392" t="str">
        <f t="shared" si="1494"/>
        <v/>
      </c>
      <c r="BS992" s="50" t="str">
        <f>Q1966</f>
        <v/>
      </c>
      <c r="BT992" s="50" t="e">
        <f>#REF!</f>
        <v>#REF!</v>
      </c>
      <c r="BU992" s="39" t="str">
        <f t="shared" si="1539"/>
        <v/>
      </c>
      <c r="BV992" s="39" t="str">
        <f t="shared" si="1532"/>
        <v/>
      </c>
    </row>
    <row r="993" spans="1:74" ht="14.25" customHeight="1" x14ac:dyDescent="0.35">
      <c r="A993" s="294"/>
      <c r="B993" s="296"/>
      <c r="C993" s="298"/>
      <c r="D993" s="300"/>
      <c r="E993" s="302"/>
      <c r="F993" s="304"/>
      <c r="G993" s="276"/>
      <c r="H993" s="277"/>
      <c r="I993" s="290"/>
      <c r="J993" s="290"/>
      <c r="K993" s="291"/>
      <c r="L993" s="17"/>
      <c r="M993" s="286"/>
      <c r="N993" s="21"/>
      <c r="O993" s="286"/>
      <c r="P993" s="21"/>
      <c r="Q993" s="286"/>
      <c r="R993" s="248"/>
      <c r="S993" s="287"/>
      <c r="T993" s="248"/>
      <c r="U993" s="13"/>
      <c r="V993" s="282"/>
      <c r="W993" s="283"/>
      <c r="X993" s="284"/>
      <c r="Y993" s="245"/>
      <c r="Z993" s="245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BP993" s="391"/>
      <c r="BQ993" s="393"/>
      <c r="BS993" s="50" t="str">
        <f>Q1968</f>
        <v/>
      </c>
      <c r="BT993" s="50" t="e">
        <f>#REF!</f>
        <v>#REF!</v>
      </c>
      <c r="BU993" s="39" t="str">
        <f t="shared" si="1539"/>
        <v/>
      </c>
      <c r="BV993" s="39" t="str">
        <f t="shared" si="1532"/>
        <v/>
      </c>
    </row>
    <row r="994" spans="1:74" ht="14.25" customHeight="1" x14ac:dyDescent="0.35">
      <c r="A994" s="293">
        <v>489</v>
      </c>
      <c r="B994" s="295"/>
      <c r="C994" s="297"/>
      <c r="D994" s="299"/>
      <c r="E994" s="301"/>
      <c r="F994" s="303"/>
      <c r="G994" s="288"/>
      <c r="H994" s="289"/>
      <c r="I994" s="290"/>
      <c r="J994" s="290"/>
      <c r="K994" s="291"/>
      <c r="L994" s="18"/>
      <c r="M994" s="285" t="str">
        <f t="shared" ref="M994" si="1552">IF(COUNT(L994:L995)&lt;1,"",AVERAGE(L994:L995))</f>
        <v/>
      </c>
      <c r="N994" s="22"/>
      <c r="O994" s="285" t="str">
        <f t="shared" ref="O994" si="1553">IF(COUNT(N994:N995)&lt;1,"",AVERAGE(N994:N995))</f>
        <v/>
      </c>
      <c r="P994" s="22"/>
      <c r="Q994" s="285" t="str">
        <f t="shared" ref="Q994" si="1554">IF(COUNT(P994:P995)&lt;1,"",AVERAGE(P994:P995))</f>
        <v/>
      </c>
      <c r="R994" s="278" t="str">
        <f>IF($X$13="/28",IF(COUNT(P994:P995)&lt;=1,"",ABS(P994-P995)),IF($X$13="/90",IF(COUNT(#REF!)&lt;=1,"",ABS(#REF!-#REF!))))</f>
        <v/>
      </c>
      <c r="S994" s="278" t="str">
        <f>IF($X$13="/28",IF(Q994="","",IF(AVERAGE(Q990:Q995)&gt;=$W$13,ROUND(AVERAGE(Q990:Q995),1)&amp;" ≥ "&amp;$W$13&amp;" OK",ROUND(AVERAGE(Q990:Q995),1)&amp;" &lt; "&amp;$W$13&amp;" NC")),IF($X$13="/90",IF(#REF!="","",IF(AVERAGE(#REF!)&gt;=$W$13,ROUND(AVERAGE(#REF!),1)&amp;" ≥ "&amp;$W$13&amp;" OK",ROUND(AVERAGE(#REF!),1)&amp;" &lt; "&amp;$W$13&amp;" NC"))))</f>
        <v/>
      </c>
      <c r="T994" s="278" t="str">
        <f>IF($X$13="/28",IF(Q994="","",IF(Q994&gt;=$W$13-$S$12,ROUND((Q994),1)&amp;" ≥ "&amp;$W$13-$S$12&amp;" OK",ROUND((Q994),1)&amp;" &lt; "&amp;$W$13-$S$12&amp;" NC")),IF($X$13="/90",IF(#REF!="","",IF(#REF!&gt;=$W$13-$S$12,ROUND((#REF!),1)&amp;" ≥ "&amp;$W$13-$S$12&amp;" OK",ROUND((#REF!),1)&amp;" &lt; "&amp;$W$13-$S$12&amp;" NC"))))</f>
        <v/>
      </c>
      <c r="U994" s="14"/>
      <c r="V994" s="279"/>
      <c r="W994" s="280"/>
      <c r="X994" s="281"/>
      <c r="Y994" s="246"/>
      <c r="Z994" s="246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BP994" s="390" t="str">
        <f>IF($X$13="/28",IF(Q994="","",Q994),IF($X$13="/90",IF(#REF!="","",#REF!),"Falso"))</f>
        <v/>
      </c>
      <c r="BQ994" s="392" t="str">
        <f t="shared" si="1498"/>
        <v/>
      </c>
      <c r="BS994" s="50" t="str">
        <f>Q1970</f>
        <v/>
      </c>
      <c r="BT994" s="50" t="e">
        <f>#REF!</f>
        <v>#REF!</v>
      </c>
      <c r="BU994" s="39" t="str">
        <f t="shared" si="1539"/>
        <v/>
      </c>
      <c r="BV994" s="39" t="str">
        <f t="shared" si="1532"/>
        <v/>
      </c>
    </row>
    <row r="995" spans="1:74" ht="14.25" customHeight="1" x14ac:dyDescent="0.35">
      <c r="A995" s="294"/>
      <c r="B995" s="296"/>
      <c r="C995" s="298"/>
      <c r="D995" s="300"/>
      <c r="E995" s="302"/>
      <c r="F995" s="304"/>
      <c r="G995" s="276"/>
      <c r="H995" s="277"/>
      <c r="I995" s="290"/>
      <c r="J995" s="290"/>
      <c r="K995" s="291"/>
      <c r="L995" s="17"/>
      <c r="M995" s="286"/>
      <c r="N995" s="21"/>
      <c r="O995" s="286"/>
      <c r="P995" s="21"/>
      <c r="Q995" s="286"/>
      <c r="R995" s="248"/>
      <c r="S995" s="287"/>
      <c r="T995" s="248"/>
      <c r="U995" s="13"/>
      <c r="V995" s="282"/>
      <c r="W995" s="283"/>
      <c r="X995" s="284"/>
      <c r="Y995" s="245"/>
      <c r="Z995" s="245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BP995" s="391"/>
      <c r="BQ995" s="393"/>
      <c r="BS995" s="50" t="str">
        <f>Q1972</f>
        <v/>
      </c>
      <c r="BT995" s="50" t="e">
        <f>#REF!</f>
        <v>#REF!</v>
      </c>
      <c r="BU995" s="39" t="str">
        <f t="shared" si="1539"/>
        <v/>
      </c>
      <c r="BV995" s="39" t="str">
        <f t="shared" si="1532"/>
        <v/>
      </c>
    </row>
    <row r="996" spans="1:74" ht="14.25" customHeight="1" x14ac:dyDescent="0.35">
      <c r="A996" s="293">
        <v>490</v>
      </c>
      <c r="B996" s="295"/>
      <c r="C996" s="297"/>
      <c r="D996" s="299"/>
      <c r="E996" s="301"/>
      <c r="F996" s="303"/>
      <c r="G996" s="288"/>
      <c r="H996" s="289"/>
      <c r="I996" s="290"/>
      <c r="J996" s="290"/>
      <c r="K996" s="291"/>
      <c r="L996" s="18"/>
      <c r="M996" s="285" t="str">
        <f t="shared" ref="M996" si="1555">IF(COUNT(L996:L997)&lt;1,"",AVERAGE(L996:L997))</f>
        <v/>
      </c>
      <c r="N996" s="22"/>
      <c r="O996" s="285" t="str">
        <f t="shared" ref="O996" si="1556">IF(COUNT(N996:N997)&lt;1,"",AVERAGE(N996:N997))</f>
        <v/>
      </c>
      <c r="P996" s="22"/>
      <c r="Q996" s="285" t="str">
        <f t="shared" ref="Q996" si="1557">IF(COUNT(P996:P997)&lt;1,"",AVERAGE(P996:P997))</f>
        <v/>
      </c>
      <c r="R996" s="278" t="str">
        <f>IF($X$13="/28",IF(COUNT(P996:P997)&lt;=1,"",ABS(P996-P997)),IF($X$13="/90",IF(COUNT(#REF!)&lt;=1,"",ABS(#REF!-#REF!))))</f>
        <v/>
      </c>
      <c r="S996" s="278" t="str">
        <f>IF($X$13="/28",IF(Q996="","",IF(AVERAGE(Q992:Q997)&gt;=$W$13,ROUND(AVERAGE(Q992:Q997),1)&amp;" ≥ "&amp;$W$13&amp;" OK",ROUND(AVERAGE(Q992:Q997),1)&amp;" &lt; "&amp;$W$13&amp;" NC")),IF($X$13="/90",IF(#REF!="","",IF(AVERAGE(#REF!)&gt;=$W$13,ROUND(AVERAGE(#REF!),1)&amp;" ≥ "&amp;$W$13&amp;" OK",ROUND(AVERAGE(#REF!),1)&amp;" &lt; "&amp;$W$13&amp;" NC"))))</f>
        <v/>
      </c>
      <c r="T996" s="278" t="str">
        <f>IF($X$13="/28",IF(Q996="","",IF(Q996&gt;=$W$13-$S$12,ROUND((Q996),1)&amp;" ≥ "&amp;$W$13-$S$12&amp;" OK",ROUND((Q996),1)&amp;" &lt; "&amp;$W$13-$S$12&amp;" NC")),IF($X$13="/90",IF(#REF!="","",IF(#REF!&gt;=$W$13-$S$12,ROUND((#REF!),1)&amp;" ≥ "&amp;$W$13-$S$12&amp;" OK",ROUND((#REF!),1)&amp;" &lt; "&amp;$W$13-$S$12&amp;" NC"))))</f>
        <v/>
      </c>
      <c r="U996" s="14"/>
      <c r="V996" s="279"/>
      <c r="W996" s="280"/>
      <c r="X996" s="281"/>
      <c r="Y996" s="246"/>
      <c r="Z996" s="246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BP996" s="390" t="str">
        <f>IF($X$13="/28",IF(Q996="","",Q996),IF($X$13="/90",IF(#REF!="","",#REF!),"Falso"))</f>
        <v/>
      </c>
      <c r="BQ996" s="392" t="str">
        <f t="shared" si="1490"/>
        <v/>
      </c>
      <c r="BS996" s="50" t="str">
        <f>Q1974</f>
        <v/>
      </c>
      <c r="BT996" s="50" t="e">
        <f>#REF!</f>
        <v>#REF!</v>
      </c>
      <c r="BU996" s="39" t="str">
        <f t="shared" si="1539"/>
        <v/>
      </c>
      <c r="BV996" s="39" t="str">
        <f t="shared" si="1532"/>
        <v/>
      </c>
    </row>
    <row r="997" spans="1:74" ht="14.25" customHeight="1" x14ac:dyDescent="0.35">
      <c r="A997" s="294"/>
      <c r="B997" s="296"/>
      <c r="C997" s="298"/>
      <c r="D997" s="300"/>
      <c r="E997" s="302"/>
      <c r="F997" s="304"/>
      <c r="G997" s="276"/>
      <c r="H997" s="277"/>
      <c r="I997" s="290"/>
      <c r="J997" s="290"/>
      <c r="K997" s="291"/>
      <c r="L997" s="17"/>
      <c r="M997" s="286"/>
      <c r="N997" s="21"/>
      <c r="O997" s="286"/>
      <c r="P997" s="21"/>
      <c r="Q997" s="286"/>
      <c r="R997" s="248"/>
      <c r="S997" s="287"/>
      <c r="T997" s="248"/>
      <c r="U997" s="13"/>
      <c r="V997" s="282"/>
      <c r="W997" s="283"/>
      <c r="X997" s="284"/>
      <c r="Y997" s="245"/>
      <c r="Z997" s="245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BP997" s="391"/>
      <c r="BQ997" s="393"/>
      <c r="BS997" s="50" t="str">
        <f>Q1976</f>
        <v/>
      </c>
      <c r="BT997" s="50" t="e">
        <f>#REF!</f>
        <v>#REF!</v>
      </c>
      <c r="BU997" s="39" t="str">
        <f t="shared" si="1539"/>
        <v/>
      </c>
      <c r="BV997" s="39" t="str">
        <f t="shared" si="1532"/>
        <v/>
      </c>
    </row>
    <row r="998" spans="1:74" ht="14.25" customHeight="1" x14ac:dyDescent="0.35">
      <c r="A998" s="293">
        <v>491</v>
      </c>
      <c r="B998" s="295"/>
      <c r="C998" s="297"/>
      <c r="D998" s="299"/>
      <c r="E998" s="301"/>
      <c r="F998" s="303"/>
      <c r="G998" s="288"/>
      <c r="H998" s="289"/>
      <c r="I998" s="290"/>
      <c r="J998" s="290"/>
      <c r="K998" s="291"/>
      <c r="L998" s="18"/>
      <c r="M998" s="285" t="str">
        <f t="shared" ref="M998" si="1558">IF(COUNT(L998:L999)&lt;1,"",AVERAGE(L998:L999))</f>
        <v/>
      </c>
      <c r="N998" s="22"/>
      <c r="O998" s="285" t="str">
        <f t="shared" ref="O998" si="1559">IF(COUNT(N998:N999)&lt;1,"",AVERAGE(N998:N999))</f>
        <v/>
      </c>
      <c r="P998" s="22"/>
      <c r="Q998" s="285" t="str">
        <f t="shared" ref="Q998" si="1560">IF(COUNT(P998:P999)&lt;1,"",AVERAGE(P998:P999))</f>
        <v/>
      </c>
      <c r="R998" s="278" t="str">
        <f>IF($X$13="/28",IF(COUNT(P998:P999)&lt;=1,"",ABS(P998-P999)),IF($X$13="/90",IF(COUNT(#REF!)&lt;=1,"",ABS(#REF!-#REF!))))</f>
        <v/>
      </c>
      <c r="S998" s="278" t="str">
        <f>IF($X$13="/28",IF(Q998="","",IF(AVERAGE(Q994:Q999)&gt;=$W$13,ROUND(AVERAGE(Q994:Q999),1)&amp;" ≥ "&amp;$W$13&amp;" OK",ROUND(AVERAGE(Q994:Q999),1)&amp;" &lt; "&amp;$W$13&amp;" NC")),IF($X$13="/90",IF(#REF!="","",IF(AVERAGE(#REF!)&gt;=$W$13,ROUND(AVERAGE(#REF!),1)&amp;" ≥ "&amp;$W$13&amp;" OK",ROUND(AVERAGE(#REF!),1)&amp;" &lt; "&amp;$W$13&amp;" NC"))))</f>
        <v/>
      </c>
      <c r="T998" s="278" t="str">
        <f>IF($X$13="/28",IF(Q998="","",IF(Q998&gt;=$W$13-$S$12,ROUND((Q998),1)&amp;" ≥ "&amp;$W$13-$S$12&amp;" OK",ROUND((Q998),1)&amp;" &lt; "&amp;$W$13-$S$12&amp;" NC")),IF($X$13="/90",IF(#REF!="","",IF(#REF!&gt;=$W$13-$S$12,ROUND((#REF!),1)&amp;" ≥ "&amp;$W$13-$S$12&amp;" OK",ROUND((#REF!),1)&amp;" &lt; "&amp;$W$13-$S$12&amp;" NC"))))</f>
        <v/>
      </c>
      <c r="U998" s="14"/>
      <c r="V998" s="279"/>
      <c r="W998" s="280"/>
      <c r="X998" s="281"/>
      <c r="Y998" s="246"/>
      <c r="Z998" s="246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BP998" s="390" t="str">
        <f>IF($X$13="/28",IF(Q998="","",Q998),IF($X$13="/90",IF(#REF!="","",#REF!),"Falso"))</f>
        <v/>
      </c>
      <c r="BQ998" s="392" t="str">
        <f t="shared" si="1494"/>
        <v/>
      </c>
      <c r="BS998" s="50" t="str">
        <f>Q1978</f>
        <v/>
      </c>
      <c r="BT998" s="50" t="e">
        <f>#REF!</f>
        <v>#REF!</v>
      </c>
      <c r="BU998" s="39" t="str">
        <f t="shared" si="1539"/>
        <v/>
      </c>
      <c r="BV998" s="39" t="str">
        <f t="shared" si="1532"/>
        <v/>
      </c>
    </row>
    <row r="999" spans="1:74" ht="14.25" customHeight="1" x14ac:dyDescent="0.35">
      <c r="A999" s="294"/>
      <c r="B999" s="296"/>
      <c r="C999" s="298"/>
      <c r="D999" s="300"/>
      <c r="E999" s="302"/>
      <c r="F999" s="304"/>
      <c r="G999" s="276"/>
      <c r="H999" s="277"/>
      <c r="I999" s="290"/>
      <c r="J999" s="290"/>
      <c r="K999" s="291"/>
      <c r="L999" s="17"/>
      <c r="M999" s="286"/>
      <c r="N999" s="21"/>
      <c r="O999" s="286"/>
      <c r="P999" s="21"/>
      <c r="Q999" s="286"/>
      <c r="R999" s="248"/>
      <c r="S999" s="287"/>
      <c r="T999" s="248"/>
      <c r="U999" s="13"/>
      <c r="V999" s="282"/>
      <c r="W999" s="283"/>
      <c r="X999" s="284"/>
      <c r="Y999" s="245"/>
      <c r="Z999" s="245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BP999" s="391"/>
      <c r="BQ999" s="393"/>
      <c r="BS999" s="50" t="str">
        <f>Q1980</f>
        <v/>
      </c>
      <c r="BT999" s="50" t="e">
        <f>#REF!</f>
        <v>#REF!</v>
      </c>
      <c r="BU999" s="39" t="str">
        <f t="shared" si="1539"/>
        <v/>
      </c>
      <c r="BV999" s="39" t="str">
        <f t="shared" si="1532"/>
        <v/>
      </c>
    </row>
    <row r="1000" spans="1:74" ht="14.25" customHeight="1" x14ac:dyDescent="0.35">
      <c r="A1000" s="293">
        <v>492</v>
      </c>
      <c r="B1000" s="295"/>
      <c r="C1000" s="297"/>
      <c r="D1000" s="299"/>
      <c r="E1000" s="301"/>
      <c r="F1000" s="303"/>
      <c r="G1000" s="288"/>
      <c r="H1000" s="289"/>
      <c r="I1000" s="290"/>
      <c r="J1000" s="290"/>
      <c r="K1000" s="291"/>
      <c r="L1000" s="18"/>
      <c r="M1000" s="285" t="str">
        <f t="shared" ref="M1000" si="1561">IF(COUNT(L1000:L1001)&lt;1,"",AVERAGE(L1000:L1001))</f>
        <v/>
      </c>
      <c r="N1000" s="22"/>
      <c r="O1000" s="285" t="str">
        <f t="shared" ref="O1000" si="1562">IF(COUNT(N1000:N1001)&lt;1,"",AVERAGE(N1000:N1001))</f>
        <v/>
      </c>
      <c r="P1000" s="22"/>
      <c r="Q1000" s="285" t="str">
        <f t="shared" ref="Q1000" si="1563">IF(COUNT(P1000:P1001)&lt;1,"",AVERAGE(P1000:P1001))</f>
        <v/>
      </c>
      <c r="R1000" s="278" t="str">
        <f>IF($X$13="/28",IF(COUNT(P1000:P1001)&lt;=1,"",ABS(P1000-P1001)),IF($X$13="/90",IF(COUNT(#REF!)&lt;=1,"",ABS(#REF!-#REF!))))</f>
        <v/>
      </c>
      <c r="S1000" s="278" t="str">
        <f>IF($X$13="/28",IF(Q1000="","",IF(AVERAGE(Q996:Q1001)&gt;=$W$13,ROUND(AVERAGE(Q996:Q1001),1)&amp;" ≥ "&amp;$W$13&amp;" OK",ROUND(AVERAGE(Q996:Q1001),1)&amp;" &lt; "&amp;$W$13&amp;" NC")),IF($X$13="/90",IF(#REF!="","",IF(AVERAGE(#REF!)&gt;=$W$13,ROUND(AVERAGE(#REF!),1)&amp;" ≥ "&amp;$W$13&amp;" OK",ROUND(AVERAGE(#REF!),1)&amp;" &lt; "&amp;$W$13&amp;" NC"))))</f>
        <v/>
      </c>
      <c r="T1000" s="278" t="str">
        <f>IF($X$13="/28",IF(Q1000="","",IF(Q1000&gt;=$W$13-$S$12,ROUND((Q1000),1)&amp;" ≥ "&amp;$W$13-$S$12&amp;" OK",ROUND((Q1000),1)&amp;" &lt; "&amp;$W$13-$S$12&amp;" NC")),IF($X$13="/90",IF(#REF!="","",IF(#REF!&gt;=$W$13-$S$12,ROUND((#REF!),1)&amp;" ≥ "&amp;$W$13-$S$12&amp;" OK",ROUND((#REF!),1)&amp;" &lt; "&amp;$W$13-$S$12&amp;" NC"))))</f>
        <v/>
      </c>
      <c r="U1000" s="14"/>
      <c r="V1000" s="279"/>
      <c r="W1000" s="280"/>
      <c r="X1000" s="281"/>
      <c r="Y1000" s="246"/>
      <c r="Z1000" s="246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BP1000" s="390" t="str">
        <f>IF($X$13="/28",IF(Q1000="","",Q1000),IF($X$13="/90",IF(#REF!="","",#REF!),"Falso"))</f>
        <v/>
      </c>
      <c r="BQ1000" s="392" t="str">
        <f t="shared" si="1498"/>
        <v/>
      </c>
      <c r="BS1000" s="50" t="str">
        <f>Q1982</f>
        <v/>
      </c>
      <c r="BT1000" s="50" t="e">
        <f>#REF!</f>
        <v>#REF!</v>
      </c>
      <c r="BU1000" s="39" t="str">
        <f t="shared" si="1539"/>
        <v/>
      </c>
      <c r="BV1000" s="39" t="str">
        <f t="shared" si="1532"/>
        <v/>
      </c>
    </row>
    <row r="1001" spans="1:74" ht="14.25" customHeight="1" x14ac:dyDescent="0.35">
      <c r="A1001" s="294"/>
      <c r="B1001" s="296"/>
      <c r="C1001" s="298"/>
      <c r="D1001" s="300"/>
      <c r="E1001" s="302"/>
      <c r="F1001" s="304"/>
      <c r="G1001" s="276"/>
      <c r="H1001" s="277"/>
      <c r="I1001" s="290"/>
      <c r="J1001" s="290"/>
      <c r="K1001" s="291"/>
      <c r="L1001" s="17"/>
      <c r="M1001" s="286"/>
      <c r="N1001" s="21"/>
      <c r="O1001" s="286"/>
      <c r="P1001" s="21"/>
      <c r="Q1001" s="286"/>
      <c r="R1001" s="248"/>
      <c r="S1001" s="287"/>
      <c r="T1001" s="248"/>
      <c r="U1001" s="13"/>
      <c r="V1001" s="282"/>
      <c r="W1001" s="283"/>
      <c r="X1001" s="284"/>
      <c r="Y1001" s="245"/>
      <c r="Z1001" s="245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BP1001" s="391"/>
      <c r="BQ1001" s="393"/>
      <c r="BS1001" s="50" t="str">
        <f>Q1984</f>
        <v/>
      </c>
      <c r="BT1001" s="50" t="e">
        <f>#REF!</f>
        <v>#REF!</v>
      </c>
      <c r="BU1001" s="39" t="str">
        <f t="shared" si="1539"/>
        <v/>
      </c>
      <c r="BV1001" s="39" t="str">
        <f t="shared" si="1532"/>
        <v/>
      </c>
    </row>
    <row r="1002" spans="1:74" ht="14.25" customHeight="1" x14ac:dyDescent="0.35">
      <c r="A1002" s="293">
        <v>493</v>
      </c>
      <c r="B1002" s="295"/>
      <c r="C1002" s="297"/>
      <c r="D1002" s="299"/>
      <c r="E1002" s="301"/>
      <c r="F1002" s="303"/>
      <c r="G1002" s="288"/>
      <c r="H1002" s="289"/>
      <c r="I1002" s="290"/>
      <c r="J1002" s="290"/>
      <c r="K1002" s="291"/>
      <c r="L1002" s="18"/>
      <c r="M1002" s="285" t="str">
        <f t="shared" ref="M1002" si="1564">IF(COUNT(L1002:L1003)&lt;1,"",AVERAGE(L1002:L1003))</f>
        <v/>
      </c>
      <c r="N1002" s="22"/>
      <c r="O1002" s="285" t="str">
        <f t="shared" ref="O1002" si="1565">IF(COUNT(N1002:N1003)&lt;1,"",AVERAGE(N1002:N1003))</f>
        <v/>
      </c>
      <c r="P1002" s="22"/>
      <c r="Q1002" s="285" t="str">
        <f t="shared" ref="Q1002" si="1566">IF(COUNT(P1002:P1003)&lt;1,"",AVERAGE(P1002:P1003))</f>
        <v/>
      </c>
      <c r="R1002" s="278" t="str">
        <f>IF($X$13="/28",IF(COUNT(P1002:P1003)&lt;=1,"",ABS(P1002-P1003)),IF($X$13="/90",IF(COUNT(#REF!)&lt;=1,"",ABS(#REF!-#REF!))))</f>
        <v/>
      </c>
      <c r="S1002" s="278" t="str">
        <f>IF($X$13="/28",IF(Q1002="","",IF(AVERAGE(Q998:Q1003)&gt;=$W$13,ROUND(AVERAGE(Q998:Q1003),1)&amp;" ≥ "&amp;$W$13&amp;" OK",ROUND(AVERAGE(Q998:Q1003),1)&amp;" &lt; "&amp;$W$13&amp;" NC")),IF($X$13="/90",IF(#REF!="","",IF(AVERAGE(#REF!)&gt;=$W$13,ROUND(AVERAGE(#REF!),1)&amp;" ≥ "&amp;$W$13&amp;" OK",ROUND(AVERAGE(#REF!),1)&amp;" &lt; "&amp;$W$13&amp;" NC"))))</f>
        <v/>
      </c>
      <c r="T1002" s="278" t="str">
        <f>IF($X$13="/28",IF(Q1002="","",IF(Q1002&gt;=$W$13-$S$12,ROUND((Q1002),1)&amp;" ≥ "&amp;$W$13-$S$12&amp;" OK",ROUND((Q1002),1)&amp;" &lt; "&amp;$W$13-$S$12&amp;" NC")),IF($X$13="/90",IF(#REF!="","",IF(#REF!&gt;=$W$13-$S$12,ROUND((#REF!),1)&amp;" ≥ "&amp;$W$13-$S$12&amp;" OK",ROUND((#REF!),1)&amp;" &lt; "&amp;$W$13-$S$12&amp;" NC"))))</f>
        <v/>
      </c>
      <c r="U1002" s="14"/>
      <c r="V1002" s="279"/>
      <c r="W1002" s="280"/>
      <c r="X1002" s="281"/>
      <c r="Y1002" s="246"/>
      <c r="Z1002" s="246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BP1002" s="390" t="str">
        <f>IF($X$13="/28",IF(Q1002="","",Q1002),IF($X$13="/90",IF(#REF!="","",#REF!),"Falso"))</f>
        <v/>
      </c>
      <c r="BQ1002" s="392" t="str">
        <f t="shared" si="1490"/>
        <v/>
      </c>
      <c r="BS1002" s="50" t="str">
        <f>Q1986</f>
        <v/>
      </c>
      <c r="BT1002" s="50" t="e">
        <f>#REF!</f>
        <v>#REF!</v>
      </c>
      <c r="BU1002" s="39" t="str">
        <f t="shared" si="1539"/>
        <v/>
      </c>
      <c r="BV1002" s="39" t="str">
        <f t="shared" si="1532"/>
        <v/>
      </c>
    </row>
    <row r="1003" spans="1:74" ht="14.25" customHeight="1" x14ac:dyDescent="0.35">
      <c r="A1003" s="294"/>
      <c r="B1003" s="296"/>
      <c r="C1003" s="298"/>
      <c r="D1003" s="300"/>
      <c r="E1003" s="302"/>
      <c r="F1003" s="304"/>
      <c r="G1003" s="276"/>
      <c r="H1003" s="277"/>
      <c r="I1003" s="290"/>
      <c r="J1003" s="290"/>
      <c r="K1003" s="291"/>
      <c r="L1003" s="17"/>
      <c r="M1003" s="286"/>
      <c r="N1003" s="21"/>
      <c r="O1003" s="286"/>
      <c r="P1003" s="21"/>
      <c r="Q1003" s="286"/>
      <c r="R1003" s="248"/>
      <c r="S1003" s="287"/>
      <c r="T1003" s="248"/>
      <c r="U1003" s="13"/>
      <c r="V1003" s="282"/>
      <c r="W1003" s="283"/>
      <c r="X1003" s="284"/>
      <c r="Y1003" s="245"/>
      <c r="Z1003" s="245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BP1003" s="391"/>
      <c r="BQ1003" s="393"/>
      <c r="BS1003" s="50" t="str">
        <f>Q1988</f>
        <v/>
      </c>
      <c r="BT1003" s="50" t="e">
        <f>#REF!</f>
        <v>#REF!</v>
      </c>
      <c r="BU1003" s="39" t="str">
        <f t="shared" si="1539"/>
        <v/>
      </c>
      <c r="BV1003" s="39" t="str">
        <f t="shared" si="1532"/>
        <v/>
      </c>
    </row>
    <row r="1004" spans="1:74" ht="14.25" customHeight="1" x14ac:dyDescent="0.35">
      <c r="A1004" s="293">
        <v>494</v>
      </c>
      <c r="B1004" s="295"/>
      <c r="C1004" s="297"/>
      <c r="D1004" s="299"/>
      <c r="E1004" s="301"/>
      <c r="F1004" s="303"/>
      <c r="G1004" s="288"/>
      <c r="H1004" s="289"/>
      <c r="I1004" s="290"/>
      <c r="J1004" s="290"/>
      <c r="K1004" s="291"/>
      <c r="L1004" s="18"/>
      <c r="M1004" s="285" t="str">
        <f t="shared" ref="M1004" si="1567">IF(COUNT(L1004:L1005)&lt;1,"",AVERAGE(L1004:L1005))</f>
        <v/>
      </c>
      <c r="N1004" s="22"/>
      <c r="O1004" s="285" t="str">
        <f t="shared" ref="O1004" si="1568">IF(COUNT(N1004:N1005)&lt;1,"",AVERAGE(N1004:N1005))</f>
        <v/>
      </c>
      <c r="P1004" s="22"/>
      <c r="Q1004" s="285" t="str">
        <f t="shared" ref="Q1004" si="1569">IF(COUNT(P1004:P1005)&lt;1,"",AVERAGE(P1004:P1005))</f>
        <v/>
      </c>
      <c r="R1004" s="278" t="str">
        <f>IF($X$13="/28",IF(COUNT(P1004:P1005)&lt;=1,"",ABS(P1004-P1005)),IF($X$13="/90",IF(COUNT(#REF!)&lt;=1,"",ABS(#REF!-#REF!))))</f>
        <v/>
      </c>
      <c r="S1004" s="278" t="str">
        <f>IF($X$13="/28",IF(Q1004="","",IF(AVERAGE(Q1000:Q1005)&gt;=$W$13,ROUND(AVERAGE(Q1000:Q1005),1)&amp;" ≥ "&amp;$W$13&amp;" OK",ROUND(AVERAGE(Q1000:Q1005),1)&amp;" &lt; "&amp;$W$13&amp;" NC")),IF($X$13="/90",IF(#REF!="","",IF(AVERAGE(#REF!)&gt;=$W$13,ROUND(AVERAGE(#REF!),1)&amp;" ≥ "&amp;$W$13&amp;" OK",ROUND(AVERAGE(#REF!),1)&amp;" &lt; "&amp;$W$13&amp;" NC"))))</f>
        <v/>
      </c>
      <c r="T1004" s="278" t="str">
        <f>IF($X$13="/28",IF(Q1004="","",IF(Q1004&gt;=$W$13-$S$12,ROUND((Q1004),1)&amp;" ≥ "&amp;$W$13-$S$12&amp;" OK",ROUND((Q1004),1)&amp;" &lt; "&amp;$W$13-$S$12&amp;" NC")),IF($X$13="/90",IF(#REF!="","",IF(#REF!&gt;=$W$13-$S$12,ROUND((#REF!),1)&amp;" ≥ "&amp;$W$13-$S$12&amp;" OK",ROUND((#REF!),1)&amp;" &lt; "&amp;$W$13-$S$12&amp;" NC"))))</f>
        <v/>
      </c>
      <c r="U1004" s="14"/>
      <c r="V1004" s="279"/>
      <c r="W1004" s="280"/>
      <c r="X1004" s="281"/>
      <c r="Y1004" s="246"/>
      <c r="Z1004" s="246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BP1004" s="390" t="str">
        <f>IF($X$13="/28",IF(Q1004="","",Q1004),IF($X$13="/90",IF(#REF!="","",#REF!),"Falso"))</f>
        <v/>
      </c>
      <c r="BQ1004" s="392" t="str">
        <f t="shared" si="1494"/>
        <v/>
      </c>
      <c r="BS1004" s="50" t="str">
        <f>Q1990</f>
        <v/>
      </c>
      <c r="BT1004" s="50" t="e">
        <f>#REF!</f>
        <v>#REF!</v>
      </c>
      <c r="BU1004" s="39" t="str">
        <f t="shared" si="1539"/>
        <v/>
      </c>
      <c r="BV1004" s="39" t="str">
        <f t="shared" si="1532"/>
        <v/>
      </c>
    </row>
    <row r="1005" spans="1:74" ht="14.25" customHeight="1" x14ac:dyDescent="0.35">
      <c r="A1005" s="294"/>
      <c r="B1005" s="296"/>
      <c r="C1005" s="298"/>
      <c r="D1005" s="300"/>
      <c r="E1005" s="302"/>
      <c r="F1005" s="304"/>
      <c r="G1005" s="276"/>
      <c r="H1005" s="277"/>
      <c r="I1005" s="290"/>
      <c r="J1005" s="290"/>
      <c r="K1005" s="291"/>
      <c r="L1005" s="17"/>
      <c r="M1005" s="286"/>
      <c r="N1005" s="21"/>
      <c r="O1005" s="286"/>
      <c r="P1005" s="21"/>
      <c r="Q1005" s="286"/>
      <c r="R1005" s="248"/>
      <c r="S1005" s="287"/>
      <c r="T1005" s="248"/>
      <c r="U1005" s="13"/>
      <c r="V1005" s="282"/>
      <c r="W1005" s="283"/>
      <c r="X1005" s="284"/>
      <c r="Y1005" s="245"/>
      <c r="Z1005" s="245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BP1005" s="391"/>
      <c r="BQ1005" s="393"/>
      <c r="BS1005" s="50" t="str">
        <f>Q1992</f>
        <v/>
      </c>
      <c r="BT1005" s="50" t="e">
        <f>#REF!</f>
        <v>#REF!</v>
      </c>
      <c r="BU1005" s="39" t="str">
        <f t="shared" si="1539"/>
        <v/>
      </c>
      <c r="BV1005" s="39" t="str">
        <f t="shared" si="1532"/>
        <v/>
      </c>
    </row>
    <row r="1006" spans="1:74" ht="14.25" customHeight="1" x14ac:dyDescent="0.35">
      <c r="A1006" s="293">
        <v>495</v>
      </c>
      <c r="B1006" s="295"/>
      <c r="C1006" s="297"/>
      <c r="D1006" s="299"/>
      <c r="E1006" s="301"/>
      <c r="F1006" s="303"/>
      <c r="G1006" s="288"/>
      <c r="H1006" s="289"/>
      <c r="I1006" s="290"/>
      <c r="J1006" s="290"/>
      <c r="K1006" s="291"/>
      <c r="L1006" s="18"/>
      <c r="M1006" s="285" t="str">
        <f t="shared" ref="M1006" si="1570">IF(COUNT(L1006:L1007)&lt;1,"",AVERAGE(L1006:L1007))</f>
        <v/>
      </c>
      <c r="N1006" s="22"/>
      <c r="O1006" s="285" t="str">
        <f t="shared" ref="O1006" si="1571">IF(COUNT(N1006:N1007)&lt;1,"",AVERAGE(N1006:N1007))</f>
        <v/>
      </c>
      <c r="P1006" s="22"/>
      <c r="Q1006" s="285" t="str">
        <f t="shared" ref="Q1006" si="1572">IF(COUNT(P1006:P1007)&lt;1,"",AVERAGE(P1006:P1007))</f>
        <v/>
      </c>
      <c r="R1006" s="278" t="str">
        <f>IF($X$13="/28",IF(COUNT(P1006:P1007)&lt;=1,"",ABS(P1006-P1007)),IF($X$13="/90",IF(COUNT(#REF!)&lt;=1,"",ABS(#REF!-#REF!))))</f>
        <v/>
      </c>
      <c r="S1006" s="278" t="str">
        <f>IF($X$13="/28",IF(Q1006="","",IF(AVERAGE(Q1002:Q1007)&gt;=$W$13,ROUND(AVERAGE(Q1002:Q1007),1)&amp;" ≥ "&amp;$W$13&amp;" OK",ROUND(AVERAGE(Q1002:Q1007),1)&amp;" &lt; "&amp;$W$13&amp;" NC")),IF($X$13="/90",IF(#REF!="","",IF(AVERAGE(#REF!)&gt;=$W$13,ROUND(AVERAGE(#REF!),1)&amp;" ≥ "&amp;$W$13&amp;" OK",ROUND(AVERAGE(#REF!),1)&amp;" &lt; "&amp;$W$13&amp;" NC"))))</f>
        <v/>
      </c>
      <c r="T1006" s="278" t="str">
        <f>IF($X$13="/28",IF(Q1006="","",IF(Q1006&gt;=$W$13-$S$12,ROUND((Q1006),1)&amp;" ≥ "&amp;$W$13-$S$12&amp;" OK",ROUND((Q1006),1)&amp;" &lt; "&amp;$W$13-$S$12&amp;" NC")),IF($X$13="/90",IF(#REF!="","",IF(#REF!&gt;=$W$13-$S$12,ROUND((#REF!),1)&amp;" ≥ "&amp;$W$13-$S$12&amp;" OK",ROUND((#REF!),1)&amp;" &lt; "&amp;$W$13-$S$12&amp;" NC"))))</f>
        <v/>
      </c>
      <c r="U1006" s="14"/>
      <c r="V1006" s="279"/>
      <c r="W1006" s="280"/>
      <c r="X1006" s="281"/>
      <c r="Y1006" s="246"/>
      <c r="Z1006" s="246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BP1006" s="390" t="str">
        <f>IF($X$13="/28",IF(Q1006="","",Q1006),IF($X$13="/90",IF(#REF!="","",#REF!),"Falso"))</f>
        <v/>
      </c>
      <c r="BQ1006" s="392" t="str">
        <f t="shared" si="1498"/>
        <v/>
      </c>
      <c r="BS1006" s="50" t="str">
        <f>Q1994</f>
        <v/>
      </c>
      <c r="BT1006" s="50" t="e">
        <f>#REF!</f>
        <v>#REF!</v>
      </c>
      <c r="BU1006" s="39" t="str">
        <f t="shared" si="1539"/>
        <v/>
      </c>
      <c r="BV1006" s="39" t="str">
        <f t="shared" si="1532"/>
        <v/>
      </c>
    </row>
    <row r="1007" spans="1:74" ht="14.25" customHeight="1" x14ac:dyDescent="0.35">
      <c r="A1007" s="294"/>
      <c r="B1007" s="296"/>
      <c r="C1007" s="298"/>
      <c r="D1007" s="300"/>
      <c r="E1007" s="302"/>
      <c r="F1007" s="304"/>
      <c r="G1007" s="276"/>
      <c r="H1007" s="277"/>
      <c r="I1007" s="290"/>
      <c r="J1007" s="290"/>
      <c r="K1007" s="291"/>
      <c r="L1007" s="17"/>
      <c r="M1007" s="286"/>
      <c r="N1007" s="21"/>
      <c r="O1007" s="286"/>
      <c r="P1007" s="21"/>
      <c r="Q1007" s="286"/>
      <c r="R1007" s="248"/>
      <c r="S1007" s="287"/>
      <c r="T1007" s="248"/>
      <c r="U1007" s="13"/>
      <c r="V1007" s="282"/>
      <c r="W1007" s="283"/>
      <c r="X1007" s="284"/>
      <c r="Y1007" s="245"/>
      <c r="Z1007" s="245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BP1007" s="391"/>
      <c r="BQ1007" s="393"/>
      <c r="BS1007" s="50" t="str">
        <f>Q1996</f>
        <v/>
      </c>
      <c r="BT1007" s="50" t="e">
        <f>#REF!</f>
        <v>#REF!</v>
      </c>
      <c r="BU1007" s="39" t="str">
        <f t="shared" si="1539"/>
        <v/>
      </c>
      <c r="BV1007" s="39" t="str">
        <f t="shared" si="1532"/>
        <v/>
      </c>
    </row>
    <row r="1008" spans="1:74" ht="14.25" customHeight="1" x14ac:dyDescent="0.35">
      <c r="A1008" s="293">
        <v>496</v>
      </c>
      <c r="B1008" s="295"/>
      <c r="C1008" s="297"/>
      <c r="D1008" s="299"/>
      <c r="E1008" s="301"/>
      <c r="F1008" s="303"/>
      <c r="G1008" s="288"/>
      <c r="H1008" s="289"/>
      <c r="I1008" s="290"/>
      <c r="J1008" s="290"/>
      <c r="K1008" s="291"/>
      <c r="L1008" s="18"/>
      <c r="M1008" s="285" t="str">
        <f t="shared" ref="M1008" si="1573">IF(COUNT(L1008:L1009)&lt;1,"",AVERAGE(L1008:L1009))</f>
        <v/>
      </c>
      <c r="N1008" s="22"/>
      <c r="O1008" s="285" t="str">
        <f t="shared" ref="O1008" si="1574">IF(COUNT(N1008:N1009)&lt;1,"",AVERAGE(N1008:N1009))</f>
        <v/>
      </c>
      <c r="P1008" s="22"/>
      <c r="Q1008" s="285" t="str">
        <f t="shared" ref="Q1008" si="1575">IF(COUNT(P1008:P1009)&lt;1,"",AVERAGE(P1008:P1009))</f>
        <v/>
      </c>
      <c r="R1008" s="278" t="str">
        <f>IF($X$13="/28",IF(COUNT(P1008:P1009)&lt;=1,"",ABS(P1008-P1009)),IF($X$13="/90",IF(COUNT(#REF!)&lt;=1,"",ABS(#REF!-#REF!))))</f>
        <v/>
      </c>
      <c r="S1008" s="278" t="str">
        <f>IF($X$13="/28",IF(Q1008="","",IF(AVERAGE(Q1004:Q1009)&gt;=$W$13,ROUND(AVERAGE(Q1004:Q1009),1)&amp;" ≥ "&amp;$W$13&amp;" OK",ROUND(AVERAGE(Q1004:Q1009),1)&amp;" &lt; "&amp;$W$13&amp;" NC")),IF($X$13="/90",IF(#REF!="","",IF(AVERAGE(#REF!)&gt;=$W$13,ROUND(AVERAGE(#REF!),1)&amp;" ≥ "&amp;$W$13&amp;" OK",ROUND(AVERAGE(#REF!),1)&amp;" &lt; "&amp;$W$13&amp;" NC"))))</f>
        <v/>
      </c>
      <c r="T1008" s="278" t="str">
        <f>IF($X$13="/28",IF(Q1008="","",IF(Q1008&gt;=$W$13-$S$12,ROUND((Q1008),1)&amp;" ≥ "&amp;$W$13-$S$12&amp;" OK",ROUND((Q1008),1)&amp;" &lt; "&amp;$W$13-$S$12&amp;" NC")),IF($X$13="/90",IF(#REF!="","",IF(#REF!&gt;=$W$13-$S$12,ROUND((#REF!),1)&amp;" ≥ "&amp;$W$13-$S$12&amp;" OK",ROUND((#REF!),1)&amp;" &lt; "&amp;$W$13-$S$12&amp;" NC"))))</f>
        <v/>
      </c>
      <c r="U1008" s="14"/>
      <c r="V1008" s="279"/>
      <c r="W1008" s="280"/>
      <c r="X1008" s="281"/>
      <c r="Y1008" s="246"/>
      <c r="Z1008" s="246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BP1008" s="390" t="str">
        <f>IF($X$13="/28",IF(Q1008="","",Q1008),IF($X$13="/90",IF(#REF!="","",#REF!),"Falso"))</f>
        <v/>
      </c>
      <c r="BQ1008" s="392" t="str">
        <f t="shared" si="1490"/>
        <v/>
      </c>
    </row>
    <row r="1009" spans="1:69" ht="14.25" customHeight="1" x14ac:dyDescent="0.35">
      <c r="A1009" s="294"/>
      <c r="B1009" s="296"/>
      <c r="C1009" s="298"/>
      <c r="D1009" s="300"/>
      <c r="E1009" s="302"/>
      <c r="F1009" s="304"/>
      <c r="G1009" s="276"/>
      <c r="H1009" s="277"/>
      <c r="I1009" s="290"/>
      <c r="J1009" s="290"/>
      <c r="K1009" s="291"/>
      <c r="L1009" s="17"/>
      <c r="M1009" s="286"/>
      <c r="N1009" s="21"/>
      <c r="O1009" s="286"/>
      <c r="P1009" s="21"/>
      <c r="Q1009" s="286"/>
      <c r="R1009" s="248"/>
      <c r="S1009" s="287"/>
      <c r="T1009" s="248"/>
      <c r="U1009" s="13"/>
      <c r="V1009" s="282"/>
      <c r="W1009" s="283"/>
      <c r="X1009" s="284"/>
      <c r="Y1009" s="245"/>
      <c r="Z1009" s="245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BP1009" s="391"/>
      <c r="BQ1009" s="393"/>
    </row>
    <row r="1010" spans="1:69" ht="14.25" customHeight="1" x14ac:dyDescent="0.35">
      <c r="A1010" s="293">
        <v>497</v>
      </c>
      <c r="B1010" s="295"/>
      <c r="C1010" s="297"/>
      <c r="D1010" s="299"/>
      <c r="E1010" s="301"/>
      <c r="F1010" s="303"/>
      <c r="G1010" s="288"/>
      <c r="H1010" s="289"/>
      <c r="I1010" s="290"/>
      <c r="J1010" s="290"/>
      <c r="K1010" s="291"/>
      <c r="L1010" s="18"/>
      <c r="M1010" s="285" t="str">
        <f t="shared" ref="M1010" si="1576">IF(COUNT(L1010:L1011)&lt;1,"",AVERAGE(L1010:L1011))</f>
        <v/>
      </c>
      <c r="N1010" s="22"/>
      <c r="O1010" s="285" t="str">
        <f t="shared" ref="O1010" si="1577">IF(COUNT(N1010:N1011)&lt;1,"",AVERAGE(N1010:N1011))</f>
        <v/>
      </c>
      <c r="P1010" s="22"/>
      <c r="Q1010" s="285" t="str">
        <f t="shared" ref="Q1010" si="1578">IF(COUNT(P1010:P1011)&lt;1,"",AVERAGE(P1010:P1011))</f>
        <v/>
      </c>
      <c r="R1010" s="278" t="str">
        <f>IF($X$13="/28",IF(COUNT(P1010:P1011)&lt;=1,"",ABS(P1010-P1011)),IF($X$13="/90",IF(COUNT(#REF!)&lt;=1,"",ABS(#REF!-#REF!))))</f>
        <v/>
      </c>
      <c r="S1010" s="278" t="str">
        <f>IF($X$13="/28",IF(Q1010="","",IF(AVERAGE(Q1006:Q1011)&gt;=$W$13,ROUND(AVERAGE(Q1006:Q1011),1)&amp;" ≥ "&amp;$W$13&amp;" OK",ROUND(AVERAGE(Q1006:Q1011),1)&amp;" &lt; "&amp;$W$13&amp;" NC")),IF($X$13="/90",IF(#REF!="","",IF(AVERAGE(#REF!)&gt;=$W$13,ROUND(AVERAGE(#REF!),1)&amp;" ≥ "&amp;$W$13&amp;" OK",ROUND(AVERAGE(#REF!),1)&amp;" &lt; "&amp;$W$13&amp;" NC"))))</f>
        <v/>
      </c>
      <c r="T1010" s="278" t="str">
        <f>IF($X$13="/28",IF(Q1010="","",IF(Q1010&gt;=$W$13-$S$12,ROUND((Q1010),1)&amp;" ≥ "&amp;$W$13-$S$12&amp;" OK",ROUND((Q1010),1)&amp;" &lt; "&amp;$W$13-$S$12&amp;" NC")),IF($X$13="/90",IF(#REF!="","",IF(#REF!&gt;=$W$13-$S$12,ROUND((#REF!),1)&amp;" ≥ "&amp;$W$13-$S$12&amp;" OK",ROUND((#REF!),1)&amp;" &lt; "&amp;$W$13-$S$12&amp;" NC"))))</f>
        <v/>
      </c>
      <c r="U1010" s="14"/>
      <c r="V1010" s="279"/>
      <c r="W1010" s="280"/>
      <c r="X1010" s="281"/>
      <c r="Y1010" s="246"/>
      <c r="Z1010" s="246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BP1010" s="390" t="str">
        <f>IF($X$13="/28",IF(Q1010="","",Q1010),IF($X$13="/90",IF(#REF!="","",#REF!),"Falso"))</f>
        <v/>
      </c>
      <c r="BQ1010" s="392" t="str">
        <f t="shared" si="1494"/>
        <v/>
      </c>
    </row>
    <row r="1011" spans="1:69" ht="14.25" customHeight="1" x14ac:dyDescent="0.35">
      <c r="A1011" s="294"/>
      <c r="B1011" s="296"/>
      <c r="C1011" s="298"/>
      <c r="D1011" s="300"/>
      <c r="E1011" s="302"/>
      <c r="F1011" s="304"/>
      <c r="G1011" s="276"/>
      <c r="H1011" s="277"/>
      <c r="I1011" s="290"/>
      <c r="J1011" s="290"/>
      <c r="K1011" s="291"/>
      <c r="L1011" s="17"/>
      <c r="M1011" s="286"/>
      <c r="N1011" s="21"/>
      <c r="O1011" s="286"/>
      <c r="P1011" s="21"/>
      <c r="Q1011" s="286"/>
      <c r="R1011" s="248"/>
      <c r="S1011" s="287"/>
      <c r="T1011" s="248"/>
      <c r="U1011" s="13"/>
      <c r="V1011" s="282"/>
      <c r="W1011" s="283"/>
      <c r="X1011" s="284"/>
      <c r="Y1011" s="245"/>
      <c r="Z1011" s="245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BP1011" s="391"/>
      <c r="BQ1011" s="393"/>
    </row>
    <row r="1012" spans="1:69" ht="14.25" customHeight="1" x14ac:dyDescent="0.35">
      <c r="A1012" s="293">
        <v>498</v>
      </c>
      <c r="B1012" s="295"/>
      <c r="C1012" s="297"/>
      <c r="D1012" s="299"/>
      <c r="E1012" s="301"/>
      <c r="F1012" s="303"/>
      <c r="G1012" s="288"/>
      <c r="H1012" s="289"/>
      <c r="I1012" s="290"/>
      <c r="J1012" s="290"/>
      <c r="K1012" s="291"/>
      <c r="L1012" s="18"/>
      <c r="M1012" s="285" t="str">
        <f t="shared" ref="M1012" si="1579">IF(COUNT(L1012:L1013)&lt;1,"",AVERAGE(L1012:L1013))</f>
        <v/>
      </c>
      <c r="N1012" s="22"/>
      <c r="O1012" s="285" t="str">
        <f t="shared" ref="O1012" si="1580">IF(COUNT(N1012:N1013)&lt;1,"",AVERAGE(N1012:N1013))</f>
        <v/>
      </c>
      <c r="P1012" s="22"/>
      <c r="Q1012" s="285" t="str">
        <f t="shared" ref="Q1012" si="1581">IF(COUNT(P1012:P1013)&lt;1,"",AVERAGE(P1012:P1013))</f>
        <v/>
      </c>
      <c r="R1012" s="278" t="str">
        <f>IF($X$13="/28",IF(COUNT(P1012:P1013)&lt;=1,"",ABS(P1012-P1013)),IF($X$13="/90",IF(COUNT(#REF!)&lt;=1,"",ABS(#REF!-#REF!))))</f>
        <v/>
      </c>
      <c r="S1012" s="278" t="str">
        <f>IF($X$13="/28",IF(Q1012="","",IF(AVERAGE(Q1008:Q1013)&gt;=$W$13,ROUND(AVERAGE(Q1008:Q1013),1)&amp;" ≥ "&amp;$W$13&amp;" OK",ROUND(AVERAGE(Q1008:Q1013),1)&amp;" &lt; "&amp;$W$13&amp;" NC")),IF($X$13="/90",IF(#REF!="","",IF(AVERAGE(#REF!)&gt;=$W$13,ROUND(AVERAGE(#REF!),1)&amp;" ≥ "&amp;$W$13&amp;" OK",ROUND(AVERAGE(#REF!),1)&amp;" &lt; "&amp;$W$13&amp;" NC"))))</f>
        <v/>
      </c>
      <c r="T1012" s="278" t="str">
        <f>IF($X$13="/28",IF(Q1012="","",IF(Q1012&gt;=$W$13-$S$12,ROUND((Q1012),1)&amp;" ≥ "&amp;$W$13-$S$12&amp;" OK",ROUND((Q1012),1)&amp;" &lt; "&amp;$W$13-$S$12&amp;" NC")),IF($X$13="/90",IF(#REF!="","",IF(#REF!&gt;=$W$13-$S$12,ROUND((#REF!),1)&amp;" ≥ "&amp;$W$13-$S$12&amp;" OK",ROUND((#REF!),1)&amp;" &lt; "&amp;$W$13-$S$12&amp;" NC"))))</f>
        <v/>
      </c>
      <c r="U1012" s="14"/>
      <c r="V1012" s="279"/>
      <c r="W1012" s="280"/>
      <c r="X1012" s="281"/>
      <c r="Y1012" s="246"/>
      <c r="Z1012" s="246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BP1012" s="390" t="str">
        <f>IF($X$13="/28",IF(Q1012="","",Q1012),IF($X$13="/90",IF(#REF!="","",#REF!),"Falso"))</f>
        <v/>
      </c>
      <c r="BQ1012" s="392" t="str">
        <f t="shared" si="1498"/>
        <v/>
      </c>
    </row>
    <row r="1013" spans="1:69" ht="14.25" customHeight="1" x14ac:dyDescent="0.35">
      <c r="A1013" s="294"/>
      <c r="B1013" s="296"/>
      <c r="C1013" s="298"/>
      <c r="D1013" s="300"/>
      <c r="E1013" s="302"/>
      <c r="F1013" s="304"/>
      <c r="G1013" s="276"/>
      <c r="H1013" s="277"/>
      <c r="I1013" s="290"/>
      <c r="J1013" s="290"/>
      <c r="K1013" s="291"/>
      <c r="L1013" s="17"/>
      <c r="M1013" s="286"/>
      <c r="N1013" s="21"/>
      <c r="O1013" s="286"/>
      <c r="P1013" s="21"/>
      <c r="Q1013" s="286"/>
      <c r="R1013" s="248"/>
      <c r="S1013" s="287"/>
      <c r="T1013" s="248"/>
      <c r="U1013" s="13"/>
      <c r="V1013" s="282"/>
      <c r="W1013" s="283"/>
      <c r="X1013" s="284"/>
      <c r="Y1013" s="245"/>
      <c r="Z1013" s="245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BP1013" s="391"/>
      <c r="BQ1013" s="393"/>
    </row>
    <row r="1014" spans="1:69" ht="14.25" customHeight="1" x14ac:dyDescent="0.35">
      <c r="A1014" s="293">
        <v>499</v>
      </c>
      <c r="B1014" s="295"/>
      <c r="C1014" s="297"/>
      <c r="D1014" s="299"/>
      <c r="E1014" s="301"/>
      <c r="F1014" s="303"/>
      <c r="G1014" s="288"/>
      <c r="H1014" s="289"/>
      <c r="I1014" s="290"/>
      <c r="J1014" s="290"/>
      <c r="K1014" s="291"/>
      <c r="L1014" s="18"/>
      <c r="M1014" s="285" t="str">
        <f t="shared" ref="M1014" si="1582">IF(COUNT(L1014:L1015)&lt;1,"",AVERAGE(L1014:L1015))</f>
        <v/>
      </c>
      <c r="N1014" s="22"/>
      <c r="O1014" s="285" t="str">
        <f t="shared" ref="O1014" si="1583">IF(COUNT(N1014:N1015)&lt;1,"",AVERAGE(N1014:N1015))</f>
        <v/>
      </c>
      <c r="P1014" s="22"/>
      <c r="Q1014" s="285" t="str">
        <f t="shared" ref="Q1014" si="1584">IF(COUNT(P1014:P1015)&lt;1,"",AVERAGE(P1014:P1015))</f>
        <v/>
      </c>
      <c r="R1014" s="278" t="str">
        <f>IF($X$13="/28",IF(COUNT(P1014:P1015)&lt;=1,"",ABS(P1014-P1015)),IF($X$13="/90",IF(COUNT(#REF!)&lt;=1,"",ABS(#REF!-#REF!))))</f>
        <v/>
      </c>
      <c r="S1014" s="278" t="str">
        <f>IF($X$13="/28",IF(Q1014="","",IF(AVERAGE(Q1010:Q1015)&gt;=$W$13,ROUND(AVERAGE(Q1010:Q1015),1)&amp;" ≥ "&amp;$W$13&amp;" OK",ROUND(AVERAGE(Q1010:Q1015),1)&amp;" &lt; "&amp;$W$13&amp;" NC")),IF($X$13="/90",IF(#REF!="","",IF(AVERAGE(#REF!)&gt;=$W$13,ROUND(AVERAGE(#REF!),1)&amp;" ≥ "&amp;$W$13&amp;" OK",ROUND(AVERAGE(#REF!),1)&amp;" &lt; "&amp;$W$13&amp;" NC"))))</f>
        <v/>
      </c>
      <c r="T1014" s="278" t="str">
        <f>IF($X$13="/28",IF(Q1014="","",IF(Q1014&gt;=$W$13-$S$12,ROUND((Q1014),1)&amp;" ≥ "&amp;$W$13-$S$12&amp;" OK",ROUND((Q1014),1)&amp;" &lt; "&amp;$W$13-$S$12&amp;" NC")),IF($X$13="/90",IF(#REF!="","",IF(#REF!&gt;=$W$13-$S$12,ROUND((#REF!),1)&amp;" ≥ "&amp;$W$13-$S$12&amp;" OK",ROUND((#REF!),1)&amp;" &lt; "&amp;$W$13-$S$12&amp;" NC"))))</f>
        <v/>
      </c>
      <c r="U1014" s="14"/>
      <c r="V1014" s="279"/>
      <c r="W1014" s="280"/>
      <c r="X1014" s="281"/>
      <c r="Y1014" s="246"/>
      <c r="Z1014" s="246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BP1014" s="390" t="str">
        <f>IF($X$13="/28",IF(Q1014="","",Q1014),IF($X$13="/90",IF(#REF!="","",#REF!),"Falso"))</f>
        <v/>
      </c>
      <c r="BQ1014" s="392" t="str">
        <f t="shared" si="1490"/>
        <v/>
      </c>
    </row>
    <row r="1015" spans="1:69" ht="14.25" customHeight="1" x14ac:dyDescent="0.35">
      <c r="A1015" s="294"/>
      <c r="B1015" s="296"/>
      <c r="C1015" s="298"/>
      <c r="D1015" s="300"/>
      <c r="E1015" s="302"/>
      <c r="F1015" s="304"/>
      <c r="G1015" s="276"/>
      <c r="H1015" s="277"/>
      <c r="I1015" s="290"/>
      <c r="J1015" s="290"/>
      <c r="K1015" s="291"/>
      <c r="L1015" s="17"/>
      <c r="M1015" s="286"/>
      <c r="N1015" s="21"/>
      <c r="O1015" s="286"/>
      <c r="P1015" s="21"/>
      <c r="Q1015" s="286"/>
      <c r="R1015" s="248"/>
      <c r="S1015" s="287"/>
      <c r="T1015" s="248"/>
      <c r="U1015" s="13"/>
      <c r="V1015" s="282"/>
      <c r="W1015" s="283"/>
      <c r="X1015" s="284"/>
      <c r="Y1015" s="245"/>
      <c r="Z1015" s="245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BP1015" s="391"/>
      <c r="BQ1015" s="393"/>
    </row>
    <row r="1016" spans="1:69" ht="14.25" customHeight="1" x14ac:dyDescent="0.35">
      <c r="A1016" s="293">
        <v>500</v>
      </c>
      <c r="B1016" s="295"/>
      <c r="C1016" s="297"/>
      <c r="D1016" s="299"/>
      <c r="E1016" s="301"/>
      <c r="F1016" s="303"/>
      <c r="G1016" s="288"/>
      <c r="H1016" s="289"/>
      <c r="I1016" s="290"/>
      <c r="J1016" s="290"/>
      <c r="K1016" s="291"/>
      <c r="L1016" s="18"/>
      <c r="M1016" s="285" t="str">
        <f t="shared" ref="M1016" si="1585">IF(COUNT(L1016:L1017)&lt;1,"",AVERAGE(L1016:L1017))</f>
        <v/>
      </c>
      <c r="N1016" s="22"/>
      <c r="O1016" s="285" t="str">
        <f t="shared" ref="O1016" si="1586">IF(COUNT(N1016:N1017)&lt;1,"",AVERAGE(N1016:N1017))</f>
        <v/>
      </c>
      <c r="P1016" s="22"/>
      <c r="Q1016" s="285" t="str">
        <f t="shared" ref="Q1016" si="1587">IF(COUNT(P1016:P1017)&lt;1,"",AVERAGE(P1016:P1017))</f>
        <v/>
      </c>
      <c r="R1016" s="278" t="str">
        <f>IF($X$13="/28",IF(COUNT(P1016:P1017)&lt;=1,"",ABS(P1016-P1017)),IF($X$13="/90",IF(COUNT(#REF!)&lt;=1,"",ABS(#REF!-#REF!))))</f>
        <v/>
      </c>
      <c r="S1016" s="278" t="str">
        <f>IF($X$13="/28",IF(Q1016="","",IF(AVERAGE(Q1012:Q1017)&gt;=$W$13,ROUND(AVERAGE(Q1012:Q1017),1)&amp;" ≥ "&amp;$W$13&amp;" OK",ROUND(AVERAGE(Q1012:Q1017),1)&amp;" &lt; "&amp;$W$13&amp;" NC")),IF($X$13="/90",IF(#REF!="","",IF(AVERAGE(#REF!)&gt;=$W$13,ROUND(AVERAGE(#REF!),1)&amp;" ≥ "&amp;$W$13&amp;" OK",ROUND(AVERAGE(#REF!),1)&amp;" &lt; "&amp;$W$13&amp;" NC"))))</f>
        <v/>
      </c>
      <c r="T1016" s="278" t="str">
        <f>IF($X$13="/28",IF(Q1016="","",IF(Q1016&gt;=$W$13-$S$12,ROUND((Q1016),1)&amp;" ≥ "&amp;$W$13-$S$12&amp;" OK",ROUND((Q1016),1)&amp;" &lt; "&amp;$W$13-$S$12&amp;" NC")),IF($X$13="/90",IF(#REF!="","",IF(#REF!&gt;=$W$13-$S$12,ROUND((#REF!),1)&amp;" ≥ "&amp;$W$13-$S$12&amp;" OK",ROUND((#REF!),1)&amp;" &lt; "&amp;$W$13-$S$12&amp;" NC"))))</f>
        <v/>
      </c>
      <c r="U1016" s="14"/>
      <c r="V1016" s="279"/>
      <c r="W1016" s="280"/>
      <c r="X1016" s="281"/>
      <c r="Y1016" s="246"/>
      <c r="Z1016" s="246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BP1016" s="390" t="str">
        <f>IF($X$13="/28",IF(Q1016="","",Q1016),IF($X$13="/90",IF(#REF!="","",#REF!),"Falso"))</f>
        <v/>
      </c>
      <c r="BQ1016" s="392" t="str">
        <f t="shared" si="1494"/>
        <v/>
      </c>
    </row>
    <row r="1017" spans="1:69" ht="14.25" customHeight="1" x14ac:dyDescent="0.35">
      <c r="A1017" s="294"/>
      <c r="B1017" s="296"/>
      <c r="C1017" s="298"/>
      <c r="D1017" s="300"/>
      <c r="E1017" s="302"/>
      <c r="F1017" s="304"/>
      <c r="G1017" s="276"/>
      <c r="H1017" s="277"/>
      <c r="I1017" s="290"/>
      <c r="J1017" s="290"/>
      <c r="K1017" s="291"/>
      <c r="L1017" s="17"/>
      <c r="M1017" s="286"/>
      <c r="N1017" s="21"/>
      <c r="O1017" s="286"/>
      <c r="P1017" s="21"/>
      <c r="Q1017" s="286"/>
      <c r="R1017" s="248"/>
      <c r="S1017" s="287"/>
      <c r="T1017" s="248"/>
      <c r="U1017" s="13"/>
      <c r="V1017" s="282"/>
      <c r="W1017" s="283"/>
      <c r="X1017" s="284"/>
      <c r="Y1017" s="245"/>
      <c r="Z1017" s="245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BP1017" s="391"/>
      <c r="BQ1017" s="393"/>
    </row>
    <row r="1018" spans="1:69" ht="14.25" customHeight="1" x14ac:dyDescent="0.35">
      <c r="A1018" s="293">
        <v>501</v>
      </c>
      <c r="B1018" s="295"/>
      <c r="C1018" s="297"/>
      <c r="D1018" s="299"/>
      <c r="E1018" s="301"/>
      <c r="F1018" s="303"/>
      <c r="G1018" s="288"/>
      <c r="H1018" s="289"/>
      <c r="I1018" s="290"/>
      <c r="J1018" s="290"/>
      <c r="K1018" s="291"/>
      <c r="L1018" s="18"/>
      <c r="M1018" s="285" t="str">
        <f t="shared" ref="M1018" si="1588">IF(COUNT(L1018:L1019)&lt;1,"",AVERAGE(L1018:L1019))</f>
        <v/>
      </c>
      <c r="N1018" s="22"/>
      <c r="O1018" s="285" t="str">
        <f t="shared" ref="O1018" si="1589">IF(COUNT(N1018:N1019)&lt;1,"",AVERAGE(N1018:N1019))</f>
        <v/>
      </c>
      <c r="P1018" s="22"/>
      <c r="Q1018" s="285" t="str">
        <f t="shared" ref="Q1018" si="1590">IF(COUNT(P1018:P1019)&lt;1,"",AVERAGE(P1018:P1019))</f>
        <v/>
      </c>
      <c r="R1018" s="278" t="str">
        <f>IF($X$13="/28",IF(COUNT(P1018:P1019)&lt;=1,"",ABS(P1018-P1019)),IF($X$13="/90",IF(COUNT(#REF!)&lt;=1,"",ABS(#REF!-#REF!))))</f>
        <v/>
      </c>
      <c r="S1018" s="278" t="str">
        <f>IF($X$13="/28",IF(Q1018="","",IF(AVERAGE(Q1014:Q1019)&gt;=$W$13,ROUND(AVERAGE(Q1014:Q1019),1)&amp;" ≥ "&amp;$W$13&amp;" OK",ROUND(AVERAGE(Q1014:Q1019),1)&amp;" &lt; "&amp;$W$13&amp;" NC")),IF($X$13="/90",IF(#REF!="","",IF(AVERAGE(#REF!)&gt;=$W$13,ROUND(AVERAGE(#REF!),1)&amp;" ≥ "&amp;$W$13&amp;" OK",ROUND(AVERAGE(#REF!),1)&amp;" &lt; "&amp;$W$13&amp;" NC"))))</f>
        <v/>
      </c>
      <c r="T1018" s="278" t="str">
        <f>IF($X$13="/28",IF(Q1018="","",IF(Q1018&gt;=$W$13-$S$12,ROUND((Q1018),1)&amp;" ≥ "&amp;$W$13-$S$12&amp;" OK",ROUND((Q1018),1)&amp;" &lt; "&amp;$W$13-$S$12&amp;" NC")),IF($X$13="/90",IF(#REF!="","",IF(#REF!&gt;=$W$13-$S$12,ROUND((#REF!),1)&amp;" ≥ "&amp;$W$13-$S$12&amp;" OK",ROUND((#REF!),1)&amp;" &lt; "&amp;$W$13-$S$12&amp;" NC"))))</f>
        <v/>
      </c>
      <c r="U1018" s="14"/>
      <c r="V1018" s="279"/>
      <c r="W1018" s="280"/>
      <c r="X1018" s="281"/>
      <c r="Y1018" s="246"/>
      <c r="Z1018" s="246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BP1018" s="390" t="str">
        <f>IF($X$13="/28",IF(Q1018="","",Q1018),IF($X$13="/90",IF(#REF!="","",#REF!),"Falso"))</f>
        <v/>
      </c>
      <c r="BQ1018" s="392" t="str">
        <f t="shared" si="1498"/>
        <v/>
      </c>
    </row>
    <row r="1019" spans="1:69" ht="14.25" customHeight="1" x14ac:dyDescent="0.35">
      <c r="A1019" s="294"/>
      <c r="B1019" s="296"/>
      <c r="C1019" s="298"/>
      <c r="D1019" s="300"/>
      <c r="E1019" s="302"/>
      <c r="F1019" s="304"/>
      <c r="G1019" s="276"/>
      <c r="H1019" s="277"/>
      <c r="I1019" s="290"/>
      <c r="J1019" s="290"/>
      <c r="K1019" s="291"/>
      <c r="L1019" s="17"/>
      <c r="M1019" s="286"/>
      <c r="N1019" s="21"/>
      <c r="O1019" s="286"/>
      <c r="P1019" s="21"/>
      <c r="Q1019" s="286"/>
      <c r="R1019" s="248"/>
      <c r="S1019" s="287"/>
      <c r="T1019" s="248"/>
      <c r="U1019" s="13"/>
      <c r="V1019" s="282"/>
      <c r="W1019" s="283"/>
      <c r="X1019" s="284"/>
      <c r="Y1019" s="245"/>
      <c r="Z1019" s="245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BP1019" s="391"/>
      <c r="BQ1019" s="393"/>
    </row>
    <row r="1020" spans="1:69" ht="14.25" customHeight="1" x14ac:dyDescent="0.35">
      <c r="A1020" s="293">
        <v>502</v>
      </c>
      <c r="B1020" s="295"/>
      <c r="C1020" s="297"/>
      <c r="D1020" s="299"/>
      <c r="E1020" s="301"/>
      <c r="F1020" s="303"/>
      <c r="G1020" s="288"/>
      <c r="H1020" s="289"/>
      <c r="I1020" s="290"/>
      <c r="J1020" s="290"/>
      <c r="K1020" s="291"/>
      <c r="L1020" s="18"/>
      <c r="M1020" s="285" t="str">
        <f t="shared" ref="M1020" si="1591">IF(COUNT(L1020:L1021)&lt;1,"",AVERAGE(L1020:L1021))</f>
        <v/>
      </c>
      <c r="N1020" s="22"/>
      <c r="O1020" s="285" t="str">
        <f t="shared" ref="O1020" si="1592">IF(COUNT(N1020:N1021)&lt;1,"",AVERAGE(N1020:N1021))</f>
        <v/>
      </c>
      <c r="P1020" s="22"/>
      <c r="Q1020" s="285" t="str">
        <f t="shared" ref="Q1020" si="1593">IF(COUNT(P1020:P1021)&lt;1,"",AVERAGE(P1020:P1021))</f>
        <v/>
      </c>
      <c r="R1020" s="278" t="str">
        <f>IF($X$13="/28",IF(COUNT(P1020:P1021)&lt;=1,"",ABS(P1020-P1021)),IF($X$13="/90",IF(COUNT(#REF!)&lt;=1,"",ABS(#REF!-#REF!))))</f>
        <v/>
      </c>
      <c r="S1020" s="278" t="str">
        <f>IF($X$13="/28",IF(Q1020="","",IF(AVERAGE(Q1016:Q1021)&gt;=$W$13,ROUND(AVERAGE(Q1016:Q1021),1)&amp;" ≥ "&amp;$W$13&amp;" OK",ROUND(AVERAGE(Q1016:Q1021),1)&amp;" &lt; "&amp;$W$13&amp;" NC")),IF($X$13="/90",IF(#REF!="","",IF(AVERAGE(#REF!)&gt;=$W$13,ROUND(AVERAGE(#REF!),1)&amp;" ≥ "&amp;$W$13&amp;" OK",ROUND(AVERAGE(#REF!),1)&amp;" &lt; "&amp;$W$13&amp;" NC"))))</f>
        <v/>
      </c>
      <c r="T1020" s="278" t="str">
        <f>IF($X$13="/28",IF(Q1020="","",IF(Q1020&gt;=$W$13-$S$12,ROUND((Q1020),1)&amp;" ≥ "&amp;$W$13-$S$12&amp;" OK",ROUND((Q1020),1)&amp;" &lt; "&amp;$W$13-$S$12&amp;" NC")),IF($X$13="/90",IF(#REF!="","",IF(#REF!&gt;=$W$13-$S$12,ROUND((#REF!),1)&amp;" ≥ "&amp;$W$13-$S$12&amp;" OK",ROUND((#REF!),1)&amp;" &lt; "&amp;$W$13-$S$12&amp;" NC"))))</f>
        <v/>
      </c>
      <c r="U1020" s="14"/>
      <c r="V1020" s="279"/>
      <c r="W1020" s="280"/>
      <c r="X1020" s="281"/>
      <c r="Y1020" s="246"/>
      <c r="Z1020" s="246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BP1020" s="390" t="str">
        <f>IF($X$13="/28",IF(Q1020="","",Q1020),IF($X$13="/90",IF(#REF!="","",#REF!),"Falso"))</f>
        <v/>
      </c>
      <c r="BQ1020" s="392" t="str">
        <f t="shared" ref="BQ1020:BQ1080" si="1594">IF(BP1020="","",BQ1018+1)</f>
        <v/>
      </c>
    </row>
    <row r="1021" spans="1:69" ht="14.25" customHeight="1" x14ac:dyDescent="0.35">
      <c r="A1021" s="294"/>
      <c r="B1021" s="296"/>
      <c r="C1021" s="298"/>
      <c r="D1021" s="300"/>
      <c r="E1021" s="302"/>
      <c r="F1021" s="304"/>
      <c r="G1021" s="276"/>
      <c r="H1021" s="277"/>
      <c r="I1021" s="290"/>
      <c r="J1021" s="290"/>
      <c r="K1021" s="291"/>
      <c r="L1021" s="17"/>
      <c r="M1021" s="286"/>
      <c r="N1021" s="21"/>
      <c r="O1021" s="286"/>
      <c r="P1021" s="21"/>
      <c r="Q1021" s="286"/>
      <c r="R1021" s="248"/>
      <c r="S1021" s="287"/>
      <c r="T1021" s="248"/>
      <c r="U1021" s="13"/>
      <c r="V1021" s="282"/>
      <c r="W1021" s="283"/>
      <c r="X1021" s="284"/>
      <c r="Y1021" s="245"/>
      <c r="Z1021" s="245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BP1021" s="391"/>
      <c r="BQ1021" s="393"/>
    </row>
    <row r="1022" spans="1:69" ht="14.25" customHeight="1" x14ac:dyDescent="0.35">
      <c r="A1022" s="293">
        <v>503</v>
      </c>
      <c r="B1022" s="295"/>
      <c r="C1022" s="297"/>
      <c r="D1022" s="299"/>
      <c r="E1022" s="301"/>
      <c r="F1022" s="303"/>
      <c r="G1022" s="288"/>
      <c r="H1022" s="289"/>
      <c r="I1022" s="290"/>
      <c r="J1022" s="290"/>
      <c r="K1022" s="291"/>
      <c r="L1022" s="18"/>
      <c r="M1022" s="285" t="str">
        <f t="shared" ref="M1022" si="1595">IF(COUNT(L1022:L1023)&lt;1,"",AVERAGE(L1022:L1023))</f>
        <v/>
      </c>
      <c r="N1022" s="22"/>
      <c r="O1022" s="285" t="str">
        <f t="shared" ref="O1022" si="1596">IF(COUNT(N1022:N1023)&lt;1,"",AVERAGE(N1022:N1023))</f>
        <v/>
      </c>
      <c r="P1022" s="22"/>
      <c r="Q1022" s="285" t="str">
        <f t="shared" ref="Q1022" si="1597">IF(COUNT(P1022:P1023)&lt;1,"",AVERAGE(P1022:P1023))</f>
        <v/>
      </c>
      <c r="R1022" s="278" t="str">
        <f>IF($X$13="/28",IF(COUNT(P1022:P1023)&lt;=1,"",ABS(P1022-P1023)),IF($X$13="/90",IF(COUNT(#REF!)&lt;=1,"",ABS(#REF!-#REF!))))</f>
        <v/>
      </c>
      <c r="S1022" s="278" t="str">
        <f>IF($X$13="/28",IF(Q1022="","",IF(AVERAGE(Q1018:Q1023)&gt;=$W$13,ROUND(AVERAGE(Q1018:Q1023),1)&amp;" ≥ "&amp;$W$13&amp;" OK",ROUND(AVERAGE(Q1018:Q1023),1)&amp;" &lt; "&amp;$W$13&amp;" NC")),IF($X$13="/90",IF(#REF!="","",IF(AVERAGE(#REF!)&gt;=$W$13,ROUND(AVERAGE(#REF!),1)&amp;" ≥ "&amp;$W$13&amp;" OK",ROUND(AVERAGE(#REF!),1)&amp;" &lt; "&amp;$W$13&amp;" NC"))))</f>
        <v/>
      </c>
      <c r="T1022" s="278" t="str">
        <f>IF($X$13="/28",IF(Q1022="","",IF(Q1022&gt;=$W$13-$S$12,ROUND((Q1022),1)&amp;" ≥ "&amp;$W$13-$S$12&amp;" OK",ROUND((Q1022),1)&amp;" &lt; "&amp;$W$13-$S$12&amp;" NC")),IF($X$13="/90",IF(#REF!="","",IF(#REF!&gt;=$W$13-$S$12,ROUND((#REF!),1)&amp;" ≥ "&amp;$W$13-$S$12&amp;" OK",ROUND((#REF!),1)&amp;" &lt; "&amp;$W$13-$S$12&amp;" NC"))))</f>
        <v/>
      </c>
      <c r="U1022" s="14"/>
      <c r="V1022" s="279"/>
      <c r="W1022" s="280"/>
      <c r="X1022" s="281"/>
      <c r="Y1022" s="246"/>
      <c r="Z1022" s="246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BP1022" s="390" t="str">
        <f>IF($X$13="/28",IF(Q1022="","",Q1022),IF($X$13="/90",IF(#REF!="","",#REF!),"Falso"))</f>
        <v/>
      </c>
      <c r="BQ1022" s="392" t="str">
        <f t="shared" ref="BQ1022:BQ1082" si="1598">IF(BP1022="","",BQ1020+1)</f>
        <v/>
      </c>
    </row>
    <row r="1023" spans="1:69" ht="14.25" customHeight="1" x14ac:dyDescent="0.35">
      <c r="A1023" s="294"/>
      <c r="B1023" s="296"/>
      <c r="C1023" s="298"/>
      <c r="D1023" s="300"/>
      <c r="E1023" s="302"/>
      <c r="F1023" s="304"/>
      <c r="G1023" s="276"/>
      <c r="H1023" s="277"/>
      <c r="I1023" s="290"/>
      <c r="J1023" s="290"/>
      <c r="K1023" s="291"/>
      <c r="L1023" s="17"/>
      <c r="M1023" s="286"/>
      <c r="N1023" s="21"/>
      <c r="O1023" s="286"/>
      <c r="P1023" s="21"/>
      <c r="Q1023" s="286"/>
      <c r="R1023" s="248"/>
      <c r="S1023" s="287"/>
      <c r="T1023" s="248"/>
      <c r="U1023" s="13"/>
      <c r="V1023" s="282"/>
      <c r="W1023" s="283"/>
      <c r="X1023" s="284"/>
      <c r="Y1023" s="245"/>
      <c r="Z1023" s="245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BP1023" s="391"/>
      <c r="BQ1023" s="393"/>
    </row>
    <row r="1024" spans="1:69" ht="14.25" customHeight="1" x14ac:dyDescent="0.35">
      <c r="A1024" s="293">
        <v>504</v>
      </c>
      <c r="B1024" s="295"/>
      <c r="C1024" s="297"/>
      <c r="D1024" s="299"/>
      <c r="E1024" s="301"/>
      <c r="F1024" s="303"/>
      <c r="G1024" s="288"/>
      <c r="H1024" s="289"/>
      <c r="I1024" s="290"/>
      <c r="J1024" s="290"/>
      <c r="K1024" s="291"/>
      <c r="L1024" s="18"/>
      <c r="M1024" s="285" t="str">
        <f t="shared" ref="M1024" si="1599">IF(COUNT(L1024:L1025)&lt;1,"",AVERAGE(L1024:L1025))</f>
        <v/>
      </c>
      <c r="N1024" s="22"/>
      <c r="O1024" s="285" t="str">
        <f t="shared" ref="O1024" si="1600">IF(COUNT(N1024:N1025)&lt;1,"",AVERAGE(N1024:N1025))</f>
        <v/>
      </c>
      <c r="P1024" s="22"/>
      <c r="Q1024" s="285" t="str">
        <f t="shared" ref="Q1024" si="1601">IF(COUNT(P1024:P1025)&lt;1,"",AVERAGE(P1024:P1025))</f>
        <v/>
      </c>
      <c r="R1024" s="278" t="str">
        <f>IF($X$13="/28",IF(COUNT(P1024:P1025)&lt;=1,"",ABS(P1024-P1025)),IF($X$13="/90",IF(COUNT(#REF!)&lt;=1,"",ABS(#REF!-#REF!))))</f>
        <v/>
      </c>
      <c r="S1024" s="278" t="str">
        <f>IF($X$13="/28",IF(Q1024="","",IF(AVERAGE(Q1020:Q1025)&gt;=$W$13,ROUND(AVERAGE(Q1020:Q1025),1)&amp;" ≥ "&amp;$W$13&amp;" OK",ROUND(AVERAGE(Q1020:Q1025),1)&amp;" &lt; "&amp;$W$13&amp;" NC")),IF($X$13="/90",IF(#REF!="","",IF(AVERAGE(#REF!)&gt;=$W$13,ROUND(AVERAGE(#REF!),1)&amp;" ≥ "&amp;$W$13&amp;" OK",ROUND(AVERAGE(#REF!),1)&amp;" &lt; "&amp;$W$13&amp;" NC"))))</f>
        <v/>
      </c>
      <c r="T1024" s="278" t="str">
        <f>IF($X$13="/28",IF(Q1024="","",IF(Q1024&gt;=$W$13-$S$12,ROUND((Q1024),1)&amp;" ≥ "&amp;$W$13-$S$12&amp;" OK",ROUND((Q1024),1)&amp;" &lt; "&amp;$W$13-$S$12&amp;" NC")),IF($X$13="/90",IF(#REF!="","",IF(#REF!&gt;=$W$13-$S$12,ROUND((#REF!),1)&amp;" ≥ "&amp;$W$13-$S$12&amp;" OK",ROUND((#REF!),1)&amp;" &lt; "&amp;$W$13-$S$12&amp;" NC"))))</f>
        <v/>
      </c>
      <c r="U1024" s="14"/>
      <c r="V1024" s="279"/>
      <c r="W1024" s="280"/>
      <c r="X1024" s="281"/>
      <c r="Y1024" s="246"/>
      <c r="Z1024" s="246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BP1024" s="390" t="str">
        <f>IF($X$13="/28",IF(Q1024="","",Q1024),IF($X$13="/90",IF(#REF!="","",#REF!),"Falso"))</f>
        <v/>
      </c>
      <c r="BQ1024" s="392" t="str">
        <f t="shared" ref="BQ1024:BQ1084" si="1602">IF(BP1024="","",BQ1022+1)</f>
        <v/>
      </c>
    </row>
    <row r="1025" spans="1:69" ht="14.25" customHeight="1" x14ac:dyDescent="0.35">
      <c r="A1025" s="294"/>
      <c r="B1025" s="296"/>
      <c r="C1025" s="298"/>
      <c r="D1025" s="300"/>
      <c r="E1025" s="302"/>
      <c r="F1025" s="304"/>
      <c r="G1025" s="276"/>
      <c r="H1025" s="277"/>
      <c r="I1025" s="290"/>
      <c r="J1025" s="290"/>
      <c r="K1025" s="291"/>
      <c r="L1025" s="17"/>
      <c r="M1025" s="286"/>
      <c r="N1025" s="21"/>
      <c r="O1025" s="286"/>
      <c r="P1025" s="21"/>
      <c r="Q1025" s="286"/>
      <c r="R1025" s="248"/>
      <c r="S1025" s="287"/>
      <c r="T1025" s="248"/>
      <c r="U1025" s="13"/>
      <c r="V1025" s="282"/>
      <c r="W1025" s="283"/>
      <c r="X1025" s="284"/>
      <c r="Y1025" s="245"/>
      <c r="Z1025" s="245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BP1025" s="391"/>
      <c r="BQ1025" s="393"/>
    </row>
    <row r="1026" spans="1:69" ht="14.25" customHeight="1" x14ac:dyDescent="0.35">
      <c r="A1026" s="293">
        <v>505</v>
      </c>
      <c r="B1026" s="295"/>
      <c r="C1026" s="297"/>
      <c r="D1026" s="299"/>
      <c r="E1026" s="301"/>
      <c r="F1026" s="303"/>
      <c r="G1026" s="288"/>
      <c r="H1026" s="289"/>
      <c r="I1026" s="290"/>
      <c r="J1026" s="290"/>
      <c r="K1026" s="291"/>
      <c r="L1026" s="18"/>
      <c r="M1026" s="285" t="str">
        <f t="shared" ref="M1026" si="1603">IF(COUNT(L1026:L1027)&lt;1,"",AVERAGE(L1026:L1027))</f>
        <v/>
      </c>
      <c r="N1026" s="22"/>
      <c r="O1026" s="285" t="str">
        <f t="shared" ref="O1026" si="1604">IF(COUNT(N1026:N1027)&lt;1,"",AVERAGE(N1026:N1027))</f>
        <v/>
      </c>
      <c r="P1026" s="22"/>
      <c r="Q1026" s="285" t="str">
        <f t="shared" ref="Q1026" si="1605">IF(COUNT(P1026:P1027)&lt;1,"",AVERAGE(P1026:P1027))</f>
        <v/>
      </c>
      <c r="R1026" s="278" t="str">
        <f>IF($X$13="/28",IF(COUNT(P1026:P1027)&lt;=1,"",ABS(P1026-P1027)),IF($X$13="/90",IF(COUNT(#REF!)&lt;=1,"",ABS(#REF!-#REF!))))</f>
        <v/>
      </c>
      <c r="S1026" s="278" t="str">
        <f>IF($X$13="/28",IF(Q1026="","",IF(AVERAGE(Q1022:Q1027)&gt;=$W$13,ROUND(AVERAGE(Q1022:Q1027),1)&amp;" ≥ "&amp;$W$13&amp;" OK",ROUND(AVERAGE(Q1022:Q1027),1)&amp;" &lt; "&amp;$W$13&amp;" NC")),IF($X$13="/90",IF(#REF!="","",IF(AVERAGE(#REF!)&gt;=$W$13,ROUND(AVERAGE(#REF!),1)&amp;" ≥ "&amp;$W$13&amp;" OK",ROUND(AVERAGE(#REF!),1)&amp;" &lt; "&amp;$W$13&amp;" NC"))))</f>
        <v/>
      </c>
      <c r="T1026" s="278" t="str">
        <f>IF($X$13="/28",IF(Q1026="","",IF(Q1026&gt;=$W$13-$S$12,ROUND((Q1026),1)&amp;" ≥ "&amp;$W$13-$S$12&amp;" OK",ROUND((Q1026),1)&amp;" &lt; "&amp;$W$13-$S$12&amp;" NC")),IF($X$13="/90",IF(#REF!="","",IF(#REF!&gt;=$W$13-$S$12,ROUND((#REF!),1)&amp;" ≥ "&amp;$W$13-$S$12&amp;" OK",ROUND((#REF!),1)&amp;" &lt; "&amp;$W$13-$S$12&amp;" NC"))))</f>
        <v/>
      </c>
      <c r="U1026" s="14"/>
      <c r="V1026" s="279"/>
      <c r="W1026" s="280"/>
      <c r="X1026" s="281"/>
      <c r="Y1026" s="246"/>
      <c r="Z1026" s="246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BP1026" s="390" t="str">
        <f>IF($X$13="/28",IF(Q1026="","",Q1026),IF($X$13="/90",IF(#REF!="","",#REF!),"Falso"))</f>
        <v/>
      </c>
      <c r="BQ1026" s="392" t="str">
        <f t="shared" si="1594"/>
        <v/>
      </c>
    </row>
    <row r="1027" spans="1:69" ht="14.25" customHeight="1" x14ac:dyDescent="0.35">
      <c r="A1027" s="294"/>
      <c r="B1027" s="296"/>
      <c r="C1027" s="298"/>
      <c r="D1027" s="300"/>
      <c r="E1027" s="302"/>
      <c r="F1027" s="304"/>
      <c r="G1027" s="276"/>
      <c r="H1027" s="277"/>
      <c r="I1027" s="290"/>
      <c r="J1027" s="290"/>
      <c r="K1027" s="291"/>
      <c r="L1027" s="17"/>
      <c r="M1027" s="286"/>
      <c r="N1027" s="21"/>
      <c r="O1027" s="286"/>
      <c r="P1027" s="21"/>
      <c r="Q1027" s="286"/>
      <c r="R1027" s="248"/>
      <c r="S1027" s="287"/>
      <c r="T1027" s="248"/>
      <c r="U1027" s="13"/>
      <c r="V1027" s="282"/>
      <c r="W1027" s="283"/>
      <c r="X1027" s="284"/>
      <c r="Y1027" s="245"/>
      <c r="Z1027" s="245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BP1027" s="391"/>
      <c r="BQ1027" s="393"/>
    </row>
    <row r="1028" spans="1:69" ht="14.25" customHeight="1" x14ac:dyDescent="0.35">
      <c r="A1028" s="293">
        <v>506</v>
      </c>
      <c r="B1028" s="295"/>
      <c r="C1028" s="297"/>
      <c r="D1028" s="299"/>
      <c r="E1028" s="301"/>
      <c r="F1028" s="303"/>
      <c r="G1028" s="288"/>
      <c r="H1028" s="289"/>
      <c r="I1028" s="290"/>
      <c r="J1028" s="290"/>
      <c r="K1028" s="291"/>
      <c r="L1028" s="18"/>
      <c r="M1028" s="285" t="str">
        <f t="shared" ref="M1028" si="1606">IF(COUNT(L1028:L1029)&lt;1,"",AVERAGE(L1028:L1029))</f>
        <v/>
      </c>
      <c r="N1028" s="22"/>
      <c r="O1028" s="285" t="str">
        <f t="shared" ref="O1028" si="1607">IF(COUNT(N1028:N1029)&lt;1,"",AVERAGE(N1028:N1029))</f>
        <v/>
      </c>
      <c r="P1028" s="22"/>
      <c r="Q1028" s="285" t="str">
        <f t="shared" ref="Q1028" si="1608">IF(COUNT(P1028:P1029)&lt;1,"",AVERAGE(P1028:P1029))</f>
        <v/>
      </c>
      <c r="R1028" s="278" t="str">
        <f>IF($X$13="/28",IF(COUNT(P1028:P1029)&lt;=1,"",ABS(P1028-P1029)),IF($X$13="/90",IF(COUNT(#REF!)&lt;=1,"",ABS(#REF!-#REF!))))</f>
        <v/>
      </c>
      <c r="S1028" s="278" t="str">
        <f>IF($X$13="/28",IF(Q1028="","",IF(AVERAGE(Q1024:Q1029)&gt;=$W$13,ROUND(AVERAGE(Q1024:Q1029),1)&amp;" ≥ "&amp;$W$13&amp;" OK",ROUND(AVERAGE(Q1024:Q1029),1)&amp;" &lt; "&amp;$W$13&amp;" NC")),IF($X$13="/90",IF(#REF!="","",IF(AVERAGE(#REF!)&gt;=$W$13,ROUND(AVERAGE(#REF!),1)&amp;" ≥ "&amp;$W$13&amp;" OK",ROUND(AVERAGE(#REF!),1)&amp;" &lt; "&amp;$W$13&amp;" NC"))))</f>
        <v/>
      </c>
      <c r="T1028" s="278" t="str">
        <f>IF($X$13="/28",IF(Q1028="","",IF(Q1028&gt;=$W$13-$S$12,ROUND((Q1028),1)&amp;" ≥ "&amp;$W$13-$S$12&amp;" OK",ROUND((Q1028),1)&amp;" &lt; "&amp;$W$13-$S$12&amp;" NC")),IF($X$13="/90",IF(#REF!="","",IF(#REF!&gt;=$W$13-$S$12,ROUND((#REF!),1)&amp;" ≥ "&amp;$W$13-$S$12&amp;" OK",ROUND((#REF!),1)&amp;" &lt; "&amp;$W$13-$S$12&amp;" NC"))))</f>
        <v/>
      </c>
      <c r="U1028" s="14"/>
      <c r="V1028" s="279"/>
      <c r="W1028" s="280"/>
      <c r="X1028" s="281"/>
      <c r="Y1028" s="246"/>
      <c r="Z1028" s="246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BP1028" s="390" t="str">
        <f>IF($X$13="/28",IF(Q1028="","",Q1028),IF($X$13="/90",IF(#REF!="","",#REF!),"Falso"))</f>
        <v/>
      </c>
      <c r="BQ1028" s="392" t="str">
        <f t="shared" si="1598"/>
        <v/>
      </c>
    </row>
    <row r="1029" spans="1:69" ht="14.25" customHeight="1" x14ac:dyDescent="0.35">
      <c r="A1029" s="294"/>
      <c r="B1029" s="296"/>
      <c r="C1029" s="298"/>
      <c r="D1029" s="300"/>
      <c r="E1029" s="302"/>
      <c r="F1029" s="304"/>
      <c r="G1029" s="276"/>
      <c r="H1029" s="277"/>
      <c r="I1029" s="290"/>
      <c r="J1029" s="290"/>
      <c r="K1029" s="291"/>
      <c r="L1029" s="17"/>
      <c r="M1029" s="286"/>
      <c r="N1029" s="21"/>
      <c r="O1029" s="286"/>
      <c r="P1029" s="21"/>
      <c r="Q1029" s="286"/>
      <c r="R1029" s="248"/>
      <c r="S1029" s="287"/>
      <c r="T1029" s="248"/>
      <c r="U1029" s="13"/>
      <c r="V1029" s="282"/>
      <c r="W1029" s="283"/>
      <c r="X1029" s="284"/>
      <c r="Y1029" s="245"/>
      <c r="Z1029" s="245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BP1029" s="391"/>
      <c r="BQ1029" s="393"/>
    </row>
    <row r="1030" spans="1:69" ht="14.25" customHeight="1" x14ac:dyDescent="0.35">
      <c r="A1030" s="293">
        <v>507</v>
      </c>
      <c r="B1030" s="295"/>
      <c r="C1030" s="297"/>
      <c r="D1030" s="299"/>
      <c r="E1030" s="301"/>
      <c r="F1030" s="303"/>
      <c r="G1030" s="288"/>
      <c r="H1030" s="289"/>
      <c r="I1030" s="290"/>
      <c r="J1030" s="290"/>
      <c r="K1030" s="291"/>
      <c r="L1030" s="18"/>
      <c r="M1030" s="285" t="str">
        <f t="shared" ref="M1030" si="1609">IF(COUNT(L1030:L1031)&lt;1,"",AVERAGE(L1030:L1031))</f>
        <v/>
      </c>
      <c r="N1030" s="22"/>
      <c r="O1030" s="285" t="str">
        <f t="shared" ref="O1030" si="1610">IF(COUNT(N1030:N1031)&lt;1,"",AVERAGE(N1030:N1031))</f>
        <v/>
      </c>
      <c r="P1030" s="22"/>
      <c r="Q1030" s="285" t="str">
        <f t="shared" ref="Q1030" si="1611">IF(COUNT(P1030:P1031)&lt;1,"",AVERAGE(P1030:P1031))</f>
        <v/>
      </c>
      <c r="R1030" s="278" t="str">
        <f>IF($X$13="/28",IF(COUNT(P1030:P1031)&lt;=1,"",ABS(P1030-P1031)),IF($X$13="/90",IF(COUNT(#REF!)&lt;=1,"",ABS(#REF!-#REF!))))</f>
        <v/>
      </c>
      <c r="S1030" s="278" t="str">
        <f>IF($X$13="/28",IF(Q1030="","",IF(AVERAGE(Q1026:Q1031)&gt;=$W$13,ROUND(AVERAGE(Q1026:Q1031),1)&amp;" ≥ "&amp;$W$13&amp;" OK",ROUND(AVERAGE(Q1026:Q1031),1)&amp;" &lt; "&amp;$W$13&amp;" NC")),IF($X$13="/90",IF(#REF!="","",IF(AVERAGE(#REF!)&gt;=$W$13,ROUND(AVERAGE(#REF!),1)&amp;" ≥ "&amp;$W$13&amp;" OK",ROUND(AVERAGE(#REF!),1)&amp;" &lt; "&amp;$W$13&amp;" NC"))))</f>
        <v/>
      </c>
      <c r="T1030" s="278" t="str">
        <f>IF($X$13="/28",IF(Q1030="","",IF(Q1030&gt;=$W$13-$S$12,ROUND((Q1030),1)&amp;" ≥ "&amp;$W$13-$S$12&amp;" OK",ROUND((Q1030),1)&amp;" &lt; "&amp;$W$13-$S$12&amp;" NC")),IF($X$13="/90",IF(#REF!="","",IF(#REF!&gt;=$W$13-$S$12,ROUND((#REF!),1)&amp;" ≥ "&amp;$W$13-$S$12&amp;" OK",ROUND((#REF!),1)&amp;" &lt; "&amp;$W$13-$S$12&amp;" NC"))))</f>
        <v/>
      </c>
      <c r="U1030" s="14"/>
      <c r="V1030" s="279"/>
      <c r="W1030" s="280"/>
      <c r="X1030" s="281"/>
      <c r="Y1030" s="246"/>
      <c r="Z1030" s="246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BP1030" s="390" t="str">
        <f>IF($X$13="/28",IF(Q1030="","",Q1030),IF($X$13="/90",IF(#REF!="","",#REF!),"Falso"))</f>
        <v/>
      </c>
      <c r="BQ1030" s="392" t="str">
        <f t="shared" si="1602"/>
        <v/>
      </c>
    </row>
    <row r="1031" spans="1:69" ht="14.25" customHeight="1" x14ac:dyDescent="0.35">
      <c r="A1031" s="294"/>
      <c r="B1031" s="296"/>
      <c r="C1031" s="298"/>
      <c r="D1031" s="300"/>
      <c r="E1031" s="302"/>
      <c r="F1031" s="304"/>
      <c r="G1031" s="276"/>
      <c r="H1031" s="277"/>
      <c r="I1031" s="290"/>
      <c r="J1031" s="290"/>
      <c r="K1031" s="291"/>
      <c r="L1031" s="17"/>
      <c r="M1031" s="286"/>
      <c r="N1031" s="21"/>
      <c r="O1031" s="286"/>
      <c r="P1031" s="21"/>
      <c r="Q1031" s="286"/>
      <c r="R1031" s="248"/>
      <c r="S1031" s="287"/>
      <c r="T1031" s="248"/>
      <c r="U1031" s="13"/>
      <c r="V1031" s="282"/>
      <c r="W1031" s="283"/>
      <c r="X1031" s="284"/>
      <c r="Y1031" s="245"/>
      <c r="Z1031" s="245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BP1031" s="391"/>
      <c r="BQ1031" s="393"/>
    </row>
    <row r="1032" spans="1:69" ht="14.25" customHeight="1" x14ac:dyDescent="0.35">
      <c r="A1032" s="293">
        <v>508</v>
      </c>
      <c r="B1032" s="295"/>
      <c r="C1032" s="297"/>
      <c r="D1032" s="299"/>
      <c r="E1032" s="301"/>
      <c r="F1032" s="303"/>
      <c r="G1032" s="288"/>
      <c r="H1032" s="289"/>
      <c r="I1032" s="290"/>
      <c r="J1032" s="290"/>
      <c r="K1032" s="291"/>
      <c r="L1032" s="18"/>
      <c r="M1032" s="285" t="str">
        <f t="shared" ref="M1032" si="1612">IF(COUNT(L1032:L1033)&lt;1,"",AVERAGE(L1032:L1033))</f>
        <v/>
      </c>
      <c r="N1032" s="22"/>
      <c r="O1032" s="285" t="str">
        <f t="shared" ref="O1032" si="1613">IF(COUNT(N1032:N1033)&lt;1,"",AVERAGE(N1032:N1033))</f>
        <v/>
      </c>
      <c r="P1032" s="22"/>
      <c r="Q1032" s="285" t="str">
        <f t="shared" ref="Q1032" si="1614">IF(COUNT(P1032:P1033)&lt;1,"",AVERAGE(P1032:P1033))</f>
        <v/>
      </c>
      <c r="R1032" s="278" t="str">
        <f>IF($X$13="/28",IF(COUNT(P1032:P1033)&lt;=1,"",ABS(P1032-P1033)),IF($X$13="/90",IF(COUNT(#REF!)&lt;=1,"",ABS(#REF!-#REF!))))</f>
        <v/>
      </c>
      <c r="S1032" s="278" t="str">
        <f>IF($X$13="/28",IF(Q1032="","",IF(AVERAGE(Q1028:Q1033)&gt;=$W$13,ROUND(AVERAGE(Q1028:Q1033),1)&amp;" ≥ "&amp;$W$13&amp;" OK",ROUND(AVERAGE(Q1028:Q1033),1)&amp;" &lt; "&amp;$W$13&amp;" NC")),IF($X$13="/90",IF(#REF!="","",IF(AVERAGE(#REF!)&gt;=$W$13,ROUND(AVERAGE(#REF!),1)&amp;" ≥ "&amp;$W$13&amp;" OK",ROUND(AVERAGE(#REF!),1)&amp;" &lt; "&amp;$W$13&amp;" NC"))))</f>
        <v/>
      </c>
      <c r="T1032" s="278" t="str">
        <f>IF($X$13="/28",IF(Q1032="","",IF(Q1032&gt;=$W$13-$S$12,ROUND((Q1032),1)&amp;" ≥ "&amp;$W$13-$S$12&amp;" OK",ROUND((Q1032),1)&amp;" &lt; "&amp;$W$13-$S$12&amp;" NC")),IF($X$13="/90",IF(#REF!="","",IF(#REF!&gt;=$W$13-$S$12,ROUND((#REF!),1)&amp;" ≥ "&amp;$W$13-$S$12&amp;" OK",ROUND((#REF!),1)&amp;" &lt; "&amp;$W$13-$S$12&amp;" NC"))))</f>
        <v/>
      </c>
      <c r="U1032" s="14"/>
      <c r="V1032" s="279"/>
      <c r="W1032" s="280"/>
      <c r="X1032" s="281"/>
      <c r="Y1032" s="246"/>
      <c r="Z1032" s="246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BP1032" s="390" t="str">
        <f>IF($X$13="/28",IF(Q1032="","",Q1032),IF($X$13="/90",IF(#REF!="","",#REF!),"Falso"))</f>
        <v/>
      </c>
      <c r="BQ1032" s="392" t="str">
        <f t="shared" si="1594"/>
        <v/>
      </c>
    </row>
    <row r="1033" spans="1:69" ht="14.25" customHeight="1" x14ac:dyDescent="0.35">
      <c r="A1033" s="294"/>
      <c r="B1033" s="296"/>
      <c r="C1033" s="298"/>
      <c r="D1033" s="300"/>
      <c r="E1033" s="302"/>
      <c r="F1033" s="304"/>
      <c r="G1033" s="276"/>
      <c r="H1033" s="277"/>
      <c r="I1033" s="290"/>
      <c r="J1033" s="290"/>
      <c r="K1033" s="291"/>
      <c r="L1033" s="17"/>
      <c r="M1033" s="286"/>
      <c r="N1033" s="21"/>
      <c r="O1033" s="286"/>
      <c r="P1033" s="21"/>
      <c r="Q1033" s="286"/>
      <c r="R1033" s="248"/>
      <c r="S1033" s="287"/>
      <c r="T1033" s="248"/>
      <c r="U1033" s="13"/>
      <c r="V1033" s="282"/>
      <c r="W1033" s="283"/>
      <c r="X1033" s="284"/>
      <c r="Y1033" s="245"/>
      <c r="Z1033" s="245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BP1033" s="391"/>
      <c r="BQ1033" s="393"/>
    </row>
    <row r="1034" spans="1:69" ht="14.25" customHeight="1" x14ac:dyDescent="0.35">
      <c r="A1034" s="293">
        <v>509</v>
      </c>
      <c r="B1034" s="295"/>
      <c r="C1034" s="297"/>
      <c r="D1034" s="299"/>
      <c r="E1034" s="301"/>
      <c r="F1034" s="303"/>
      <c r="G1034" s="288"/>
      <c r="H1034" s="289"/>
      <c r="I1034" s="290"/>
      <c r="J1034" s="290"/>
      <c r="K1034" s="291"/>
      <c r="L1034" s="18"/>
      <c r="M1034" s="285" t="str">
        <f t="shared" ref="M1034" si="1615">IF(COUNT(L1034:L1035)&lt;1,"",AVERAGE(L1034:L1035))</f>
        <v/>
      </c>
      <c r="N1034" s="22"/>
      <c r="O1034" s="285" t="str">
        <f t="shared" ref="O1034" si="1616">IF(COUNT(N1034:N1035)&lt;1,"",AVERAGE(N1034:N1035))</f>
        <v/>
      </c>
      <c r="P1034" s="22"/>
      <c r="Q1034" s="285" t="str">
        <f t="shared" ref="Q1034" si="1617">IF(COUNT(P1034:P1035)&lt;1,"",AVERAGE(P1034:P1035))</f>
        <v/>
      </c>
      <c r="R1034" s="278" t="str">
        <f>IF($X$13="/28",IF(COUNT(P1034:P1035)&lt;=1,"",ABS(P1034-P1035)),IF($X$13="/90",IF(COUNT(#REF!)&lt;=1,"",ABS(#REF!-#REF!))))</f>
        <v/>
      </c>
      <c r="S1034" s="278" t="str">
        <f>IF($X$13="/28",IF(Q1034="","",IF(AVERAGE(Q1030:Q1035)&gt;=$W$13,ROUND(AVERAGE(Q1030:Q1035),1)&amp;" ≥ "&amp;$W$13&amp;" OK",ROUND(AVERAGE(Q1030:Q1035),1)&amp;" &lt; "&amp;$W$13&amp;" NC")),IF($X$13="/90",IF(#REF!="","",IF(AVERAGE(#REF!)&gt;=$W$13,ROUND(AVERAGE(#REF!),1)&amp;" ≥ "&amp;$W$13&amp;" OK",ROUND(AVERAGE(#REF!),1)&amp;" &lt; "&amp;$W$13&amp;" NC"))))</f>
        <v/>
      </c>
      <c r="T1034" s="278" t="str">
        <f>IF($X$13="/28",IF(Q1034="","",IF(Q1034&gt;=$W$13-$S$12,ROUND((Q1034),1)&amp;" ≥ "&amp;$W$13-$S$12&amp;" OK",ROUND((Q1034),1)&amp;" &lt; "&amp;$W$13-$S$12&amp;" NC")),IF($X$13="/90",IF(#REF!="","",IF(#REF!&gt;=$W$13-$S$12,ROUND((#REF!),1)&amp;" ≥ "&amp;$W$13-$S$12&amp;" OK",ROUND((#REF!),1)&amp;" &lt; "&amp;$W$13-$S$12&amp;" NC"))))</f>
        <v/>
      </c>
      <c r="U1034" s="14"/>
      <c r="V1034" s="279"/>
      <c r="W1034" s="280"/>
      <c r="X1034" s="281"/>
      <c r="Y1034" s="246"/>
      <c r="Z1034" s="246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BP1034" s="390" t="str">
        <f>IF($X$13="/28",IF(Q1034="","",Q1034),IF($X$13="/90",IF(#REF!="","",#REF!),"Falso"))</f>
        <v/>
      </c>
      <c r="BQ1034" s="392" t="str">
        <f t="shared" si="1598"/>
        <v/>
      </c>
    </row>
    <row r="1035" spans="1:69" ht="14.25" customHeight="1" x14ac:dyDescent="0.35">
      <c r="A1035" s="294"/>
      <c r="B1035" s="296"/>
      <c r="C1035" s="298"/>
      <c r="D1035" s="300"/>
      <c r="E1035" s="302"/>
      <c r="F1035" s="304"/>
      <c r="G1035" s="276"/>
      <c r="H1035" s="277"/>
      <c r="I1035" s="290"/>
      <c r="J1035" s="290"/>
      <c r="K1035" s="291"/>
      <c r="L1035" s="17"/>
      <c r="M1035" s="286"/>
      <c r="N1035" s="21"/>
      <c r="O1035" s="286"/>
      <c r="P1035" s="21"/>
      <c r="Q1035" s="286"/>
      <c r="R1035" s="248"/>
      <c r="S1035" s="287"/>
      <c r="T1035" s="248"/>
      <c r="U1035" s="13"/>
      <c r="V1035" s="282"/>
      <c r="W1035" s="283"/>
      <c r="X1035" s="284"/>
      <c r="Y1035" s="245"/>
      <c r="Z1035" s="245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BP1035" s="391"/>
      <c r="BQ1035" s="393"/>
    </row>
    <row r="1036" spans="1:69" ht="14.25" customHeight="1" x14ac:dyDescent="0.35">
      <c r="A1036" s="293">
        <v>510</v>
      </c>
      <c r="B1036" s="295"/>
      <c r="C1036" s="297"/>
      <c r="D1036" s="299"/>
      <c r="E1036" s="301"/>
      <c r="F1036" s="303"/>
      <c r="G1036" s="288"/>
      <c r="H1036" s="289"/>
      <c r="I1036" s="290"/>
      <c r="J1036" s="290"/>
      <c r="K1036" s="291"/>
      <c r="L1036" s="18"/>
      <c r="M1036" s="285" t="str">
        <f t="shared" ref="M1036" si="1618">IF(COUNT(L1036:L1037)&lt;1,"",AVERAGE(L1036:L1037))</f>
        <v/>
      </c>
      <c r="N1036" s="22"/>
      <c r="O1036" s="285" t="str">
        <f t="shared" ref="O1036" si="1619">IF(COUNT(N1036:N1037)&lt;1,"",AVERAGE(N1036:N1037))</f>
        <v/>
      </c>
      <c r="P1036" s="22"/>
      <c r="Q1036" s="285" t="str">
        <f t="shared" ref="Q1036" si="1620">IF(COUNT(P1036:P1037)&lt;1,"",AVERAGE(P1036:P1037))</f>
        <v/>
      </c>
      <c r="R1036" s="278" t="str">
        <f>IF($X$13="/28",IF(COUNT(P1036:P1037)&lt;=1,"",ABS(P1036-P1037)),IF($X$13="/90",IF(COUNT(#REF!)&lt;=1,"",ABS(#REF!-#REF!))))</f>
        <v/>
      </c>
      <c r="S1036" s="278" t="str">
        <f>IF($X$13="/28",IF(Q1036="","",IF(AVERAGE(Q1032:Q1037)&gt;=$W$13,ROUND(AVERAGE(Q1032:Q1037),1)&amp;" ≥ "&amp;$W$13&amp;" OK",ROUND(AVERAGE(Q1032:Q1037),1)&amp;" &lt; "&amp;$W$13&amp;" NC")),IF($X$13="/90",IF(#REF!="","",IF(AVERAGE(#REF!)&gt;=$W$13,ROUND(AVERAGE(#REF!),1)&amp;" ≥ "&amp;$W$13&amp;" OK",ROUND(AVERAGE(#REF!),1)&amp;" &lt; "&amp;$W$13&amp;" NC"))))</f>
        <v/>
      </c>
      <c r="T1036" s="278" t="str">
        <f>IF($X$13="/28",IF(Q1036="","",IF(Q1036&gt;=$W$13-$S$12,ROUND((Q1036),1)&amp;" ≥ "&amp;$W$13-$S$12&amp;" OK",ROUND((Q1036),1)&amp;" &lt; "&amp;$W$13-$S$12&amp;" NC")),IF($X$13="/90",IF(#REF!="","",IF(#REF!&gt;=$W$13-$S$12,ROUND((#REF!),1)&amp;" ≥ "&amp;$W$13-$S$12&amp;" OK",ROUND((#REF!),1)&amp;" &lt; "&amp;$W$13-$S$12&amp;" NC"))))</f>
        <v/>
      </c>
      <c r="U1036" s="14"/>
      <c r="V1036" s="279"/>
      <c r="W1036" s="280"/>
      <c r="X1036" s="281"/>
      <c r="Y1036" s="246"/>
      <c r="Z1036" s="246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BP1036" s="390" t="str">
        <f>IF($X$13="/28",IF(Q1036="","",Q1036),IF($X$13="/90",IF(#REF!="","",#REF!),"Falso"))</f>
        <v/>
      </c>
      <c r="BQ1036" s="392" t="str">
        <f t="shared" si="1602"/>
        <v/>
      </c>
    </row>
    <row r="1037" spans="1:69" ht="14.25" customHeight="1" thickBot="1" x14ac:dyDescent="0.4">
      <c r="A1037" s="384"/>
      <c r="B1037" s="385"/>
      <c r="C1037" s="386"/>
      <c r="D1037" s="387"/>
      <c r="E1037" s="388"/>
      <c r="F1037" s="389"/>
      <c r="G1037" s="377"/>
      <c r="H1037" s="378"/>
      <c r="I1037" s="382"/>
      <c r="J1037" s="382"/>
      <c r="K1037" s="383"/>
      <c r="L1037" s="19"/>
      <c r="M1037" s="379"/>
      <c r="N1037" s="23"/>
      <c r="O1037" s="379"/>
      <c r="P1037" s="23"/>
      <c r="Q1037" s="379"/>
      <c r="R1037" s="380"/>
      <c r="S1037" s="381"/>
      <c r="T1037" s="380"/>
      <c r="U1037" s="15"/>
      <c r="V1037" s="373"/>
      <c r="W1037" s="374"/>
      <c r="X1037" s="375"/>
      <c r="Y1037" s="376"/>
      <c r="Z1037" s="376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BP1037" s="391"/>
      <c r="BQ1037" s="393"/>
    </row>
    <row r="1038" spans="1:69" ht="14.25" customHeight="1" x14ac:dyDescent="0.35">
      <c r="A1038" s="311">
        <v>511</v>
      </c>
      <c r="B1038" s="312"/>
      <c r="C1038" s="313"/>
      <c r="D1038" s="314"/>
      <c r="E1038" s="315"/>
      <c r="F1038" s="353"/>
      <c r="G1038" s="354"/>
      <c r="H1038" s="355"/>
      <c r="I1038" s="356"/>
      <c r="J1038" s="356"/>
      <c r="K1038" s="357"/>
      <c r="L1038" s="16"/>
      <c r="M1038" s="352" t="str">
        <f t="shared" ref="M1038" si="1621">IF(COUNT(L1038:L1039)&lt;1,"",AVERAGE(L1038:L1039))</f>
        <v/>
      </c>
      <c r="N1038" s="20"/>
      <c r="O1038" s="352" t="str">
        <f t="shared" ref="O1038" si="1622">IF(COUNT(N1038:N1039)&lt;1,"",AVERAGE(N1038:N1039))</f>
        <v/>
      </c>
      <c r="P1038" s="20"/>
      <c r="Q1038" s="352" t="str">
        <f t="shared" ref="Q1038" si="1623">IF(COUNT(P1038:P1039)&lt;1,"",AVERAGE(P1038:P1039))</f>
        <v/>
      </c>
      <c r="R1038" s="247" t="str">
        <f>IF($X$13="/28",IF(COUNT(P1038:P1039)&lt;=1,"",ABS(P1038-P1039)),IF($X$13="/90",IF(COUNT(#REF!)&lt;=1,"",ABS(#REF!-#REF!))))</f>
        <v/>
      </c>
      <c r="S1038" s="247" t="str">
        <f>IF($X$13="/28",IF(Q1038="","",IF(AVERAGE(Q1034:Q1039)&gt;=$W$13,ROUND(AVERAGE(Q1034:Q1039),1)&amp;" ≥ "&amp;$W$13&amp;" OK",ROUND(AVERAGE(Q1034:Q1039),1)&amp;" &lt; "&amp;$W$13&amp;" NC")),IF($X$13="/90",IF(#REF!="","",IF(AVERAGE(#REF!)&gt;=$W$13,ROUND(AVERAGE(#REF!),1)&amp;" ≥ "&amp;$W$13&amp;" OK",ROUND(AVERAGE(#REF!),1)&amp;" &lt; "&amp;$W$13&amp;" NC"))))</f>
        <v/>
      </c>
      <c r="T1038" s="247" t="str">
        <f>IF($X$13="/28",IF(Q1038="","",IF(Q1038&gt;=$W$13-$S$12,ROUND((Q1038),1)&amp;" ≥ "&amp;$W$13-$S$12&amp;" OK",ROUND((Q1038),1)&amp;" &lt; "&amp;$W$13-$S$12&amp;" NC")),IF($X$13="/90",IF(#REF!="","",IF(#REF!&gt;=$W$13-$S$12,ROUND((#REF!),1)&amp;" ≥ "&amp;$W$13-$S$12&amp;" OK",ROUND((#REF!),1)&amp;" &lt; "&amp;$W$13-$S$12&amp;" NC"))))</f>
        <v/>
      </c>
      <c r="U1038" s="12"/>
      <c r="V1038" s="349"/>
      <c r="W1038" s="350"/>
      <c r="X1038" s="351"/>
      <c r="Y1038" s="244"/>
      <c r="Z1038" s="244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BP1038" s="390" t="str">
        <f>IF($X$13="/28",IF(Q1038="","",Q1038),IF($X$13="/90",IF(#REF!="","",#REF!),"Falso"))</f>
        <v/>
      </c>
      <c r="BQ1038" s="392" t="str">
        <f t="shared" si="1594"/>
        <v/>
      </c>
    </row>
    <row r="1039" spans="1:69" ht="14.25" customHeight="1" x14ac:dyDescent="0.35">
      <c r="A1039" s="294"/>
      <c r="B1039" s="296"/>
      <c r="C1039" s="298"/>
      <c r="D1039" s="300"/>
      <c r="E1039" s="302"/>
      <c r="F1039" s="304"/>
      <c r="G1039" s="276"/>
      <c r="H1039" s="277"/>
      <c r="I1039" s="290"/>
      <c r="J1039" s="290"/>
      <c r="K1039" s="291"/>
      <c r="L1039" s="17"/>
      <c r="M1039" s="286"/>
      <c r="N1039" s="21"/>
      <c r="O1039" s="286"/>
      <c r="P1039" s="21"/>
      <c r="Q1039" s="286"/>
      <c r="R1039" s="248"/>
      <c r="S1039" s="248"/>
      <c r="T1039" s="248"/>
      <c r="U1039" s="13"/>
      <c r="V1039" s="282"/>
      <c r="W1039" s="283"/>
      <c r="X1039" s="284"/>
      <c r="Y1039" s="245"/>
      <c r="Z1039" s="245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BP1039" s="391"/>
      <c r="BQ1039" s="393"/>
    </row>
    <row r="1040" spans="1:69" ht="14.25" customHeight="1" x14ac:dyDescent="0.35">
      <c r="A1040" s="293">
        <v>512</v>
      </c>
      <c r="B1040" s="295"/>
      <c r="C1040" s="297"/>
      <c r="D1040" s="299"/>
      <c r="E1040" s="301"/>
      <c r="F1040" s="303"/>
      <c r="G1040" s="288"/>
      <c r="H1040" s="289"/>
      <c r="I1040" s="290"/>
      <c r="J1040" s="290"/>
      <c r="K1040" s="291"/>
      <c r="L1040" s="18"/>
      <c r="M1040" s="285" t="str">
        <f t="shared" ref="M1040" si="1624">IF(COUNT(L1040:L1041)&lt;1,"",AVERAGE(L1040:L1041))</f>
        <v/>
      </c>
      <c r="N1040" s="22"/>
      <c r="O1040" s="285" t="str">
        <f t="shared" ref="O1040" si="1625">IF(COUNT(N1040:N1041)&lt;1,"",AVERAGE(N1040:N1041))</f>
        <v/>
      </c>
      <c r="P1040" s="22"/>
      <c r="Q1040" s="285" t="str">
        <f t="shared" ref="Q1040" si="1626">IF(COUNT(P1040:P1041)&lt;1,"",AVERAGE(P1040:P1041))</f>
        <v/>
      </c>
      <c r="R1040" s="278" t="str">
        <f>IF($X$13="/28",IF(COUNT(P1040:P1041)&lt;=1,"",ABS(P1040-P1041)),IF($X$13="/90",IF(COUNT(#REF!)&lt;=1,"",ABS(#REF!-#REF!))))</f>
        <v/>
      </c>
      <c r="S1040" s="278" t="str">
        <f>IF($X$13="/28",IF(Q1040="","",IF(AVERAGE(Q1036:Q1041)&gt;=$W$13,ROUND(AVERAGE(Q1036:Q1041),1)&amp;" ≥ "&amp;$W$13&amp;" OK",ROUND(AVERAGE(Q1036:Q1041),1)&amp;" &lt; "&amp;$W$13&amp;" NC")),IF($X$13="/90",IF(#REF!="","",IF(AVERAGE(#REF!)&gt;=$W$13,ROUND(AVERAGE(#REF!),1)&amp;" ≥ "&amp;$W$13&amp;" OK",ROUND(AVERAGE(#REF!),1)&amp;" &lt; "&amp;$W$13&amp;" NC"))))</f>
        <v/>
      </c>
      <c r="T1040" s="278" t="str">
        <f>IF($X$13="/28",IF(Q1040="","",IF(Q1040&gt;=$W$13-$S$12,ROUND((Q1040),1)&amp;" ≥ "&amp;$W$13-$S$12&amp;" OK",ROUND((Q1040),1)&amp;" &lt; "&amp;$W$13-$S$12&amp;" NC")),IF($X$13="/90",IF(#REF!="","",IF(#REF!&gt;=$W$13-$S$12,ROUND((#REF!),1)&amp;" ≥ "&amp;$W$13-$S$12&amp;" OK",ROUND((#REF!),1)&amp;" &lt; "&amp;$W$13-$S$12&amp;" NC"))))</f>
        <v/>
      </c>
      <c r="U1040" s="14"/>
      <c r="V1040" s="279"/>
      <c r="W1040" s="280"/>
      <c r="X1040" s="281"/>
      <c r="Y1040" s="246"/>
      <c r="Z1040" s="246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BP1040" s="390" t="str">
        <f>IF($X$13="/28",IF(Q1040="","",Q1040),IF($X$13="/90",IF(#REF!="","",#REF!),"Falso"))</f>
        <v/>
      </c>
      <c r="BQ1040" s="392" t="str">
        <f t="shared" si="1598"/>
        <v/>
      </c>
    </row>
    <row r="1041" spans="1:69" ht="14.25" customHeight="1" x14ac:dyDescent="0.35">
      <c r="A1041" s="294"/>
      <c r="B1041" s="296"/>
      <c r="C1041" s="298"/>
      <c r="D1041" s="300"/>
      <c r="E1041" s="302"/>
      <c r="F1041" s="304"/>
      <c r="G1041" s="276"/>
      <c r="H1041" s="277"/>
      <c r="I1041" s="290"/>
      <c r="J1041" s="290"/>
      <c r="K1041" s="291"/>
      <c r="L1041" s="17"/>
      <c r="M1041" s="286"/>
      <c r="N1041" s="21"/>
      <c r="O1041" s="286"/>
      <c r="P1041" s="21"/>
      <c r="Q1041" s="286"/>
      <c r="R1041" s="248"/>
      <c r="S1041" s="248"/>
      <c r="T1041" s="248"/>
      <c r="U1041" s="13"/>
      <c r="V1041" s="282"/>
      <c r="W1041" s="283"/>
      <c r="X1041" s="284"/>
      <c r="Y1041" s="245"/>
      <c r="Z1041" s="245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BP1041" s="391"/>
      <c r="BQ1041" s="393"/>
    </row>
    <row r="1042" spans="1:69" ht="14.25" customHeight="1" x14ac:dyDescent="0.35">
      <c r="A1042" s="293">
        <v>513</v>
      </c>
      <c r="B1042" s="295"/>
      <c r="C1042" s="297"/>
      <c r="D1042" s="299"/>
      <c r="E1042" s="301"/>
      <c r="F1042" s="303"/>
      <c r="G1042" s="288"/>
      <c r="H1042" s="289"/>
      <c r="I1042" s="290"/>
      <c r="J1042" s="290"/>
      <c r="K1042" s="291"/>
      <c r="L1042" s="18"/>
      <c r="M1042" s="285" t="str">
        <f t="shared" ref="M1042" si="1627">IF(COUNT(L1042:L1043)&lt;1,"",AVERAGE(L1042:L1043))</f>
        <v/>
      </c>
      <c r="N1042" s="22"/>
      <c r="O1042" s="285" t="str">
        <f t="shared" ref="O1042" si="1628">IF(COUNT(N1042:N1043)&lt;1,"",AVERAGE(N1042:N1043))</f>
        <v/>
      </c>
      <c r="P1042" s="22"/>
      <c r="Q1042" s="285" t="str">
        <f t="shared" ref="Q1042" si="1629">IF(COUNT(P1042:P1043)&lt;1,"",AVERAGE(P1042:P1043))</f>
        <v/>
      </c>
      <c r="R1042" s="278" t="str">
        <f>IF($X$13="/28",IF(COUNT(P1042:P1043)&lt;=1,"",ABS(P1042-P1043)),IF($X$13="/90",IF(COUNT(#REF!)&lt;=1,"",ABS(#REF!-#REF!))))</f>
        <v/>
      </c>
      <c r="S1042" s="278" t="str">
        <f>IF($X$13="/28",IF(Q1042="","",IF(AVERAGE(Q1038:Q1043)&gt;=$W$13,ROUND(AVERAGE(Q1038:Q1043),1)&amp;" ≥ "&amp;$W$13&amp;" OK",ROUND(AVERAGE(Q1038:Q1043),1)&amp;" &lt; "&amp;$W$13&amp;" NC")),IF($X$13="/90",IF(#REF!="","",IF(AVERAGE(#REF!)&gt;=$W$13,ROUND(AVERAGE(#REF!),1)&amp;" ≥ "&amp;$W$13&amp;" OK",ROUND(AVERAGE(#REF!),1)&amp;" &lt; "&amp;$W$13&amp;" NC"))))</f>
        <v/>
      </c>
      <c r="T1042" s="278" t="str">
        <f>IF($X$13="/28",IF(Q1042="","",IF(Q1042&gt;=$W$13-$S$12,ROUND((Q1042),1)&amp;" ≥ "&amp;$W$13-$S$12&amp;" OK",ROUND((Q1042),1)&amp;" &lt; "&amp;$W$13-$S$12&amp;" NC")),IF($X$13="/90",IF(#REF!="","",IF(#REF!&gt;=$W$13-$S$12,ROUND((#REF!),1)&amp;" ≥ "&amp;$W$13-$S$12&amp;" OK",ROUND((#REF!),1)&amp;" &lt; "&amp;$W$13-$S$12&amp;" NC"))))</f>
        <v/>
      </c>
      <c r="U1042" s="14"/>
      <c r="V1042" s="279"/>
      <c r="W1042" s="280"/>
      <c r="X1042" s="281"/>
      <c r="Y1042" s="246"/>
      <c r="Z1042" s="246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BP1042" s="390" t="str">
        <f>IF($X$13="/28",IF(Q1042="","",Q1042),IF($X$13="/90",IF(#REF!="","",#REF!),"Falso"))</f>
        <v/>
      </c>
      <c r="BQ1042" s="392" t="str">
        <f t="shared" si="1602"/>
        <v/>
      </c>
    </row>
    <row r="1043" spans="1:69" ht="14.25" customHeight="1" x14ac:dyDescent="0.35">
      <c r="A1043" s="294"/>
      <c r="B1043" s="296"/>
      <c r="C1043" s="298"/>
      <c r="D1043" s="300"/>
      <c r="E1043" s="302"/>
      <c r="F1043" s="304"/>
      <c r="G1043" s="276"/>
      <c r="H1043" s="277"/>
      <c r="I1043" s="290"/>
      <c r="J1043" s="290"/>
      <c r="K1043" s="291"/>
      <c r="L1043" s="17"/>
      <c r="M1043" s="286"/>
      <c r="N1043" s="21"/>
      <c r="O1043" s="286"/>
      <c r="P1043" s="21"/>
      <c r="Q1043" s="286"/>
      <c r="R1043" s="248"/>
      <c r="S1043" s="287"/>
      <c r="T1043" s="248"/>
      <c r="U1043" s="13"/>
      <c r="V1043" s="282"/>
      <c r="W1043" s="283"/>
      <c r="X1043" s="284"/>
      <c r="Y1043" s="245"/>
      <c r="Z1043" s="245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BP1043" s="391"/>
      <c r="BQ1043" s="393"/>
    </row>
    <row r="1044" spans="1:69" ht="14.25" customHeight="1" x14ac:dyDescent="0.35">
      <c r="A1044" s="293">
        <v>514</v>
      </c>
      <c r="B1044" s="295"/>
      <c r="C1044" s="297"/>
      <c r="D1044" s="299"/>
      <c r="E1044" s="301"/>
      <c r="F1044" s="303"/>
      <c r="G1044" s="288"/>
      <c r="H1044" s="289"/>
      <c r="I1044" s="290"/>
      <c r="J1044" s="290"/>
      <c r="K1044" s="291"/>
      <c r="L1044" s="18"/>
      <c r="M1044" s="285" t="str">
        <f t="shared" ref="M1044" si="1630">IF(COUNT(L1044:L1045)&lt;1,"",AVERAGE(L1044:L1045))</f>
        <v/>
      </c>
      <c r="N1044" s="22"/>
      <c r="O1044" s="285" t="str">
        <f t="shared" ref="O1044" si="1631">IF(COUNT(N1044:N1045)&lt;1,"",AVERAGE(N1044:N1045))</f>
        <v/>
      </c>
      <c r="P1044" s="22"/>
      <c r="Q1044" s="285" t="str">
        <f t="shared" ref="Q1044" si="1632">IF(COUNT(P1044:P1045)&lt;1,"",AVERAGE(P1044:P1045))</f>
        <v/>
      </c>
      <c r="R1044" s="278" t="str">
        <f>IF($X$13="/28",IF(COUNT(P1044:P1045)&lt;=1,"",ABS(P1044-P1045)),IF($X$13="/90",IF(COUNT(#REF!)&lt;=1,"",ABS(#REF!-#REF!))))</f>
        <v/>
      </c>
      <c r="S1044" s="278" t="str">
        <f>IF($X$13="/28",IF(Q1044="","",IF(AVERAGE(Q1040:Q1045)&gt;=$W$13,ROUND(AVERAGE(Q1040:Q1045),1)&amp;" ≥ "&amp;$W$13&amp;" OK",ROUND(AVERAGE(Q1040:Q1045),1)&amp;" &lt; "&amp;$W$13&amp;" NC")),IF($X$13="/90",IF(#REF!="","",IF(AVERAGE(#REF!)&gt;=$W$13,ROUND(AVERAGE(#REF!),1)&amp;" ≥ "&amp;$W$13&amp;" OK",ROUND(AVERAGE(#REF!),1)&amp;" &lt; "&amp;$W$13&amp;" NC"))))</f>
        <v/>
      </c>
      <c r="T1044" s="278" t="str">
        <f>IF($X$13="/28",IF(Q1044="","",IF(Q1044&gt;=$W$13-$S$12,ROUND((Q1044),1)&amp;" ≥ "&amp;$W$13-$S$12&amp;" OK",ROUND((Q1044),1)&amp;" &lt; "&amp;$W$13-$S$12&amp;" NC")),IF($X$13="/90",IF(#REF!="","",IF(#REF!&gt;=$W$13-$S$12,ROUND((#REF!),1)&amp;" ≥ "&amp;$W$13-$S$12&amp;" OK",ROUND((#REF!),1)&amp;" &lt; "&amp;$W$13-$S$12&amp;" NC"))))</f>
        <v/>
      </c>
      <c r="U1044" s="14"/>
      <c r="V1044" s="279"/>
      <c r="W1044" s="280"/>
      <c r="X1044" s="281"/>
      <c r="Y1044" s="246"/>
      <c r="Z1044" s="246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BP1044" s="390" t="str">
        <f>IF($X$13="/28",IF(Q1044="","",Q1044),IF($X$13="/90",IF(#REF!="","",#REF!),"Falso"))</f>
        <v/>
      </c>
      <c r="BQ1044" s="392" t="str">
        <f t="shared" si="1594"/>
        <v/>
      </c>
    </row>
    <row r="1045" spans="1:69" ht="14.25" customHeight="1" x14ac:dyDescent="0.35">
      <c r="A1045" s="294"/>
      <c r="B1045" s="296"/>
      <c r="C1045" s="298"/>
      <c r="D1045" s="300"/>
      <c r="E1045" s="302"/>
      <c r="F1045" s="304"/>
      <c r="G1045" s="276"/>
      <c r="H1045" s="277"/>
      <c r="I1045" s="290"/>
      <c r="J1045" s="290"/>
      <c r="K1045" s="291"/>
      <c r="L1045" s="17"/>
      <c r="M1045" s="286"/>
      <c r="N1045" s="21"/>
      <c r="O1045" s="286"/>
      <c r="P1045" s="21"/>
      <c r="Q1045" s="286"/>
      <c r="R1045" s="248"/>
      <c r="S1045" s="287"/>
      <c r="T1045" s="248"/>
      <c r="U1045" s="13"/>
      <c r="V1045" s="282"/>
      <c r="W1045" s="283"/>
      <c r="X1045" s="284"/>
      <c r="Y1045" s="245"/>
      <c r="Z1045" s="245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BP1045" s="391"/>
      <c r="BQ1045" s="393"/>
    </row>
    <row r="1046" spans="1:69" ht="14.25" customHeight="1" x14ac:dyDescent="0.35">
      <c r="A1046" s="293">
        <v>515</v>
      </c>
      <c r="B1046" s="295"/>
      <c r="C1046" s="297"/>
      <c r="D1046" s="299"/>
      <c r="E1046" s="301"/>
      <c r="F1046" s="303"/>
      <c r="G1046" s="288"/>
      <c r="H1046" s="289"/>
      <c r="I1046" s="290"/>
      <c r="J1046" s="290"/>
      <c r="K1046" s="291"/>
      <c r="L1046" s="18"/>
      <c r="M1046" s="285" t="str">
        <f t="shared" ref="M1046" si="1633">IF(COUNT(L1046:L1047)&lt;1,"",AVERAGE(L1046:L1047))</f>
        <v/>
      </c>
      <c r="N1046" s="22"/>
      <c r="O1046" s="285" t="str">
        <f t="shared" ref="O1046" si="1634">IF(COUNT(N1046:N1047)&lt;1,"",AVERAGE(N1046:N1047))</f>
        <v/>
      </c>
      <c r="P1046" s="22"/>
      <c r="Q1046" s="285" t="str">
        <f t="shared" ref="Q1046" si="1635">IF(COUNT(P1046:P1047)&lt;1,"",AVERAGE(P1046:P1047))</f>
        <v/>
      </c>
      <c r="R1046" s="278" t="str">
        <f>IF($X$13="/28",IF(COUNT(P1046:P1047)&lt;=1,"",ABS(P1046-P1047)),IF($X$13="/90",IF(COUNT(#REF!)&lt;=1,"",ABS(#REF!-#REF!))))</f>
        <v/>
      </c>
      <c r="S1046" s="278" t="str">
        <f>IF($X$13="/28",IF(Q1046="","",IF(AVERAGE(Q1042:Q1047)&gt;=$W$13,ROUND(AVERAGE(Q1042:Q1047),1)&amp;" ≥ "&amp;$W$13&amp;" OK",ROUND(AVERAGE(Q1042:Q1047),1)&amp;" &lt; "&amp;$W$13&amp;" NC")),IF($X$13="/90",IF(#REF!="","",IF(AVERAGE(#REF!)&gt;=$W$13,ROUND(AVERAGE(#REF!),1)&amp;" ≥ "&amp;$W$13&amp;" OK",ROUND(AVERAGE(#REF!),1)&amp;" &lt; "&amp;$W$13&amp;" NC"))))</f>
        <v/>
      </c>
      <c r="T1046" s="278" t="str">
        <f>IF($X$13="/28",IF(Q1046="","",IF(Q1046&gt;=$W$13-$S$12,ROUND((Q1046),1)&amp;" ≥ "&amp;$W$13-$S$12&amp;" OK",ROUND((Q1046),1)&amp;" &lt; "&amp;$W$13-$S$12&amp;" NC")),IF($X$13="/90",IF(#REF!="","",IF(#REF!&gt;=$W$13-$S$12,ROUND((#REF!),1)&amp;" ≥ "&amp;$W$13-$S$12&amp;" OK",ROUND((#REF!),1)&amp;" &lt; "&amp;$W$13-$S$12&amp;" NC"))))</f>
        <v/>
      </c>
      <c r="U1046" s="14"/>
      <c r="V1046" s="279"/>
      <c r="W1046" s="280"/>
      <c r="X1046" s="281"/>
      <c r="Y1046" s="246"/>
      <c r="Z1046" s="246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BP1046" s="390" t="str">
        <f>IF($X$13="/28",IF(Q1046="","",Q1046),IF($X$13="/90",IF(#REF!="","",#REF!),"Falso"))</f>
        <v/>
      </c>
      <c r="BQ1046" s="392" t="str">
        <f t="shared" si="1598"/>
        <v/>
      </c>
    </row>
    <row r="1047" spans="1:69" ht="14.25" customHeight="1" x14ac:dyDescent="0.35">
      <c r="A1047" s="294"/>
      <c r="B1047" s="296"/>
      <c r="C1047" s="298"/>
      <c r="D1047" s="300"/>
      <c r="E1047" s="302"/>
      <c r="F1047" s="304"/>
      <c r="G1047" s="276"/>
      <c r="H1047" s="277"/>
      <c r="I1047" s="290"/>
      <c r="J1047" s="290"/>
      <c r="K1047" s="291"/>
      <c r="L1047" s="17"/>
      <c r="M1047" s="286"/>
      <c r="N1047" s="21"/>
      <c r="O1047" s="286"/>
      <c r="P1047" s="21"/>
      <c r="Q1047" s="286"/>
      <c r="R1047" s="248"/>
      <c r="S1047" s="287"/>
      <c r="T1047" s="248"/>
      <c r="U1047" s="13"/>
      <c r="V1047" s="282"/>
      <c r="W1047" s="283"/>
      <c r="X1047" s="284"/>
      <c r="Y1047" s="245"/>
      <c r="Z1047" s="245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BP1047" s="391"/>
      <c r="BQ1047" s="393"/>
    </row>
    <row r="1048" spans="1:69" ht="14.25" customHeight="1" x14ac:dyDescent="0.35">
      <c r="A1048" s="293">
        <v>516</v>
      </c>
      <c r="B1048" s="295"/>
      <c r="C1048" s="297"/>
      <c r="D1048" s="299"/>
      <c r="E1048" s="301"/>
      <c r="F1048" s="303"/>
      <c r="G1048" s="288"/>
      <c r="H1048" s="289"/>
      <c r="I1048" s="290"/>
      <c r="J1048" s="290"/>
      <c r="K1048" s="291"/>
      <c r="L1048" s="18"/>
      <c r="M1048" s="285" t="str">
        <f t="shared" ref="M1048" si="1636">IF(COUNT(L1048:L1049)&lt;1,"",AVERAGE(L1048:L1049))</f>
        <v/>
      </c>
      <c r="N1048" s="22"/>
      <c r="O1048" s="285" t="str">
        <f t="shared" ref="O1048" si="1637">IF(COUNT(N1048:N1049)&lt;1,"",AVERAGE(N1048:N1049))</f>
        <v/>
      </c>
      <c r="P1048" s="22"/>
      <c r="Q1048" s="285" t="str">
        <f t="shared" ref="Q1048" si="1638">IF(COUNT(P1048:P1049)&lt;1,"",AVERAGE(P1048:P1049))</f>
        <v/>
      </c>
      <c r="R1048" s="278" t="str">
        <f>IF($X$13="/28",IF(COUNT(P1048:P1049)&lt;=1,"",ABS(P1048-P1049)),IF($X$13="/90",IF(COUNT(#REF!)&lt;=1,"",ABS(#REF!-#REF!))))</f>
        <v/>
      </c>
      <c r="S1048" s="278" t="str">
        <f>IF($X$13="/28",IF(Q1048="","",IF(AVERAGE(Q1044:Q1049)&gt;=$W$13,ROUND(AVERAGE(Q1044:Q1049),1)&amp;" ≥ "&amp;$W$13&amp;" OK",ROUND(AVERAGE(Q1044:Q1049),1)&amp;" &lt; "&amp;$W$13&amp;" NC")),IF($X$13="/90",IF(#REF!="","",IF(AVERAGE(#REF!)&gt;=$W$13,ROUND(AVERAGE(#REF!),1)&amp;" ≥ "&amp;$W$13&amp;" OK",ROUND(AVERAGE(#REF!),1)&amp;" &lt; "&amp;$W$13&amp;" NC"))))</f>
        <v/>
      </c>
      <c r="T1048" s="278" t="str">
        <f>IF($X$13="/28",IF(Q1048="","",IF(Q1048&gt;=$W$13-$S$12,ROUND((Q1048),1)&amp;" ≥ "&amp;$W$13-$S$12&amp;" OK",ROUND((Q1048),1)&amp;" &lt; "&amp;$W$13-$S$12&amp;" NC")),IF($X$13="/90",IF(#REF!="","",IF(#REF!&gt;=$W$13-$S$12,ROUND((#REF!),1)&amp;" ≥ "&amp;$W$13-$S$12&amp;" OK",ROUND((#REF!),1)&amp;" &lt; "&amp;$W$13-$S$12&amp;" NC"))))</f>
        <v/>
      </c>
      <c r="U1048" s="14"/>
      <c r="V1048" s="279"/>
      <c r="W1048" s="280"/>
      <c r="X1048" s="281"/>
      <c r="Y1048" s="246"/>
      <c r="Z1048" s="246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BP1048" s="390" t="str">
        <f>IF($X$13="/28",IF(Q1048="","",Q1048),IF($X$13="/90",IF(#REF!="","",#REF!),"Falso"))</f>
        <v/>
      </c>
      <c r="BQ1048" s="392" t="str">
        <f t="shared" si="1602"/>
        <v/>
      </c>
    </row>
    <row r="1049" spans="1:69" ht="14.25" customHeight="1" x14ac:dyDescent="0.35">
      <c r="A1049" s="294"/>
      <c r="B1049" s="296"/>
      <c r="C1049" s="298"/>
      <c r="D1049" s="300"/>
      <c r="E1049" s="302"/>
      <c r="F1049" s="304"/>
      <c r="G1049" s="276"/>
      <c r="H1049" s="277"/>
      <c r="I1049" s="290"/>
      <c r="J1049" s="290"/>
      <c r="K1049" s="291"/>
      <c r="L1049" s="17"/>
      <c r="M1049" s="286"/>
      <c r="N1049" s="21"/>
      <c r="O1049" s="286"/>
      <c r="P1049" s="21"/>
      <c r="Q1049" s="286"/>
      <c r="R1049" s="248"/>
      <c r="S1049" s="287"/>
      <c r="T1049" s="248"/>
      <c r="U1049" s="13"/>
      <c r="V1049" s="282"/>
      <c r="W1049" s="283"/>
      <c r="X1049" s="284"/>
      <c r="Y1049" s="245"/>
      <c r="Z1049" s="245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BP1049" s="391"/>
      <c r="BQ1049" s="393"/>
    </row>
    <row r="1050" spans="1:69" ht="14.25" customHeight="1" x14ac:dyDescent="0.35">
      <c r="A1050" s="293">
        <v>517</v>
      </c>
      <c r="B1050" s="295"/>
      <c r="C1050" s="297"/>
      <c r="D1050" s="299"/>
      <c r="E1050" s="301"/>
      <c r="F1050" s="303"/>
      <c r="G1050" s="288"/>
      <c r="H1050" s="289"/>
      <c r="I1050" s="290"/>
      <c r="J1050" s="290"/>
      <c r="K1050" s="291"/>
      <c r="L1050" s="18"/>
      <c r="M1050" s="285" t="str">
        <f t="shared" ref="M1050" si="1639">IF(COUNT(L1050:L1051)&lt;1,"",AVERAGE(L1050:L1051))</f>
        <v/>
      </c>
      <c r="N1050" s="22"/>
      <c r="O1050" s="285" t="str">
        <f t="shared" ref="O1050" si="1640">IF(COUNT(N1050:N1051)&lt;1,"",AVERAGE(N1050:N1051))</f>
        <v/>
      </c>
      <c r="P1050" s="22"/>
      <c r="Q1050" s="285" t="str">
        <f t="shared" ref="Q1050" si="1641">IF(COUNT(P1050:P1051)&lt;1,"",AVERAGE(P1050:P1051))</f>
        <v/>
      </c>
      <c r="R1050" s="278" t="str">
        <f>IF($X$13="/28",IF(COUNT(P1050:P1051)&lt;=1,"",ABS(P1050-P1051)),IF($X$13="/90",IF(COUNT(#REF!)&lt;=1,"",ABS(#REF!-#REF!))))</f>
        <v/>
      </c>
      <c r="S1050" s="278" t="str">
        <f>IF($X$13="/28",IF(Q1050="","",IF(AVERAGE(Q1046:Q1051)&gt;=$W$13,ROUND(AVERAGE(Q1046:Q1051),1)&amp;" ≥ "&amp;$W$13&amp;" OK",ROUND(AVERAGE(Q1046:Q1051),1)&amp;" &lt; "&amp;$W$13&amp;" NC")),IF($X$13="/90",IF(#REF!="","",IF(AVERAGE(#REF!)&gt;=$W$13,ROUND(AVERAGE(#REF!),1)&amp;" ≥ "&amp;$W$13&amp;" OK",ROUND(AVERAGE(#REF!),1)&amp;" &lt; "&amp;$W$13&amp;" NC"))))</f>
        <v/>
      </c>
      <c r="T1050" s="278" t="str">
        <f>IF($X$13="/28",IF(Q1050="","",IF(Q1050&gt;=$W$13-$S$12,ROUND((Q1050),1)&amp;" ≥ "&amp;$W$13-$S$12&amp;" OK",ROUND((Q1050),1)&amp;" &lt; "&amp;$W$13-$S$12&amp;" NC")),IF($X$13="/90",IF(#REF!="","",IF(#REF!&gt;=$W$13-$S$12,ROUND((#REF!),1)&amp;" ≥ "&amp;$W$13-$S$12&amp;" OK",ROUND((#REF!),1)&amp;" &lt; "&amp;$W$13-$S$12&amp;" NC"))))</f>
        <v/>
      </c>
      <c r="U1050" s="14"/>
      <c r="V1050" s="279"/>
      <c r="W1050" s="280"/>
      <c r="X1050" s="281"/>
      <c r="Y1050" s="246"/>
      <c r="Z1050" s="246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BP1050" s="390" t="str">
        <f>IF($X$13="/28",IF(Q1050="","",Q1050),IF($X$13="/90",IF(#REF!="","",#REF!),"Falso"))</f>
        <v/>
      </c>
      <c r="BQ1050" s="392" t="str">
        <f t="shared" si="1594"/>
        <v/>
      </c>
    </row>
    <row r="1051" spans="1:69" ht="14.25" customHeight="1" x14ac:dyDescent="0.35">
      <c r="A1051" s="294"/>
      <c r="B1051" s="296"/>
      <c r="C1051" s="298"/>
      <c r="D1051" s="300"/>
      <c r="E1051" s="302"/>
      <c r="F1051" s="304"/>
      <c r="G1051" s="276"/>
      <c r="H1051" s="277"/>
      <c r="I1051" s="290"/>
      <c r="J1051" s="290"/>
      <c r="K1051" s="291"/>
      <c r="L1051" s="17"/>
      <c r="M1051" s="286"/>
      <c r="N1051" s="21"/>
      <c r="O1051" s="286"/>
      <c r="P1051" s="21"/>
      <c r="Q1051" s="286"/>
      <c r="R1051" s="248"/>
      <c r="S1051" s="287"/>
      <c r="T1051" s="248"/>
      <c r="U1051" s="13"/>
      <c r="V1051" s="282"/>
      <c r="W1051" s="283"/>
      <c r="X1051" s="284"/>
      <c r="Y1051" s="245"/>
      <c r="Z1051" s="245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BP1051" s="391"/>
      <c r="BQ1051" s="393"/>
    </row>
    <row r="1052" spans="1:69" ht="14.25" customHeight="1" x14ac:dyDescent="0.35">
      <c r="A1052" s="293">
        <v>518</v>
      </c>
      <c r="B1052" s="295"/>
      <c r="C1052" s="297"/>
      <c r="D1052" s="299"/>
      <c r="E1052" s="301"/>
      <c r="F1052" s="303"/>
      <c r="G1052" s="288"/>
      <c r="H1052" s="289"/>
      <c r="I1052" s="290"/>
      <c r="J1052" s="290"/>
      <c r="K1052" s="291"/>
      <c r="L1052" s="18"/>
      <c r="M1052" s="285" t="str">
        <f t="shared" ref="M1052" si="1642">IF(COUNT(L1052:L1053)&lt;1,"",AVERAGE(L1052:L1053))</f>
        <v/>
      </c>
      <c r="N1052" s="22"/>
      <c r="O1052" s="285" t="str">
        <f t="shared" ref="O1052" si="1643">IF(COUNT(N1052:N1053)&lt;1,"",AVERAGE(N1052:N1053))</f>
        <v/>
      </c>
      <c r="P1052" s="22"/>
      <c r="Q1052" s="285" t="str">
        <f t="shared" ref="Q1052" si="1644">IF(COUNT(P1052:P1053)&lt;1,"",AVERAGE(P1052:P1053))</f>
        <v/>
      </c>
      <c r="R1052" s="278" t="str">
        <f>IF($X$13="/28",IF(COUNT(P1052:P1053)&lt;=1,"",ABS(P1052-P1053)),IF($X$13="/90",IF(COUNT(#REF!)&lt;=1,"",ABS(#REF!-#REF!))))</f>
        <v/>
      </c>
      <c r="S1052" s="278" t="str">
        <f>IF($X$13="/28",IF(Q1052="","",IF(AVERAGE(Q1048:Q1053)&gt;=$W$13,ROUND(AVERAGE(Q1048:Q1053),1)&amp;" ≥ "&amp;$W$13&amp;" OK",ROUND(AVERAGE(Q1048:Q1053),1)&amp;" &lt; "&amp;$W$13&amp;" NC")),IF($X$13="/90",IF(#REF!="","",IF(AVERAGE(#REF!)&gt;=$W$13,ROUND(AVERAGE(#REF!),1)&amp;" ≥ "&amp;$W$13&amp;" OK",ROUND(AVERAGE(#REF!),1)&amp;" &lt; "&amp;$W$13&amp;" NC"))))</f>
        <v/>
      </c>
      <c r="T1052" s="278" t="str">
        <f>IF($X$13="/28",IF(Q1052="","",IF(Q1052&gt;=$W$13-$S$12,ROUND((Q1052),1)&amp;" ≥ "&amp;$W$13-$S$12&amp;" OK",ROUND((Q1052),1)&amp;" &lt; "&amp;$W$13-$S$12&amp;" NC")),IF($X$13="/90",IF(#REF!="","",IF(#REF!&gt;=$W$13-$S$12,ROUND((#REF!),1)&amp;" ≥ "&amp;$W$13-$S$12&amp;" OK",ROUND((#REF!),1)&amp;" &lt; "&amp;$W$13-$S$12&amp;" NC"))))</f>
        <v/>
      </c>
      <c r="U1052" s="14"/>
      <c r="V1052" s="279"/>
      <c r="W1052" s="280"/>
      <c r="X1052" s="281"/>
      <c r="Y1052" s="246"/>
      <c r="Z1052" s="246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BP1052" s="390" t="str">
        <f>IF($X$13="/28",IF(Q1052="","",Q1052),IF($X$13="/90",IF(#REF!="","",#REF!),"Falso"))</f>
        <v/>
      </c>
      <c r="BQ1052" s="392" t="str">
        <f t="shared" si="1598"/>
        <v/>
      </c>
    </row>
    <row r="1053" spans="1:69" ht="14.25" customHeight="1" x14ac:dyDescent="0.35">
      <c r="A1053" s="294"/>
      <c r="B1053" s="296"/>
      <c r="C1053" s="298"/>
      <c r="D1053" s="300"/>
      <c r="E1053" s="302"/>
      <c r="F1053" s="304"/>
      <c r="G1053" s="276"/>
      <c r="H1053" s="277"/>
      <c r="I1053" s="290"/>
      <c r="J1053" s="290"/>
      <c r="K1053" s="291"/>
      <c r="L1053" s="17"/>
      <c r="M1053" s="286"/>
      <c r="N1053" s="21"/>
      <c r="O1053" s="286"/>
      <c r="P1053" s="21"/>
      <c r="Q1053" s="286"/>
      <c r="R1053" s="248"/>
      <c r="S1053" s="287"/>
      <c r="T1053" s="248"/>
      <c r="U1053" s="13"/>
      <c r="V1053" s="282"/>
      <c r="W1053" s="283"/>
      <c r="X1053" s="284"/>
      <c r="Y1053" s="245"/>
      <c r="Z1053" s="245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BP1053" s="391"/>
      <c r="BQ1053" s="393"/>
    </row>
    <row r="1054" spans="1:69" ht="14.25" customHeight="1" x14ac:dyDescent="0.35">
      <c r="A1054" s="293">
        <v>519</v>
      </c>
      <c r="B1054" s="295"/>
      <c r="C1054" s="297"/>
      <c r="D1054" s="299"/>
      <c r="E1054" s="301"/>
      <c r="F1054" s="303"/>
      <c r="G1054" s="288"/>
      <c r="H1054" s="289"/>
      <c r="I1054" s="290"/>
      <c r="J1054" s="290"/>
      <c r="K1054" s="291"/>
      <c r="L1054" s="18"/>
      <c r="M1054" s="285" t="str">
        <f t="shared" ref="M1054" si="1645">IF(COUNT(L1054:L1055)&lt;1,"",AVERAGE(L1054:L1055))</f>
        <v/>
      </c>
      <c r="N1054" s="22"/>
      <c r="O1054" s="285" t="str">
        <f t="shared" ref="O1054" si="1646">IF(COUNT(N1054:N1055)&lt;1,"",AVERAGE(N1054:N1055))</f>
        <v/>
      </c>
      <c r="P1054" s="22"/>
      <c r="Q1054" s="285" t="str">
        <f t="shared" ref="Q1054" si="1647">IF(COUNT(P1054:P1055)&lt;1,"",AVERAGE(P1054:P1055))</f>
        <v/>
      </c>
      <c r="R1054" s="278" t="str">
        <f>IF($X$13="/28",IF(COUNT(P1054:P1055)&lt;=1,"",ABS(P1054-P1055)),IF($X$13="/90",IF(COUNT(#REF!)&lt;=1,"",ABS(#REF!-#REF!))))</f>
        <v/>
      </c>
      <c r="S1054" s="278" t="str">
        <f>IF($X$13="/28",IF(Q1054="","",IF(AVERAGE(Q1050:Q1055)&gt;=$W$13,ROUND(AVERAGE(Q1050:Q1055),1)&amp;" ≥ "&amp;$W$13&amp;" OK",ROUND(AVERAGE(Q1050:Q1055),1)&amp;" &lt; "&amp;$W$13&amp;" NC")),IF($X$13="/90",IF(#REF!="","",IF(AVERAGE(#REF!)&gt;=$W$13,ROUND(AVERAGE(#REF!),1)&amp;" ≥ "&amp;$W$13&amp;" OK",ROUND(AVERAGE(#REF!),1)&amp;" &lt; "&amp;$W$13&amp;" NC"))))</f>
        <v/>
      </c>
      <c r="T1054" s="278" t="str">
        <f>IF($X$13="/28",IF(Q1054="","",IF(Q1054&gt;=$W$13-$S$12,ROUND((Q1054),1)&amp;" ≥ "&amp;$W$13-$S$12&amp;" OK",ROUND((Q1054),1)&amp;" &lt; "&amp;$W$13-$S$12&amp;" NC")),IF($X$13="/90",IF(#REF!="","",IF(#REF!&gt;=$W$13-$S$12,ROUND((#REF!),1)&amp;" ≥ "&amp;$W$13-$S$12&amp;" OK",ROUND((#REF!),1)&amp;" &lt; "&amp;$W$13-$S$12&amp;" NC"))))</f>
        <v/>
      </c>
      <c r="U1054" s="14"/>
      <c r="V1054" s="279"/>
      <c r="W1054" s="280"/>
      <c r="X1054" s="281"/>
      <c r="Y1054" s="246"/>
      <c r="Z1054" s="246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BP1054" s="390" t="str">
        <f>IF($X$13="/28",IF(Q1054="","",Q1054),IF($X$13="/90",IF(#REF!="","",#REF!),"Falso"))</f>
        <v/>
      </c>
      <c r="BQ1054" s="392" t="str">
        <f t="shared" si="1602"/>
        <v/>
      </c>
    </row>
    <row r="1055" spans="1:69" ht="14.25" customHeight="1" x14ac:dyDescent="0.35">
      <c r="A1055" s="294"/>
      <c r="B1055" s="296"/>
      <c r="C1055" s="298"/>
      <c r="D1055" s="300"/>
      <c r="E1055" s="302"/>
      <c r="F1055" s="304"/>
      <c r="G1055" s="276"/>
      <c r="H1055" s="277"/>
      <c r="I1055" s="290"/>
      <c r="J1055" s="290"/>
      <c r="K1055" s="291"/>
      <c r="L1055" s="17"/>
      <c r="M1055" s="286"/>
      <c r="N1055" s="21"/>
      <c r="O1055" s="286"/>
      <c r="P1055" s="21"/>
      <c r="Q1055" s="286"/>
      <c r="R1055" s="248"/>
      <c r="S1055" s="287"/>
      <c r="T1055" s="248"/>
      <c r="U1055" s="13"/>
      <c r="V1055" s="282"/>
      <c r="W1055" s="283"/>
      <c r="X1055" s="284"/>
      <c r="Y1055" s="245"/>
      <c r="Z1055" s="245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BP1055" s="391"/>
      <c r="BQ1055" s="393"/>
    </row>
    <row r="1056" spans="1:69" ht="14.25" customHeight="1" x14ac:dyDescent="0.35">
      <c r="A1056" s="293">
        <v>520</v>
      </c>
      <c r="B1056" s="295"/>
      <c r="C1056" s="297"/>
      <c r="D1056" s="299"/>
      <c r="E1056" s="301"/>
      <c r="F1056" s="303"/>
      <c r="G1056" s="288"/>
      <c r="H1056" s="289"/>
      <c r="I1056" s="290"/>
      <c r="J1056" s="290"/>
      <c r="K1056" s="291"/>
      <c r="L1056" s="18"/>
      <c r="M1056" s="285" t="str">
        <f t="shared" ref="M1056" si="1648">IF(COUNT(L1056:L1057)&lt;1,"",AVERAGE(L1056:L1057))</f>
        <v/>
      </c>
      <c r="N1056" s="22"/>
      <c r="O1056" s="285" t="str">
        <f t="shared" ref="O1056" si="1649">IF(COUNT(N1056:N1057)&lt;1,"",AVERAGE(N1056:N1057))</f>
        <v/>
      </c>
      <c r="P1056" s="22"/>
      <c r="Q1056" s="285" t="str">
        <f t="shared" ref="Q1056" si="1650">IF(COUNT(P1056:P1057)&lt;1,"",AVERAGE(P1056:P1057))</f>
        <v/>
      </c>
      <c r="R1056" s="278" t="str">
        <f>IF($X$13="/28",IF(COUNT(P1056:P1057)&lt;=1,"",ABS(P1056-P1057)),IF($X$13="/90",IF(COUNT(#REF!)&lt;=1,"",ABS(#REF!-#REF!))))</f>
        <v/>
      </c>
      <c r="S1056" s="278" t="str">
        <f>IF($X$13="/28",IF(Q1056="","",IF(AVERAGE(Q1052:Q1057)&gt;=$W$13,ROUND(AVERAGE(Q1052:Q1057),1)&amp;" ≥ "&amp;$W$13&amp;" OK",ROUND(AVERAGE(Q1052:Q1057),1)&amp;" &lt; "&amp;$W$13&amp;" NC")),IF($X$13="/90",IF(#REF!="","",IF(AVERAGE(#REF!)&gt;=$W$13,ROUND(AVERAGE(#REF!),1)&amp;" ≥ "&amp;$W$13&amp;" OK",ROUND(AVERAGE(#REF!),1)&amp;" &lt; "&amp;$W$13&amp;" NC"))))</f>
        <v/>
      </c>
      <c r="T1056" s="278" t="str">
        <f>IF($X$13="/28",IF(Q1056="","",IF(Q1056&gt;=$W$13-$S$12,ROUND((Q1056),1)&amp;" ≥ "&amp;$W$13-$S$12&amp;" OK",ROUND((Q1056),1)&amp;" &lt; "&amp;$W$13-$S$12&amp;" NC")),IF($X$13="/90",IF(#REF!="","",IF(#REF!&gt;=$W$13-$S$12,ROUND((#REF!),1)&amp;" ≥ "&amp;$W$13-$S$12&amp;" OK",ROUND((#REF!),1)&amp;" &lt; "&amp;$W$13-$S$12&amp;" NC"))))</f>
        <v/>
      </c>
      <c r="U1056" s="14"/>
      <c r="V1056" s="279"/>
      <c r="W1056" s="280"/>
      <c r="X1056" s="281"/>
      <c r="Y1056" s="246"/>
      <c r="Z1056" s="246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BP1056" s="390" t="str">
        <f>IF($X$13="/28",IF(Q1056="","",Q1056),IF($X$13="/90",IF(#REF!="","",#REF!),"Falso"))</f>
        <v/>
      </c>
      <c r="BQ1056" s="392" t="str">
        <f t="shared" si="1594"/>
        <v/>
      </c>
    </row>
    <row r="1057" spans="1:69" ht="14.25" customHeight="1" x14ac:dyDescent="0.35">
      <c r="A1057" s="294"/>
      <c r="B1057" s="296"/>
      <c r="C1057" s="298"/>
      <c r="D1057" s="300"/>
      <c r="E1057" s="302"/>
      <c r="F1057" s="304"/>
      <c r="G1057" s="276"/>
      <c r="H1057" s="277"/>
      <c r="I1057" s="290"/>
      <c r="J1057" s="290"/>
      <c r="K1057" s="291"/>
      <c r="L1057" s="17"/>
      <c r="M1057" s="286"/>
      <c r="N1057" s="21"/>
      <c r="O1057" s="286"/>
      <c r="P1057" s="21"/>
      <c r="Q1057" s="286"/>
      <c r="R1057" s="248"/>
      <c r="S1057" s="287"/>
      <c r="T1057" s="248"/>
      <c r="U1057" s="13"/>
      <c r="V1057" s="282"/>
      <c r="W1057" s="283"/>
      <c r="X1057" s="284"/>
      <c r="Y1057" s="245"/>
      <c r="Z1057" s="245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BP1057" s="391"/>
      <c r="BQ1057" s="393"/>
    </row>
    <row r="1058" spans="1:69" ht="14.25" customHeight="1" x14ac:dyDescent="0.35">
      <c r="A1058" s="293">
        <v>521</v>
      </c>
      <c r="B1058" s="295"/>
      <c r="C1058" s="297"/>
      <c r="D1058" s="299"/>
      <c r="E1058" s="301"/>
      <c r="F1058" s="303"/>
      <c r="G1058" s="288"/>
      <c r="H1058" s="289"/>
      <c r="I1058" s="290"/>
      <c r="J1058" s="290"/>
      <c r="K1058" s="291"/>
      <c r="L1058" s="18"/>
      <c r="M1058" s="285" t="str">
        <f t="shared" ref="M1058" si="1651">IF(COUNT(L1058:L1059)&lt;1,"",AVERAGE(L1058:L1059))</f>
        <v/>
      </c>
      <c r="N1058" s="22"/>
      <c r="O1058" s="285" t="str">
        <f t="shared" ref="O1058" si="1652">IF(COUNT(N1058:N1059)&lt;1,"",AVERAGE(N1058:N1059))</f>
        <v/>
      </c>
      <c r="P1058" s="22"/>
      <c r="Q1058" s="285" t="str">
        <f t="shared" ref="Q1058" si="1653">IF(COUNT(P1058:P1059)&lt;1,"",AVERAGE(P1058:P1059))</f>
        <v/>
      </c>
      <c r="R1058" s="278" t="str">
        <f>IF($X$13="/28",IF(COUNT(P1058:P1059)&lt;=1,"",ABS(P1058-P1059)),IF($X$13="/90",IF(COUNT(#REF!)&lt;=1,"",ABS(#REF!-#REF!))))</f>
        <v/>
      </c>
      <c r="S1058" s="278" t="str">
        <f>IF($X$13="/28",IF(Q1058="","",IF(AVERAGE(Q1054:Q1059)&gt;=$W$13,ROUND(AVERAGE(Q1054:Q1059),1)&amp;" ≥ "&amp;$W$13&amp;" OK",ROUND(AVERAGE(Q1054:Q1059),1)&amp;" &lt; "&amp;$W$13&amp;" NC")),IF($X$13="/90",IF(#REF!="","",IF(AVERAGE(#REF!)&gt;=$W$13,ROUND(AVERAGE(#REF!),1)&amp;" ≥ "&amp;$W$13&amp;" OK",ROUND(AVERAGE(#REF!),1)&amp;" &lt; "&amp;$W$13&amp;" NC"))))</f>
        <v/>
      </c>
      <c r="T1058" s="278" t="str">
        <f>IF($X$13="/28",IF(Q1058="","",IF(Q1058&gt;=$W$13-$S$12,ROUND((Q1058),1)&amp;" ≥ "&amp;$W$13-$S$12&amp;" OK",ROUND((Q1058),1)&amp;" &lt; "&amp;$W$13-$S$12&amp;" NC")),IF($X$13="/90",IF(#REF!="","",IF(#REF!&gt;=$W$13-$S$12,ROUND((#REF!),1)&amp;" ≥ "&amp;$W$13-$S$12&amp;" OK",ROUND((#REF!),1)&amp;" &lt; "&amp;$W$13-$S$12&amp;" NC"))))</f>
        <v/>
      </c>
      <c r="U1058" s="14"/>
      <c r="V1058" s="279"/>
      <c r="W1058" s="280"/>
      <c r="X1058" s="281"/>
      <c r="Y1058" s="246"/>
      <c r="Z1058" s="246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BP1058" s="390" t="str">
        <f>IF($X$13="/28",IF(Q1058="","",Q1058),IF($X$13="/90",IF(#REF!="","",#REF!),"Falso"))</f>
        <v/>
      </c>
      <c r="BQ1058" s="392" t="str">
        <f t="shared" si="1598"/>
        <v/>
      </c>
    </row>
    <row r="1059" spans="1:69" ht="14.25" customHeight="1" x14ac:dyDescent="0.35">
      <c r="A1059" s="294"/>
      <c r="B1059" s="296"/>
      <c r="C1059" s="298"/>
      <c r="D1059" s="300"/>
      <c r="E1059" s="302"/>
      <c r="F1059" s="304"/>
      <c r="G1059" s="276"/>
      <c r="H1059" s="277"/>
      <c r="I1059" s="290"/>
      <c r="J1059" s="290"/>
      <c r="K1059" s="291"/>
      <c r="L1059" s="17"/>
      <c r="M1059" s="286"/>
      <c r="N1059" s="21"/>
      <c r="O1059" s="286"/>
      <c r="P1059" s="21"/>
      <c r="Q1059" s="286"/>
      <c r="R1059" s="248"/>
      <c r="S1059" s="287"/>
      <c r="T1059" s="248"/>
      <c r="U1059" s="13"/>
      <c r="V1059" s="282"/>
      <c r="W1059" s="283"/>
      <c r="X1059" s="284"/>
      <c r="Y1059" s="245"/>
      <c r="Z1059" s="245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BP1059" s="391"/>
      <c r="BQ1059" s="393"/>
    </row>
    <row r="1060" spans="1:69" ht="14.25" customHeight="1" x14ac:dyDescent="0.35">
      <c r="A1060" s="293">
        <v>522</v>
      </c>
      <c r="B1060" s="295"/>
      <c r="C1060" s="297"/>
      <c r="D1060" s="299"/>
      <c r="E1060" s="301"/>
      <c r="F1060" s="303"/>
      <c r="G1060" s="288"/>
      <c r="H1060" s="289"/>
      <c r="I1060" s="290"/>
      <c r="J1060" s="290"/>
      <c r="K1060" s="291"/>
      <c r="L1060" s="18"/>
      <c r="M1060" s="285" t="str">
        <f t="shared" ref="M1060" si="1654">IF(COUNT(L1060:L1061)&lt;1,"",AVERAGE(L1060:L1061))</f>
        <v/>
      </c>
      <c r="N1060" s="22"/>
      <c r="O1060" s="285" t="str">
        <f t="shared" ref="O1060" si="1655">IF(COUNT(N1060:N1061)&lt;1,"",AVERAGE(N1060:N1061))</f>
        <v/>
      </c>
      <c r="P1060" s="22"/>
      <c r="Q1060" s="285" t="str">
        <f t="shared" ref="Q1060" si="1656">IF(COUNT(P1060:P1061)&lt;1,"",AVERAGE(P1060:P1061))</f>
        <v/>
      </c>
      <c r="R1060" s="278" t="str">
        <f>IF($X$13="/28",IF(COUNT(P1060:P1061)&lt;=1,"",ABS(P1060-P1061)),IF($X$13="/90",IF(COUNT(#REF!)&lt;=1,"",ABS(#REF!-#REF!))))</f>
        <v/>
      </c>
      <c r="S1060" s="278" t="str">
        <f>IF($X$13="/28",IF(Q1060="","",IF(AVERAGE(Q1056:Q1061)&gt;=$W$13,ROUND(AVERAGE(Q1056:Q1061),1)&amp;" ≥ "&amp;$W$13&amp;" OK",ROUND(AVERAGE(Q1056:Q1061),1)&amp;" &lt; "&amp;$W$13&amp;" NC")),IF($X$13="/90",IF(#REF!="","",IF(AVERAGE(#REF!)&gt;=$W$13,ROUND(AVERAGE(#REF!),1)&amp;" ≥ "&amp;$W$13&amp;" OK",ROUND(AVERAGE(#REF!),1)&amp;" &lt; "&amp;$W$13&amp;" NC"))))</f>
        <v/>
      </c>
      <c r="T1060" s="278" t="str">
        <f>IF($X$13="/28",IF(Q1060="","",IF(Q1060&gt;=$W$13-$S$12,ROUND((Q1060),1)&amp;" ≥ "&amp;$W$13-$S$12&amp;" OK",ROUND((Q1060),1)&amp;" &lt; "&amp;$W$13-$S$12&amp;" NC")),IF($X$13="/90",IF(#REF!="","",IF(#REF!&gt;=$W$13-$S$12,ROUND((#REF!),1)&amp;" ≥ "&amp;$W$13-$S$12&amp;" OK",ROUND((#REF!),1)&amp;" &lt; "&amp;$W$13-$S$12&amp;" NC"))))</f>
        <v/>
      </c>
      <c r="U1060" s="14"/>
      <c r="V1060" s="279"/>
      <c r="W1060" s="280"/>
      <c r="X1060" s="281"/>
      <c r="Y1060" s="246"/>
      <c r="Z1060" s="246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BP1060" s="390" t="str">
        <f>IF($X$13="/28",IF(Q1060="","",Q1060),IF($X$13="/90",IF(#REF!="","",#REF!),"Falso"))</f>
        <v/>
      </c>
      <c r="BQ1060" s="392" t="str">
        <f t="shared" si="1602"/>
        <v/>
      </c>
    </row>
    <row r="1061" spans="1:69" ht="14.25" customHeight="1" x14ac:dyDescent="0.35">
      <c r="A1061" s="294"/>
      <c r="B1061" s="296"/>
      <c r="C1061" s="298"/>
      <c r="D1061" s="300"/>
      <c r="E1061" s="302"/>
      <c r="F1061" s="304"/>
      <c r="G1061" s="276"/>
      <c r="H1061" s="277"/>
      <c r="I1061" s="290"/>
      <c r="J1061" s="290"/>
      <c r="K1061" s="291"/>
      <c r="L1061" s="17"/>
      <c r="M1061" s="286"/>
      <c r="N1061" s="21"/>
      <c r="O1061" s="286"/>
      <c r="P1061" s="21"/>
      <c r="Q1061" s="286"/>
      <c r="R1061" s="248"/>
      <c r="S1061" s="287"/>
      <c r="T1061" s="248"/>
      <c r="U1061" s="13"/>
      <c r="V1061" s="282"/>
      <c r="W1061" s="283"/>
      <c r="X1061" s="284"/>
      <c r="Y1061" s="245"/>
      <c r="Z1061" s="245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BP1061" s="391"/>
      <c r="BQ1061" s="393"/>
    </row>
    <row r="1062" spans="1:69" ht="14.25" customHeight="1" x14ac:dyDescent="0.35">
      <c r="A1062" s="293">
        <v>523</v>
      </c>
      <c r="B1062" s="295"/>
      <c r="C1062" s="297"/>
      <c r="D1062" s="299"/>
      <c r="E1062" s="301"/>
      <c r="F1062" s="303"/>
      <c r="G1062" s="288"/>
      <c r="H1062" s="289"/>
      <c r="I1062" s="290"/>
      <c r="J1062" s="290"/>
      <c r="K1062" s="291"/>
      <c r="L1062" s="18"/>
      <c r="M1062" s="285" t="str">
        <f t="shared" ref="M1062" si="1657">IF(COUNT(L1062:L1063)&lt;1,"",AVERAGE(L1062:L1063))</f>
        <v/>
      </c>
      <c r="N1062" s="22"/>
      <c r="O1062" s="285" t="str">
        <f t="shared" ref="O1062" si="1658">IF(COUNT(N1062:N1063)&lt;1,"",AVERAGE(N1062:N1063))</f>
        <v/>
      </c>
      <c r="P1062" s="22"/>
      <c r="Q1062" s="285" t="str">
        <f t="shared" ref="Q1062" si="1659">IF(COUNT(P1062:P1063)&lt;1,"",AVERAGE(P1062:P1063))</f>
        <v/>
      </c>
      <c r="R1062" s="278" t="str">
        <f>IF($X$13="/28",IF(COUNT(P1062:P1063)&lt;=1,"",ABS(P1062-P1063)),IF($X$13="/90",IF(COUNT(#REF!)&lt;=1,"",ABS(#REF!-#REF!))))</f>
        <v/>
      </c>
      <c r="S1062" s="278" t="str">
        <f>IF($X$13="/28",IF(Q1062="","",IF(AVERAGE(Q1058:Q1063)&gt;=$W$13,ROUND(AVERAGE(Q1058:Q1063),1)&amp;" ≥ "&amp;$W$13&amp;" OK",ROUND(AVERAGE(Q1058:Q1063),1)&amp;" &lt; "&amp;$W$13&amp;" NC")),IF($X$13="/90",IF(#REF!="","",IF(AVERAGE(#REF!)&gt;=$W$13,ROUND(AVERAGE(#REF!),1)&amp;" ≥ "&amp;$W$13&amp;" OK",ROUND(AVERAGE(#REF!),1)&amp;" &lt; "&amp;$W$13&amp;" NC"))))</f>
        <v/>
      </c>
      <c r="T1062" s="278" t="str">
        <f>IF($X$13="/28",IF(Q1062="","",IF(Q1062&gt;=$W$13-$S$12,ROUND((Q1062),1)&amp;" ≥ "&amp;$W$13-$S$12&amp;" OK",ROUND((Q1062),1)&amp;" &lt; "&amp;$W$13-$S$12&amp;" NC")),IF($X$13="/90",IF(#REF!="","",IF(#REF!&gt;=$W$13-$S$12,ROUND((#REF!),1)&amp;" ≥ "&amp;$W$13-$S$12&amp;" OK",ROUND((#REF!),1)&amp;" &lt; "&amp;$W$13-$S$12&amp;" NC"))))</f>
        <v/>
      </c>
      <c r="U1062" s="14"/>
      <c r="V1062" s="279"/>
      <c r="W1062" s="280"/>
      <c r="X1062" s="281"/>
      <c r="Y1062" s="246"/>
      <c r="Z1062" s="246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BP1062" s="390" t="str">
        <f>IF($X$13="/28",IF(Q1062="","",Q1062),IF($X$13="/90",IF(#REF!="","",#REF!),"Falso"))</f>
        <v/>
      </c>
      <c r="BQ1062" s="392" t="str">
        <f t="shared" si="1594"/>
        <v/>
      </c>
    </row>
    <row r="1063" spans="1:69" ht="14.25" customHeight="1" x14ac:dyDescent="0.35">
      <c r="A1063" s="294"/>
      <c r="B1063" s="296"/>
      <c r="C1063" s="298"/>
      <c r="D1063" s="300"/>
      <c r="E1063" s="302"/>
      <c r="F1063" s="304"/>
      <c r="G1063" s="276"/>
      <c r="H1063" s="277"/>
      <c r="I1063" s="290"/>
      <c r="J1063" s="290"/>
      <c r="K1063" s="291"/>
      <c r="L1063" s="17"/>
      <c r="M1063" s="286"/>
      <c r="N1063" s="21"/>
      <c r="O1063" s="286"/>
      <c r="P1063" s="21"/>
      <c r="Q1063" s="286"/>
      <c r="R1063" s="248"/>
      <c r="S1063" s="287"/>
      <c r="T1063" s="248"/>
      <c r="U1063" s="13"/>
      <c r="V1063" s="282"/>
      <c r="W1063" s="283"/>
      <c r="X1063" s="284"/>
      <c r="Y1063" s="245"/>
      <c r="Z1063" s="245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BP1063" s="391"/>
      <c r="BQ1063" s="393"/>
    </row>
    <row r="1064" spans="1:69" ht="14.25" customHeight="1" x14ac:dyDescent="0.35">
      <c r="A1064" s="293">
        <v>524</v>
      </c>
      <c r="B1064" s="295"/>
      <c r="C1064" s="297"/>
      <c r="D1064" s="299"/>
      <c r="E1064" s="301"/>
      <c r="F1064" s="303"/>
      <c r="G1064" s="288"/>
      <c r="H1064" s="289"/>
      <c r="I1064" s="290"/>
      <c r="J1064" s="290"/>
      <c r="K1064" s="291"/>
      <c r="L1064" s="18"/>
      <c r="M1064" s="285" t="str">
        <f t="shared" ref="M1064" si="1660">IF(COUNT(L1064:L1065)&lt;1,"",AVERAGE(L1064:L1065))</f>
        <v/>
      </c>
      <c r="N1064" s="22"/>
      <c r="O1064" s="285" t="str">
        <f t="shared" ref="O1064" si="1661">IF(COUNT(N1064:N1065)&lt;1,"",AVERAGE(N1064:N1065))</f>
        <v/>
      </c>
      <c r="P1064" s="22"/>
      <c r="Q1064" s="285" t="str">
        <f t="shared" ref="Q1064" si="1662">IF(COUNT(P1064:P1065)&lt;1,"",AVERAGE(P1064:P1065))</f>
        <v/>
      </c>
      <c r="R1064" s="278" t="str">
        <f>IF($X$13="/28",IF(COUNT(P1064:P1065)&lt;=1,"",ABS(P1064-P1065)),IF($X$13="/90",IF(COUNT(#REF!)&lt;=1,"",ABS(#REF!-#REF!))))</f>
        <v/>
      </c>
      <c r="S1064" s="278" t="str">
        <f>IF($X$13="/28",IF(Q1064="","",IF(AVERAGE(Q1060:Q1065)&gt;=$W$13,ROUND(AVERAGE(Q1060:Q1065),1)&amp;" ≥ "&amp;$W$13&amp;" OK",ROUND(AVERAGE(Q1060:Q1065),1)&amp;" &lt; "&amp;$W$13&amp;" NC")),IF($X$13="/90",IF(#REF!="","",IF(AVERAGE(#REF!)&gt;=$W$13,ROUND(AVERAGE(#REF!),1)&amp;" ≥ "&amp;$W$13&amp;" OK",ROUND(AVERAGE(#REF!),1)&amp;" &lt; "&amp;$W$13&amp;" NC"))))</f>
        <v/>
      </c>
      <c r="T1064" s="278" t="str">
        <f>IF($X$13="/28",IF(Q1064="","",IF(Q1064&gt;=$W$13-$S$12,ROUND((Q1064),1)&amp;" ≥ "&amp;$W$13-$S$12&amp;" OK",ROUND((Q1064),1)&amp;" &lt; "&amp;$W$13-$S$12&amp;" NC")),IF($X$13="/90",IF(#REF!="","",IF(#REF!&gt;=$W$13-$S$12,ROUND((#REF!),1)&amp;" ≥ "&amp;$W$13-$S$12&amp;" OK",ROUND((#REF!),1)&amp;" &lt; "&amp;$W$13-$S$12&amp;" NC"))))</f>
        <v/>
      </c>
      <c r="U1064" s="14"/>
      <c r="V1064" s="279"/>
      <c r="W1064" s="280"/>
      <c r="X1064" s="281"/>
      <c r="Y1064" s="246"/>
      <c r="Z1064" s="246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BP1064" s="390" t="str">
        <f>IF($X$13="/28",IF(Q1064="","",Q1064),IF($X$13="/90",IF(#REF!="","",#REF!),"Falso"))</f>
        <v/>
      </c>
      <c r="BQ1064" s="392" t="str">
        <f t="shared" si="1598"/>
        <v/>
      </c>
    </row>
    <row r="1065" spans="1:69" ht="14.25" customHeight="1" x14ac:dyDescent="0.35">
      <c r="A1065" s="294"/>
      <c r="B1065" s="296"/>
      <c r="C1065" s="298"/>
      <c r="D1065" s="300"/>
      <c r="E1065" s="302"/>
      <c r="F1065" s="304"/>
      <c r="G1065" s="276"/>
      <c r="H1065" s="277"/>
      <c r="I1065" s="290"/>
      <c r="J1065" s="290"/>
      <c r="K1065" s="291"/>
      <c r="L1065" s="17"/>
      <c r="M1065" s="286"/>
      <c r="N1065" s="21"/>
      <c r="O1065" s="286"/>
      <c r="P1065" s="21"/>
      <c r="Q1065" s="286"/>
      <c r="R1065" s="248"/>
      <c r="S1065" s="287"/>
      <c r="T1065" s="248"/>
      <c r="U1065" s="13"/>
      <c r="V1065" s="282"/>
      <c r="W1065" s="283"/>
      <c r="X1065" s="284"/>
      <c r="Y1065" s="245"/>
      <c r="Z1065" s="245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BP1065" s="391"/>
      <c r="BQ1065" s="393"/>
    </row>
    <row r="1066" spans="1:69" ht="14.25" customHeight="1" x14ac:dyDescent="0.35">
      <c r="A1066" s="293">
        <v>525</v>
      </c>
      <c r="B1066" s="295"/>
      <c r="C1066" s="297"/>
      <c r="D1066" s="299"/>
      <c r="E1066" s="301"/>
      <c r="F1066" s="303"/>
      <c r="G1066" s="288"/>
      <c r="H1066" s="289"/>
      <c r="I1066" s="290"/>
      <c r="J1066" s="290"/>
      <c r="K1066" s="291"/>
      <c r="L1066" s="18"/>
      <c r="M1066" s="285" t="str">
        <f t="shared" ref="M1066" si="1663">IF(COUNT(L1066:L1067)&lt;1,"",AVERAGE(L1066:L1067))</f>
        <v/>
      </c>
      <c r="N1066" s="22"/>
      <c r="O1066" s="285" t="str">
        <f t="shared" ref="O1066" si="1664">IF(COUNT(N1066:N1067)&lt;1,"",AVERAGE(N1066:N1067))</f>
        <v/>
      </c>
      <c r="P1066" s="22"/>
      <c r="Q1066" s="285" t="str">
        <f t="shared" ref="Q1066" si="1665">IF(COUNT(P1066:P1067)&lt;1,"",AVERAGE(P1066:P1067))</f>
        <v/>
      </c>
      <c r="R1066" s="278" t="str">
        <f>IF($X$13="/28",IF(COUNT(P1066:P1067)&lt;=1,"",ABS(P1066-P1067)),IF($X$13="/90",IF(COUNT(#REF!)&lt;=1,"",ABS(#REF!-#REF!))))</f>
        <v/>
      </c>
      <c r="S1066" s="278" t="str">
        <f>IF($X$13="/28",IF(Q1066="","",IF(AVERAGE(Q1062:Q1067)&gt;=$W$13,ROUND(AVERAGE(Q1062:Q1067),1)&amp;" ≥ "&amp;$W$13&amp;" OK",ROUND(AVERAGE(Q1062:Q1067),1)&amp;" &lt; "&amp;$W$13&amp;" NC")),IF($X$13="/90",IF(#REF!="","",IF(AVERAGE(#REF!)&gt;=$W$13,ROUND(AVERAGE(#REF!),1)&amp;" ≥ "&amp;$W$13&amp;" OK",ROUND(AVERAGE(#REF!),1)&amp;" &lt; "&amp;$W$13&amp;" NC"))))</f>
        <v/>
      </c>
      <c r="T1066" s="278" t="str">
        <f>IF($X$13="/28",IF(Q1066="","",IF(Q1066&gt;=$W$13-$S$12,ROUND((Q1066),1)&amp;" ≥ "&amp;$W$13-$S$12&amp;" OK",ROUND((Q1066),1)&amp;" &lt; "&amp;$W$13-$S$12&amp;" NC")),IF($X$13="/90",IF(#REF!="","",IF(#REF!&gt;=$W$13-$S$12,ROUND((#REF!),1)&amp;" ≥ "&amp;$W$13-$S$12&amp;" OK",ROUND((#REF!),1)&amp;" &lt; "&amp;$W$13-$S$12&amp;" NC"))))</f>
        <v/>
      </c>
      <c r="U1066" s="14"/>
      <c r="V1066" s="279"/>
      <c r="W1066" s="280"/>
      <c r="X1066" s="281"/>
      <c r="Y1066" s="246"/>
      <c r="Z1066" s="246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BP1066" s="390" t="str">
        <f>IF($X$13="/28",IF(Q1066="","",Q1066),IF($X$13="/90",IF(#REF!="","",#REF!),"Falso"))</f>
        <v/>
      </c>
      <c r="BQ1066" s="392" t="str">
        <f t="shared" si="1602"/>
        <v/>
      </c>
    </row>
    <row r="1067" spans="1:69" ht="14.25" customHeight="1" x14ac:dyDescent="0.35">
      <c r="A1067" s="294"/>
      <c r="B1067" s="296"/>
      <c r="C1067" s="298"/>
      <c r="D1067" s="300"/>
      <c r="E1067" s="302"/>
      <c r="F1067" s="304"/>
      <c r="G1067" s="276"/>
      <c r="H1067" s="277"/>
      <c r="I1067" s="290"/>
      <c r="J1067" s="290"/>
      <c r="K1067" s="291"/>
      <c r="L1067" s="17"/>
      <c r="M1067" s="286"/>
      <c r="N1067" s="21"/>
      <c r="O1067" s="286"/>
      <c r="P1067" s="21"/>
      <c r="Q1067" s="286"/>
      <c r="R1067" s="248"/>
      <c r="S1067" s="287"/>
      <c r="T1067" s="248"/>
      <c r="U1067" s="13"/>
      <c r="V1067" s="282"/>
      <c r="W1067" s="283"/>
      <c r="X1067" s="284"/>
      <c r="Y1067" s="245"/>
      <c r="Z1067" s="245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BP1067" s="391"/>
      <c r="BQ1067" s="393"/>
    </row>
    <row r="1068" spans="1:69" ht="14.25" customHeight="1" x14ac:dyDescent="0.35">
      <c r="A1068" s="293">
        <v>526</v>
      </c>
      <c r="B1068" s="295"/>
      <c r="C1068" s="297"/>
      <c r="D1068" s="299"/>
      <c r="E1068" s="301"/>
      <c r="F1068" s="303"/>
      <c r="G1068" s="288"/>
      <c r="H1068" s="289"/>
      <c r="I1068" s="290"/>
      <c r="J1068" s="290"/>
      <c r="K1068" s="291"/>
      <c r="L1068" s="18"/>
      <c r="M1068" s="285" t="str">
        <f t="shared" ref="M1068" si="1666">IF(COUNT(L1068:L1069)&lt;1,"",AVERAGE(L1068:L1069))</f>
        <v/>
      </c>
      <c r="N1068" s="22"/>
      <c r="O1068" s="285" t="str">
        <f t="shared" ref="O1068" si="1667">IF(COUNT(N1068:N1069)&lt;1,"",AVERAGE(N1068:N1069))</f>
        <v/>
      </c>
      <c r="P1068" s="22"/>
      <c r="Q1068" s="285" t="str">
        <f t="shared" ref="Q1068" si="1668">IF(COUNT(P1068:P1069)&lt;1,"",AVERAGE(P1068:P1069))</f>
        <v/>
      </c>
      <c r="R1068" s="278" t="str">
        <f>IF($X$13="/28",IF(COUNT(P1068:P1069)&lt;=1,"",ABS(P1068-P1069)),IF($X$13="/90",IF(COUNT(#REF!)&lt;=1,"",ABS(#REF!-#REF!))))</f>
        <v/>
      </c>
      <c r="S1068" s="278" t="str">
        <f>IF($X$13="/28",IF(Q1068="","",IF(AVERAGE(Q1064:Q1069)&gt;=$W$13,ROUND(AVERAGE(Q1064:Q1069),1)&amp;" ≥ "&amp;$W$13&amp;" OK",ROUND(AVERAGE(Q1064:Q1069),1)&amp;" &lt; "&amp;$W$13&amp;" NC")),IF($X$13="/90",IF(#REF!="","",IF(AVERAGE(#REF!)&gt;=$W$13,ROUND(AVERAGE(#REF!),1)&amp;" ≥ "&amp;$W$13&amp;" OK",ROUND(AVERAGE(#REF!),1)&amp;" &lt; "&amp;$W$13&amp;" NC"))))</f>
        <v/>
      </c>
      <c r="T1068" s="278" t="str">
        <f>IF($X$13="/28",IF(Q1068="","",IF(Q1068&gt;=$W$13-$S$12,ROUND((Q1068),1)&amp;" ≥ "&amp;$W$13-$S$12&amp;" OK",ROUND((Q1068),1)&amp;" &lt; "&amp;$W$13-$S$12&amp;" NC")),IF($X$13="/90",IF(#REF!="","",IF(#REF!&gt;=$W$13-$S$12,ROUND((#REF!),1)&amp;" ≥ "&amp;$W$13-$S$12&amp;" OK",ROUND((#REF!),1)&amp;" &lt; "&amp;$W$13-$S$12&amp;" NC"))))</f>
        <v/>
      </c>
      <c r="U1068" s="14"/>
      <c r="V1068" s="279"/>
      <c r="W1068" s="280"/>
      <c r="X1068" s="281"/>
      <c r="Y1068" s="246"/>
      <c r="Z1068" s="246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BP1068" s="390" t="str">
        <f>IF($X$13="/28",IF(Q1068="","",Q1068),IF($X$13="/90",IF(#REF!="","",#REF!),"Falso"))</f>
        <v/>
      </c>
      <c r="BQ1068" s="392" t="str">
        <f t="shared" si="1594"/>
        <v/>
      </c>
    </row>
    <row r="1069" spans="1:69" ht="14.25" customHeight="1" x14ac:dyDescent="0.35">
      <c r="A1069" s="294"/>
      <c r="B1069" s="296"/>
      <c r="C1069" s="298"/>
      <c r="D1069" s="300"/>
      <c r="E1069" s="302"/>
      <c r="F1069" s="304"/>
      <c r="G1069" s="276"/>
      <c r="H1069" s="277"/>
      <c r="I1069" s="290"/>
      <c r="J1069" s="290"/>
      <c r="K1069" s="291"/>
      <c r="L1069" s="17"/>
      <c r="M1069" s="286"/>
      <c r="N1069" s="21"/>
      <c r="O1069" s="286"/>
      <c r="P1069" s="21"/>
      <c r="Q1069" s="286"/>
      <c r="R1069" s="248"/>
      <c r="S1069" s="287"/>
      <c r="T1069" s="248"/>
      <c r="U1069" s="13"/>
      <c r="V1069" s="282"/>
      <c r="W1069" s="283"/>
      <c r="X1069" s="284"/>
      <c r="Y1069" s="245"/>
      <c r="Z1069" s="245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BP1069" s="391"/>
      <c r="BQ1069" s="393"/>
    </row>
    <row r="1070" spans="1:69" ht="14.25" customHeight="1" x14ac:dyDescent="0.35">
      <c r="A1070" s="293">
        <v>527</v>
      </c>
      <c r="B1070" s="295"/>
      <c r="C1070" s="297"/>
      <c r="D1070" s="299"/>
      <c r="E1070" s="301"/>
      <c r="F1070" s="303"/>
      <c r="G1070" s="288"/>
      <c r="H1070" s="289"/>
      <c r="I1070" s="290"/>
      <c r="J1070" s="290"/>
      <c r="K1070" s="291"/>
      <c r="L1070" s="18"/>
      <c r="M1070" s="285" t="str">
        <f t="shared" ref="M1070" si="1669">IF(COUNT(L1070:L1071)&lt;1,"",AVERAGE(L1070:L1071))</f>
        <v/>
      </c>
      <c r="N1070" s="22"/>
      <c r="O1070" s="285" t="str">
        <f t="shared" ref="O1070" si="1670">IF(COUNT(N1070:N1071)&lt;1,"",AVERAGE(N1070:N1071))</f>
        <v/>
      </c>
      <c r="P1070" s="22"/>
      <c r="Q1070" s="285" t="str">
        <f t="shared" ref="Q1070" si="1671">IF(COUNT(P1070:P1071)&lt;1,"",AVERAGE(P1070:P1071))</f>
        <v/>
      </c>
      <c r="R1070" s="278" t="str">
        <f>IF($X$13="/28",IF(COUNT(P1070:P1071)&lt;=1,"",ABS(P1070-P1071)),IF($X$13="/90",IF(COUNT(#REF!)&lt;=1,"",ABS(#REF!-#REF!))))</f>
        <v/>
      </c>
      <c r="S1070" s="278" t="str">
        <f>IF($X$13="/28",IF(Q1070="","",IF(AVERAGE(Q1066:Q1071)&gt;=$W$13,ROUND(AVERAGE(Q1066:Q1071),1)&amp;" ≥ "&amp;$W$13&amp;" OK",ROUND(AVERAGE(Q1066:Q1071),1)&amp;" &lt; "&amp;$W$13&amp;" NC")),IF($X$13="/90",IF(#REF!="","",IF(AVERAGE(#REF!)&gt;=$W$13,ROUND(AVERAGE(#REF!),1)&amp;" ≥ "&amp;$W$13&amp;" OK",ROUND(AVERAGE(#REF!),1)&amp;" &lt; "&amp;$W$13&amp;" NC"))))</f>
        <v/>
      </c>
      <c r="T1070" s="278" t="str">
        <f>IF($X$13="/28",IF(Q1070="","",IF(Q1070&gt;=$W$13-$S$12,ROUND((Q1070),1)&amp;" ≥ "&amp;$W$13-$S$12&amp;" OK",ROUND((Q1070),1)&amp;" &lt; "&amp;$W$13-$S$12&amp;" NC")),IF($X$13="/90",IF(#REF!="","",IF(#REF!&gt;=$W$13-$S$12,ROUND((#REF!),1)&amp;" ≥ "&amp;$W$13-$S$12&amp;" OK",ROUND((#REF!),1)&amp;" &lt; "&amp;$W$13-$S$12&amp;" NC"))))</f>
        <v/>
      </c>
      <c r="U1070" s="14"/>
      <c r="V1070" s="279"/>
      <c r="W1070" s="280"/>
      <c r="X1070" s="281"/>
      <c r="Y1070" s="246"/>
      <c r="Z1070" s="246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BP1070" s="390" t="str">
        <f>IF($X$13="/28",IF(Q1070="","",Q1070),IF($X$13="/90",IF(#REF!="","",#REF!),"Falso"))</f>
        <v/>
      </c>
      <c r="BQ1070" s="392" t="str">
        <f t="shared" si="1598"/>
        <v/>
      </c>
    </row>
    <row r="1071" spans="1:69" ht="14.25" customHeight="1" x14ac:dyDescent="0.35">
      <c r="A1071" s="294"/>
      <c r="B1071" s="296"/>
      <c r="C1071" s="298"/>
      <c r="D1071" s="300"/>
      <c r="E1071" s="302"/>
      <c r="F1071" s="304"/>
      <c r="G1071" s="276"/>
      <c r="H1071" s="277"/>
      <c r="I1071" s="290"/>
      <c r="J1071" s="290"/>
      <c r="K1071" s="291"/>
      <c r="L1071" s="17"/>
      <c r="M1071" s="286"/>
      <c r="N1071" s="21"/>
      <c r="O1071" s="286"/>
      <c r="P1071" s="21"/>
      <c r="Q1071" s="286"/>
      <c r="R1071" s="248"/>
      <c r="S1071" s="287"/>
      <c r="T1071" s="248"/>
      <c r="U1071" s="13"/>
      <c r="V1071" s="282"/>
      <c r="W1071" s="283"/>
      <c r="X1071" s="284"/>
      <c r="Y1071" s="245"/>
      <c r="Z1071" s="245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BP1071" s="391"/>
      <c r="BQ1071" s="393"/>
    </row>
    <row r="1072" spans="1:69" ht="14.25" customHeight="1" x14ac:dyDescent="0.35">
      <c r="A1072" s="293">
        <v>528</v>
      </c>
      <c r="B1072" s="295"/>
      <c r="C1072" s="297"/>
      <c r="D1072" s="299"/>
      <c r="E1072" s="301"/>
      <c r="F1072" s="303"/>
      <c r="G1072" s="288"/>
      <c r="H1072" s="289"/>
      <c r="I1072" s="290"/>
      <c r="J1072" s="290"/>
      <c r="K1072" s="291"/>
      <c r="L1072" s="18"/>
      <c r="M1072" s="285" t="str">
        <f t="shared" ref="M1072" si="1672">IF(COUNT(L1072:L1073)&lt;1,"",AVERAGE(L1072:L1073))</f>
        <v/>
      </c>
      <c r="N1072" s="22"/>
      <c r="O1072" s="285" t="str">
        <f t="shared" ref="O1072" si="1673">IF(COUNT(N1072:N1073)&lt;1,"",AVERAGE(N1072:N1073))</f>
        <v/>
      </c>
      <c r="P1072" s="22"/>
      <c r="Q1072" s="285" t="str">
        <f t="shared" ref="Q1072" si="1674">IF(COUNT(P1072:P1073)&lt;1,"",AVERAGE(P1072:P1073))</f>
        <v/>
      </c>
      <c r="R1072" s="278" t="str">
        <f>IF($X$13="/28",IF(COUNT(P1072:P1073)&lt;=1,"",ABS(P1072-P1073)),IF($X$13="/90",IF(COUNT(#REF!)&lt;=1,"",ABS(#REF!-#REF!))))</f>
        <v/>
      </c>
      <c r="S1072" s="278" t="str">
        <f>IF($X$13="/28",IF(Q1072="","",IF(AVERAGE(Q1068:Q1073)&gt;=$W$13,ROUND(AVERAGE(Q1068:Q1073),1)&amp;" ≥ "&amp;$W$13&amp;" OK",ROUND(AVERAGE(Q1068:Q1073),1)&amp;" &lt; "&amp;$W$13&amp;" NC")),IF($X$13="/90",IF(#REF!="","",IF(AVERAGE(#REF!)&gt;=$W$13,ROUND(AVERAGE(#REF!),1)&amp;" ≥ "&amp;$W$13&amp;" OK",ROUND(AVERAGE(#REF!),1)&amp;" &lt; "&amp;$W$13&amp;" NC"))))</f>
        <v/>
      </c>
      <c r="T1072" s="278" t="str">
        <f>IF($X$13="/28",IF(Q1072="","",IF(Q1072&gt;=$W$13-$S$12,ROUND((Q1072),1)&amp;" ≥ "&amp;$W$13-$S$12&amp;" OK",ROUND((Q1072),1)&amp;" &lt; "&amp;$W$13-$S$12&amp;" NC")),IF($X$13="/90",IF(#REF!="","",IF(#REF!&gt;=$W$13-$S$12,ROUND((#REF!),1)&amp;" ≥ "&amp;$W$13-$S$12&amp;" OK",ROUND((#REF!),1)&amp;" &lt; "&amp;$W$13-$S$12&amp;" NC"))))</f>
        <v/>
      </c>
      <c r="U1072" s="14"/>
      <c r="V1072" s="279"/>
      <c r="W1072" s="280"/>
      <c r="X1072" s="281"/>
      <c r="Y1072" s="246"/>
      <c r="Z1072" s="246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BP1072" s="390" t="str">
        <f>IF($X$13="/28",IF(Q1072="","",Q1072),IF($X$13="/90",IF(#REF!="","",#REF!),"Falso"))</f>
        <v/>
      </c>
      <c r="BQ1072" s="392" t="str">
        <f t="shared" si="1602"/>
        <v/>
      </c>
    </row>
    <row r="1073" spans="1:69" ht="14.25" customHeight="1" x14ac:dyDescent="0.35">
      <c r="A1073" s="294"/>
      <c r="B1073" s="296"/>
      <c r="C1073" s="298"/>
      <c r="D1073" s="300"/>
      <c r="E1073" s="302"/>
      <c r="F1073" s="304"/>
      <c r="G1073" s="276"/>
      <c r="H1073" s="277"/>
      <c r="I1073" s="290"/>
      <c r="J1073" s="290"/>
      <c r="K1073" s="291"/>
      <c r="L1073" s="17"/>
      <c r="M1073" s="286"/>
      <c r="N1073" s="21"/>
      <c r="O1073" s="286"/>
      <c r="P1073" s="21"/>
      <c r="Q1073" s="286"/>
      <c r="R1073" s="248"/>
      <c r="S1073" s="287"/>
      <c r="T1073" s="248"/>
      <c r="U1073" s="13"/>
      <c r="V1073" s="282"/>
      <c r="W1073" s="283"/>
      <c r="X1073" s="284"/>
      <c r="Y1073" s="245"/>
      <c r="Z1073" s="245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BP1073" s="391"/>
      <c r="BQ1073" s="393"/>
    </row>
    <row r="1074" spans="1:69" ht="14.25" customHeight="1" x14ac:dyDescent="0.35">
      <c r="A1074" s="293">
        <v>529</v>
      </c>
      <c r="B1074" s="295"/>
      <c r="C1074" s="297"/>
      <c r="D1074" s="299"/>
      <c r="E1074" s="301"/>
      <c r="F1074" s="303"/>
      <c r="G1074" s="288"/>
      <c r="H1074" s="289"/>
      <c r="I1074" s="290"/>
      <c r="J1074" s="290"/>
      <c r="K1074" s="291"/>
      <c r="L1074" s="18"/>
      <c r="M1074" s="285" t="str">
        <f t="shared" ref="M1074" si="1675">IF(COUNT(L1074:L1075)&lt;1,"",AVERAGE(L1074:L1075))</f>
        <v/>
      </c>
      <c r="N1074" s="22"/>
      <c r="O1074" s="285" t="str">
        <f t="shared" ref="O1074" si="1676">IF(COUNT(N1074:N1075)&lt;1,"",AVERAGE(N1074:N1075))</f>
        <v/>
      </c>
      <c r="P1074" s="22"/>
      <c r="Q1074" s="285" t="str">
        <f t="shared" ref="Q1074" si="1677">IF(COUNT(P1074:P1075)&lt;1,"",AVERAGE(P1074:P1075))</f>
        <v/>
      </c>
      <c r="R1074" s="278" t="str">
        <f>IF($X$13="/28",IF(COUNT(P1074:P1075)&lt;=1,"",ABS(P1074-P1075)),IF($X$13="/90",IF(COUNT(#REF!)&lt;=1,"",ABS(#REF!-#REF!))))</f>
        <v/>
      </c>
      <c r="S1074" s="278" t="str">
        <f>IF($X$13="/28",IF(Q1074="","",IF(AVERAGE(Q1070:Q1075)&gt;=$W$13,ROUND(AVERAGE(Q1070:Q1075),1)&amp;" ≥ "&amp;$W$13&amp;" OK",ROUND(AVERAGE(Q1070:Q1075),1)&amp;" &lt; "&amp;$W$13&amp;" NC")),IF($X$13="/90",IF(#REF!="","",IF(AVERAGE(#REF!)&gt;=$W$13,ROUND(AVERAGE(#REF!),1)&amp;" ≥ "&amp;$W$13&amp;" OK",ROUND(AVERAGE(#REF!),1)&amp;" &lt; "&amp;$W$13&amp;" NC"))))</f>
        <v/>
      </c>
      <c r="T1074" s="278" t="str">
        <f>IF($X$13="/28",IF(Q1074="","",IF(Q1074&gt;=$W$13-$S$12,ROUND((Q1074),1)&amp;" ≥ "&amp;$W$13-$S$12&amp;" OK",ROUND((Q1074),1)&amp;" &lt; "&amp;$W$13-$S$12&amp;" NC")),IF($X$13="/90",IF(#REF!="","",IF(#REF!&gt;=$W$13-$S$12,ROUND((#REF!),1)&amp;" ≥ "&amp;$W$13-$S$12&amp;" OK",ROUND((#REF!),1)&amp;" &lt; "&amp;$W$13-$S$12&amp;" NC"))))</f>
        <v/>
      </c>
      <c r="U1074" s="14"/>
      <c r="V1074" s="279"/>
      <c r="W1074" s="280"/>
      <c r="X1074" s="281"/>
      <c r="Y1074" s="246"/>
      <c r="Z1074" s="246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BP1074" s="390" t="str">
        <f>IF($X$13="/28",IF(Q1074="","",Q1074),IF($X$13="/90",IF(#REF!="","",#REF!),"Falso"))</f>
        <v/>
      </c>
      <c r="BQ1074" s="392" t="str">
        <f t="shared" si="1594"/>
        <v/>
      </c>
    </row>
    <row r="1075" spans="1:69" ht="14.25" customHeight="1" x14ac:dyDescent="0.35">
      <c r="A1075" s="294"/>
      <c r="B1075" s="296"/>
      <c r="C1075" s="298"/>
      <c r="D1075" s="300"/>
      <c r="E1075" s="302"/>
      <c r="F1075" s="304"/>
      <c r="G1075" s="276"/>
      <c r="H1075" s="277"/>
      <c r="I1075" s="290"/>
      <c r="J1075" s="290"/>
      <c r="K1075" s="291"/>
      <c r="L1075" s="17"/>
      <c r="M1075" s="286"/>
      <c r="N1075" s="21"/>
      <c r="O1075" s="286"/>
      <c r="P1075" s="21"/>
      <c r="Q1075" s="286"/>
      <c r="R1075" s="248"/>
      <c r="S1075" s="287"/>
      <c r="T1075" s="248"/>
      <c r="U1075" s="13"/>
      <c r="V1075" s="282"/>
      <c r="W1075" s="283"/>
      <c r="X1075" s="284"/>
      <c r="Y1075" s="245"/>
      <c r="Z1075" s="245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BP1075" s="391"/>
      <c r="BQ1075" s="393"/>
    </row>
    <row r="1076" spans="1:69" ht="14.25" customHeight="1" x14ac:dyDescent="0.35">
      <c r="A1076" s="293">
        <v>530</v>
      </c>
      <c r="B1076" s="295"/>
      <c r="C1076" s="297"/>
      <c r="D1076" s="299"/>
      <c r="E1076" s="301"/>
      <c r="F1076" s="303"/>
      <c r="G1076" s="288"/>
      <c r="H1076" s="289"/>
      <c r="I1076" s="290"/>
      <c r="J1076" s="290"/>
      <c r="K1076" s="291"/>
      <c r="L1076" s="18"/>
      <c r="M1076" s="285" t="str">
        <f t="shared" ref="M1076" si="1678">IF(COUNT(L1076:L1077)&lt;1,"",AVERAGE(L1076:L1077))</f>
        <v/>
      </c>
      <c r="N1076" s="22"/>
      <c r="O1076" s="285" t="str">
        <f t="shared" ref="O1076" si="1679">IF(COUNT(N1076:N1077)&lt;1,"",AVERAGE(N1076:N1077))</f>
        <v/>
      </c>
      <c r="P1076" s="22"/>
      <c r="Q1076" s="285" t="str">
        <f t="shared" ref="Q1076" si="1680">IF(COUNT(P1076:P1077)&lt;1,"",AVERAGE(P1076:P1077))</f>
        <v/>
      </c>
      <c r="R1076" s="278" t="str">
        <f>IF($X$13="/28",IF(COUNT(P1076:P1077)&lt;=1,"",ABS(P1076-P1077)),IF($X$13="/90",IF(COUNT(#REF!)&lt;=1,"",ABS(#REF!-#REF!))))</f>
        <v/>
      </c>
      <c r="S1076" s="278" t="str">
        <f>IF($X$13="/28",IF(Q1076="","",IF(AVERAGE(Q1072:Q1077)&gt;=$W$13,ROUND(AVERAGE(Q1072:Q1077),1)&amp;" ≥ "&amp;$W$13&amp;" OK",ROUND(AVERAGE(Q1072:Q1077),1)&amp;" &lt; "&amp;$W$13&amp;" NC")),IF($X$13="/90",IF(#REF!="","",IF(AVERAGE(#REF!)&gt;=$W$13,ROUND(AVERAGE(#REF!),1)&amp;" ≥ "&amp;$W$13&amp;" OK",ROUND(AVERAGE(#REF!),1)&amp;" &lt; "&amp;$W$13&amp;" NC"))))</f>
        <v/>
      </c>
      <c r="T1076" s="278" t="str">
        <f>IF($X$13="/28",IF(Q1076="","",IF(Q1076&gt;=$W$13-$S$12,ROUND((Q1076),1)&amp;" ≥ "&amp;$W$13-$S$12&amp;" OK",ROUND((Q1076),1)&amp;" &lt; "&amp;$W$13-$S$12&amp;" NC")),IF($X$13="/90",IF(#REF!="","",IF(#REF!&gt;=$W$13-$S$12,ROUND((#REF!),1)&amp;" ≥ "&amp;$W$13-$S$12&amp;" OK",ROUND((#REF!),1)&amp;" &lt; "&amp;$W$13-$S$12&amp;" NC"))))</f>
        <v/>
      </c>
      <c r="U1076" s="14"/>
      <c r="V1076" s="279"/>
      <c r="W1076" s="280"/>
      <c r="X1076" s="281"/>
      <c r="Y1076" s="246"/>
      <c r="Z1076" s="246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BP1076" s="390" t="str">
        <f>IF($X$13="/28",IF(Q1076="","",Q1076),IF($X$13="/90",IF(#REF!="","",#REF!),"Falso"))</f>
        <v/>
      </c>
      <c r="BQ1076" s="392" t="str">
        <f t="shared" si="1598"/>
        <v/>
      </c>
    </row>
    <row r="1077" spans="1:69" ht="14.25" customHeight="1" x14ac:dyDescent="0.35">
      <c r="A1077" s="294"/>
      <c r="B1077" s="296"/>
      <c r="C1077" s="298"/>
      <c r="D1077" s="300"/>
      <c r="E1077" s="302"/>
      <c r="F1077" s="304"/>
      <c r="G1077" s="276"/>
      <c r="H1077" s="277"/>
      <c r="I1077" s="290"/>
      <c r="J1077" s="290"/>
      <c r="K1077" s="291"/>
      <c r="L1077" s="17"/>
      <c r="M1077" s="286"/>
      <c r="N1077" s="21"/>
      <c r="O1077" s="286"/>
      <c r="P1077" s="21"/>
      <c r="Q1077" s="286"/>
      <c r="R1077" s="248"/>
      <c r="S1077" s="287"/>
      <c r="T1077" s="248"/>
      <c r="U1077" s="13"/>
      <c r="V1077" s="282"/>
      <c r="W1077" s="283"/>
      <c r="X1077" s="284"/>
      <c r="Y1077" s="245"/>
      <c r="Z1077" s="245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BP1077" s="391"/>
      <c r="BQ1077" s="393"/>
    </row>
    <row r="1078" spans="1:69" ht="14.25" customHeight="1" x14ac:dyDescent="0.35">
      <c r="A1078" s="293">
        <v>531</v>
      </c>
      <c r="B1078" s="295"/>
      <c r="C1078" s="297"/>
      <c r="D1078" s="299"/>
      <c r="E1078" s="301"/>
      <c r="F1078" s="303"/>
      <c r="G1078" s="288"/>
      <c r="H1078" s="289"/>
      <c r="I1078" s="290"/>
      <c r="J1078" s="290"/>
      <c r="K1078" s="291"/>
      <c r="L1078" s="18"/>
      <c r="M1078" s="285" t="str">
        <f t="shared" ref="M1078" si="1681">IF(COUNT(L1078:L1079)&lt;1,"",AVERAGE(L1078:L1079))</f>
        <v/>
      </c>
      <c r="N1078" s="22"/>
      <c r="O1078" s="285" t="str">
        <f t="shared" ref="O1078" si="1682">IF(COUNT(N1078:N1079)&lt;1,"",AVERAGE(N1078:N1079))</f>
        <v/>
      </c>
      <c r="P1078" s="22"/>
      <c r="Q1078" s="285" t="str">
        <f t="shared" ref="Q1078" si="1683">IF(COUNT(P1078:P1079)&lt;1,"",AVERAGE(P1078:P1079))</f>
        <v/>
      </c>
      <c r="R1078" s="278" t="str">
        <f>IF($X$13="/28",IF(COUNT(P1078:P1079)&lt;=1,"",ABS(P1078-P1079)),IF($X$13="/90",IF(COUNT(#REF!)&lt;=1,"",ABS(#REF!-#REF!))))</f>
        <v/>
      </c>
      <c r="S1078" s="278" t="str">
        <f>IF($X$13="/28",IF(Q1078="","",IF(AVERAGE(Q1074:Q1079)&gt;=$W$13,ROUND(AVERAGE(Q1074:Q1079),1)&amp;" ≥ "&amp;$W$13&amp;" OK",ROUND(AVERAGE(Q1074:Q1079),1)&amp;" &lt; "&amp;$W$13&amp;" NC")),IF($X$13="/90",IF(#REF!="","",IF(AVERAGE(#REF!)&gt;=$W$13,ROUND(AVERAGE(#REF!),1)&amp;" ≥ "&amp;$W$13&amp;" OK",ROUND(AVERAGE(#REF!),1)&amp;" &lt; "&amp;$W$13&amp;" NC"))))</f>
        <v/>
      </c>
      <c r="T1078" s="278" t="str">
        <f>IF($X$13="/28",IF(Q1078="","",IF(Q1078&gt;=$W$13-$S$12,ROUND((Q1078),1)&amp;" ≥ "&amp;$W$13-$S$12&amp;" OK",ROUND((Q1078),1)&amp;" &lt; "&amp;$W$13-$S$12&amp;" NC")),IF($X$13="/90",IF(#REF!="","",IF(#REF!&gt;=$W$13-$S$12,ROUND((#REF!),1)&amp;" ≥ "&amp;$W$13-$S$12&amp;" OK",ROUND((#REF!),1)&amp;" &lt; "&amp;$W$13-$S$12&amp;" NC"))))</f>
        <v/>
      </c>
      <c r="U1078" s="14"/>
      <c r="V1078" s="279"/>
      <c r="W1078" s="280"/>
      <c r="X1078" s="281"/>
      <c r="Y1078" s="246"/>
      <c r="Z1078" s="246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BP1078" s="390" t="str">
        <f>IF($X$13="/28",IF(Q1078="","",Q1078),IF($X$13="/90",IF(#REF!="","",#REF!),"Falso"))</f>
        <v/>
      </c>
      <c r="BQ1078" s="392" t="str">
        <f t="shared" si="1602"/>
        <v/>
      </c>
    </row>
    <row r="1079" spans="1:69" ht="14.25" customHeight="1" x14ac:dyDescent="0.35">
      <c r="A1079" s="294"/>
      <c r="B1079" s="296"/>
      <c r="C1079" s="298"/>
      <c r="D1079" s="300"/>
      <c r="E1079" s="302"/>
      <c r="F1079" s="304"/>
      <c r="G1079" s="276"/>
      <c r="H1079" s="277"/>
      <c r="I1079" s="290"/>
      <c r="J1079" s="290"/>
      <c r="K1079" s="291"/>
      <c r="L1079" s="17"/>
      <c r="M1079" s="286"/>
      <c r="N1079" s="21"/>
      <c r="O1079" s="286"/>
      <c r="P1079" s="21"/>
      <c r="Q1079" s="286"/>
      <c r="R1079" s="248"/>
      <c r="S1079" s="287"/>
      <c r="T1079" s="248"/>
      <c r="U1079" s="13"/>
      <c r="V1079" s="282"/>
      <c r="W1079" s="283"/>
      <c r="X1079" s="284"/>
      <c r="Y1079" s="245"/>
      <c r="Z1079" s="245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BP1079" s="391"/>
      <c r="BQ1079" s="393"/>
    </row>
    <row r="1080" spans="1:69" ht="14.25" customHeight="1" x14ac:dyDescent="0.35">
      <c r="A1080" s="293">
        <v>532</v>
      </c>
      <c r="B1080" s="295"/>
      <c r="C1080" s="297"/>
      <c r="D1080" s="299"/>
      <c r="E1080" s="301"/>
      <c r="F1080" s="303"/>
      <c r="G1080" s="288"/>
      <c r="H1080" s="289"/>
      <c r="I1080" s="290"/>
      <c r="J1080" s="290"/>
      <c r="K1080" s="291"/>
      <c r="L1080" s="18"/>
      <c r="M1080" s="285" t="str">
        <f t="shared" ref="M1080" si="1684">IF(COUNT(L1080:L1081)&lt;1,"",AVERAGE(L1080:L1081))</f>
        <v/>
      </c>
      <c r="N1080" s="22"/>
      <c r="O1080" s="285" t="str">
        <f t="shared" ref="O1080" si="1685">IF(COUNT(N1080:N1081)&lt;1,"",AVERAGE(N1080:N1081))</f>
        <v/>
      </c>
      <c r="P1080" s="22"/>
      <c r="Q1080" s="285" t="str">
        <f t="shared" ref="Q1080" si="1686">IF(COUNT(P1080:P1081)&lt;1,"",AVERAGE(P1080:P1081))</f>
        <v/>
      </c>
      <c r="R1080" s="278" t="str">
        <f>IF($X$13="/28",IF(COUNT(P1080:P1081)&lt;=1,"",ABS(P1080-P1081)),IF($X$13="/90",IF(COUNT(#REF!)&lt;=1,"",ABS(#REF!-#REF!))))</f>
        <v/>
      </c>
      <c r="S1080" s="278" t="str">
        <f>IF($X$13="/28",IF(Q1080="","",IF(AVERAGE(Q1076:Q1081)&gt;=$W$13,ROUND(AVERAGE(Q1076:Q1081),1)&amp;" ≥ "&amp;$W$13&amp;" OK",ROUND(AVERAGE(Q1076:Q1081),1)&amp;" &lt; "&amp;$W$13&amp;" NC")),IF($X$13="/90",IF(#REF!="","",IF(AVERAGE(#REF!)&gt;=$W$13,ROUND(AVERAGE(#REF!),1)&amp;" ≥ "&amp;$W$13&amp;" OK",ROUND(AVERAGE(#REF!),1)&amp;" &lt; "&amp;$W$13&amp;" NC"))))</f>
        <v/>
      </c>
      <c r="T1080" s="278" t="str">
        <f>IF($X$13="/28",IF(Q1080="","",IF(Q1080&gt;=$W$13-$S$12,ROUND((Q1080),1)&amp;" ≥ "&amp;$W$13-$S$12&amp;" OK",ROUND((Q1080),1)&amp;" &lt; "&amp;$W$13-$S$12&amp;" NC")),IF($X$13="/90",IF(#REF!="","",IF(#REF!&gt;=$W$13-$S$12,ROUND((#REF!),1)&amp;" ≥ "&amp;$W$13-$S$12&amp;" OK",ROUND((#REF!),1)&amp;" &lt; "&amp;$W$13-$S$12&amp;" NC"))))</f>
        <v/>
      </c>
      <c r="U1080" s="14"/>
      <c r="V1080" s="279"/>
      <c r="W1080" s="280"/>
      <c r="X1080" s="281"/>
      <c r="Y1080" s="246"/>
      <c r="Z1080" s="246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BP1080" s="390" t="str">
        <f>IF($X$13="/28",IF(Q1080="","",Q1080),IF($X$13="/90",IF(#REF!="","",#REF!),"Falso"))</f>
        <v/>
      </c>
      <c r="BQ1080" s="392" t="str">
        <f t="shared" si="1594"/>
        <v/>
      </c>
    </row>
    <row r="1081" spans="1:69" ht="14.25" customHeight="1" x14ac:dyDescent="0.35">
      <c r="A1081" s="294"/>
      <c r="B1081" s="296"/>
      <c r="C1081" s="298"/>
      <c r="D1081" s="300"/>
      <c r="E1081" s="302"/>
      <c r="F1081" s="304"/>
      <c r="G1081" s="276"/>
      <c r="H1081" s="277"/>
      <c r="I1081" s="290"/>
      <c r="J1081" s="290"/>
      <c r="K1081" s="291"/>
      <c r="L1081" s="17"/>
      <c r="M1081" s="286"/>
      <c r="N1081" s="21"/>
      <c r="O1081" s="286"/>
      <c r="P1081" s="21"/>
      <c r="Q1081" s="286"/>
      <c r="R1081" s="248"/>
      <c r="S1081" s="287"/>
      <c r="T1081" s="248"/>
      <c r="U1081" s="13"/>
      <c r="V1081" s="282"/>
      <c r="W1081" s="283"/>
      <c r="X1081" s="284"/>
      <c r="Y1081" s="245"/>
      <c r="Z1081" s="245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BP1081" s="391"/>
      <c r="BQ1081" s="393"/>
    </row>
    <row r="1082" spans="1:69" ht="14.25" customHeight="1" x14ac:dyDescent="0.35">
      <c r="A1082" s="293">
        <v>533</v>
      </c>
      <c r="B1082" s="295"/>
      <c r="C1082" s="297"/>
      <c r="D1082" s="299"/>
      <c r="E1082" s="301"/>
      <c r="F1082" s="303"/>
      <c r="G1082" s="288"/>
      <c r="H1082" s="289"/>
      <c r="I1082" s="290"/>
      <c r="J1082" s="290"/>
      <c r="K1082" s="291"/>
      <c r="L1082" s="18"/>
      <c r="M1082" s="285" t="str">
        <f t="shared" ref="M1082" si="1687">IF(COUNT(L1082:L1083)&lt;1,"",AVERAGE(L1082:L1083))</f>
        <v/>
      </c>
      <c r="N1082" s="22"/>
      <c r="O1082" s="285" t="str">
        <f t="shared" ref="O1082" si="1688">IF(COUNT(N1082:N1083)&lt;1,"",AVERAGE(N1082:N1083))</f>
        <v/>
      </c>
      <c r="P1082" s="22"/>
      <c r="Q1082" s="285" t="str">
        <f t="shared" ref="Q1082" si="1689">IF(COUNT(P1082:P1083)&lt;1,"",AVERAGE(P1082:P1083))</f>
        <v/>
      </c>
      <c r="R1082" s="278" t="str">
        <f>IF($X$13="/28",IF(COUNT(P1082:P1083)&lt;=1,"",ABS(P1082-P1083)),IF($X$13="/90",IF(COUNT(#REF!)&lt;=1,"",ABS(#REF!-#REF!))))</f>
        <v/>
      </c>
      <c r="S1082" s="278" t="str">
        <f>IF($X$13="/28",IF(Q1082="","",IF(AVERAGE(Q1078:Q1083)&gt;=$W$13,ROUND(AVERAGE(Q1078:Q1083),1)&amp;" ≥ "&amp;$W$13&amp;" OK",ROUND(AVERAGE(Q1078:Q1083),1)&amp;" &lt; "&amp;$W$13&amp;" NC")),IF($X$13="/90",IF(#REF!="","",IF(AVERAGE(#REF!)&gt;=$W$13,ROUND(AVERAGE(#REF!),1)&amp;" ≥ "&amp;$W$13&amp;" OK",ROUND(AVERAGE(#REF!),1)&amp;" &lt; "&amp;$W$13&amp;" NC"))))</f>
        <v/>
      </c>
      <c r="T1082" s="278" t="str">
        <f>IF($X$13="/28",IF(Q1082="","",IF(Q1082&gt;=$W$13-$S$12,ROUND((Q1082),1)&amp;" ≥ "&amp;$W$13-$S$12&amp;" OK",ROUND((Q1082),1)&amp;" &lt; "&amp;$W$13-$S$12&amp;" NC")),IF($X$13="/90",IF(#REF!="","",IF(#REF!&gt;=$W$13-$S$12,ROUND((#REF!),1)&amp;" ≥ "&amp;$W$13-$S$12&amp;" OK",ROUND((#REF!),1)&amp;" &lt; "&amp;$W$13-$S$12&amp;" NC"))))</f>
        <v/>
      </c>
      <c r="U1082" s="14"/>
      <c r="V1082" s="279"/>
      <c r="W1082" s="280"/>
      <c r="X1082" s="281"/>
      <c r="Y1082" s="246"/>
      <c r="Z1082" s="246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BP1082" s="390" t="str">
        <f>IF($X$13="/28",IF(Q1082="","",Q1082),IF($X$13="/90",IF(#REF!="","",#REF!),"Falso"))</f>
        <v/>
      </c>
      <c r="BQ1082" s="392" t="str">
        <f t="shared" si="1598"/>
        <v/>
      </c>
    </row>
    <row r="1083" spans="1:69" ht="14.25" customHeight="1" x14ac:dyDescent="0.35">
      <c r="A1083" s="294"/>
      <c r="B1083" s="296"/>
      <c r="C1083" s="298"/>
      <c r="D1083" s="300"/>
      <c r="E1083" s="302"/>
      <c r="F1083" s="304"/>
      <c r="G1083" s="276"/>
      <c r="H1083" s="277"/>
      <c r="I1083" s="290"/>
      <c r="J1083" s="290"/>
      <c r="K1083" s="291"/>
      <c r="L1083" s="17"/>
      <c r="M1083" s="286"/>
      <c r="N1083" s="21"/>
      <c r="O1083" s="286"/>
      <c r="P1083" s="21"/>
      <c r="Q1083" s="286"/>
      <c r="R1083" s="248"/>
      <c r="S1083" s="287"/>
      <c r="T1083" s="248"/>
      <c r="U1083" s="13"/>
      <c r="V1083" s="282"/>
      <c r="W1083" s="283"/>
      <c r="X1083" s="284"/>
      <c r="Y1083" s="245"/>
      <c r="Z1083" s="245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BP1083" s="391"/>
      <c r="BQ1083" s="393"/>
    </row>
    <row r="1084" spans="1:69" ht="14.25" customHeight="1" x14ac:dyDescent="0.35">
      <c r="A1084" s="293">
        <v>534</v>
      </c>
      <c r="B1084" s="295"/>
      <c r="C1084" s="297"/>
      <c r="D1084" s="299"/>
      <c r="E1084" s="301"/>
      <c r="F1084" s="303"/>
      <c r="G1084" s="288"/>
      <c r="H1084" s="289"/>
      <c r="I1084" s="290"/>
      <c r="J1084" s="290"/>
      <c r="K1084" s="291"/>
      <c r="L1084" s="18"/>
      <c r="M1084" s="285" t="str">
        <f t="shared" ref="M1084" si="1690">IF(COUNT(L1084:L1085)&lt;1,"",AVERAGE(L1084:L1085))</f>
        <v/>
      </c>
      <c r="N1084" s="22"/>
      <c r="O1084" s="285" t="str">
        <f t="shared" ref="O1084" si="1691">IF(COUNT(N1084:N1085)&lt;1,"",AVERAGE(N1084:N1085))</f>
        <v/>
      </c>
      <c r="P1084" s="22"/>
      <c r="Q1084" s="285" t="str">
        <f t="shared" ref="Q1084" si="1692">IF(COUNT(P1084:P1085)&lt;1,"",AVERAGE(P1084:P1085))</f>
        <v/>
      </c>
      <c r="R1084" s="278" t="str">
        <f>IF($X$13="/28",IF(COUNT(P1084:P1085)&lt;=1,"",ABS(P1084-P1085)),IF($X$13="/90",IF(COUNT(#REF!)&lt;=1,"",ABS(#REF!-#REF!))))</f>
        <v/>
      </c>
      <c r="S1084" s="278" t="str">
        <f>IF($X$13="/28",IF(Q1084="","",IF(AVERAGE(Q1080:Q1085)&gt;=$W$13,ROUND(AVERAGE(Q1080:Q1085),1)&amp;" ≥ "&amp;$W$13&amp;" OK",ROUND(AVERAGE(Q1080:Q1085),1)&amp;" &lt; "&amp;$W$13&amp;" NC")),IF($X$13="/90",IF(#REF!="","",IF(AVERAGE(#REF!)&gt;=$W$13,ROUND(AVERAGE(#REF!),1)&amp;" ≥ "&amp;$W$13&amp;" OK",ROUND(AVERAGE(#REF!),1)&amp;" &lt; "&amp;$W$13&amp;" NC"))))</f>
        <v/>
      </c>
      <c r="T1084" s="278" t="str">
        <f>IF($X$13="/28",IF(Q1084="","",IF(Q1084&gt;=$W$13-$S$12,ROUND((Q1084),1)&amp;" ≥ "&amp;$W$13-$S$12&amp;" OK",ROUND((Q1084),1)&amp;" &lt; "&amp;$W$13-$S$12&amp;" NC")),IF($X$13="/90",IF(#REF!="","",IF(#REF!&gt;=$W$13-$S$12,ROUND((#REF!),1)&amp;" ≥ "&amp;$W$13-$S$12&amp;" OK",ROUND((#REF!),1)&amp;" &lt; "&amp;$W$13-$S$12&amp;" NC"))))</f>
        <v/>
      </c>
      <c r="U1084" s="14"/>
      <c r="V1084" s="279"/>
      <c r="W1084" s="280"/>
      <c r="X1084" s="281"/>
      <c r="Y1084" s="246"/>
      <c r="Z1084" s="246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BP1084" s="390" t="str">
        <f>IF($X$13="/28",IF(Q1084="","",Q1084),IF($X$13="/90",IF(#REF!="","",#REF!),"Falso"))</f>
        <v/>
      </c>
      <c r="BQ1084" s="392" t="str">
        <f t="shared" si="1602"/>
        <v/>
      </c>
    </row>
    <row r="1085" spans="1:69" ht="14.25" customHeight="1" x14ac:dyDescent="0.35">
      <c r="A1085" s="294"/>
      <c r="B1085" s="296"/>
      <c r="C1085" s="298"/>
      <c r="D1085" s="300"/>
      <c r="E1085" s="302"/>
      <c r="F1085" s="304"/>
      <c r="G1085" s="276"/>
      <c r="H1085" s="277"/>
      <c r="I1085" s="290"/>
      <c r="J1085" s="290"/>
      <c r="K1085" s="291"/>
      <c r="L1085" s="17"/>
      <c r="M1085" s="286"/>
      <c r="N1085" s="21"/>
      <c r="O1085" s="286"/>
      <c r="P1085" s="21"/>
      <c r="Q1085" s="286"/>
      <c r="R1085" s="248"/>
      <c r="S1085" s="287"/>
      <c r="T1085" s="248"/>
      <c r="U1085" s="13"/>
      <c r="V1085" s="282"/>
      <c r="W1085" s="283"/>
      <c r="X1085" s="284"/>
      <c r="Y1085" s="245"/>
      <c r="Z1085" s="245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BP1085" s="391"/>
      <c r="BQ1085" s="393"/>
    </row>
    <row r="1086" spans="1:69" ht="14.25" customHeight="1" x14ac:dyDescent="0.35">
      <c r="A1086" s="293">
        <v>535</v>
      </c>
      <c r="B1086" s="295"/>
      <c r="C1086" s="297"/>
      <c r="D1086" s="299"/>
      <c r="E1086" s="301"/>
      <c r="F1086" s="303"/>
      <c r="G1086" s="288"/>
      <c r="H1086" s="289"/>
      <c r="I1086" s="290"/>
      <c r="J1086" s="290"/>
      <c r="K1086" s="291"/>
      <c r="L1086" s="18"/>
      <c r="M1086" s="285" t="str">
        <f t="shared" ref="M1086" si="1693">IF(COUNT(L1086:L1087)&lt;1,"",AVERAGE(L1086:L1087))</f>
        <v/>
      </c>
      <c r="N1086" s="22"/>
      <c r="O1086" s="285" t="str">
        <f t="shared" ref="O1086" si="1694">IF(COUNT(N1086:N1087)&lt;1,"",AVERAGE(N1086:N1087))</f>
        <v/>
      </c>
      <c r="P1086" s="22"/>
      <c r="Q1086" s="285" t="str">
        <f t="shared" ref="Q1086" si="1695">IF(COUNT(P1086:P1087)&lt;1,"",AVERAGE(P1086:P1087))</f>
        <v/>
      </c>
      <c r="R1086" s="278" t="str">
        <f>IF($X$13="/28",IF(COUNT(P1086:P1087)&lt;=1,"",ABS(P1086-P1087)),IF($X$13="/90",IF(COUNT(#REF!)&lt;=1,"",ABS(#REF!-#REF!))))</f>
        <v/>
      </c>
      <c r="S1086" s="278" t="str">
        <f>IF($X$13="/28",IF(Q1086="","",IF(AVERAGE(Q1082:Q1087)&gt;=$W$13,ROUND(AVERAGE(Q1082:Q1087),1)&amp;" ≥ "&amp;$W$13&amp;" OK",ROUND(AVERAGE(Q1082:Q1087),1)&amp;" &lt; "&amp;$W$13&amp;" NC")),IF($X$13="/90",IF(#REF!="","",IF(AVERAGE(#REF!)&gt;=$W$13,ROUND(AVERAGE(#REF!),1)&amp;" ≥ "&amp;$W$13&amp;" OK",ROUND(AVERAGE(#REF!),1)&amp;" &lt; "&amp;$W$13&amp;" NC"))))</f>
        <v/>
      </c>
      <c r="T1086" s="278" t="str">
        <f>IF($X$13="/28",IF(Q1086="","",IF(Q1086&gt;=$W$13-$S$12,ROUND((Q1086),1)&amp;" ≥ "&amp;$W$13-$S$12&amp;" OK",ROUND((Q1086),1)&amp;" &lt; "&amp;$W$13-$S$12&amp;" NC")),IF($X$13="/90",IF(#REF!="","",IF(#REF!&gt;=$W$13-$S$12,ROUND((#REF!),1)&amp;" ≥ "&amp;$W$13-$S$12&amp;" OK",ROUND((#REF!),1)&amp;" &lt; "&amp;$W$13-$S$12&amp;" NC"))))</f>
        <v/>
      </c>
      <c r="U1086" s="14"/>
      <c r="V1086" s="279"/>
      <c r="W1086" s="280"/>
      <c r="X1086" s="281"/>
      <c r="Y1086" s="246"/>
      <c r="Z1086" s="246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BP1086" s="390" t="str">
        <f>IF($X$13="/28",IF(Q1086="","",Q1086),IF($X$13="/90",IF(#REF!="","",#REF!),"Falso"))</f>
        <v/>
      </c>
      <c r="BQ1086" s="392" t="str">
        <f t="shared" ref="BQ1086:BQ1146" si="1696">IF(BP1086="","",BQ1084+1)</f>
        <v/>
      </c>
    </row>
    <row r="1087" spans="1:69" ht="14.25" customHeight="1" x14ac:dyDescent="0.35">
      <c r="A1087" s="294"/>
      <c r="B1087" s="296"/>
      <c r="C1087" s="298"/>
      <c r="D1087" s="300"/>
      <c r="E1087" s="302"/>
      <c r="F1087" s="304"/>
      <c r="G1087" s="276"/>
      <c r="H1087" s="277"/>
      <c r="I1087" s="290"/>
      <c r="J1087" s="290"/>
      <c r="K1087" s="291"/>
      <c r="L1087" s="17"/>
      <c r="M1087" s="286"/>
      <c r="N1087" s="21"/>
      <c r="O1087" s="286"/>
      <c r="P1087" s="21"/>
      <c r="Q1087" s="286"/>
      <c r="R1087" s="248"/>
      <c r="S1087" s="287"/>
      <c r="T1087" s="248"/>
      <c r="U1087" s="13"/>
      <c r="V1087" s="282"/>
      <c r="W1087" s="283"/>
      <c r="X1087" s="284"/>
      <c r="Y1087" s="245"/>
      <c r="Z1087" s="245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BP1087" s="391"/>
      <c r="BQ1087" s="393"/>
    </row>
    <row r="1088" spans="1:69" ht="14.25" customHeight="1" x14ac:dyDescent="0.35">
      <c r="A1088" s="293">
        <v>536</v>
      </c>
      <c r="B1088" s="295"/>
      <c r="C1088" s="297"/>
      <c r="D1088" s="299"/>
      <c r="E1088" s="301"/>
      <c r="F1088" s="303"/>
      <c r="G1088" s="288"/>
      <c r="H1088" s="289"/>
      <c r="I1088" s="290"/>
      <c r="J1088" s="290"/>
      <c r="K1088" s="291"/>
      <c r="L1088" s="18"/>
      <c r="M1088" s="285" t="str">
        <f t="shared" ref="M1088" si="1697">IF(COUNT(L1088:L1089)&lt;1,"",AVERAGE(L1088:L1089))</f>
        <v/>
      </c>
      <c r="N1088" s="22"/>
      <c r="O1088" s="285" t="str">
        <f t="shared" ref="O1088" si="1698">IF(COUNT(N1088:N1089)&lt;1,"",AVERAGE(N1088:N1089))</f>
        <v/>
      </c>
      <c r="P1088" s="22"/>
      <c r="Q1088" s="285" t="str">
        <f t="shared" ref="Q1088" si="1699">IF(COUNT(P1088:P1089)&lt;1,"",AVERAGE(P1088:P1089))</f>
        <v/>
      </c>
      <c r="R1088" s="278" t="str">
        <f>IF($X$13="/28",IF(COUNT(P1088:P1089)&lt;=1,"",ABS(P1088-P1089)),IF($X$13="/90",IF(COUNT(#REF!)&lt;=1,"",ABS(#REF!-#REF!))))</f>
        <v/>
      </c>
      <c r="S1088" s="278" t="str">
        <f>IF($X$13="/28",IF(Q1088="","",IF(AVERAGE(Q1084:Q1089)&gt;=$W$13,ROUND(AVERAGE(Q1084:Q1089),1)&amp;" ≥ "&amp;$W$13&amp;" OK",ROUND(AVERAGE(Q1084:Q1089),1)&amp;" &lt; "&amp;$W$13&amp;" NC")),IF($X$13="/90",IF(#REF!="","",IF(AVERAGE(#REF!)&gt;=$W$13,ROUND(AVERAGE(#REF!),1)&amp;" ≥ "&amp;$W$13&amp;" OK",ROUND(AVERAGE(#REF!),1)&amp;" &lt; "&amp;$W$13&amp;" NC"))))</f>
        <v/>
      </c>
      <c r="T1088" s="278" t="str">
        <f>IF($X$13="/28",IF(Q1088="","",IF(Q1088&gt;=$W$13-$S$12,ROUND((Q1088),1)&amp;" ≥ "&amp;$W$13-$S$12&amp;" OK",ROUND((Q1088),1)&amp;" &lt; "&amp;$W$13-$S$12&amp;" NC")),IF($X$13="/90",IF(#REF!="","",IF(#REF!&gt;=$W$13-$S$12,ROUND((#REF!),1)&amp;" ≥ "&amp;$W$13-$S$12&amp;" OK",ROUND((#REF!),1)&amp;" &lt; "&amp;$W$13-$S$12&amp;" NC"))))</f>
        <v/>
      </c>
      <c r="U1088" s="14"/>
      <c r="V1088" s="279"/>
      <c r="W1088" s="280"/>
      <c r="X1088" s="281"/>
      <c r="Y1088" s="246"/>
      <c r="Z1088" s="246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BP1088" s="390" t="str">
        <f>IF($X$13="/28",IF(Q1088="","",Q1088),IF($X$13="/90",IF(#REF!="","",#REF!),"Falso"))</f>
        <v/>
      </c>
      <c r="BQ1088" s="392" t="str">
        <f t="shared" ref="BQ1088:BQ1148" si="1700">IF(BP1088="","",BQ1086+1)</f>
        <v/>
      </c>
    </row>
    <row r="1089" spans="1:69" ht="14.25" customHeight="1" x14ac:dyDescent="0.35">
      <c r="A1089" s="294"/>
      <c r="B1089" s="296"/>
      <c r="C1089" s="298"/>
      <c r="D1089" s="300"/>
      <c r="E1089" s="302"/>
      <c r="F1089" s="304"/>
      <c r="G1089" s="276"/>
      <c r="H1089" s="277"/>
      <c r="I1089" s="290"/>
      <c r="J1089" s="290"/>
      <c r="K1089" s="291"/>
      <c r="L1089" s="17"/>
      <c r="M1089" s="286"/>
      <c r="N1089" s="21"/>
      <c r="O1089" s="286"/>
      <c r="P1089" s="21"/>
      <c r="Q1089" s="286"/>
      <c r="R1089" s="248"/>
      <c r="S1089" s="287"/>
      <c r="T1089" s="248"/>
      <c r="U1089" s="13"/>
      <c r="V1089" s="282"/>
      <c r="W1089" s="283"/>
      <c r="X1089" s="284"/>
      <c r="Y1089" s="245"/>
      <c r="Z1089" s="245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BP1089" s="391"/>
      <c r="BQ1089" s="393"/>
    </row>
    <row r="1090" spans="1:69" ht="14.25" customHeight="1" x14ac:dyDescent="0.35">
      <c r="A1090" s="293">
        <v>537</v>
      </c>
      <c r="B1090" s="295"/>
      <c r="C1090" s="297"/>
      <c r="D1090" s="299"/>
      <c r="E1090" s="301"/>
      <c r="F1090" s="303"/>
      <c r="G1090" s="288"/>
      <c r="H1090" s="289"/>
      <c r="I1090" s="290"/>
      <c r="J1090" s="290"/>
      <c r="K1090" s="291"/>
      <c r="L1090" s="18"/>
      <c r="M1090" s="285" t="str">
        <f t="shared" ref="M1090" si="1701">IF(COUNT(L1090:L1091)&lt;1,"",AVERAGE(L1090:L1091))</f>
        <v/>
      </c>
      <c r="N1090" s="22"/>
      <c r="O1090" s="285" t="str">
        <f t="shared" ref="O1090" si="1702">IF(COUNT(N1090:N1091)&lt;1,"",AVERAGE(N1090:N1091))</f>
        <v/>
      </c>
      <c r="P1090" s="22"/>
      <c r="Q1090" s="285" t="str">
        <f t="shared" ref="Q1090" si="1703">IF(COUNT(P1090:P1091)&lt;1,"",AVERAGE(P1090:P1091))</f>
        <v/>
      </c>
      <c r="R1090" s="278" t="str">
        <f>IF($X$13="/28",IF(COUNT(P1090:P1091)&lt;=1,"",ABS(P1090-P1091)),IF($X$13="/90",IF(COUNT(#REF!)&lt;=1,"",ABS(#REF!-#REF!))))</f>
        <v/>
      </c>
      <c r="S1090" s="278" t="str">
        <f>IF($X$13="/28",IF(Q1090="","",IF(AVERAGE(Q1086:Q1091)&gt;=$W$13,ROUND(AVERAGE(Q1086:Q1091),1)&amp;" ≥ "&amp;$W$13&amp;" OK",ROUND(AVERAGE(Q1086:Q1091),1)&amp;" &lt; "&amp;$W$13&amp;" NC")),IF($X$13="/90",IF(#REF!="","",IF(AVERAGE(#REF!)&gt;=$W$13,ROUND(AVERAGE(#REF!),1)&amp;" ≥ "&amp;$W$13&amp;" OK",ROUND(AVERAGE(#REF!),1)&amp;" &lt; "&amp;$W$13&amp;" NC"))))</f>
        <v/>
      </c>
      <c r="T1090" s="278" t="str">
        <f>IF($X$13="/28",IF(Q1090="","",IF(Q1090&gt;=$W$13-$S$12,ROUND((Q1090),1)&amp;" ≥ "&amp;$W$13-$S$12&amp;" OK",ROUND((Q1090),1)&amp;" &lt; "&amp;$W$13-$S$12&amp;" NC")),IF($X$13="/90",IF(#REF!="","",IF(#REF!&gt;=$W$13-$S$12,ROUND((#REF!),1)&amp;" ≥ "&amp;$W$13-$S$12&amp;" OK",ROUND((#REF!),1)&amp;" &lt; "&amp;$W$13-$S$12&amp;" NC"))))</f>
        <v/>
      </c>
      <c r="U1090" s="14"/>
      <c r="V1090" s="279"/>
      <c r="W1090" s="280"/>
      <c r="X1090" s="281"/>
      <c r="Y1090" s="246"/>
      <c r="Z1090" s="246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BP1090" s="390" t="str">
        <f>IF($X$13="/28",IF(Q1090="","",Q1090),IF($X$13="/90",IF(#REF!="","",#REF!),"Falso"))</f>
        <v/>
      </c>
      <c r="BQ1090" s="392" t="str">
        <f t="shared" ref="BQ1090:BQ1150" si="1704">IF(BP1090="","",BQ1088+1)</f>
        <v/>
      </c>
    </row>
    <row r="1091" spans="1:69" ht="14.25" customHeight="1" x14ac:dyDescent="0.35">
      <c r="A1091" s="294"/>
      <c r="B1091" s="296"/>
      <c r="C1091" s="298"/>
      <c r="D1091" s="300"/>
      <c r="E1091" s="302"/>
      <c r="F1091" s="304"/>
      <c r="G1091" s="276"/>
      <c r="H1091" s="277"/>
      <c r="I1091" s="290"/>
      <c r="J1091" s="290"/>
      <c r="K1091" s="291"/>
      <c r="L1091" s="17"/>
      <c r="M1091" s="286"/>
      <c r="N1091" s="21"/>
      <c r="O1091" s="286"/>
      <c r="P1091" s="21"/>
      <c r="Q1091" s="286"/>
      <c r="R1091" s="248"/>
      <c r="S1091" s="287"/>
      <c r="T1091" s="248"/>
      <c r="U1091" s="13"/>
      <c r="V1091" s="282"/>
      <c r="W1091" s="283"/>
      <c r="X1091" s="284"/>
      <c r="Y1091" s="245"/>
      <c r="Z1091" s="245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BP1091" s="391"/>
      <c r="BQ1091" s="393"/>
    </row>
    <row r="1092" spans="1:69" ht="14.25" customHeight="1" x14ac:dyDescent="0.35">
      <c r="A1092" s="293">
        <v>538</v>
      </c>
      <c r="B1092" s="295"/>
      <c r="C1092" s="297"/>
      <c r="D1092" s="299"/>
      <c r="E1092" s="301"/>
      <c r="F1092" s="303"/>
      <c r="G1092" s="288"/>
      <c r="H1092" s="289"/>
      <c r="I1092" s="290"/>
      <c r="J1092" s="290"/>
      <c r="K1092" s="291"/>
      <c r="L1092" s="18"/>
      <c r="M1092" s="285" t="str">
        <f t="shared" ref="M1092" si="1705">IF(COUNT(L1092:L1093)&lt;1,"",AVERAGE(L1092:L1093))</f>
        <v/>
      </c>
      <c r="N1092" s="22"/>
      <c r="O1092" s="285" t="str">
        <f t="shared" ref="O1092" si="1706">IF(COUNT(N1092:N1093)&lt;1,"",AVERAGE(N1092:N1093))</f>
        <v/>
      </c>
      <c r="P1092" s="22"/>
      <c r="Q1092" s="285" t="str">
        <f t="shared" ref="Q1092" si="1707">IF(COUNT(P1092:P1093)&lt;1,"",AVERAGE(P1092:P1093))</f>
        <v/>
      </c>
      <c r="R1092" s="278" t="str">
        <f>IF($X$13="/28",IF(COUNT(P1092:P1093)&lt;=1,"",ABS(P1092-P1093)),IF($X$13="/90",IF(COUNT(#REF!)&lt;=1,"",ABS(#REF!-#REF!))))</f>
        <v/>
      </c>
      <c r="S1092" s="278" t="str">
        <f>IF($X$13="/28",IF(Q1092="","",IF(AVERAGE(Q1088:Q1093)&gt;=$W$13,ROUND(AVERAGE(Q1088:Q1093),1)&amp;" ≥ "&amp;$W$13&amp;" OK",ROUND(AVERAGE(Q1088:Q1093),1)&amp;" &lt; "&amp;$W$13&amp;" NC")),IF($X$13="/90",IF(#REF!="","",IF(AVERAGE(#REF!)&gt;=$W$13,ROUND(AVERAGE(#REF!),1)&amp;" ≥ "&amp;$W$13&amp;" OK",ROUND(AVERAGE(#REF!),1)&amp;" &lt; "&amp;$W$13&amp;" NC"))))</f>
        <v/>
      </c>
      <c r="T1092" s="278" t="str">
        <f>IF($X$13="/28",IF(Q1092="","",IF(Q1092&gt;=$W$13-$S$12,ROUND((Q1092),1)&amp;" ≥ "&amp;$W$13-$S$12&amp;" OK",ROUND((Q1092),1)&amp;" &lt; "&amp;$W$13-$S$12&amp;" NC")),IF($X$13="/90",IF(#REF!="","",IF(#REF!&gt;=$W$13-$S$12,ROUND((#REF!),1)&amp;" ≥ "&amp;$W$13-$S$12&amp;" OK",ROUND((#REF!),1)&amp;" &lt; "&amp;$W$13-$S$12&amp;" NC"))))</f>
        <v/>
      </c>
      <c r="U1092" s="14"/>
      <c r="V1092" s="279"/>
      <c r="W1092" s="280"/>
      <c r="X1092" s="281"/>
      <c r="Y1092" s="246"/>
      <c r="Z1092" s="246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BP1092" s="390" t="str">
        <f>IF($X$13="/28",IF(Q1092="","",Q1092),IF($X$13="/90",IF(#REF!="","",#REF!),"Falso"))</f>
        <v/>
      </c>
      <c r="BQ1092" s="392" t="str">
        <f t="shared" si="1696"/>
        <v/>
      </c>
    </row>
    <row r="1093" spans="1:69" ht="14.25" customHeight="1" x14ac:dyDescent="0.35">
      <c r="A1093" s="294"/>
      <c r="B1093" s="296"/>
      <c r="C1093" s="298"/>
      <c r="D1093" s="300"/>
      <c r="E1093" s="302"/>
      <c r="F1093" s="304"/>
      <c r="G1093" s="276"/>
      <c r="H1093" s="277"/>
      <c r="I1093" s="290"/>
      <c r="J1093" s="290"/>
      <c r="K1093" s="291"/>
      <c r="L1093" s="17"/>
      <c r="M1093" s="286"/>
      <c r="N1093" s="21"/>
      <c r="O1093" s="286"/>
      <c r="P1093" s="21"/>
      <c r="Q1093" s="286"/>
      <c r="R1093" s="248"/>
      <c r="S1093" s="287"/>
      <c r="T1093" s="248"/>
      <c r="U1093" s="13"/>
      <c r="V1093" s="282"/>
      <c r="W1093" s="283"/>
      <c r="X1093" s="284"/>
      <c r="Y1093" s="245"/>
      <c r="Z1093" s="245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BP1093" s="391"/>
      <c r="BQ1093" s="393"/>
    </row>
    <row r="1094" spans="1:69" ht="14.25" customHeight="1" x14ac:dyDescent="0.35">
      <c r="A1094" s="293">
        <v>539</v>
      </c>
      <c r="B1094" s="295"/>
      <c r="C1094" s="297"/>
      <c r="D1094" s="299"/>
      <c r="E1094" s="301"/>
      <c r="F1094" s="303"/>
      <c r="G1094" s="288"/>
      <c r="H1094" s="289"/>
      <c r="I1094" s="290"/>
      <c r="J1094" s="290"/>
      <c r="K1094" s="291"/>
      <c r="L1094" s="18"/>
      <c r="M1094" s="285" t="str">
        <f t="shared" ref="M1094" si="1708">IF(COUNT(L1094:L1095)&lt;1,"",AVERAGE(L1094:L1095))</f>
        <v/>
      </c>
      <c r="N1094" s="22"/>
      <c r="O1094" s="285" t="str">
        <f t="shared" ref="O1094" si="1709">IF(COUNT(N1094:N1095)&lt;1,"",AVERAGE(N1094:N1095))</f>
        <v/>
      </c>
      <c r="P1094" s="22"/>
      <c r="Q1094" s="285" t="str">
        <f t="shared" ref="Q1094" si="1710">IF(COUNT(P1094:P1095)&lt;1,"",AVERAGE(P1094:P1095))</f>
        <v/>
      </c>
      <c r="R1094" s="278" t="str">
        <f>IF($X$13="/28",IF(COUNT(P1094:P1095)&lt;=1,"",ABS(P1094-P1095)),IF($X$13="/90",IF(COUNT(#REF!)&lt;=1,"",ABS(#REF!-#REF!))))</f>
        <v/>
      </c>
      <c r="S1094" s="278" t="str">
        <f>IF($X$13="/28",IF(Q1094="","",IF(AVERAGE(Q1090:Q1095)&gt;=$W$13,ROUND(AVERAGE(Q1090:Q1095),1)&amp;" ≥ "&amp;$W$13&amp;" OK",ROUND(AVERAGE(Q1090:Q1095),1)&amp;" &lt; "&amp;$W$13&amp;" NC")),IF($X$13="/90",IF(#REF!="","",IF(AVERAGE(#REF!)&gt;=$W$13,ROUND(AVERAGE(#REF!),1)&amp;" ≥ "&amp;$W$13&amp;" OK",ROUND(AVERAGE(#REF!),1)&amp;" &lt; "&amp;$W$13&amp;" NC"))))</f>
        <v/>
      </c>
      <c r="T1094" s="278" t="str">
        <f>IF($X$13="/28",IF(Q1094="","",IF(Q1094&gt;=$W$13-$S$12,ROUND((Q1094),1)&amp;" ≥ "&amp;$W$13-$S$12&amp;" OK",ROUND((Q1094),1)&amp;" &lt; "&amp;$W$13-$S$12&amp;" NC")),IF($X$13="/90",IF(#REF!="","",IF(#REF!&gt;=$W$13-$S$12,ROUND((#REF!),1)&amp;" ≥ "&amp;$W$13-$S$12&amp;" OK",ROUND((#REF!),1)&amp;" &lt; "&amp;$W$13-$S$12&amp;" NC"))))</f>
        <v/>
      </c>
      <c r="U1094" s="14"/>
      <c r="V1094" s="279"/>
      <c r="W1094" s="280"/>
      <c r="X1094" s="281"/>
      <c r="Y1094" s="246"/>
      <c r="Z1094" s="246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BP1094" s="390" t="str">
        <f>IF($X$13="/28",IF(Q1094="","",Q1094),IF($X$13="/90",IF(#REF!="","",#REF!),"Falso"))</f>
        <v/>
      </c>
      <c r="BQ1094" s="392" t="str">
        <f t="shared" si="1700"/>
        <v/>
      </c>
    </row>
    <row r="1095" spans="1:69" ht="14.25" customHeight="1" x14ac:dyDescent="0.35">
      <c r="A1095" s="294"/>
      <c r="B1095" s="296"/>
      <c r="C1095" s="298"/>
      <c r="D1095" s="300"/>
      <c r="E1095" s="302"/>
      <c r="F1095" s="304"/>
      <c r="G1095" s="276"/>
      <c r="H1095" s="277"/>
      <c r="I1095" s="290"/>
      <c r="J1095" s="290"/>
      <c r="K1095" s="291"/>
      <c r="L1095" s="17"/>
      <c r="M1095" s="286"/>
      <c r="N1095" s="21"/>
      <c r="O1095" s="286"/>
      <c r="P1095" s="21"/>
      <c r="Q1095" s="286"/>
      <c r="R1095" s="248"/>
      <c r="S1095" s="287"/>
      <c r="T1095" s="248"/>
      <c r="U1095" s="13"/>
      <c r="V1095" s="282"/>
      <c r="W1095" s="283"/>
      <c r="X1095" s="284"/>
      <c r="Y1095" s="245"/>
      <c r="Z1095" s="245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BP1095" s="391"/>
      <c r="BQ1095" s="393"/>
    </row>
    <row r="1096" spans="1:69" ht="14.25" customHeight="1" x14ac:dyDescent="0.35">
      <c r="A1096" s="293">
        <v>540</v>
      </c>
      <c r="B1096" s="295"/>
      <c r="C1096" s="297"/>
      <c r="D1096" s="299"/>
      <c r="E1096" s="301"/>
      <c r="F1096" s="303"/>
      <c r="G1096" s="288"/>
      <c r="H1096" s="289"/>
      <c r="I1096" s="290"/>
      <c r="J1096" s="290"/>
      <c r="K1096" s="291"/>
      <c r="L1096" s="18"/>
      <c r="M1096" s="285" t="str">
        <f t="shared" ref="M1096" si="1711">IF(COUNT(L1096:L1097)&lt;1,"",AVERAGE(L1096:L1097))</f>
        <v/>
      </c>
      <c r="N1096" s="22"/>
      <c r="O1096" s="285" t="str">
        <f t="shared" ref="O1096" si="1712">IF(COUNT(N1096:N1097)&lt;1,"",AVERAGE(N1096:N1097))</f>
        <v/>
      </c>
      <c r="P1096" s="22"/>
      <c r="Q1096" s="285" t="str">
        <f t="shared" ref="Q1096" si="1713">IF(COUNT(P1096:P1097)&lt;1,"",AVERAGE(P1096:P1097))</f>
        <v/>
      </c>
      <c r="R1096" s="278" t="str">
        <f>IF($X$13="/28",IF(COUNT(P1096:P1097)&lt;=1,"",ABS(P1096-P1097)),IF($X$13="/90",IF(COUNT(#REF!)&lt;=1,"",ABS(#REF!-#REF!))))</f>
        <v/>
      </c>
      <c r="S1096" s="278" t="str">
        <f>IF($X$13="/28",IF(Q1096="","",IF(AVERAGE(Q1092:Q1097)&gt;=$W$13,ROUND(AVERAGE(Q1092:Q1097),1)&amp;" ≥ "&amp;$W$13&amp;" OK",ROUND(AVERAGE(Q1092:Q1097),1)&amp;" &lt; "&amp;$W$13&amp;" NC")),IF($X$13="/90",IF(#REF!="","",IF(AVERAGE(#REF!)&gt;=$W$13,ROUND(AVERAGE(#REF!),1)&amp;" ≥ "&amp;$W$13&amp;" OK",ROUND(AVERAGE(#REF!),1)&amp;" &lt; "&amp;$W$13&amp;" NC"))))</f>
        <v/>
      </c>
      <c r="T1096" s="278" t="str">
        <f>IF($X$13="/28",IF(Q1096="","",IF(Q1096&gt;=$W$13-$S$12,ROUND((Q1096),1)&amp;" ≥ "&amp;$W$13-$S$12&amp;" OK",ROUND((Q1096),1)&amp;" &lt; "&amp;$W$13-$S$12&amp;" NC")),IF($X$13="/90",IF(#REF!="","",IF(#REF!&gt;=$W$13-$S$12,ROUND((#REF!),1)&amp;" ≥ "&amp;$W$13-$S$12&amp;" OK",ROUND((#REF!),1)&amp;" &lt; "&amp;$W$13-$S$12&amp;" NC"))))</f>
        <v/>
      </c>
      <c r="U1096" s="14"/>
      <c r="V1096" s="279"/>
      <c r="W1096" s="280"/>
      <c r="X1096" s="281"/>
      <c r="Y1096" s="246"/>
      <c r="Z1096" s="246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BP1096" s="390" t="str">
        <f>IF($X$13="/28",IF(Q1096="","",Q1096),IF($X$13="/90",IF(#REF!="","",#REF!),"Falso"))</f>
        <v/>
      </c>
      <c r="BQ1096" s="392" t="str">
        <f t="shared" si="1704"/>
        <v/>
      </c>
    </row>
    <row r="1097" spans="1:69" ht="14.25" customHeight="1" thickBot="1" x14ac:dyDescent="0.4">
      <c r="A1097" s="384"/>
      <c r="B1097" s="385"/>
      <c r="C1097" s="386"/>
      <c r="D1097" s="387"/>
      <c r="E1097" s="388"/>
      <c r="F1097" s="389"/>
      <c r="G1097" s="377"/>
      <c r="H1097" s="378"/>
      <c r="I1097" s="382"/>
      <c r="J1097" s="382"/>
      <c r="K1097" s="383"/>
      <c r="L1097" s="19"/>
      <c r="M1097" s="379"/>
      <c r="N1097" s="23"/>
      <c r="O1097" s="379"/>
      <c r="P1097" s="23"/>
      <c r="Q1097" s="379"/>
      <c r="R1097" s="380"/>
      <c r="S1097" s="381"/>
      <c r="T1097" s="380"/>
      <c r="U1097" s="15"/>
      <c r="V1097" s="373"/>
      <c r="W1097" s="374"/>
      <c r="X1097" s="375"/>
      <c r="Y1097" s="376"/>
      <c r="Z1097" s="376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BP1097" s="391"/>
      <c r="BQ1097" s="393"/>
    </row>
    <row r="1098" spans="1:69" ht="14.25" customHeight="1" x14ac:dyDescent="0.35">
      <c r="A1098" s="311">
        <v>541</v>
      </c>
      <c r="B1098" s="312"/>
      <c r="C1098" s="313"/>
      <c r="D1098" s="314"/>
      <c r="E1098" s="315"/>
      <c r="F1098" s="353"/>
      <c r="G1098" s="354"/>
      <c r="H1098" s="355"/>
      <c r="I1098" s="356"/>
      <c r="J1098" s="356"/>
      <c r="K1098" s="357"/>
      <c r="L1098" s="16"/>
      <c r="M1098" s="352" t="str">
        <f t="shared" ref="M1098" si="1714">IF(COUNT(L1098:L1099)&lt;1,"",AVERAGE(L1098:L1099))</f>
        <v/>
      </c>
      <c r="N1098" s="20"/>
      <c r="O1098" s="352" t="str">
        <f t="shared" ref="O1098" si="1715">IF(COUNT(N1098:N1099)&lt;1,"",AVERAGE(N1098:N1099))</f>
        <v/>
      </c>
      <c r="P1098" s="20"/>
      <c r="Q1098" s="352" t="str">
        <f t="shared" ref="Q1098" si="1716">IF(COUNT(P1098:P1099)&lt;1,"",AVERAGE(P1098:P1099))</f>
        <v/>
      </c>
      <c r="R1098" s="247" t="str">
        <f>IF($X$13="/28",IF(COUNT(P1098:P1099)&lt;=1,"",ABS(P1098-P1099)),IF($X$13="/90",IF(COUNT(#REF!)&lt;=1,"",ABS(#REF!-#REF!))))</f>
        <v/>
      </c>
      <c r="S1098" s="247" t="str">
        <f>IF($X$13="/28",IF(Q1098="","",IF(AVERAGE(Q1094:Q1099)&gt;=$W$13,ROUND(AVERAGE(Q1094:Q1099),1)&amp;" ≥ "&amp;$W$13&amp;" OK",ROUND(AVERAGE(Q1094:Q1099),1)&amp;" &lt; "&amp;$W$13&amp;" NC")),IF($X$13="/90",IF(#REF!="","",IF(AVERAGE(#REF!)&gt;=$W$13,ROUND(AVERAGE(#REF!),1)&amp;" ≥ "&amp;$W$13&amp;" OK",ROUND(AVERAGE(#REF!),1)&amp;" &lt; "&amp;$W$13&amp;" NC"))))</f>
        <v/>
      </c>
      <c r="T1098" s="247" t="str">
        <f>IF($X$13="/28",IF(Q1098="","",IF(Q1098&gt;=$W$13-$S$12,ROUND((Q1098),1)&amp;" ≥ "&amp;$W$13-$S$12&amp;" OK",ROUND((Q1098),1)&amp;" &lt; "&amp;$W$13-$S$12&amp;" NC")),IF($X$13="/90",IF(#REF!="","",IF(#REF!&gt;=$W$13-$S$12,ROUND((#REF!),1)&amp;" ≥ "&amp;$W$13-$S$12&amp;" OK",ROUND((#REF!),1)&amp;" &lt; "&amp;$W$13-$S$12&amp;" NC"))))</f>
        <v/>
      </c>
      <c r="U1098" s="12"/>
      <c r="V1098" s="349"/>
      <c r="W1098" s="350"/>
      <c r="X1098" s="351"/>
      <c r="Y1098" s="244"/>
      <c r="Z1098" s="244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BP1098" s="390" t="str">
        <f>IF($X$13="/28",IF(Q1098="","",Q1098),IF($X$13="/90",IF(#REF!="","",#REF!),"Falso"))</f>
        <v/>
      </c>
      <c r="BQ1098" s="392" t="str">
        <f t="shared" si="1696"/>
        <v/>
      </c>
    </row>
    <row r="1099" spans="1:69" ht="14.25" customHeight="1" x14ac:dyDescent="0.35">
      <c r="A1099" s="294"/>
      <c r="B1099" s="296"/>
      <c r="C1099" s="298"/>
      <c r="D1099" s="300"/>
      <c r="E1099" s="302"/>
      <c r="F1099" s="304"/>
      <c r="G1099" s="276"/>
      <c r="H1099" s="277"/>
      <c r="I1099" s="290"/>
      <c r="J1099" s="290"/>
      <c r="K1099" s="291"/>
      <c r="L1099" s="17"/>
      <c r="M1099" s="286"/>
      <c r="N1099" s="21"/>
      <c r="O1099" s="286"/>
      <c r="P1099" s="21"/>
      <c r="Q1099" s="286"/>
      <c r="R1099" s="248"/>
      <c r="S1099" s="248"/>
      <c r="T1099" s="248"/>
      <c r="U1099" s="13"/>
      <c r="V1099" s="282"/>
      <c r="W1099" s="283"/>
      <c r="X1099" s="284"/>
      <c r="Y1099" s="245"/>
      <c r="Z1099" s="245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BP1099" s="391"/>
      <c r="BQ1099" s="393"/>
    </row>
    <row r="1100" spans="1:69" ht="14.25" customHeight="1" x14ac:dyDescent="0.35">
      <c r="A1100" s="293">
        <v>542</v>
      </c>
      <c r="B1100" s="295"/>
      <c r="C1100" s="297"/>
      <c r="D1100" s="299"/>
      <c r="E1100" s="301"/>
      <c r="F1100" s="303"/>
      <c r="G1100" s="288"/>
      <c r="H1100" s="289"/>
      <c r="I1100" s="290"/>
      <c r="J1100" s="290"/>
      <c r="K1100" s="291"/>
      <c r="L1100" s="18"/>
      <c r="M1100" s="285" t="str">
        <f t="shared" ref="M1100" si="1717">IF(COUNT(L1100:L1101)&lt;1,"",AVERAGE(L1100:L1101))</f>
        <v/>
      </c>
      <c r="N1100" s="22"/>
      <c r="O1100" s="285" t="str">
        <f t="shared" ref="O1100" si="1718">IF(COUNT(N1100:N1101)&lt;1,"",AVERAGE(N1100:N1101))</f>
        <v/>
      </c>
      <c r="P1100" s="22"/>
      <c r="Q1100" s="285" t="str">
        <f t="shared" ref="Q1100" si="1719">IF(COUNT(P1100:P1101)&lt;1,"",AVERAGE(P1100:P1101))</f>
        <v/>
      </c>
      <c r="R1100" s="278" t="str">
        <f>IF($X$13="/28",IF(COUNT(P1100:P1101)&lt;=1,"",ABS(P1100-P1101)),IF($X$13="/90",IF(COUNT(#REF!)&lt;=1,"",ABS(#REF!-#REF!))))</f>
        <v/>
      </c>
      <c r="S1100" s="278" t="str">
        <f>IF($X$13="/28",IF(Q1100="","",IF(AVERAGE(Q1096:Q1101)&gt;=$W$13,ROUND(AVERAGE(Q1096:Q1101),1)&amp;" ≥ "&amp;$W$13&amp;" OK",ROUND(AVERAGE(Q1096:Q1101),1)&amp;" &lt; "&amp;$W$13&amp;" NC")),IF($X$13="/90",IF(#REF!="","",IF(AVERAGE(#REF!)&gt;=$W$13,ROUND(AVERAGE(#REF!),1)&amp;" ≥ "&amp;$W$13&amp;" OK",ROUND(AVERAGE(#REF!),1)&amp;" &lt; "&amp;$W$13&amp;" NC"))))</f>
        <v/>
      </c>
      <c r="T1100" s="278" t="str">
        <f>IF($X$13="/28",IF(Q1100="","",IF(Q1100&gt;=$W$13-$S$12,ROUND((Q1100),1)&amp;" ≥ "&amp;$W$13-$S$12&amp;" OK",ROUND((Q1100),1)&amp;" &lt; "&amp;$W$13-$S$12&amp;" NC")),IF($X$13="/90",IF(#REF!="","",IF(#REF!&gt;=$W$13-$S$12,ROUND((#REF!),1)&amp;" ≥ "&amp;$W$13-$S$12&amp;" OK",ROUND((#REF!),1)&amp;" &lt; "&amp;$W$13-$S$12&amp;" NC"))))</f>
        <v/>
      </c>
      <c r="U1100" s="14"/>
      <c r="V1100" s="279"/>
      <c r="W1100" s="280"/>
      <c r="X1100" s="281"/>
      <c r="Y1100" s="246"/>
      <c r="Z1100" s="246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BP1100" s="390" t="str">
        <f>IF($X$13="/28",IF(Q1100="","",Q1100),IF($X$13="/90",IF(#REF!="","",#REF!),"Falso"))</f>
        <v/>
      </c>
      <c r="BQ1100" s="392" t="str">
        <f t="shared" si="1700"/>
        <v/>
      </c>
    </row>
    <row r="1101" spans="1:69" ht="14.25" customHeight="1" x14ac:dyDescent="0.35">
      <c r="A1101" s="294"/>
      <c r="B1101" s="296"/>
      <c r="C1101" s="298"/>
      <c r="D1101" s="300"/>
      <c r="E1101" s="302"/>
      <c r="F1101" s="304"/>
      <c r="G1101" s="276"/>
      <c r="H1101" s="277"/>
      <c r="I1101" s="290"/>
      <c r="J1101" s="290"/>
      <c r="K1101" s="291"/>
      <c r="L1101" s="17"/>
      <c r="M1101" s="286"/>
      <c r="N1101" s="21"/>
      <c r="O1101" s="286"/>
      <c r="P1101" s="21"/>
      <c r="Q1101" s="286"/>
      <c r="R1101" s="248"/>
      <c r="S1101" s="248"/>
      <c r="T1101" s="248"/>
      <c r="U1101" s="13"/>
      <c r="V1101" s="282"/>
      <c r="W1101" s="283"/>
      <c r="X1101" s="284"/>
      <c r="Y1101" s="245"/>
      <c r="Z1101" s="245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BP1101" s="391"/>
      <c r="BQ1101" s="393"/>
    </row>
    <row r="1102" spans="1:69" ht="14.25" customHeight="1" x14ac:dyDescent="0.35">
      <c r="A1102" s="293">
        <v>543</v>
      </c>
      <c r="B1102" s="295"/>
      <c r="C1102" s="297"/>
      <c r="D1102" s="299"/>
      <c r="E1102" s="301"/>
      <c r="F1102" s="303"/>
      <c r="G1102" s="288"/>
      <c r="H1102" s="289"/>
      <c r="I1102" s="290"/>
      <c r="J1102" s="290"/>
      <c r="K1102" s="291"/>
      <c r="L1102" s="18"/>
      <c r="M1102" s="285" t="str">
        <f t="shared" ref="M1102" si="1720">IF(COUNT(L1102:L1103)&lt;1,"",AVERAGE(L1102:L1103))</f>
        <v/>
      </c>
      <c r="N1102" s="22"/>
      <c r="O1102" s="285" t="str">
        <f t="shared" ref="O1102" si="1721">IF(COUNT(N1102:N1103)&lt;1,"",AVERAGE(N1102:N1103))</f>
        <v/>
      </c>
      <c r="P1102" s="22"/>
      <c r="Q1102" s="285" t="str">
        <f t="shared" ref="Q1102" si="1722">IF(COUNT(P1102:P1103)&lt;1,"",AVERAGE(P1102:P1103))</f>
        <v/>
      </c>
      <c r="R1102" s="278" t="str">
        <f>IF($X$13="/28",IF(COUNT(P1102:P1103)&lt;=1,"",ABS(P1102-P1103)),IF($X$13="/90",IF(COUNT(#REF!)&lt;=1,"",ABS(#REF!-#REF!))))</f>
        <v/>
      </c>
      <c r="S1102" s="278" t="str">
        <f>IF($X$13="/28",IF(Q1102="","",IF(AVERAGE(Q1098:Q1103)&gt;=$W$13,ROUND(AVERAGE(Q1098:Q1103),1)&amp;" ≥ "&amp;$W$13&amp;" OK",ROUND(AVERAGE(Q1098:Q1103),1)&amp;" &lt; "&amp;$W$13&amp;" NC")),IF($X$13="/90",IF(#REF!="","",IF(AVERAGE(#REF!)&gt;=$W$13,ROUND(AVERAGE(#REF!),1)&amp;" ≥ "&amp;$W$13&amp;" OK",ROUND(AVERAGE(#REF!),1)&amp;" &lt; "&amp;$W$13&amp;" NC"))))</f>
        <v/>
      </c>
      <c r="T1102" s="278" t="str">
        <f>IF($X$13="/28",IF(Q1102="","",IF(Q1102&gt;=$W$13-$S$12,ROUND((Q1102),1)&amp;" ≥ "&amp;$W$13-$S$12&amp;" OK",ROUND((Q1102),1)&amp;" &lt; "&amp;$W$13-$S$12&amp;" NC")),IF($X$13="/90",IF(#REF!="","",IF(#REF!&gt;=$W$13-$S$12,ROUND((#REF!),1)&amp;" ≥ "&amp;$W$13-$S$12&amp;" OK",ROUND((#REF!),1)&amp;" &lt; "&amp;$W$13-$S$12&amp;" NC"))))</f>
        <v/>
      </c>
      <c r="U1102" s="14"/>
      <c r="V1102" s="279"/>
      <c r="W1102" s="280"/>
      <c r="X1102" s="281"/>
      <c r="Y1102" s="246"/>
      <c r="Z1102" s="246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BP1102" s="390" t="str">
        <f>IF($X$13="/28",IF(Q1102="","",Q1102),IF($X$13="/90",IF(#REF!="","",#REF!),"Falso"))</f>
        <v/>
      </c>
      <c r="BQ1102" s="392" t="str">
        <f t="shared" si="1704"/>
        <v/>
      </c>
    </row>
    <row r="1103" spans="1:69" ht="14.25" customHeight="1" x14ac:dyDescent="0.35">
      <c r="A1103" s="294"/>
      <c r="B1103" s="296"/>
      <c r="C1103" s="298"/>
      <c r="D1103" s="300"/>
      <c r="E1103" s="302"/>
      <c r="F1103" s="304"/>
      <c r="G1103" s="276"/>
      <c r="H1103" s="277"/>
      <c r="I1103" s="290"/>
      <c r="J1103" s="290"/>
      <c r="K1103" s="291"/>
      <c r="L1103" s="17"/>
      <c r="M1103" s="286"/>
      <c r="N1103" s="21"/>
      <c r="O1103" s="286"/>
      <c r="P1103" s="21"/>
      <c r="Q1103" s="286"/>
      <c r="R1103" s="248"/>
      <c r="S1103" s="287"/>
      <c r="T1103" s="248"/>
      <c r="U1103" s="13"/>
      <c r="V1103" s="282"/>
      <c r="W1103" s="283"/>
      <c r="X1103" s="284"/>
      <c r="Y1103" s="245"/>
      <c r="Z1103" s="245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BP1103" s="391"/>
      <c r="BQ1103" s="393"/>
    </row>
    <row r="1104" spans="1:69" ht="14.25" customHeight="1" x14ac:dyDescent="0.35">
      <c r="A1104" s="293">
        <v>544</v>
      </c>
      <c r="B1104" s="295"/>
      <c r="C1104" s="297"/>
      <c r="D1104" s="299"/>
      <c r="E1104" s="301"/>
      <c r="F1104" s="303"/>
      <c r="G1104" s="288"/>
      <c r="H1104" s="289"/>
      <c r="I1104" s="290"/>
      <c r="J1104" s="290"/>
      <c r="K1104" s="291"/>
      <c r="L1104" s="18"/>
      <c r="M1104" s="285" t="str">
        <f t="shared" ref="M1104" si="1723">IF(COUNT(L1104:L1105)&lt;1,"",AVERAGE(L1104:L1105))</f>
        <v/>
      </c>
      <c r="N1104" s="22"/>
      <c r="O1104" s="285" t="str">
        <f t="shared" ref="O1104" si="1724">IF(COUNT(N1104:N1105)&lt;1,"",AVERAGE(N1104:N1105))</f>
        <v/>
      </c>
      <c r="P1104" s="22"/>
      <c r="Q1104" s="285" t="str">
        <f t="shared" ref="Q1104" si="1725">IF(COUNT(P1104:P1105)&lt;1,"",AVERAGE(P1104:P1105))</f>
        <v/>
      </c>
      <c r="R1104" s="278" t="str">
        <f>IF($X$13="/28",IF(COUNT(P1104:P1105)&lt;=1,"",ABS(P1104-P1105)),IF($X$13="/90",IF(COUNT(#REF!)&lt;=1,"",ABS(#REF!-#REF!))))</f>
        <v/>
      </c>
      <c r="S1104" s="278" t="str">
        <f>IF($X$13="/28",IF(Q1104="","",IF(AVERAGE(Q1100:Q1105)&gt;=$W$13,ROUND(AVERAGE(Q1100:Q1105),1)&amp;" ≥ "&amp;$W$13&amp;" OK",ROUND(AVERAGE(Q1100:Q1105),1)&amp;" &lt; "&amp;$W$13&amp;" NC")),IF($X$13="/90",IF(#REF!="","",IF(AVERAGE(#REF!)&gt;=$W$13,ROUND(AVERAGE(#REF!),1)&amp;" ≥ "&amp;$W$13&amp;" OK",ROUND(AVERAGE(#REF!),1)&amp;" &lt; "&amp;$W$13&amp;" NC"))))</f>
        <v/>
      </c>
      <c r="T1104" s="278" t="str">
        <f>IF($X$13="/28",IF(Q1104="","",IF(Q1104&gt;=$W$13-$S$12,ROUND((Q1104),1)&amp;" ≥ "&amp;$W$13-$S$12&amp;" OK",ROUND((Q1104),1)&amp;" &lt; "&amp;$W$13-$S$12&amp;" NC")),IF($X$13="/90",IF(#REF!="","",IF(#REF!&gt;=$W$13-$S$12,ROUND((#REF!),1)&amp;" ≥ "&amp;$W$13-$S$12&amp;" OK",ROUND((#REF!),1)&amp;" &lt; "&amp;$W$13-$S$12&amp;" NC"))))</f>
        <v/>
      </c>
      <c r="U1104" s="14"/>
      <c r="V1104" s="279"/>
      <c r="W1104" s="280"/>
      <c r="X1104" s="281"/>
      <c r="Y1104" s="246"/>
      <c r="Z1104" s="246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BP1104" s="390" t="str">
        <f>IF($X$13="/28",IF(Q1104="","",Q1104),IF($X$13="/90",IF(#REF!="","",#REF!),"Falso"))</f>
        <v/>
      </c>
      <c r="BQ1104" s="392" t="str">
        <f t="shared" si="1696"/>
        <v/>
      </c>
    </row>
    <row r="1105" spans="1:69" ht="14.25" customHeight="1" x14ac:dyDescent="0.35">
      <c r="A1105" s="294"/>
      <c r="B1105" s="296"/>
      <c r="C1105" s="298"/>
      <c r="D1105" s="300"/>
      <c r="E1105" s="302"/>
      <c r="F1105" s="304"/>
      <c r="G1105" s="276"/>
      <c r="H1105" s="277"/>
      <c r="I1105" s="290"/>
      <c r="J1105" s="290"/>
      <c r="K1105" s="291"/>
      <c r="L1105" s="17"/>
      <c r="M1105" s="286"/>
      <c r="N1105" s="21"/>
      <c r="O1105" s="286"/>
      <c r="P1105" s="21"/>
      <c r="Q1105" s="286"/>
      <c r="R1105" s="248"/>
      <c r="S1105" s="287"/>
      <c r="T1105" s="248"/>
      <c r="U1105" s="13"/>
      <c r="V1105" s="282"/>
      <c r="W1105" s="283"/>
      <c r="X1105" s="284"/>
      <c r="Y1105" s="245"/>
      <c r="Z1105" s="245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BP1105" s="391"/>
      <c r="BQ1105" s="393"/>
    </row>
    <row r="1106" spans="1:69" ht="14.25" customHeight="1" x14ac:dyDescent="0.35">
      <c r="A1106" s="293">
        <v>545</v>
      </c>
      <c r="B1106" s="295"/>
      <c r="C1106" s="297"/>
      <c r="D1106" s="299"/>
      <c r="E1106" s="301"/>
      <c r="F1106" s="303"/>
      <c r="G1106" s="288"/>
      <c r="H1106" s="289"/>
      <c r="I1106" s="290"/>
      <c r="J1106" s="290"/>
      <c r="K1106" s="291"/>
      <c r="L1106" s="18"/>
      <c r="M1106" s="285" t="str">
        <f t="shared" ref="M1106" si="1726">IF(COUNT(L1106:L1107)&lt;1,"",AVERAGE(L1106:L1107))</f>
        <v/>
      </c>
      <c r="N1106" s="22"/>
      <c r="O1106" s="285" t="str">
        <f t="shared" ref="O1106" si="1727">IF(COUNT(N1106:N1107)&lt;1,"",AVERAGE(N1106:N1107))</f>
        <v/>
      </c>
      <c r="P1106" s="22"/>
      <c r="Q1106" s="285" t="str">
        <f t="shared" ref="Q1106" si="1728">IF(COUNT(P1106:P1107)&lt;1,"",AVERAGE(P1106:P1107))</f>
        <v/>
      </c>
      <c r="R1106" s="278" t="str">
        <f>IF($X$13="/28",IF(COUNT(P1106:P1107)&lt;=1,"",ABS(P1106-P1107)),IF($X$13="/90",IF(COUNT(#REF!)&lt;=1,"",ABS(#REF!-#REF!))))</f>
        <v/>
      </c>
      <c r="S1106" s="278" t="str">
        <f>IF($X$13="/28",IF(Q1106="","",IF(AVERAGE(Q1102:Q1107)&gt;=$W$13,ROUND(AVERAGE(Q1102:Q1107),1)&amp;" ≥ "&amp;$W$13&amp;" OK",ROUND(AVERAGE(Q1102:Q1107),1)&amp;" &lt; "&amp;$W$13&amp;" NC")),IF($X$13="/90",IF(#REF!="","",IF(AVERAGE(#REF!)&gt;=$W$13,ROUND(AVERAGE(#REF!),1)&amp;" ≥ "&amp;$W$13&amp;" OK",ROUND(AVERAGE(#REF!),1)&amp;" &lt; "&amp;$W$13&amp;" NC"))))</f>
        <v/>
      </c>
      <c r="T1106" s="278" t="str">
        <f>IF($X$13="/28",IF(Q1106="","",IF(Q1106&gt;=$W$13-$S$12,ROUND((Q1106),1)&amp;" ≥ "&amp;$W$13-$S$12&amp;" OK",ROUND((Q1106),1)&amp;" &lt; "&amp;$W$13-$S$12&amp;" NC")),IF($X$13="/90",IF(#REF!="","",IF(#REF!&gt;=$W$13-$S$12,ROUND((#REF!),1)&amp;" ≥ "&amp;$W$13-$S$12&amp;" OK",ROUND((#REF!),1)&amp;" &lt; "&amp;$W$13-$S$12&amp;" NC"))))</f>
        <v/>
      </c>
      <c r="U1106" s="14"/>
      <c r="V1106" s="279"/>
      <c r="W1106" s="280"/>
      <c r="X1106" s="281"/>
      <c r="Y1106" s="246"/>
      <c r="Z1106" s="246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BP1106" s="390" t="str">
        <f>IF($X$13="/28",IF(Q1106="","",Q1106),IF($X$13="/90",IF(#REF!="","",#REF!),"Falso"))</f>
        <v/>
      </c>
      <c r="BQ1106" s="392" t="str">
        <f t="shared" si="1700"/>
        <v/>
      </c>
    </row>
    <row r="1107" spans="1:69" ht="14.25" customHeight="1" x14ac:dyDescent="0.35">
      <c r="A1107" s="294"/>
      <c r="B1107" s="296"/>
      <c r="C1107" s="298"/>
      <c r="D1107" s="300"/>
      <c r="E1107" s="302"/>
      <c r="F1107" s="304"/>
      <c r="G1107" s="276"/>
      <c r="H1107" s="277"/>
      <c r="I1107" s="290"/>
      <c r="J1107" s="290"/>
      <c r="K1107" s="291"/>
      <c r="L1107" s="17"/>
      <c r="M1107" s="286"/>
      <c r="N1107" s="21"/>
      <c r="O1107" s="286"/>
      <c r="P1107" s="21"/>
      <c r="Q1107" s="286"/>
      <c r="R1107" s="248"/>
      <c r="S1107" s="287"/>
      <c r="T1107" s="248"/>
      <c r="U1107" s="13"/>
      <c r="V1107" s="282"/>
      <c r="W1107" s="283"/>
      <c r="X1107" s="284"/>
      <c r="Y1107" s="245"/>
      <c r="Z1107" s="245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BP1107" s="391"/>
      <c r="BQ1107" s="393"/>
    </row>
    <row r="1108" spans="1:69" ht="14.25" customHeight="1" x14ac:dyDescent="0.35">
      <c r="A1108" s="293">
        <v>546</v>
      </c>
      <c r="B1108" s="295"/>
      <c r="C1108" s="297"/>
      <c r="D1108" s="299"/>
      <c r="E1108" s="301"/>
      <c r="F1108" s="303"/>
      <c r="G1108" s="288"/>
      <c r="H1108" s="289"/>
      <c r="I1108" s="290"/>
      <c r="J1108" s="290"/>
      <c r="K1108" s="291"/>
      <c r="L1108" s="18"/>
      <c r="M1108" s="285" t="str">
        <f t="shared" ref="M1108" si="1729">IF(COUNT(L1108:L1109)&lt;1,"",AVERAGE(L1108:L1109))</f>
        <v/>
      </c>
      <c r="N1108" s="22"/>
      <c r="O1108" s="285" t="str">
        <f t="shared" ref="O1108" si="1730">IF(COUNT(N1108:N1109)&lt;1,"",AVERAGE(N1108:N1109))</f>
        <v/>
      </c>
      <c r="P1108" s="22"/>
      <c r="Q1108" s="285" t="str">
        <f t="shared" ref="Q1108" si="1731">IF(COUNT(P1108:P1109)&lt;1,"",AVERAGE(P1108:P1109))</f>
        <v/>
      </c>
      <c r="R1108" s="278" t="str">
        <f>IF($X$13="/28",IF(COUNT(P1108:P1109)&lt;=1,"",ABS(P1108-P1109)),IF($X$13="/90",IF(COUNT(#REF!)&lt;=1,"",ABS(#REF!-#REF!))))</f>
        <v/>
      </c>
      <c r="S1108" s="278" t="str">
        <f>IF($X$13="/28",IF(Q1108="","",IF(AVERAGE(Q1104:Q1109)&gt;=$W$13,ROUND(AVERAGE(Q1104:Q1109),1)&amp;" ≥ "&amp;$W$13&amp;" OK",ROUND(AVERAGE(Q1104:Q1109),1)&amp;" &lt; "&amp;$W$13&amp;" NC")),IF($X$13="/90",IF(#REF!="","",IF(AVERAGE(#REF!)&gt;=$W$13,ROUND(AVERAGE(#REF!),1)&amp;" ≥ "&amp;$W$13&amp;" OK",ROUND(AVERAGE(#REF!),1)&amp;" &lt; "&amp;$W$13&amp;" NC"))))</f>
        <v/>
      </c>
      <c r="T1108" s="278" t="str">
        <f>IF($X$13="/28",IF(Q1108="","",IF(Q1108&gt;=$W$13-$S$12,ROUND((Q1108),1)&amp;" ≥ "&amp;$W$13-$S$12&amp;" OK",ROUND((Q1108),1)&amp;" &lt; "&amp;$W$13-$S$12&amp;" NC")),IF($X$13="/90",IF(#REF!="","",IF(#REF!&gt;=$W$13-$S$12,ROUND((#REF!),1)&amp;" ≥ "&amp;$W$13-$S$12&amp;" OK",ROUND((#REF!),1)&amp;" &lt; "&amp;$W$13-$S$12&amp;" NC"))))</f>
        <v/>
      </c>
      <c r="U1108" s="14"/>
      <c r="V1108" s="279"/>
      <c r="W1108" s="280"/>
      <c r="X1108" s="281"/>
      <c r="Y1108" s="246"/>
      <c r="Z1108" s="246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BP1108" s="390" t="str">
        <f>IF($X$13="/28",IF(Q1108="","",Q1108),IF($X$13="/90",IF(#REF!="","",#REF!),"Falso"))</f>
        <v/>
      </c>
      <c r="BQ1108" s="392" t="str">
        <f t="shared" si="1704"/>
        <v/>
      </c>
    </row>
    <row r="1109" spans="1:69" ht="14.25" customHeight="1" x14ac:dyDescent="0.35">
      <c r="A1109" s="294"/>
      <c r="B1109" s="296"/>
      <c r="C1109" s="298"/>
      <c r="D1109" s="300"/>
      <c r="E1109" s="302"/>
      <c r="F1109" s="304"/>
      <c r="G1109" s="276"/>
      <c r="H1109" s="277"/>
      <c r="I1109" s="290"/>
      <c r="J1109" s="290"/>
      <c r="K1109" s="291"/>
      <c r="L1109" s="17"/>
      <c r="M1109" s="286"/>
      <c r="N1109" s="21"/>
      <c r="O1109" s="286"/>
      <c r="P1109" s="21"/>
      <c r="Q1109" s="286"/>
      <c r="R1109" s="248"/>
      <c r="S1109" s="287"/>
      <c r="T1109" s="248"/>
      <c r="U1109" s="13"/>
      <c r="V1109" s="282"/>
      <c r="W1109" s="283"/>
      <c r="X1109" s="284"/>
      <c r="Y1109" s="245"/>
      <c r="Z1109" s="245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BP1109" s="391"/>
      <c r="BQ1109" s="393"/>
    </row>
    <row r="1110" spans="1:69" ht="14.25" customHeight="1" x14ac:dyDescent="0.35">
      <c r="A1110" s="293">
        <v>547</v>
      </c>
      <c r="B1110" s="295"/>
      <c r="C1110" s="297"/>
      <c r="D1110" s="299"/>
      <c r="E1110" s="301"/>
      <c r="F1110" s="303"/>
      <c r="G1110" s="288"/>
      <c r="H1110" s="289"/>
      <c r="I1110" s="290"/>
      <c r="J1110" s="290"/>
      <c r="K1110" s="291"/>
      <c r="L1110" s="18"/>
      <c r="M1110" s="285" t="str">
        <f t="shared" ref="M1110" si="1732">IF(COUNT(L1110:L1111)&lt;1,"",AVERAGE(L1110:L1111))</f>
        <v/>
      </c>
      <c r="N1110" s="22"/>
      <c r="O1110" s="285" t="str">
        <f t="shared" ref="O1110" si="1733">IF(COUNT(N1110:N1111)&lt;1,"",AVERAGE(N1110:N1111))</f>
        <v/>
      </c>
      <c r="P1110" s="22"/>
      <c r="Q1110" s="285" t="str">
        <f t="shared" ref="Q1110" si="1734">IF(COUNT(P1110:P1111)&lt;1,"",AVERAGE(P1110:P1111))</f>
        <v/>
      </c>
      <c r="R1110" s="278" t="str">
        <f>IF($X$13="/28",IF(COUNT(P1110:P1111)&lt;=1,"",ABS(P1110-P1111)),IF($X$13="/90",IF(COUNT(#REF!)&lt;=1,"",ABS(#REF!-#REF!))))</f>
        <v/>
      </c>
      <c r="S1110" s="278" t="str">
        <f>IF($X$13="/28",IF(Q1110="","",IF(AVERAGE(Q1106:Q1111)&gt;=$W$13,ROUND(AVERAGE(Q1106:Q1111),1)&amp;" ≥ "&amp;$W$13&amp;" OK",ROUND(AVERAGE(Q1106:Q1111),1)&amp;" &lt; "&amp;$W$13&amp;" NC")),IF($X$13="/90",IF(#REF!="","",IF(AVERAGE(#REF!)&gt;=$W$13,ROUND(AVERAGE(#REF!),1)&amp;" ≥ "&amp;$W$13&amp;" OK",ROUND(AVERAGE(#REF!),1)&amp;" &lt; "&amp;$W$13&amp;" NC"))))</f>
        <v/>
      </c>
      <c r="T1110" s="278" t="str">
        <f>IF($X$13="/28",IF(Q1110="","",IF(Q1110&gt;=$W$13-$S$12,ROUND((Q1110),1)&amp;" ≥ "&amp;$W$13-$S$12&amp;" OK",ROUND((Q1110),1)&amp;" &lt; "&amp;$W$13-$S$12&amp;" NC")),IF($X$13="/90",IF(#REF!="","",IF(#REF!&gt;=$W$13-$S$12,ROUND((#REF!),1)&amp;" ≥ "&amp;$W$13-$S$12&amp;" OK",ROUND((#REF!),1)&amp;" &lt; "&amp;$W$13-$S$12&amp;" NC"))))</f>
        <v/>
      </c>
      <c r="U1110" s="14"/>
      <c r="V1110" s="279"/>
      <c r="W1110" s="280"/>
      <c r="X1110" s="281"/>
      <c r="Y1110" s="246"/>
      <c r="Z1110" s="246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BP1110" s="390" t="str">
        <f>IF($X$13="/28",IF(Q1110="","",Q1110),IF($X$13="/90",IF(#REF!="","",#REF!),"Falso"))</f>
        <v/>
      </c>
      <c r="BQ1110" s="392" t="str">
        <f t="shared" si="1696"/>
        <v/>
      </c>
    </row>
    <row r="1111" spans="1:69" ht="14.25" customHeight="1" x14ac:dyDescent="0.35">
      <c r="A1111" s="294"/>
      <c r="B1111" s="296"/>
      <c r="C1111" s="298"/>
      <c r="D1111" s="300"/>
      <c r="E1111" s="302"/>
      <c r="F1111" s="304"/>
      <c r="G1111" s="276"/>
      <c r="H1111" s="277"/>
      <c r="I1111" s="290"/>
      <c r="J1111" s="290"/>
      <c r="K1111" s="291"/>
      <c r="L1111" s="17"/>
      <c r="M1111" s="286"/>
      <c r="N1111" s="21"/>
      <c r="O1111" s="286"/>
      <c r="P1111" s="21"/>
      <c r="Q1111" s="286"/>
      <c r="R1111" s="248"/>
      <c r="S1111" s="287"/>
      <c r="T1111" s="248"/>
      <c r="U1111" s="13"/>
      <c r="V1111" s="282"/>
      <c r="W1111" s="283"/>
      <c r="X1111" s="284"/>
      <c r="Y1111" s="245"/>
      <c r="Z1111" s="245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BP1111" s="391"/>
      <c r="BQ1111" s="393"/>
    </row>
    <row r="1112" spans="1:69" ht="14.25" customHeight="1" x14ac:dyDescent="0.35">
      <c r="A1112" s="293">
        <v>548</v>
      </c>
      <c r="B1112" s="295"/>
      <c r="C1112" s="297"/>
      <c r="D1112" s="299"/>
      <c r="E1112" s="301"/>
      <c r="F1112" s="303"/>
      <c r="G1112" s="288"/>
      <c r="H1112" s="289"/>
      <c r="I1112" s="290"/>
      <c r="J1112" s="290"/>
      <c r="K1112" s="291"/>
      <c r="L1112" s="18"/>
      <c r="M1112" s="285" t="str">
        <f t="shared" ref="M1112" si="1735">IF(COUNT(L1112:L1113)&lt;1,"",AVERAGE(L1112:L1113))</f>
        <v/>
      </c>
      <c r="N1112" s="22"/>
      <c r="O1112" s="285" t="str">
        <f t="shared" ref="O1112" si="1736">IF(COUNT(N1112:N1113)&lt;1,"",AVERAGE(N1112:N1113))</f>
        <v/>
      </c>
      <c r="P1112" s="22"/>
      <c r="Q1112" s="285" t="str">
        <f t="shared" ref="Q1112" si="1737">IF(COUNT(P1112:P1113)&lt;1,"",AVERAGE(P1112:P1113))</f>
        <v/>
      </c>
      <c r="R1112" s="278" t="str">
        <f>IF($X$13="/28",IF(COUNT(P1112:P1113)&lt;=1,"",ABS(P1112-P1113)),IF($X$13="/90",IF(COUNT(#REF!)&lt;=1,"",ABS(#REF!-#REF!))))</f>
        <v/>
      </c>
      <c r="S1112" s="278" t="str">
        <f>IF($X$13="/28",IF(Q1112="","",IF(AVERAGE(Q1108:Q1113)&gt;=$W$13,ROUND(AVERAGE(Q1108:Q1113),1)&amp;" ≥ "&amp;$W$13&amp;" OK",ROUND(AVERAGE(Q1108:Q1113),1)&amp;" &lt; "&amp;$W$13&amp;" NC")),IF($X$13="/90",IF(#REF!="","",IF(AVERAGE(#REF!)&gt;=$W$13,ROUND(AVERAGE(#REF!),1)&amp;" ≥ "&amp;$W$13&amp;" OK",ROUND(AVERAGE(#REF!),1)&amp;" &lt; "&amp;$W$13&amp;" NC"))))</f>
        <v/>
      </c>
      <c r="T1112" s="278" t="str">
        <f>IF($X$13="/28",IF(Q1112="","",IF(Q1112&gt;=$W$13-$S$12,ROUND((Q1112),1)&amp;" ≥ "&amp;$W$13-$S$12&amp;" OK",ROUND((Q1112),1)&amp;" &lt; "&amp;$W$13-$S$12&amp;" NC")),IF($X$13="/90",IF(#REF!="","",IF(#REF!&gt;=$W$13-$S$12,ROUND((#REF!),1)&amp;" ≥ "&amp;$W$13-$S$12&amp;" OK",ROUND((#REF!),1)&amp;" &lt; "&amp;$W$13-$S$12&amp;" NC"))))</f>
        <v/>
      </c>
      <c r="U1112" s="14"/>
      <c r="V1112" s="279"/>
      <c r="W1112" s="280"/>
      <c r="X1112" s="281"/>
      <c r="Y1112" s="246"/>
      <c r="Z1112" s="246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BP1112" s="390" t="str">
        <f>IF($X$13="/28",IF(Q1112="","",Q1112),IF($X$13="/90",IF(#REF!="","",#REF!),"Falso"))</f>
        <v/>
      </c>
      <c r="BQ1112" s="392" t="str">
        <f t="shared" si="1700"/>
        <v/>
      </c>
    </row>
    <row r="1113" spans="1:69" ht="14.25" customHeight="1" x14ac:dyDescent="0.35">
      <c r="A1113" s="294"/>
      <c r="B1113" s="296"/>
      <c r="C1113" s="298"/>
      <c r="D1113" s="300"/>
      <c r="E1113" s="302"/>
      <c r="F1113" s="304"/>
      <c r="G1113" s="276"/>
      <c r="H1113" s="277"/>
      <c r="I1113" s="290"/>
      <c r="J1113" s="290"/>
      <c r="K1113" s="291"/>
      <c r="L1113" s="17"/>
      <c r="M1113" s="286"/>
      <c r="N1113" s="21"/>
      <c r="O1113" s="286"/>
      <c r="P1113" s="21"/>
      <c r="Q1113" s="286"/>
      <c r="R1113" s="248"/>
      <c r="S1113" s="287"/>
      <c r="T1113" s="248"/>
      <c r="U1113" s="13"/>
      <c r="V1113" s="282"/>
      <c r="W1113" s="283"/>
      <c r="X1113" s="284"/>
      <c r="Y1113" s="245"/>
      <c r="Z1113" s="245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BP1113" s="391"/>
      <c r="BQ1113" s="393"/>
    </row>
    <row r="1114" spans="1:69" ht="14.25" customHeight="1" x14ac:dyDescent="0.35">
      <c r="A1114" s="293">
        <v>549</v>
      </c>
      <c r="B1114" s="295"/>
      <c r="C1114" s="297"/>
      <c r="D1114" s="299"/>
      <c r="E1114" s="301"/>
      <c r="F1114" s="303"/>
      <c r="G1114" s="288"/>
      <c r="H1114" s="289"/>
      <c r="I1114" s="290"/>
      <c r="J1114" s="290"/>
      <c r="K1114" s="291"/>
      <c r="L1114" s="18"/>
      <c r="M1114" s="285" t="str">
        <f t="shared" ref="M1114" si="1738">IF(COUNT(L1114:L1115)&lt;1,"",AVERAGE(L1114:L1115))</f>
        <v/>
      </c>
      <c r="N1114" s="22"/>
      <c r="O1114" s="285" t="str">
        <f t="shared" ref="O1114" si="1739">IF(COUNT(N1114:N1115)&lt;1,"",AVERAGE(N1114:N1115))</f>
        <v/>
      </c>
      <c r="P1114" s="22"/>
      <c r="Q1114" s="285" t="str">
        <f t="shared" ref="Q1114" si="1740">IF(COUNT(P1114:P1115)&lt;1,"",AVERAGE(P1114:P1115))</f>
        <v/>
      </c>
      <c r="R1114" s="278" t="str">
        <f>IF($X$13="/28",IF(COUNT(P1114:P1115)&lt;=1,"",ABS(P1114-P1115)),IF($X$13="/90",IF(COUNT(#REF!)&lt;=1,"",ABS(#REF!-#REF!))))</f>
        <v/>
      </c>
      <c r="S1114" s="278" t="str">
        <f>IF($X$13="/28",IF(Q1114="","",IF(AVERAGE(Q1110:Q1115)&gt;=$W$13,ROUND(AVERAGE(Q1110:Q1115),1)&amp;" ≥ "&amp;$W$13&amp;" OK",ROUND(AVERAGE(Q1110:Q1115),1)&amp;" &lt; "&amp;$W$13&amp;" NC")),IF($X$13="/90",IF(#REF!="","",IF(AVERAGE(#REF!)&gt;=$W$13,ROUND(AVERAGE(#REF!),1)&amp;" ≥ "&amp;$W$13&amp;" OK",ROUND(AVERAGE(#REF!),1)&amp;" &lt; "&amp;$W$13&amp;" NC"))))</f>
        <v/>
      </c>
      <c r="T1114" s="278" t="str">
        <f>IF($X$13="/28",IF(Q1114="","",IF(Q1114&gt;=$W$13-$S$12,ROUND((Q1114),1)&amp;" ≥ "&amp;$W$13-$S$12&amp;" OK",ROUND((Q1114),1)&amp;" &lt; "&amp;$W$13-$S$12&amp;" NC")),IF($X$13="/90",IF(#REF!="","",IF(#REF!&gt;=$W$13-$S$12,ROUND((#REF!),1)&amp;" ≥ "&amp;$W$13-$S$12&amp;" OK",ROUND((#REF!),1)&amp;" &lt; "&amp;$W$13-$S$12&amp;" NC"))))</f>
        <v/>
      </c>
      <c r="U1114" s="14"/>
      <c r="V1114" s="279"/>
      <c r="W1114" s="280"/>
      <c r="X1114" s="281"/>
      <c r="Y1114" s="246"/>
      <c r="Z1114" s="246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BP1114" s="390" t="str">
        <f>IF($X$13="/28",IF(Q1114="","",Q1114),IF($X$13="/90",IF(#REF!="","",#REF!),"Falso"))</f>
        <v/>
      </c>
      <c r="BQ1114" s="392" t="str">
        <f t="shared" si="1704"/>
        <v/>
      </c>
    </row>
    <row r="1115" spans="1:69" ht="14.25" customHeight="1" x14ac:dyDescent="0.35">
      <c r="A1115" s="294"/>
      <c r="B1115" s="296"/>
      <c r="C1115" s="298"/>
      <c r="D1115" s="300"/>
      <c r="E1115" s="302"/>
      <c r="F1115" s="304"/>
      <c r="G1115" s="276"/>
      <c r="H1115" s="277"/>
      <c r="I1115" s="290"/>
      <c r="J1115" s="290"/>
      <c r="K1115" s="291"/>
      <c r="L1115" s="17"/>
      <c r="M1115" s="286"/>
      <c r="N1115" s="21"/>
      <c r="O1115" s="286"/>
      <c r="P1115" s="21"/>
      <c r="Q1115" s="286"/>
      <c r="R1115" s="248"/>
      <c r="S1115" s="287"/>
      <c r="T1115" s="248"/>
      <c r="U1115" s="13"/>
      <c r="V1115" s="282"/>
      <c r="W1115" s="283"/>
      <c r="X1115" s="284"/>
      <c r="Y1115" s="245"/>
      <c r="Z1115" s="245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BP1115" s="391"/>
      <c r="BQ1115" s="393"/>
    </row>
    <row r="1116" spans="1:69" ht="14.25" customHeight="1" x14ac:dyDescent="0.35">
      <c r="A1116" s="293">
        <v>550</v>
      </c>
      <c r="B1116" s="295"/>
      <c r="C1116" s="297"/>
      <c r="D1116" s="299"/>
      <c r="E1116" s="301"/>
      <c r="F1116" s="303"/>
      <c r="G1116" s="288"/>
      <c r="H1116" s="289"/>
      <c r="I1116" s="290"/>
      <c r="J1116" s="290"/>
      <c r="K1116" s="291"/>
      <c r="L1116" s="18"/>
      <c r="M1116" s="285" t="str">
        <f t="shared" ref="M1116" si="1741">IF(COUNT(L1116:L1117)&lt;1,"",AVERAGE(L1116:L1117))</f>
        <v/>
      </c>
      <c r="N1116" s="22"/>
      <c r="O1116" s="285" t="str">
        <f t="shared" ref="O1116" si="1742">IF(COUNT(N1116:N1117)&lt;1,"",AVERAGE(N1116:N1117))</f>
        <v/>
      </c>
      <c r="P1116" s="22"/>
      <c r="Q1116" s="285" t="str">
        <f t="shared" ref="Q1116" si="1743">IF(COUNT(P1116:P1117)&lt;1,"",AVERAGE(P1116:P1117))</f>
        <v/>
      </c>
      <c r="R1116" s="278" t="str">
        <f>IF($X$13="/28",IF(COUNT(P1116:P1117)&lt;=1,"",ABS(P1116-P1117)),IF($X$13="/90",IF(COUNT(#REF!)&lt;=1,"",ABS(#REF!-#REF!))))</f>
        <v/>
      </c>
      <c r="S1116" s="278" t="str">
        <f>IF($X$13="/28",IF(Q1116="","",IF(AVERAGE(Q1112:Q1117)&gt;=$W$13,ROUND(AVERAGE(Q1112:Q1117),1)&amp;" ≥ "&amp;$W$13&amp;" OK",ROUND(AVERAGE(Q1112:Q1117),1)&amp;" &lt; "&amp;$W$13&amp;" NC")),IF($X$13="/90",IF(#REF!="","",IF(AVERAGE(#REF!)&gt;=$W$13,ROUND(AVERAGE(#REF!),1)&amp;" ≥ "&amp;$W$13&amp;" OK",ROUND(AVERAGE(#REF!),1)&amp;" &lt; "&amp;$W$13&amp;" NC"))))</f>
        <v/>
      </c>
      <c r="T1116" s="278" t="str">
        <f>IF($X$13="/28",IF(Q1116="","",IF(Q1116&gt;=$W$13-$S$12,ROUND((Q1116),1)&amp;" ≥ "&amp;$W$13-$S$12&amp;" OK",ROUND((Q1116),1)&amp;" &lt; "&amp;$W$13-$S$12&amp;" NC")),IF($X$13="/90",IF(#REF!="","",IF(#REF!&gt;=$W$13-$S$12,ROUND((#REF!),1)&amp;" ≥ "&amp;$W$13-$S$12&amp;" OK",ROUND((#REF!),1)&amp;" &lt; "&amp;$W$13-$S$12&amp;" NC"))))</f>
        <v/>
      </c>
      <c r="U1116" s="14"/>
      <c r="V1116" s="279"/>
      <c r="W1116" s="280"/>
      <c r="X1116" s="281"/>
      <c r="Y1116" s="246"/>
      <c r="Z1116" s="246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BP1116" s="390" t="str">
        <f>IF($X$13="/28",IF(Q1116="","",Q1116),IF($X$13="/90",IF(#REF!="","",#REF!),"Falso"))</f>
        <v/>
      </c>
      <c r="BQ1116" s="392" t="str">
        <f t="shared" si="1696"/>
        <v/>
      </c>
    </row>
    <row r="1117" spans="1:69" ht="14.25" customHeight="1" x14ac:dyDescent="0.35">
      <c r="A1117" s="294"/>
      <c r="B1117" s="296"/>
      <c r="C1117" s="298"/>
      <c r="D1117" s="300"/>
      <c r="E1117" s="302"/>
      <c r="F1117" s="304"/>
      <c r="G1117" s="276"/>
      <c r="H1117" s="277"/>
      <c r="I1117" s="290"/>
      <c r="J1117" s="290"/>
      <c r="K1117" s="291"/>
      <c r="L1117" s="17"/>
      <c r="M1117" s="286"/>
      <c r="N1117" s="21"/>
      <c r="O1117" s="286"/>
      <c r="P1117" s="21"/>
      <c r="Q1117" s="286"/>
      <c r="R1117" s="248"/>
      <c r="S1117" s="287"/>
      <c r="T1117" s="248"/>
      <c r="U1117" s="13"/>
      <c r="V1117" s="282"/>
      <c r="W1117" s="283"/>
      <c r="X1117" s="284"/>
      <c r="Y1117" s="245"/>
      <c r="Z1117" s="245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BP1117" s="391"/>
      <c r="BQ1117" s="393"/>
    </row>
    <row r="1118" spans="1:69" ht="14.25" customHeight="1" x14ac:dyDescent="0.35">
      <c r="A1118" s="293">
        <v>551</v>
      </c>
      <c r="B1118" s="295"/>
      <c r="C1118" s="297"/>
      <c r="D1118" s="299"/>
      <c r="E1118" s="301"/>
      <c r="F1118" s="303"/>
      <c r="G1118" s="288"/>
      <c r="H1118" s="289"/>
      <c r="I1118" s="290"/>
      <c r="J1118" s="290"/>
      <c r="K1118" s="291"/>
      <c r="L1118" s="18"/>
      <c r="M1118" s="285" t="str">
        <f t="shared" ref="M1118" si="1744">IF(COUNT(L1118:L1119)&lt;1,"",AVERAGE(L1118:L1119))</f>
        <v/>
      </c>
      <c r="N1118" s="22"/>
      <c r="O1118" s="285" t="str">
        <f t="shared" ref="O1118" si="1745">IF(COUNT(N1118:N1119)&lt;1,"",AVERAGE(N1118:N1119))</f>
        <v/>
      </c>
      <c r="P1118" s="22"/>
      <c r="Q1118" s="285" t="str">
        <f t="shared" ref="Q1118" si="1746">IF(COUNT(P1118:P1119)&lt;1,"",AVERAGE(P1118:P1119))</f>
        <v/>
      </c>
      <c r="R1118" s="278" t="str">
        <f>IF($X$13="/28",IF(COUNT(P1118:P1119)&lt;=1,"",ABS(P1118-P1119)),IF($X$13="/90",IF(COUNT(#REF!)&lt;=1,"",ABS(#REF!-#REF!))))</f>
        <v/>
      </c>
      <c r="S1118" s="278" t="str">
        <f>IF($X$13="/28",IF(Q1118="","",IF(AVERAGE(Q1114:Q1119)&gt;=$W$13,ROUND(AVERAGE(Q1114:Q1119),1)&amp;" ≥ "&amp;$W$13&amp;" OK",ROUND(AVERAGE(Q1114:Q1119),1)&amp;" &lt; "&amp;$W$13&amp;" NC")),IF($X$13="/90",IF(#REF!="","",IF(AVERAGE(#REF!)&gt;=$W$13,ROUND(AVERAGE(#REF!),1)&amp;" ≥ "&amp;$W$13&amp;" OK",ROUND(AVERAGE(#REF!),1)&amp;" &lt; "&amp;$W$13&amp;" NC"))))</f>
        <v/>
      </c>
      <c r="T1118" s="278" t="str">
        <f>IF($X$13="/28",IF(Q1118="","",IF(Q1118&gt;=$W$13-$S$12,ROUND((Q1118),1)&amp;" ≥ "&amp;$W$13-$S$12&amp;" OK",ROUND((Q1118),1)&amp;" &lt; "&amp;$W$13-$S$12&amp;" NC")),IF($X$13="/90",IF(#REF!="","",IF(#REF!&gt;=$W$13-$S$12,ROUND((#REF!),1)&amp;" ≥ "&amp;$W$13-$S$12&amp;" OK",ROUND((#REF!),1)&amp;" &lt; "&amp;$W$13-$S$12&amp;" NC"))))</f>
        <v/>
      </c>
      <c r="U1118" s="14"/>
      <c r="V1118" s="279"/>
      <c r="W1118" s="280"/>
      <c r="X1118" s="281"/>
      <c r="Y1118" s="246"/>
      <c r="Z1118" s="246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BP1118" s="390" t="str">
        <f>IF($X$13="/28",IF(Q1118="","",Q1118),IF($X$13="/90",IF(#REF!="","",#REF!),"Falso"))</f>
        <v/>
      </c>
      <c r="BQ1118" s="392" t="str">
        <f t="shared" si="1700"/>
        <v/>
      </c>
    </row>
    <row r="1119" spans="1:69" ht="14.25" customHeight="1" x14ac:dyDescent="0.35">
      <c r="A1119" s="294"/>
      <c r="B1119" s="296"/>
      <c r="C1119" s="298"/>
      <c r="D1119" s="300"/>
      <c r="E1119" s="302"/>
      <c r="F1119" s="304"/>
      <c r="G1119" s="276"/>
      <c r="H1119" s="277"/>
      <c r="I1119" s="290"/>
      <c r="J1119" s="290"/>
      <c r="K1119" s="291"/>
      <c r="L1119" s="17"/>
      <c r="M1119" s="286"/>
      <c r="N1119" s="21"/>
      <c r="O1119" s="286"/>
      <c r="P1119" s="21"/>
      <c r="Q1119" s="286"/>
      <c r="R1119" s="248"/>
      <c r="S1119" s="287"/>
      <c r="T1119" s="248"/>
      <c r="U1119" s="13"/>
      <c r="V1119" s="282"/>
      <c r="W1119" s="283"/>
      <c r="X1119" s="284"/>
      <c r="Y1119" s="245"/>
      <c r="Z1119" s="245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BP1119" s="391"/>
      <c r="BQ1119" s="393"/>
    </row>
    <row r="1120" spans="1:69" ht="14.25" customHeight="1" x14ac:dyDescent="0.35">
      <c r="A1120" s="293">
        <v>552</v>
      </c>
      <c r="B1120" s="295"/>
      <c r="C1120" s="297"/>
      <c r="D1120" s="299"/>
      <c r="E1120" s="301"/>
      <c r="F1120" s="303"/>
      <c r="G1120" s="288"/>
      <c r="H1120" s="289"/>
      <c r="I1120" s="290"/>
      <c r="J1120" s="290"/>
      <c r="K1120" s="291"/>
      <c r="L1120" s="18"/>
      <c r="M1120" s="285" t="str">
        <f t="shared" ref="M1120" si="1747">IF(COUNT(L1120:L1121)&lt;1,"",AVERAGE(L1120:L1121))</f>
        <v/>
      </c>
      <c r="N1120" s="22"/>
      <c r="O1120" s="285" t="str">
        <f t="shared" ref="O1120" si="1748">IF(COUNT(N1120:N1121)&lt;1,"",AVERAGE(N1120:N1121))</f>
        <v/>
      </c>
      <c r="P1120" s="22"/>
      <c r="Q1120" s="285" t="str">
        <f t="shared" ref="Q1120" si="1749">IF(COUNT(P1120:P1121)&lt;1,"",AVERAGE(P1120:P1121))</f>
        <v/>
      </c>
      <c r="R1120" s="278" t="str">
        <f>IF($X$13="/28",IF(COUNT(P1120:P1121)&lt;=1,"",ABS(P1120-P1121)),IF($X$13="/90",IF(COUNT(#REF!)&lt;=1,"",ABS(#REF!-#REF!))))</f>
        <v/>
      </c>
      <c r="S1120" s="278" t="str">
        <f>IF($X$13="/28",IF(Q1120="","",IF(AVERAGE(Q1116:Q1121)&gt;=$W$13,ROUND(AVERAGE(Q1116:Q1121),1)&amp;" ≥ "&amp;$W$13&amp;" OK",ROUND(AVERAGE(Q1116:Q1121),1)&amp;" &lt; "&amp;$W$13&amp;" NC")),IF($X$13="/90",IF(#REF!="","",IF(AVERAGE(#REF!)&gt;=$W$13,ROUND(AVERAGE(#REF!),1)&amp;" ≥ "&amp;$W$13&amp;" OK",ROUND(AVERAGE(#REF!),1)&amp;" &lt; "&amp;$W$13&amp;" NC"))))</f>
        <v/>
      </c>
      <c r="T1120" s="278" t="str">
        <f>IF($X$13="/28",IF(Q1120="","",IF(Q1120&gt;=$W$13-$S$12,ROUND((Q1120),1)&amp;" ≥ "&amp;$W$13-$S$12&amp;" OK",ROUND((Q1120),1)&amp;" &lt; "&amp;$W$13-$S$12&amp;" NC")),IF($X$13="/90",IF(#REF!="","",IF(#REF!&gt;=$W$13-$S$12,ROUND((#REF!),1)&amp;" ≥ "&amp;$W$13-$S$12&amp;" OK",ROUND((#REF!),1)&amp;" &lt; "&amp;$W$13-$S$12&amp;" NC"))))</f>
        <v/>
      </c>
      <c r="U1120" s="14"/>
      <c r="V1120" s="279"/>
      <c r="W1120" s="280"/>
      <c r="X1120" s="281"/>
      <c r="Y1120" s="246"/>
      <c r="Z1120" s="246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BP1120" s="390" t="str">
        <f>IF($X$13="/28",IF(Q1120="","",Q1120),IF($X$13="/90",IF(#REF!="","",#REF!),"Falso"))</f>
        <v/>
      </c>
      <c r="BQ1120" s="392" t="str">
        <f t="shared" si="1704"/>
        <v/>
      </c>
    </row>
    <row r="1121" spans="1:69" ht="14.25" customHeight="1" x14ac:dyDescent="0.35">
      <c r="A1121" s="294"/>
      <c r="B1121" s="296"/>
      <c r="C1121" s="298"/>
      <c r="D1121" s="300"/>
      <c r="E1121" s="302"/>
      <c r="F1121" s="304"/>
      <c r="G1121" s="276"/>
      <c r="H1121" s="277"/>
      <c r="I1121" s="290"/>
      <c r="J1121" s="290"/>
      <c r="K1121" s="291"/>
      <c r="L1121" s="17"/>
      <c r="M1121" s="286"/>
      <c r="N1121" s="21"/>
      <c r="O1121" s="286"/>
      <c r="P1121" s="21"/>
      <c r="Q1121" s="286"/>
      <c r="R1121" s="248"/>
      <c r="S1121" s="287"/>
      <c r="T1121" s="248"/>
      <c r="U1121" s="13"/>
      <c r="V1121" s="282"/>
      <c r="W1121" s="283"/>
      <c r="X1121" s="284"/>
      <c r="Y1121" s="245"/>
      <c r="Z1121" s="245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BP1121" s="391"/>
      <c r="BQ1121" s="393"/>
    </row>
    <row r="1122" spans="1:69" ht="14.25" customHeight="1" x14ac:dyDescent="0.35">
      <c r="A1122" s="293">
        <v>553</v>
      </c>
      <c r="B1122" s="295"/>
      <c r="C1122" s="297"/>
      <c r="D1122" s="299"/>
      <c r="E1122" s="301"/>
      <c r="F1122" s="303"/>
      <c r="G1122" s="288"/>
      <c r="H1122" s="289"/>
      <c r="I1122" s="290"/>
      <c r="J1122" s="290"/>
      <c r="K1122" s="291"/>
      <c r="L1122" s="18"/>
      <c r="M1122" s="285" t="str">
        <f t="shared" ref="M1122" si="1750">IF(COUNT(L1122:L1123)&lt;1,"",AVERAGE(L1122:L1123))</f>
        <v/>
      </c>
      <c r="N1122" s="22"/>
      <c r="O1122" s="285" t="str">
        <f t="shared" ref="O1122" si="1751">IF(COUNT(N1122:N1123)&lt;1,"",AVERAGE(N1122:N1123))</f>
        <v/>
      </c>
      <c r="P1122" s="22"/>
      <c r="Q1122" s="285" t="str">
        <f t="shared" ref="Q1122" si="1752">IF(COUNT(P1122:P1123)&lt;1,"",AVERAGE(P1122:P1123))</f>
        <v/>
      </c>
      <c r="R1122" s="278" t="str">
        <f>IF($X$13="/28",IF(COUNT(P1122:P1123)&lt;=1,"",ABS(P1122-P1123)),IF($X$13="/90",IF(COUNT(#REF!)&lt;=1,"",ABS(#REF!-#REF!))))</f>
        <v/>
      </c>
      <c r="S1122" s="278" t="str">
        <f>IF($X$13="/28",IF(Q1122="","",IF(AVERAGE(Q1118:Q1123)&gt;=$W$13,ROUND(AVERAGE(Q1118:Q1123),1)&amp;" ≥ "&amp;$W$13&amp;" OK",ROUND(AVERAGE(Q1118:Q1123),1)&amp;" &lt; "&amp;$W$13&amp;" NC")),IF($X$13="/90",IF(#REF!="","",IF(AVERAGE(#REF!)&gt;=$W$13,ROUND(AVERAGE(#REF!),1)&amp;" ≥ "&amp;$W$13&amp;" OK",ROUND(AVERAGE(#REF!),1)&amp;" &lt; "&amp;$W$13&amp;" NC"))))</f>
        <v/>
      </c>
      <c r="T1122" s="278" t="str">
        <f>IF($X$13="/28",IF(Q1122="","",IF(Q1122&gt;=$W$13-$S$12,ROUND((Q1122),1)&amp;" ≥ "&amp;$W$13-$S$12&amp;" OK",ROUND((Q1122),1)&amp;" &lt; "&amp;$W$13-$S$12&amp;" NC")),IF($X$13="/90",IF(#REF!="","",IF(#REF!&gt;=$W$13-$S$12,ROUND((#REF!),1)&amp;" ≥ "&amp;$W$13-$S$12&amp;" OK",ROUND((#REF!),1)&amp;" &lt; "&amp;$W$13-$S$12&amp;" NC"))))</f>
        <v/>
      </c>
      <c r="U1122" s="14"/>
      <c r="V1122" s="279"/>
      <c r="W1122" s="280"/>
      <c r="X1122" s="281"/>
      <c r="Y1122" s="246"/>
      <c r="Z1122" s="246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BP1122" s="390" t="str">
        <f>IF($X$13="/28",IF(Q1122="","",Q1122),IF($X$13="/90",IF(#REF!="","",#REF!),"Falso"))</f>
        <v/>
      </c>
      <c r="BQ1122" s="392" t="str">
        <f t="shared" si="1696"/>
        <v/>
      </c>
    </row>
    <row r="1123" spans="1:69" ht="14.25" customHeight="1" x14ac:dyDescent="0.35">
      <c r="A1123" s="294"/>
      <c r="B1123" s="296"/>
      <c r="C1123" s="298"/>
      <c r="D1123" s="300"/>
      <c r="E1123" s="302"/>
      <c r="F1123" s="304"/>
      <c r="G1123" s="276"/>
      <c r="H1123" s="277"/>
      <c r="I1123" s="290"/>
      <c r="J1123" s="290"/>
      <c r="K1123" s="291"/>
      <c r="L1123" s="17"/>
      <c r="M1123" s="286"/>
      <c r="N1123" s="21"/>
      <c r="O1123" s="286"/>
      <c r="P1123" s="21"/>
      <c r="Q1123" s="286"/>
      <c r="R1123" s="248"/>
      <c r="S1123" s="287"/>
      <c r="T1123" s="248"/>
      <c r="U1123" s="13"/>
      <c r="V1123" s="282"/>
      <c r="W1123" s="283"/>
      <c r="X1123" s="284"/>
      <c r="Y1123" s="245"/>
      <c r="Z1123" s="245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BP1123" s="391"/>
      <c r="BQ1123" s="393"/>
    </row>
    <row r="1124" spans="1:69" ht="14.25" customHeight="1" x14ac:dyDescent="0.35">
      <c r="A1124" s="293">
        <v>554</v>
      </c>
      <c r="B1124" s="295"/>
      <c r="C1124" s="297"/>
      <c r="D1124" s="299"/>
      <c r="E1124" s="301"/>
      <c r="F1124" s="303"/>
      <c r="G1124" s="288"/>
      <c r="H1124" s="289"/>
      <c r="I1124" s="290"/>
      <c r="J1124" s="290"/>
      <c r="K1124" s="291"/>
      <c r="L1124" s="18"/>
      <c r="M1124" s="285" t="str">
        <f t="shared" ref="M1124" si="1753">IF(COUNT(L1124:L1125)&lt;1,"",AVERAGE(L1124:L1125))</f>
        <v/>
      </c>
      <c r="N1124" s="22"/>
      <c r="O1124" s="285" t="str">
        <f t="shared" ref="O1124" si="1754">IF(COUNT(N1124:N1125)&lt;1,"",AVERAGE(N1124:N1125))</f>
        <v/>
      </c>
      <c r="P1124" s="22"/>
      <c r="Q1124" s="285" t="str">
        <f t="shared" ref="Q1124" si="1755">IF(COUNT(P1124:P1125)&lt;1,"",AVERAGE(P1124:P1125))</f>
        <v/>
      </c>
      <c r="R1124" s="278" t="str">
        <f>IF($X$13="/28",IF(COUNT(P1124:P1125)&lt;=1,"",ABS(P1124-P1125)),IF($X$13="/90",IF(COUNT(#REF!)&lt;=1,"",ABS(#REF!-#REF!))))</f>
        <v/>
      </c>
      <c r="S1124" s="278" t="str">
        <f>IF($X$13="/28",IF(Q1124="","",IF(AVERAGE(Q1120:Q1125)&gt;=$W$13,ROUND(AVERAGE(Q1120:Q1125),1)&amp;" ≥ "&amp;$W$13&amp;" OK",ROUND(AVERAGE(Q1120:Q1125),1)&amp;" &lt; "&amp;$W$13&amp;" NC")),IF($X$13="/90",IF(#REF!="","",IF(AVERAGE(#REF!)&gt;=$W$13,ROUND(AVERAGE(#REF!),1)&amp;" ≥ "&amp;$W$13&amp;" OK",ROUND(AVERAGE(#REF!),1)&amp;" &lt; "&amp;$W$13&amp;" NC"))))</f>
        <v/>
      </c>
      <c r="T1124" s="278" t="str">
        <f>IF($X$13="/28",IF(Q1124="","",IF(Q1124&gt;=$W$13-$S$12,ROUND((Q1124),1)&amp;" ≥ "&amp;$W$13-$S$12&amp;" OK",ROUND((Q1124),1)&amp;" &lt; "&amp;$W$13-$S$12&amp;" NC")),IF($X$13="/90",IF(#REF!="","",IF(#REF!&gt;=$W$13-$S$12,ROUND((#REF!),1)&amp;" ≥ "&amp;$W$13-$S$12&amp;" OK",ROUND((#REF!),1)&amp;" &lt; "&amp;$W$13-$S$12&amp;" NC"))))</f>
        <v/>
      </c>
      <c r="U1124" s="14"/>
      <c r="V1124" s="279"/>
      <c r="W1124" s="280"/>
      <c r="X1124" s="281"/>
      <c r="Y1124" s="246"/>
      <c r="Z1124" s="246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BP1124" s="390" t="str">
        <f>IF($X$13="/28",IF(Q1124="","",Q1124),IF($X$13="/90",IF(#REF!="","",#REF!),"Falso"))</f>
        <v/>
      </c>
      <c r="BQ1124" s="392" t="str">
        <f t="shared" si="1700"/>
        <v/>
      </c>
    </row>
    <row r="1125" spans="1:69" ht="14.25" customHeight="1" x14ac:dyDescent="0.35">
      <c r="A1125" s="294"/>
      <c r="B1125" s="296"/>
      <c r="C1125" s="298"/>
      <c r="D1125" s="300"/>
      <c r="E1125" s="302"/>
      <c r="F1125" s="304"/>
      <c r="G1125" s="276"/>
      <c r="H1125" s="277"/>
      <c r="I1125" s="290"/>
      <c r="J1125" s="290"/>
      <c r="K1125" s="291"/>
      <c r="L1125" s="17"/>
      <c r="M1125" s="286"/>
      <c r="N1125" s="21"/>
      <c r="O1125" s="286"/>
      <c r="P1125" s="21"/>
      <c r="Q1125" s="286"/>
      <c r="R1125" s="248"/>
      <c r="S1125" s="287"/>
      <c r="T1125" s="248"/>
      <c r="U1125" s="13"/>
      <c r="V1125" s="282"/>
      <c r="W1125" s="283"/>
      <c r="X1125" s="284"/>
      <c r="Y1125" s="245"/>
      <c r="Z1125" s="245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BP1125" s="391"/>
      <c r="BQ1125" s="393"/>
    </row>
    <row r="1126" spans="1:69" ht="14.25" customHeight="1" x14ac:dyDescent="0.35">
      <c r="A1126" s="293">
        <v>555</v>
      </c>
      <c r="B1126" s="295"/>
      <c r="C1126" s="297"/>
      <c r="D1126" s="299"/>
      <c r="E1126" s="301"/>
      <c r="F1126" s="303"/>
      <c r="G1126" s="288"/>
      <c r="H1126" s="289"/>
      <c r="I1126" s="290"/>
      <c r="J1126" s="290"/>
      <c r="K1126" s="291"/>
      <c r="L1126" s="18"/>
      <c r="M1126" s="285" t="str">
        <f t="shared" ref="M1126" si="1756">IF(COUNT(L1126:L1127)&lt;1,"",AVERAGE(L1126:L1127))</f>
        <v/>
      </c>
      <c r="N1126" s="22"/>
      <c r="O1126" s="285" t="str">
        <f t="shared" ref="O1126" si="1757">IF(COUNT(N1126:N1127)&lt;1,"",AVERAGE(N1126:N1127))</f>
        <v/>
      </c>
      <c r="P1126" s="22"/>
      <c r="Q1126" s="285" t="str">
        <f t="shared" ref="Q1126" si="1758">IF(COUNT(P1126:P1127)&lt;1,"",AVERAGE(P1126:P1127))</f>
        <v/>
      </c>
      <c r="R1126" s="278" t="str">
        <f>IF($X$13="/28",IF(COUNT(P1126:P1127)&lt;=1,"",ABS(P1126-P1127)),IF($X$13="/90",IF(COUNT(#REF!)&lt;=1,"",ABS(#REF!-#REF!))))</f>
        <v/>
      </c>
      <c r="S1126" s="278" t="str">
        <f>IF($X$13="/28",IF(Q1126="","",IF(AVERAGE(Q1122:Q1127)&gt;=$W$13,ROUND(AVERAGE(Q1122:Q1127),1)&amp;" ≥ "&amp;$W$13&amp;" OK",ROUND(AVERAGE(Q1122:Q1127),1)&amp;" &lt; "&amp;$W$13&amp;" NC")),IF($X$13="/90",IF(#REF!="","",IF(AVERAGE(#REF!)&gt;=$W$13,ROUND(AVERAGE(#REF!),1)&amp;" ≥ "&amp;$W$13&amp;" OK",ROUND(AVERAGE(#REF!),1)&amp;" &lt; "&amp;$W$13&amp;" NC"))))</f>
        <v/>
      </c>
      <c r="T1126" s="278" t="str">
        <f>IF($X$13="/28",IF(Q1126="","",IF(Q1126&gt;=$W$13-$S$12,ROUND((Q1126),1)&amp;" ≥ "&amp;$W$13-$S$12&amp;" OK",ROUND((Q1126),1)&amp;" &lt; "&amp;$W$13-$S$12&amp;" NC")),IF($X$13="/90",IF(#REF!="","",IF(#REF!&gt;=$W$13-$S$12,ROUND((#REF!),1)&amp;" ≥ "&amp;$W$13-$S$12&amp;" OK",ROUND((#REF!),1)&amp;" &lt; "&amp;$W$13-$S$12&amp;" NC"))))</f>
        <v/>
      </c>
      <c r="U1126" s="14"/>
      <c r="V1126" s="279"/>
      <c r="W1126" s="280"/>
      <c r="X1126" s="281"/>
      <c r="Y1126" s="246"/>
      <c r="Z1126" s="246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BP1126" s="390" t="str">
        <f>IF($X$13="/28",IF(Q1126="","",Q1126),IF($X$13="/90",IF(#REF!="","",#REF!),"Falso"))</f>
        <v/>
      </c>
      <c r="BQ1126" s="392" t="str">
        <f t="shared" si="1704"/>
        <v/>
      </c>
    </row>
    <row r="1127" spans="1:69" ht="14.25" customHeight="1" x14ac:dyDescent="0.35">
      <c r="A1127" s="294"/>
      <c r="B1127" s="296"/>
      <c r="C1127" s="298"/>
      <c r="D1127" s="300"/>
      <c r="E1127" s="302"/>
      <c r="F1127" s="304"/>
      <c r="G1127" s="276"/>
      <c r="H1127" s="277"/>
      <c r="I1127" s="290"/>
      <c r="J1127" s="290"/>
      <c r="K1127" s="291"/>
      <c r="L1127" s="17"/>
      <c r="M1127" s="286"/>
      <c r="N1127" s="21"/>
      <c r="O1127" s="286"/>
      <c r="P1127" s="21"/>
      <c r="Q1127" s="286"/>
      <c r="R1127" s="248"/>
      <c r="S1127" s="287"/>
      <c r="T1127" s="248"/>
      <c r="U1127" s="13"/>
      <c r="V1127" s="282"/>
      <c r="W1127" s="283"/>
      <c r="X1127" s="284"/>
      <c r="Y1127" s="245"/>
      <c r="Z1127" s="245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BP1127" s="391"/>
      <c r="BQ1127" s="393"/>
    </row>
    <row r="1128" spans="1:69" ht="14.25" customHeight="1" x14ac:dyDescent="0.35">
      <c r="A1128" s="293">
        <v>556</v>
      </c>
      <c r="B1128" s="295"/>
      <c r="C1128" s="297"/>
      <c r="D1128" s="299"/>
      <c r="E1128" s="301"/>
      <c r="F1128" s="303"/>
      <c r="G1128" s="288"/>
      <c r="H1128" s="289"/>
      <c r="I1128" s="290"/>
      <c r="J1128" s="290"/>
      <c r="K1128" s="291"/>
      <c r="L1128" s="18"/>
      <c r="M1128" s="285" t="str">
        <f t="shared" ref="M1128" si="1759">IF(COUNT(L1128:L1129)&lt;1,"",AVERAGE(L1128:L1129))</f>
        <v/>
      </c>
      <c r="N1128" s="22"/>
      <c r="O1128" s="285" t="str">
        <f t="shared" ref="O1128" si="1760">IF(COUNT(N1128:N1129)&lt;1,"",AVERAGE(N1128:N1129))</f>
        <v/>
      </c>
      <c r="P1128" s="22"/>
      <c r="Q1128" s="285" t="str">
        <f t="shared" ref="Q1128" si="1761">IF(COUNT(P1128:P1129)&lt;1,"",AVERAGE(P1128:P1129))</f>
        <v/>
      </c>
      <c r="R1128" s="278" t="str">
        <f>IF($X$13="/28",IF(COUNT(P1128:P1129)&lt;=1,"",ABS(P1128-P1129)),IF($X$13="/90",IF(COUNT(#REF!)&lt;=1,"",ABS(#REF!-#REF!))))</f>
        <v/>
      </c>
      <c r="S1128" s="278" t="str">
        <f>IF($X$13="/28",IF(Q1128="","",IF(AVERAGE(Q1124:Q1129)&gt;=$W$13,ROUND(AVERAGE(Q1124:Q1129),1)&amp;" ≥ "&amp;$W$13&amp;" OK",ROUND(AVERAGE(Q1124:Q1129),1)&amp;" &lt; "&amp;$W$13&amp;" NC")),IF($X$13="/90",IF(#REF!="","",IF(AVERAGE(#REF!)&gt;=$W$13,ROUND(AVERAGE(#REF!),1)&amp;" ≥ "&amp;$W$13&amp;" OK",ROUND(AVERAGE(#REF!),1)&amp;" &lt; "&amp;$W$13&amp;" NC"))))</f>
        <v/>
      </c>
      <c r="T1128" s="278" t="str">
        <f>IF($X$13="/28",IF(Q1128="","",IF(Q1128&gt;=$W$13-$S$12,ROUND((Q1128),1)&amp;" ≥ "&amp;$W$13-$S$12&amp;" OK",ROUND((Q1128),1)&amp;" &lt; "&amp;$W$13-$S$12&amp;" NC")),IF($X$13="/90",IF(#REF!="","",IF(#REF!&gt;=$W$13-$S$12,ROUND((#REF!),1)&amp;" ≥ "&amp;$W$13-$S$12&amp;" OK",ROUND((#REF!),1)&amp;" &lt; "&amp;$W$13-$S$12&amp;" NC"))))</f>
        <v/>
      </c>
      <c r="U1128" s="14"/>
      <c r="V1128" s="279"/>
      <c r="W1128" s="280"/>
      <c r="X1128" s="281"/>
      <c r="Y1128" s="246"/>
      <c r="Z1128" s="246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BP1128" s="390" t="str">
        <f>IF($X$13="/28",IF(Q1128="","",Q1128),IF($X$13="/90",IF(#REF!="","",#REF!),"Falso"))</f>
        <v/>
      </c>
      <c r="BQ1128" s="392" t="str">
        <f t="shared" si="1696"/>
        <v/>
      </c>
    </row>
    <row r="1129" spans="1:69" ht="14.25" customHeight="1" x14ac:dyDescent="0.35">
      <c r="A1129" s="294"/>
      <c r="B1129" s="296"/>
      <c r="C1129" s="298"/>
      <c r="D1129" s="300"/>
      <c r="E1129" s="302"/>
      <c r="F1129" s="304"/>
      <c r="G1129" s="276"/>
      <c r="H1129" s="277"/>
      <c r="I1129" s="290"/>
      <c r="J1129" s="290"/>
      <c r="K1129" s="291"/>
      <c r="L1129" s="17"/>
      <c r="M1129" s="286"/>
      <c r="N1129" s="21"/>
      <c r="O1129" s="286"/>
      <c r="P1129" s="21"/>
      <c r="Q1129" s="286"/>
      <c r="R1129" s="248"/>
      <c r="S1129" s="287"/>
      <c r="T1129" s="248"/>
      <c r="U1129" s="13"/>
      <c r="V1129" s="282"/>
      <c r="W1129" s="283"/>
      <c r="X1129" s="284"/>
      <c r="Y1129" s="245"/>
      <c r="Z1129" s="245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BP1129" s="391"/>
      <c r="BQ1129" s="393"/>
    </row>
    <row r="1130" spans="1:69" ht="14.25" customHeight="1" x14ac:dyDescent="0.35">
      <c r="A1130" s="293">
        <v>557</v>
      </c>
      <c r="B1130" s="295"/>
      <c r="C1130" s="297"/>
      <c r="D1130" s="299"/>
      <c r="E1130" s="301"/>
      <c r="F1130" s="303"/>
      <c r="G1130" s="288"/>
      <c r="H1130" s="289"/>
      <c r="I1130" s="290"/>
      <c r="J1130" s="290"/>
      <c r="K1130" s="291"/>
      <c r="L1130" s="18"/>
      <c r="M1130" s="285" t="str">
        <f t="shared" ref="M1130" si="1762">IF(COUNT(L1130:L1131)&lt;1,"",AVERAGE(L1130:L1131))</f>
        <v/>
      </c>
      <c r="N1130" s="22"/>
      <c r="O1130" s="285" t="str">
        <f t="shared" ref="O1130" si="1763">IF(COUNT(N1130:N1131)&lt;1,"",AVERAGE(N1130:N1131))</f>
        <v/>
      </c>
      <c r="P1130" s="22"/>
      <c r="Q1130" s="285" t="str">
        <f t="shared" ref="Q1130" si="1764">IF(COUNT(P1130:P1131)&lt;1,"",AVERAGE(P1130:P1131))</f>
        <v/>
      </c>
      <c r="R1130" s="278" t="str">
        <f>IF($X$13="/28",IF(COUNT(P1130:P1131)&lt;=1,"",ABS(P1130-P1131)),IF($X$13="/90",IF(COUNT(#REF!)&lt;=1,"",ABS(#REF!-#REF!))))</f>
        <v/>
      </c>
      <c r="S1130" s="278" t="str">
        <f>IF($X$13="/28",IF(Q1130="","",IF(AVERAGE(Q1126:Q1131)&gt;=$W$13,ROUND(AVERAGE(Q1126:Q1131),1)&amp;" ≥ "&amp;$W$13&amp;" OK",ROUND(AVERAGE(Q1126:Q1131),1)&amp;" &lt; "&amp;$W$13&amp;" NC")),IF($X$13="/90",IF(#REF!="","",IF(AVERAGE(#REF!)&gt;=$W$13,ROUND(AVERAGE(#REF!),1)&amp;" ≥ "&amp;$W$13&amp;" OK",ROUND(AVERAGE(#REF!),1)&amp;" &lt; "&amp;$W$13&amp;" NC"))))</f>
        <v/>
      </c>
      <c r="T1130" s="278" t="str">
        <f>IF($X$13="/28",IF(Q1130="","",IF(Q1130&gt;=$W$13-$S$12,ROUND((Q1130),1)&amp;" ≥ "&amp;$W$13-$S$12&amp;" OK",ROUND((Q1130),1)&amp;" &lt; "&amp;$W$13-$S$12&amp;" NC")),IF($X$13="/90",IF(#REF!="","",IF(#REF!&gt;=$W$13-$S$12,ROUND((#REF!),1)&amp;" ≥ "&amp;$W$13-$S$12&amp;" OK",ROUND((#REF!),1)&amp;" &lt; "&amp;$W$13-$S$12&amp;" NC"))))</f>
        <v/>
      </c>
      <c r="U1130" s="14"/>
      <c r="V1130" s="279"/>
      <c r="W1130" s="280"/>
      <c r="X1130" s="281"/>
      <c r="Y1130" s="246"/>
      <c r="Z1130" s="246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BP1130" s="390" t="str">
        <f>IF($X$13="/28",IF(Q1130="","",Q1130),IF($X$13="/90",IF(#REF!="","",#REF!),"Falso"))</f>
        <v/>
      </c>
      <c r="BQ1130" s="392" t="str">
        <f t="shared" si="1700"/>
        <v/>
      </c>
    </row>
    <row r="1131" spans="1:69" ht="14.25" customHeight="1" x14ac:dyDescent="0.35">
      <c r="A1131" s="294"/>
      <c r="B1131" s="296"/>
      <c r="C1131" s="298"/>
      <c r="D1131" s="300"/>
      <c r="E1131" s="302"/>
      <c r="F1131" s="304"/>
      <c r="G1131" s="276"/>
      <c r="H1131" s="277"/>
      <c r="I1131" s="290"/>
      <c r="J1131" s="290"/>
      <c r="K1131" s="291"/>
      <c r="L1131" s="17"/>
      <c r="M1131" s="286"/>
      <c r="N1131" s="21"/>
      <c r="O1131" s="286"/>
      <c r="P1131" s="21"/>
      <c r="Q1131" s="286"/>
      <c r="R1131" s="248"/>
      <c r="S1131" s="287"/>
      <c r="T1131" s="248"/>
      <c r="U1131" s="13"/>
      <c r="V1131" s="282"/>
      <c r="W1131" s="283"/>
      <c r="X1131" s="284"/>
      <c r="Y1131" s="245"/>
      <c r="Z1131" s="245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BP1131" s="391"/>
      <c r="BQ1131" s="393"/>
    </row>
    <row r="1132" spans="1:69" ht="14.25" customHeight="1" x14ac:dyDescent="0.35">
      <c r="A1132" s="293">
        <v>558</v>
      </c>
      <c r="B1132" s="295"/>
      <c r="C1132" s="297"/>
      <c r="D1132" s="299"/>
      <c r="E1132" s="301"/>
      <c r="F1132" s="303"/>
      <c r="G1132" s="288"/>
      <c r="H1132" s="289"/>
      <c r="I1132" s="290"/>
      <c r="J1132" s="290"/>
      <c r="K1132" s="291"/>
      <c r="L1132" s="18"/>
      <c r="M1132" s="285" t="str">
        <f t="shared" ref="M1132" si="1765">IF(COUNT(L1132:L1133)&lt;1,"",AVERAGE(L1132:L1133))</f>
        <v/>
      </c>
      <c r="N1132" s="22"/>
      <c r="O1132" s="285" t="str">
        <f t="shared" ref="O1132" si="1766">IF(COUNT(N1132:N1133)&lt;1,"",AVERAGE(N1132:N1133))</f>
        <v/>
      </c>
      <c r="P1132" s="22"/>
      <c r="Q1132" s="285" t="str">
        <f t="shared" ref="Q1132" si="1767">IF(COUNT(P1132:P1133)&lt;1,"",AVERAGE(P1132:P1133))</f>
        <v/>
      </c>
      <c r="R1132" s="278" t="str">
        <f>IF($X$13="/28",IF(COUNT(P1132:P1133)&lt;=1,"",ABS(P1132-P1133)),IF($X$13="/90",IF(COUNT(#REF!)&lt;=1,"",ABS(#REF!-#REF!))))</f>
        <v/>
      </c>
      <c r="S1132" s="278" t="str">
        <f>IF($X$13="/28",IF(Q1132="","",IF(AVERAGE(Q1128:Q1133)&gt;=$W$13,ROUND(AVERAGE(Q1128:Q1133),1)&amp;" ≥ "&amp;$W$13&amp;" OK",ROUND(AVERAGE(Q1128:Q1133),1)&amp;" &lt; "&amp;$W$13&amp;" NC")),IF($X$13="/90",IF(#REF!="","",IF(AVERAGE(#REF!)&gt;=$W$13,ROUND(AVERAGE(#REF!),1)&amp;" ≥ "&amp;$W$13&amp;" OK",ROUND(AVERAGE(#REF!),1)&amp;" &lt; "&amp;$W$13&amp;" NC"))))</f>
        <v/>
      </c>
      <c r="T1132" s="278" t="str">
        <f>IF($X$13="/28",IF(Q1132="","",IF(Q1132&gt;=$W$13-$S$12,ROUND((Q1132),1)&amp;" ≥ "&amp;$W$13-$S$12&amp;" OK",ROUND((Q1132),1)&amp;" &lt; "&amp;$W$13-$S$12&amp;" NC")),IF($X$13="/90",IF(#REF!="","",IF(#REF!&gt;=$W$13-$S$12,ROUND((#REF!),1)&amp;" ≥ "&amp;$W$13-$S$12&amp;" OK",ROUND((#REF!),1)&amp;" &lt; "&amp;$W$13-$S$12&amp;" NC"))))</f>
        <v/>
      </c>
      <c r="U1132" s="14"/>
      <c r="V1132" s="279"/>
      <c r="W1132" s="280"/>
      <c r="X1132" s="281"/>
      <c r="Y1132" s="246"/>
      <c r="Z1132" s="246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BP1132" s="390" t="str">
        <f>IF($X$13="/28",IF(Q1132="","",Q1132),IF($X$13="/90",IF(#REF!="","",#REF!),"Falso"))</f>
        <v/>
      </c>
      <c r="BQ1132" s="392" t="str">
        <f t="shared" si="1704"/>
        <v/>
      </c>
    </row>
    <row r="1133" spans="1:69" ht="14.25" customHeight="1" x14ac:dyDescent="0.35">
      <c r="A1133" s="294"/>
      <c r="B1133" s="296"/>
      <c r="C1133" s="298"/>
      <c r="D1133" s="300"/>
      <c r="E1133" s="302"/>
      <c r="F1133" s="304"/>
      <c r="G1133" s="276"/>
      <c r="H1133" s="277"/>
      <c r="I1133" s="290"/>
      <c r="J1133" s="290"/>
      <c r="K1133" s="291"/>
      <c r="L1133" s="17"/>
      <c r="M1133" s="286"/>
      <c r="N1133" s="21"/>
      <c r="O1133" s="286"/>
      <c r="P1133" s="21"/>
      <c r="Q1133" s="286"/>
      <c r="R1133" s="248"/>
      <c r="S1133" s="287"/>
      <c r="T1133" s="248"/>
      <c r="U1133" s="13"/>
      <c r="V1133" s="282"/>
      <c r="W1133" s="283"/>
      <c r="X1133" s="284"/>
      <c r="Y1133" s="245"/>
      <c r="Z1133" s="245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BP1133" s="391"/>
      <c r="BQ1133" s="393"/>
    </row>
    <row r="1134" spans="1:69" ht="14.25" customHeight="1" x14ac:dyDescent="0.35">
      <c r="A1134" s="293">
        <v>559</v>
      </c>
      <c r="B1134" s="295"/>
      <c r="C1134" s="297"/>
      <c r="D1134" s="299"/>
      <c r="E1134" s="301"/>
      <c r="F1134" s="303"/>
      <c r="G1134" s="288"/>
      <c r="H1134" s="289"/>
      <c r="I1134" s="290"/>
      <c r="J1134" s="290"/>
      <c r="K1134" s="291"/>
      <c r="L1134" s="18"/>
      <c r="M1134" s="285" t="str">
        <f t="shared" ref="M1134" si="1768">IF(COUNT(L1134:L1135)&lt;1,"",AVERAGE(L1134:L1135))</f>
        <v/>
      </c>
      <c r="N1134" s="22"/>
      <c r="O1134" s="285" t="str">
        <f t="shared" ref="O1134" si="1769">IF(COUNT(N1134:N1135)&lt;1,"",AVERAGE(N1134:N1135))</f>
        <v/>
      </c>
      <c r="P1134" s="22"/>
      <c r="Q1134" s="285" t="str">
        <f t="shared" ref="Q1134" si="1770">IF(COUNT(P1134:P1135)&lt;1,"",AVERAGE(P1134:P1135))</f>
        <v/>
      </c>
      <c r="R1134" s="278" t="str">
        <f>IF($X$13="/28",IF(COUNT(P1134:P1135)&lt;=1,"",ABS(P1134-P1135)),IF($X$13="/90",IF(COUNT(#REF!)&lt;=1,"",ABS(#REF!-#REF!))))</f>
        <v/>
      </c>
      <c r="S1134" s="278" t="str">
        <f>IF($X$13="/28",IF(Q1134="","",IF(AVERAGE(Q1130:Q1135)&gt;=$W$13,ROUND(AVERAGE(Q1130:Q1135),1)&amp;" ≥ "&amp;$W$13&amp;" OK",ROUND(AVERAGE(Q1130:Q1135),1)&amp;" &lt; "&amp;$W$13&amp;" NC")),IF($X$13="/90",IF(#REF!="","",IF(AVERAGE(#REF!)&gt;=$W$13,ROUND(AVERAGE(#REF!),1)&amp;" ≥ "&amp;$W$13&amp;" OK",ROUND(AVERAGE(#REF!),1)&amp;" &lt; "&amp;$W$13&amp;" NC"))))</f>
        <v/>
      </c>
      <c r="T1134" s="278" t="str">
        <f>IF($X$13="/28",IF(Q1134="","",IF(Q1134&gt;=$W$13-$S$12,ROUND((Q1134),1)&amp;" ≥ "&amp;$W$13-$S$12&amp;" OK",ROUND((Q1134),1)&amp;" &lt; "&amp;$W$13-$S$12&amp;" NC")),IF($X$13="/90",IF(#REF!="","",IF(#REF!&gt;=$W$13-$S$12,ROUND((#REF!),1)&amp;" ≥ "&amp;$W$13-$S$12&amp;" OK",ROUND((#REF!),1)&amp;" &lt; "&amp;$W$13-$S$12&amp;" NC"))))</f>
        <v/>
      </c>
      <c r="U1134" s="14"/>
      <c r="V1134" s="279"/>
      <c r="W1134" s="280"/>
      <c r="X1134" s="281"/>
      <c r="Y1134" s="246"/>
      <c r="Z1134" s="246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BP1134" s="390" t="str">
        <f>IF($X$13="/28",IF(Q1134="","",Q1134),IF($X$13="/90",IF(#REF!="","",#REF!),"Falso"))</f>
        <v/>
      </c>
      <c r="BQ1134" s="392" t="str">
        <f t="shared" si="1696"/>
        <v/>
      </c>
    </row>
    <row r="1135" spans="1:69" ht="14.25" customHeight="1" x14ac:dyDescent="0.35">
      <c r="A1135" s="294"/>
      <c r="B1135" s="296"/>
      <c r="C1135" s="298"/>
      <c r="D1135" s="300"/>
      <c r="E1135" s="302"/>
      <c r="F1135" s="304"/>
      <c r="G1135" s="276"/>
      <c r="H1135" s="277"/>
      <c r="I1135" s="290"/>
      <c r="J1135" s="290"/>
      <c r="K1135" s="291"/>
      <c r="L1135" s="17"/>
      <c r="M1135" s="286"/>
      <c r="N1135" s="21"/>
      <c r="O1135" s="286"/>
      <c r="P1135" s="21"/>
      <c r="Q1135" s="286"/>
      <c r="R1135" s="248"/>
      <c r="S1135" s="287"/>
      <c r="T1135" s="248"/>
      <c r="U1135" s="13"/>
      <c r="V1135" s="282"/>
      <c r="W1135" s="283"/>
      <c r="X1135" s="284"/>
      <c r="Y1135" s="245"/>
      <c r="Z1135" s="245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BP1135" s="391"/>
      <c r="BQ1135" s="393"/>
    </row>
    <row r="1136" spans="1:69" ht="14.25" customHeight="1" x14ac:dyDescent="0.35">
      <c r="A1136" s="293">
        <v>560</v>
      </c>
      <c r="B1136" s="295"/>
      <c r="C1136" s="297"/>
      <c r="D1136" s="299"/>
      <c r="E1136" s="301"/>
      <c r="F1136" s="303"/>
      <c r="G1136" s="288"/>
      <c r="H1136" s="289"/>
      <c r="I1136" s="290"/>
      <c r="J1136" s="290"/>
      <c r="K1136" s="291"/>
      <c r="L1136" s="18"/>
      <c r="M1136" s="285" t="str">
        <f t="shared" ref="M1136" si="1771">IF(COUNT(L1136:L1137)&lt;1,"",AVERAGE(L1136:L1137))</f>
        <v/>
      </c>
      <c r="N1136" s="22"/>
      <c r="O1136" s="285" t="str">
        <f t="shared" ref="O1136" si="1772">IF(COUNT(N1136:N1137)&lt;1,"",AVERAGE(N1136:N1137))</f>
        <v/>
      </c>
      <c r="P1136" s="22"/>
      <c r="Q1136" s="285" t="str">
        <f t="shared" ref="Q1136" si="1773">IF(COUNT(P1136:P1137)&lt;1,"",AVERAGE(P1136:P1137))</f>
        <v/>
      </c>
      <c r="R1136" s="278" t="str">
        <f>IF($X$13="/28",IF(COUNT(P1136:P1137)&lt;=1,"",ABS(P1136-P1137)),IF($X$13="/90",IF(COUNT(#REF!)&lt;=1,"",ABS(#REF!-#REF!))))</f>
        <v/>
      </c>
      <c r="S1136" s="278" t="str">
        <f>IF($X$13="/28",IF(Q1136="","",IF(AVERAGE(Q1132:Q1137)&gt;=$W$13,ROUND(AVERAGE(Q1132:Q1137),1)&amp;" ≥ "&amp;$W$13&amp;" OK",ROUND(AVERAGE(Q1132:Q1137),1)&amp;" &lt; "&amp;$W$13&amp;" NC")),IF($X$13="/90",IF(#REF!="","",IF(AVERAGE(#REF!)&gt;=$W$13,ROUND(AVERAGE(#REF!),1)&amp;" ≥ "&amp;$W$13&amp;" OK",ROUND(AVERAGE(#REF!),1)&amp;" &lt; "&amp;$W$13&amp;" NC"))))</f>
        <v/>
      </c>
      <c r="T1136" s="278" t="str">
        <f>IF($X$13="/28",IF(Q1136="","",IF(Q1136&gt;=$W$13-$S$12,ROUND((Q1136),1)&amp;" ≥ "&amp;$W$13-$S$12&amp;" OK",ROUND((Q1136),1)&amp;" &lt; "&amp;$W$13-$S$12&amp;" NC")),IF($X$13="/90",IF(#REF!="","",IF(#REF!&gt;=$W$13-$S$12,ROUND((#REF!),1)&amp;" ≥ "&amp;$W$13-$S$12&amp;" OK",ROUND((#REF!),1)&amp;" &lt; "&amp;$W$13-$S$12&amp;" NC"))))</f>
        <v/>
      </c>
      <c r="U1136" s="14"/>
      <c r="V1136" s="279"/>
      <c r="W1136" s="280"/>
      <c r="X1136" s="281"/>
      <c r="Y1136" s="246"/>
      <c r="Z1136" s="246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BP1136" s="390" t="str">
        <f>IF($X$13="/28",IF(Q1136="","",Q1136),IF($X$13="/90",IF(#REF!="","",#REF!),"Falso"))</f>
        <v/>
      </c>
      <c r="BQ1136" s="392" t="str">
        <f t="shared" si="1700"/>
        <v/>
      </c>
    </row>
    <row r="1137" spans="1:69" ht="14.25" customHeight="1" x14ac:dyDescent="0.35">
      <c r="A1137" s="294"/>
      <c r="B1137" s="296"/>
      <c r="C1137" s="298"/>
      <c r="D1137" s="300"/>
      <c r="E1137" s="302"/>
      <c r="F1137" s="304"/>
      <c r="G1137" s="276"/>
      <c r="H1137" s="277"/>
      <c r="I1137" s="290"/>
      <c r="J1137" s="290"/>
      <c r="K1137" s="291"/>
      <c r="L1137" s="17"/>
      <c r="M1137" s="286"/>
      <c r="N1137" s="21"/>
      <c r="O1137" s="286"/>
      <c r="P1137" s="21"/>
      <c r="Q1137" s="286"/>
      <c r="R1137" s="248"/>
      <c r="S1137" s="287"/>
      <c r="T1137" s="248"/>
      <c r="U1137" s="13"/>
      <c r="V1137" s="282"/>
      <c r="W1137" s="283"/>
      <c r="X1137" s="284"/>
      <c r="Y1137" s="245"/>
      <c r="Z1137" s="245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BP1137" s="391"/>
      <c r="BQ1137" s="393"/>
    </row>
    <row r="1138" spans="1:69" ht="14.25" customHeight="1" x14ac:dyDescent="0.35">
      <c r="A1138" s="293">
        <v>561</v>
      </c>
      <c r="B1138" s="295"/>
      <c r="C1138" s="297"/>
      <c r="D1138" s="299"/>
      <c r="E1138" s="301"/>
      <c r="F1138" s="303"/>
      <c r="G1138" s="288"/>
      <c r="H1138" s="289"/>
      <c r="I1138" s="290"/>
      <c r="J1138" s="290"/>
      <c r="K1138" s="291"/>
      <c r="L1138" s="18"/>
      <c r="M1138" s="285" t="str">
        <f t="shared" ref="M1138" si="1774">IF(COUNT(L1138:L1139)&lt;1,"",AVERAGE(L1138:L1139))</f>
        <v/>
      </c>
      <c r="N1138" s="22"/>
      <c r="O1138" s="285" t="str">
        <f t="shared" ref="O1138" si="1775">IF(COUNT(N1138:N1139)&lt;1,"",AVERAGE(N1138:N1139))</f>
        <v/>
      </c>
      <c r="P1138" s="22"/>
      <c r="Q1138" s="285" t="str">
        <f t="shared" ref="Q1138" si="1776">IF(COUNT(P1138:P1139)&lt;1,"",AVERAGE(P1138:P1139))</f>
        <v/>
      </c>
      <c r="R1138" s="278" t="str">
        <f>IF($X$13="/28",IF(COUNT(P1138:P1139)&lt;=1,"",ABS(P1138-P1139)),IF($X$13="/90",IF(COUNT(#REF!)&lt;=1,"",ABS(#REF!-#REF!))))</f>
        <v/>
      </c>
      <c r="S1138" s="278" t="str">
        <f>IF($X$13="/28",IF(Q1138="","",IF(AVERAGE(Q1134:Q1139)&gt;=$W$13,ROUND(AVERAGE(Q1134:Q1139),1)&amp;" ≥ "&amp;$W$13&amp;" OK",ROUND(AVERAGE(Q1134:Q1139),1)&amp;" &lt; "&amp;$W$13&amp;" NC")),IF($X$13="/90",IF(#REF!="","",IF(AVERAGE(#REF!)&gt;=$W$13,ROUND(AVERAGE(#REF!),1)&amp;" ≥ "&amp;$W$13&amp;" OK",ROUND(AVERAGE(#REF!),1)&amp;" &lt; "&amp;$W$13&amp;" NC"))))</f>
        <v/>
      </c>
      <c r="T1138" s="278" t="str">
        <f>IF($X$13="/28",IF(Q1138="","",IF(Q1138&gt;=$W$13-$S$12,ROUND((Q1138),1)&amp;" ≥ "&amp;$W$13-$S$12&amp;" OK",ROUND((Q1138),1)&amp;" &lt; "&amp;$W$13-$S$12&amp;" NC")),IF($X$13="/90",IF(#REF!="","",IF(#REF!&gt;=$W$13-$S$12,ROUND((#REF!),1)&amp;" ≥ "&amp;$W$13-$S$12&amp;" OK",ROUND((#REF!),1)&amp;" &lt; "&amp;$W$13-$S$12&amp;" NC"))))</f>
        <v/>
      </c>
      <c r="U1138" s="14"/>
      <c r="V1138" s="279"/>
      <c r="W1138" s="280"/>
      <c r="X1138" s="281"/>
      <c r="Y1138" s="246"/>
      <c r="Z1138" s="246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BP1138" s="390" t="str">
        <f>IF($X$13="/28",IF(Q1138="","",Q1138),IF($X$13="/90",IF(#REF!="","",#REF!),"Falso"))</f>
        <v/>
      </c>
      <c r="BQ1138" s="392" t="str">
        <f t="shared" si="1704"/>
        <v/>
      </c>
    </row>
    <row r="1139" spans="1:69" ht="14.25" customHeight="1" x14ac:dyDescent="0.35">
      <c r="A1139" s="294"/>
      <c r="B1139" s="296"/>
      <c r="C1139" s="298"/>
      <c r="D1139" s="300"/>
      <c r="E1139" s="302"/>
      <c r="F1139" s="304"/>
      <c r="G1139" s="276"/>
      <c r="H1139" s="277"/>
      <c r="I1139" s="290"/>
      <c r="J1139" s="290"/>
      <c r="K1139" s="291"/>
      <c r="L1139" s="17"/>
      <c r="M1139" s="286"/>
      <c r="N1139" s="21"/>
      <c r="O1139" s="286"/>
      <c r="P1139" s="21"/>
      <c r="Q1139" s="286"/>
      <c r="R1139" s="248"/>
      <c r="S1139" s="287"/>
      <c r="T1139" s="248"/>
      <c r="U1139" s="13"/>
      <c r="V1139" s="282"/>
      <c r="W1139" s="283"/>
      <c r="X1139" s="284"/>
      <c r="Y1139" s="245"/>
      <c r="Z1139" s="245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BP1139" s="391"/>
      <c r="BQ1139" s="393"/>
    </row>
    <row r="1140" spans="1:69" ht="14.25" customHeight="1" x14ac:dyDescent="0.35">
      <c r="A1140" s="293">
        <v>562</v>
      </c>
      <c r="B1140" s="295"/>
      <c r="C1140" s="297"/>
      <c r="D1140" s="299"/>
      <c r="E1140" s="301"/>
      <c r="F1140" s="303"/>
      <c r="G1140" s="288"/>
      <c r="H1140" s="289"/>
      <c r="I1140" s="290"/>
      <c r="J1140" s="290"/>
      <c r="K1140" s="291"/>
      <c r="L1140" s="18"/>
      <c r="M1140" s="285" t="str">
        <f t="shared" ref="M1140" si="1777">IF(COUNT(L1140:L1141)&lt;1,"",AVERAGE(L1140:L1141))</f>
        <v/>
      </c>
      <c r="N1140" s="22"/>
      <c r="O1140" s="285" t="str">
        <f t="shared" ref="O1140" si="1778">IF(COUNT(N1140:N1141)&lt;1,"",AVERAGE(N1140:N1141))</f>
        <v/>
      </c>
      <c r="P1140" s="22"/>
      <c r="Q1140" s="285" t="str">
        <f t="shared" ref="Q1140" si="1779">IF(COUNT(P1140:P1141)&lt;1,"",AVERAGE(P1140:P1141))</f>
        <v/>
      </c>
      <c r="R1140" s="278" t="str">
        <f>IF($X$13="/28",IF(COUNT(P1140:P1141)&lt;=1,"",ABS(P1140-P1141)),IF($X$13="/90",IF(COUNT(#REF!)&lt;=1,"",ABS(#REF!-#REF!))))</f>
        <v/>
      </c>
      <c r="S1140" s="278" t="str">
        <f>IF($X$13="/28",IF(Q1140="","",IF(AVERAGE(Q1136:Q1141)&gt;=$W$13,ROUND(AVERAGE(Q1136:Q1141),1)&amp;" ≥ "&amp;$W$13&amp;" OK",ROUND(AVERAGE(Q1136:Q1141),1)&amp;" &lt; "&amp;$W$13&amp;" NC")),IF($X$13="/90",IF(#REF!="","",IF(AVERAGE(#REF!)&gt;=$W$13,ROUND(AVERAGE(#REF!),1)&amp;" ≥ "&amp;$W$13&amp;" OK",ROUND(AVERAGE(#REF!),1)&amp;" &lt; "&amp;$W$13&amp;" NC"))))</f>
        <v/>
      </c>
      <c r="T1140" s="278" t="str">
        <f>IF($X$13="/28",IF(Q1140="","",IF(Q1140&gt;=$W$13-$S$12,ROUND((Q1140),1)&amp;" ≥ "&amp;$W$13-$S$12&amp;" OK",ROUND((Q1140),1)&amp;" &lt; "&amp;$W$13-$S$12&amp;" NC")),IF($X$13="/90",IF(#REF!="","",IF(#REF!&gt;=$W$13-$S$12,ROUND((#REF!),1)&amp;" ≥ "&amp;$W$13-$S$12&amp;" OK",ROUND((#REF!),1)&amp;" &lt; "&amp;$W$13-$S$12&amp;" NC"))))</f>
        <v/>
      </c>
      <c r="U1140" s="14"/>
      <c r="V1140" s="279"/>
      <c r="W1140" s="280"/>
      <c r="X1140" s="281"/>
      <c r="Y1140" s="246"/>
      <c r="Z1140" s="246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BP1140" s="390" t="str">
        <f>IF($X$13="/28",IF(Q1140="","",Q1140),IF($X$13="/90",IF(#REF!="","",#REF!),"Falso"))</f>
        <v/>
      </c>
      <c r="BQ1140" s="392" t="str">
        <f t="shared" si="1696"/>
        <v/>
      </c>
    </row>
    <row r="1141" spans="1:69" ht="14.25" customHeight="1" x14ac:dyDescent="0.35">
      <c r="A1141" s="294"/>
      <c r="B1141" s="296"/>
      <c r="C1141" s="298"/>
      <c r="D1141" s="300"/>
      <c r="E1141" s="302"/>
      <c r="F1141" s="304"/>
      <c r="G1141" s="276"/>
      <c r="H1141" s="277"/>
      <c r="I1141" s="290"/>
      <c r="J1141" s="290"/>
      <c r="K1141" s="291"/>
      <c r="L1141" s="17"/>
      <c r="M1141" s="286"/>
      <c r="N1141" s="21"/>
      <c r="O1141" s="286"/>
      <c r="P1141" s="21"/>
      <c r="Q1141" s="286"/>
      <c r="R1141" s="248"/>
      <c r="S1141" s="287"/>
      <c r="T1141" s="248"/>
      <c r="U1141" s="13"/>
      <c r="V1141" s="282"/>
      <c r="W1141" s="283"/>
      <c r="X1141" s="284"/>
      <c r="Y1141" s="245"/>
      <c r="Z1141" s="245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BP1141" s="391"/>
      <c r="BQ1141" s="393"/>
    </row>
    <row r="1142" spans="1:69" ht="14.25" customHeight="1" x14ac:dyDescent="0.35">
      <c r="A1142" s="293">
        <v>563</v>
      </c>
      <c r="B1142" s="295"/>
      <c r="C1142" s="297"/>
      <c r="D1142" s="299"/>
      <c r="E1142" s="301"/>
      <c r="F1142" s="303"/>
      <c r="G1142" s="288"/>
      <c r="H1142" s="289"/>
      <c r="I1142" s="290"/>
      <c r="J1142" s="290"/>
      <c r="K1142" s="291"/>
      <c r="L1142" s="18"/>
      <c r="M1142" s="285" t="str">
        <f t="shared" ref="M1142" si="1780">IF(COUNT(L1142:L1143)&lt;1,"",AVERAGE(L1142:L1143))</f>
        <v/>
      </c>
      <c r="N1142" s="22"/>
      <c r="O1142" s="285" t="str">
        <f t="shared" ref="O1142" si="1781">IF(COUNT(N1142:N1143)&lt;1,"",AVERAGE(N1142:N1143))</f>
        <v/>
      </c>
      <c r="P1142" s="22"/>
      <c r="Q1142" s="285" t="str">
        <f t="shared" ref="Q1142" si="1782">IF(COUNT(P1142:P1143)&lt;1,"",AVERAGE(P1142:P1143))</f>
        <v/>
      </c>
      <c r="R1142" s="278" t="str">
        <f>IF($X$13="/28",IF(COUNT(P1142:P1143)&lt;=1,"",ABS(P1142-P1143)),IF($X$13="/90",IF(COUNT(#REF!)&lt;=1,"",ABS(#REF!-#REF!))))</f>
        <v/>
      </c>
      <c r="S1142" s="278" t="str">
        <f>IF($X$13="/28",IF(Q1142="","",IF(AVERAGE(Q1138:Q1143)&gt;=$W$13,ROUND(AVERAGE(Q1138:Q1143),1)&amp;" ≥ "&amp;$W$13&amp;" OK",ROUND(AVERAGE(Q1138:Q1143),1)&amp;" &lt; "&amp;$W$13&amp;" NC")),IF($X$13="/90",IF(#REF!="","",IF(AVERAGE(#REF!)&gt;=$W$13,ROUND(AVERAGE(#REF!),1)&amp;" ≥ "&amp;$W$13&amp;" OK",ROUND(AVERAGE(#REF!),1)&amp;" &lt; "&amp;$W$13&amp;" NC"))))</f>
        <v/>
      </c>
      <c r="T1142" s="278" t="str">
        <f>IF($X$13="/28",IF(Q1142="","",IF(Q1142&gt;=$W$13-$S$12,ROUND((Q1142),1)&amp;" ≥ "&amp;$W$13-$S$12&amp;" OK",ROUND((Q1142),1)&amp;" &lt; "&amp;$W$13-$S$12&amp;" NC")),IF($X$13="/90",IF(#REF!="","",IF(#REF!&gt;=$W$13-$S$12,ROUND((#REF!),1)&amp;" ≥ "&amp;$W$13-$S$12&amp;" OK",ROUND((#REF!),1)&amp;" &lt; "&amp;$W$13-$S$12&amp;" NC"))))</f>
        <v/>
      </c>
      <c r="U1142" s="14"/>
      <c r="V1142" s="279"/>
      <c r="W1142" s="280"/>
      <c r="X1142" s="281"/>
      <c r="Y1142" s="246"/>
      <c r="Z1142" s="246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BP1142" s="390" t="str">
        <f>IF($X$13="/28",IF(Q1142="","",Q1142),IF($X$13="/90",IF(#REF!="","",#REF!),"Falso"))</f>
        <v/>
      </c>
      <c r="BQ1142" s="392" t="str">
        <f t="shared" si="1700"/>
        <v/>
      </c>
    </row>
    <row r="1143" spans="1:69" ht="14.25" customHeight="1" x14ac:dyDescent="0.35">
      <c r="A1143" s="294"/>
      <c r="B1143" s="296"/>
      <c r="C1143" s="298"/>
      <c r="D1143" s="300"/>
      <c r="E1143" s="302"/>
      <c r="F1143" s="304"/>
      <c r="G1143" s="276"/>
      <c r="H1143" s="277"/>
      <c r="I1143" s="290"/>
      <c r="J1143" s="290"/>
      <c r="K1143" s="291"/>
      <c r="L1143" s="17"/>
      <c r="M1143" s="286"/>
      <c r="N1143" s="21"/>
      <c r="O1143" s="286"/>
      <c r="P1143" s="21"/>
      <c r="Q1143" s="286"/>
      <c r="R1143" s="248"/>
      <c r="S1143" s="287"/>
      <c r="T1143" s="248"/>
      <c r="U1143" s="13"/>
      <c r="V1143" s="282"/>
      <c r="W1143" s="283"/>
      <c r="X1143" s="284"/>
      <c r="Y1143" s="245"/>
      <c r="Z1143" s="245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BP1143" s="391"/>
      <c r="BQ1143" s="393"/>
    </row>
    <row r="1144" spans="1:69" ht="14.25" customHeight="1" x14ac:dyDescent="0.35">
      <c r="A1144" s="293">
        <v>564</v>
      </c>
      <c r="B1144" s="295"/>
      <c r="C1144" s="297"/>
      <c r="D1144" s="299"/>
      <c r="E1144" s="301"/>
      <c r="F1144" s="303"/>
      <c r="G1144" s="288"/>
      <c r="H1144" s="289"/>
      <c r="I1144" s="290"/>
      <c r="J1144" s="290"/>
      <c r="K1144" s="291"/>
      <c r="L1144" s="18"/>
      <c r="M1144" s="285" t="str">
        <f t="shared" ref="M1144" si="1783">IF(COUNT(L1144:L1145)&lt;1,"",AVERAGE(L1144:L1145))</f>
        <v/>
      </c>
      <c r="N1144" s="22"/>
      <c r="O1144" s="285" t="str">
        <f t="shared" ref="O1144" si="1784">IF(COUNT(N1144:N1145)&lt;1,"",AVERAGE(N1144:N1145))</f>
        <v/>
      </c>
      <c r="P1144" s="22"/>
      <c r="Q1144" s="285" t="str">
        <f t="shared" ref="Q1144" si="1785">IF(COUNT(P1144:P1145)&lt;1,"",AVERAGE(P1144:P1145))</f>
        <v/>
      </c>
      <c r="R1144" s="278" t="str">
        <f>IF($X$13="/28",IF(COUNT(P1144:P1145)&lt;=1,"",ABS(P1144-P1145)),IF($X$13="/90",IF(COUNT(#REF!)&lt;=1,"",ABS(#REF!-#REF!))))</f>
        <v/>
      </c>
      <c r="S1144" s="278" t="str">
        <f>IF($X$13="/28",IF(Q1144="","",IF(AVERAGE(Q1140:Q1145)&gt;=$W$13,ROUND(AVERAGE(Q1140:Q1145),1)&amp;" ≥ "&amp;$W$13&amp;" OK",ROUND(AVERAGE(Q1140:Q1145),1)&amp;" &lt; "&amp;$W$13&amp;" NC")),IF($X$13="/90",IF(#REF!="","",IF(AVERAGE(#REF!)&gt;=$W$13,ROUND(AVERAGE(#REF!),1)&amp;" ≥ "&amp;$W$13&amp;" OK",ROUND(AVERAGE(#REF!),1)&amp;" &lt; "&amp;$W$13&amp;" NC"))))</f>
        <v/>
      </c>
      <c r="T1144" s="278" t="str">
        <f>IF($X$13="/28",IF(Q1144="","",IF(Q1144&gt;=$W$13-$S$12,ROUND((Q1144),1)&amp;" ≥ "&amp;$W$13-$S$12&amp;" OK",ROUND((Q1144),1)&amp;" &lt; "&amp;$W$13-$S$12&amp;" NC")),IF($X$13="/90",IF(#REF!="","",IF(#REF!&gt;=$W$13-$S$12,ROUND((#REF!),1)&amp;" ≥ "&amp;$W$13-$S$12&amp;" OK",ROUND((#REF!),1)&amp;" &lt; "&amp;$W$13-$S$12&amp;" NC"))))</f>
        <v/>
      </c>
      <c r="U1144" s="14"/>
      <c r="V1144" s="279"/>
      <c r="W1144" s="280"/>
      <c r="X1144" s="281"/>
      <c r="Y1144" s="246"/>
      <c r="Z1144" s="246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BP1144" s="390" t="str">
        <f>IF($X$13="/28",IF(Q1144="","",Q1144),IF($X$13="/90",IF(#REF!="","",#REF!),"Falso"))</f>
        <v/>
      </c>
      <c r="BQ1144" s="392" t="str">
        <f t="shared" si="1704"/>
        <v/>
      </c>
    </row>
    <row r="1145" spans="1:69" ht="14.25" customHeight="1" x14ac:dyDescent="0.35">
      <c r="A1145" s="294"/>
      <c r="B1145" s="296"/>
      <c r="C1145" s="298"/>
      <c r="D1145" s="300"/>
      <c r="E1145" s="302"/>
      <c r="F1145" s="304"/>
      <c r="G1145" s="276"/>
      <c r="H1145" s="277"/>
      <c r="I1145" s="290"/>
      <c r="J1145" s="290"/>
      <c r="K1145" s="291"/>
      <c r="L1145" s="17"/>
      <c r="M1145" s="286"/>
      <c r="N1145" s="21"/>
      <c r="O1145" s="286"/>
      <c r="P1145" s="21"/>
      <c r="Q1145" s="286"/>
      <c r="R1145" s="248"/>
      <c r="S1145" s="287"/>
      <c r="T1145" s="248"/>
      <c r="U1145" s="13"/>
      <c r="V1145" s="282"/>
      <c r="W1145" s="283"/>
      <c r="X1145" s="284"/>
      <c r="Y1145" s="245"/>
      <c r="Z1145" s="245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BP1145" s="391"/>
      <c r="BQ1145" s="393"/>
    </row>
    <row r="1146" spans="1:69" ht="14.25" customHeight="1" x14ac:dyDescent="0.35">
      <c r="A1146" s="293">
        <v>565</v>
      </c>
      <c r="B1146" s="295"/>
      <c r="C1146" s="297"/>
      <c r="D1146" s="299"/>
      <c r="E1146" s="301"/>
      <c r="F1146" s="303"/>
      <c r="G1146" s="288"/>
      <c r="H1146" s="289"/>
      <c r="I1146" s="290"/>
      <c r="J1146" s="290"/>
      <c r="K1146" s="291"/>
      <c r="L1146" s="18"/>
      <c r="M1146" s="285" t="str">
        <f t="shared" ref="M1146" si="1786">IF(COUNT(L1146:L1147)&lt;1,"",AVERAGE(L1146:L1147))</f>
        <v/>
      </c>
      <c r="N1146" s="22"/>
      <c r="O1146" s="285" t="str">
        <f t="shared" ref="O1146" si="1787">IF(COUNT(N1146:N1147)&lt;1,"",AVERAGE(N1146:N1147))</f>
        <v/>
      </c>
      <c r="P1146" s="22"/>
      <c r="Q1146" s="285" t="str">
        <f t="shared" ref="Q1146" si="1788">IF(COUNT(P1146:P1147)&lt;1,"",AVERAGE(P1146:P1147))</f>
        <v/>
      </c>
      <c r="R1146" s="278" t="str">
        <f>IF($X$13="/28",IF(COUNT(P1146:P1147)&lt;=1,"",ABS(P1146-P1147)),IF($X$13="/90",IF(COUNT(#REF!)&lt;=1,"",ABS(#REF!-#REF!))))</f>
        <v/>
      </c>
      <c r="S1146" s="278" t="str">
        <f>IF($X$13="/28",IF(Q1146="","",IF(AVERAGE(Q1142:Q1147)&gt;=$W$13,ROUND(AVERAGE(Q1142:Q1147),1)&amp;" ≥ "&amp;$W$13&amp;" OK",ROUND(AVERAGE(Q1142:Q1147),1)&amp;" &lt; "&amp;$W$13&amp;" NC")),IF($X$13="/90",IF(#REF!="","",IF(AVERAGE(#REF!)&gt;=$W$13,ROUND(AVERAGE(#REF!),1)&amp;" ≥ "&amp;$W$13&amp;" OK",ROUND(AVERAGE(#REF!),1)&amp;" &lt; "&amp;$W$13&amp;" NC"))))</f>
        <v/>
      </c>
      <c r="T1146" s="278" t="str">
        <f>IF($X$13="/28",IF(Q1146="","",IF(Q1146&gt;=$W$13-$S$12,ROUND((Q1146),1)&amp;" ≥ "&amp;$W$13-$S$12&amp;" OK",ROUND((Q1146),1)&amp;" &lt; "&amp;$W$13-$S$12&amp;" NC")),IF($X$13="/90",IF(#REF!="","",IF(#REF!&gt;=$W$13-$S$12,ROUND((#REF!),1)&amp;" ≥ "&amp;$W$13-$S$12&amp;" OK",ROUND((#REF!),1)&amp;" &lt; "&amp;$W$13-$S$12&amp;" NC"))))</f>
        <v/>
      </c>
      <c r="U1146" s="14"/>
      <c r="V1146" s="279"/>
      <c r="W1146" s="280"/>
      <c r="X1146" s="281"/>
      <c r="Y1146" s="246"/>
      <c r="Z1146" s="246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BP1146" s="390" t="str">
        <f>IF($X$13="/28",IF(Q1146="","",Q1146),IF($X$13="/90",IF(#REF!="","",#REF!),"Falso"))</f>
        <v/>
      </c>
      <c r="BQ1146" s="392" t="str">
        <f t="shared" si="1696"/>
        <v/>
      </c>
    </row>
    <row r="1147" spans="1:69" ht="14.25" customHeight="1" x14ac:dyDescent="0.35">
      <c r="A1147" s="294"/>
      <c r="B1147" s="296"/>
      <c r="C1147" s="298"/>
      <c r="D1147" s="300"/>
      <c r="E1147" s="302"/>
      <c r="F1147" s="304"/>
      <c r="G1147" s="276"/>
      <c r="H1147" s="277"/>
      <c r="I1147" s="290"/>
      <c r="J1147" s="290"/>
      <c r="K1147" s="291"/>
      <c r="L1147" s="17"/>
      <c r="M1147" s="286"/>
      <c r="N1147" s="21"/>
      <c r="O1147" s="286"/>
      <c r="P1147" s="21"/>
      <c r="Q1147" s="286"/>
      <c r="R1147" s="248"/>
      <c r="S1147" s="287"/>
      <c r="T1147" s="248"/>
      <c r="U1147" s="13"/>
      <c r="V1147" s="282"/>
      <c r="W1147" s="283"/>
      <c r="X1147" s="284"/>
      <c r="Y1147" s="245"/>
      <c r="Z1147" s="245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BP1147" s="391"/>
      <c r="BQ1147" s="393"/>
    </row>
    <row r="1148" spans="1:69" ht="14.25" customHeight="1" x14ac:dyDescent="0.35">
      <c r="A1148" s="293">
        <v>566</v>
      </c>
      <c r="B1148" s="295"/>
      <c r="C1148" s="297"/>
      <c r="D1148" s="299"/>
      <c r="E1148" s="301"/>
      <c r="F1148" s="303"/>
      <c r="G1148" s="288"/>
      <c r="H1148" s="289"/>
      <c r="I1148" s="290"/>
      <c r="J1148" s="290"/>
      <c r="K1148" s="291"/>
      <c r="L1148" s="18"/>
      <c r="M1148" s="285" t="str">
        <f t="shared" ref="M1148" si="1789">IF(COUNT(L1148:L1149)&lt;1,"",AVERAGE(L1148:L1149))</f>
        <v/>
      </c>
      <c r="N1148" s="22"/>
      <c r="O1148" s="285" t="str">
        <f t="shared" ref="O1148" si="1790">IF(COUNT(N1148:N1149)&lt;1,"",AVERAGE(N1148:N1149))</f>
        <v/>
      </c>
      <c r="P1148" s="22"/>
      <c r="Q1148" s="285" t="str">
        <f t="shared" ref="Q1148" si="1791">IF(COUNT(P1148:P1149)&lt;1,"",AVERAGE(P1148:P1149))</f>
        <v/>
      </c>
      <c r="R1148" s="278" t="str">
        <f>IF($X$13="/28",IF(COUNT(P1148:P1149)&lt;=1,"",ABS(P1148-P1149)),IF($X$13="/90",IF(COUNT(#REF!)&lt;=1,"",ABS(#REF!-#REF!))))</f>
        <v/>
      </c>
      <c r="S1148" s="278" t="str">
        <f>IF($X$13="/28",IF(Q1148="","",IF(AVERAGE(Q1144:Q1149)&gt;=$W$13,ROUND(AVERAGE(Q1144:Q1149),1)&amp;" ≥ "&amp;$W$13&amp;" OK",ROUND(AVERAGE(Q1144:Q1149),1)&amp;" &lt; "&amp;$W$13&amp;" NC")),IF($X$13="/90",IF(#REF!="","",IF(AVERAGE(#REF!)&gt;=$W$13,ROUND(AVERAGE(#REF!),1)&amp;" ≥ "&amp;$W$13&amp;" OK",ROUND(AVERAGE(#REF!),1)&amp;" &lt; "&amp;$W$13&amp;" NC"))))</f>
        <v/>
      </c>
      <c r="T1148" s="278" t="str">
        <f>IF($X$13="/28",IF(Q1148="","",IF(Q1148&gt;=$W$13-$S$12,ROUND((Q1148),1)&amp;" ≥ "&amp;$W$13-$S$12&amp;" OK",ROUND((Q1148),1)&amp;" &lt; "&amp;$W$13-$S$12&amp;" NC")),IF($X$13="/90",IF(#REF!="","",IF(#REF!&gt;=$W$13-$S$12,ROUND((#REF!),1)&amp;" ≥ "&amp;$W$13-$S$12&amp;" OK",ROUND((#REF!),1)&amp;" &lt; "&amp;$W$13-$S$12&amp;" NC"))))</f>
        <v/>
      </c>
      <c r="U1148" s="14"/>
      <c r="V1148" s="279"/>
      <c r="W1148" s="280"/>
      <c r="X1148" s="281"/>
      <c r="Y1148" s="246"/>
      <c r="Z1148" s="246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BP1148" s="390" t="str">
        <f>IF($X$13="/28",IF(Q1148="","",Q1148),IF($X$13="/90",IF(#REF!="","",#REF!),"Falso"))</f>
        <v/>
      </c>
      <c r="BQ1148" s="392" t="str">
        <f t="shared" si="1700"/>
        <v/>
      </c>
    </row>
    <row r="1149" spans="1:69" ht="14.25" customHeight="1" x14ac:dyDescent="0.35">
      <c r="A1149" s="294"/>
      <c r="B1149" s="296"/>
      <c r="C1149" s="298"/>
      <c r="D1149" s="300"/>
      <c r="E1149" s="302"/>
      <c r="F1149" s="304"/>
      <c r="G1149" s="276"/>
      <c r="H1149" s="277"/>
      <c r="I1149" s="290"/>
      <c r="J1149" s="290"/>
      <c r="K1149" s="291"/>
      <c r="L1149" s="17"/>
      <c r="M1149" s="286"/>
      <c r="N1149" s="21"/>
      <c r="O1149" s="286"/>
      <c r="P1149" s="21"/>
      <c r="Q1149" s="286"/>
      <c r="R1149" s="248"/>
      <c r="S1149" s="287"/>
      <c r="T1149" s="248"/>
      <c r="U1149" s="13"/>
      <c r="V1149" s="282"/>
      <c r="W1149" s="283"/>
      <c r="X1149" s="284"/>
      <c r="Y1149" s="245"/>
      <c r="Z1149" s="245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BP1149" s="391"/>
      <c r="BQ1149" s="393"/>
    </row>
    <row r="1150" spans="1:69" ht="14.25" customHeight="1" x14ac:dyDescent="0.35">
      <c r="A1150" s="293">
        <v>567</v>
      </c>
      <c r="B1150" s="295"/>
      <c r="C1150" s="297"/>
      <c r="D1150" s="299"/>
      <c r="E1150" s="301"/>
      <c r="F1150" s="303"/>
      <c r="G1150" s="288"/>
      <c r="H1150" s="289"/>
      <c r="I1150" s="290"/>
      <c r="J1150" s="290"/>
      <c r="K1150" s="291"/>
      <c r="L1150" s="18"/>
      <c r="M1150" s="285" t="str">
        <f t="shared" ref="M1150" si="1792">IF(COUNT(L1150:L1151)&lt;1,"",AVERAGE(L1150:L1151))</f>
        <v/>
      </c>
      <c r="N1150" s="22"/>
      <c r="O1150" s="285" t="str">
        <f t="shared" ref="O1150" si="1793">IF(COUNT(N1150:N1151)&lt;1,"",AVERAGE(N1150:N1151))</f>
        <v/>
      </c>
      <c r="P1150" s="22"/>
      <c r="Q1150" s="285" t="str">
        <f t="shared" ref="Q1150" si="1794">IF(COUNT(P1150:P1151)&lt;1,"",AVERAGE(P1150:P1151))</f>
        <v/>
      </c>
      <c r="R1150" s="278" t="str">
        <f>IF($X$13="/28",IF(COUNT(P1150:P1151)&lt;=1,"",ABS(P1150-P1151)),IF($X$13="/90",IF(COUNT(#REF!)&lt;=1,"",ABS(#REF!-#REF!))))</f>
        <v/>
      </c>
      <c r="S1150" s="278" t="str">
        <f>IF($X$13="/28",IF(Q1150="","",IF(AVERAGE(Q1146:Q1151)&gt;=$W$13,ROUND(AVERAGE(Q1146:Q1151),1)&amp;" ≥ "&amp;$W$13&amp;" OK",ROUND(AVERAGE(Q1146:Q1151),1)&amp;" &lt; "&amp;$W$13&amp;" NC")),IF($X$13="/90",IF(#REF!="","",IF(AVERAGE(#REF!)&gt;=$W$13,ROUND(AVERAGE(#REF!),1)&amp;" ≥ "&amp;$W$13&amp;" OK",ROUND(AVERAGE(#REF!),1)&amp;" &lt; "&amp;$W$13&amp;" NC"))))</f>
        <v/>
      </c>
      <c r="T1150" s="278" t="str">
        <f>IF($X$13="/28",IF(Q1150="","",IF(Q1150&gt;=$W$13-$S$12,ROUND((Q1150),1)&amp;" ≥ "&amp;$W$13-$S$12&amp;" OK",ROUND((Q1150),1)&amp;" &lt; "&amp;$W$13-$S$12&amp;" NC")),IF($X$13="/90",IF(#REF!="","",IF(#REF!&gt;=$W$13-$S$12,ROUND((#REF!),1)&amp;" ≥ "&amp;$W$13-$S$12&amp;" OK",ROUND((#REF!),1)&amp;" &lt; "&amp;$W$13-$S$12&amp;" NC"))))</f>
        <v/>
      </c>
      <c r="U1150" s="14"/>
      <c r="V1150" s="279"/>
      <c r="W1150" s="280"/>
      <c r="X1150" s="281"/>
      <c r="Y1150" s="246"/>
      <c r="Z1150" s="246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BP1150" s="390" t="str">
        <f>IF($X$13="/28",IF(Q1150="","",Q1150),IF($X$13="/90",IF(#REF!="","",#REF!),"Falso"))</f>
        <v/>
      </c>
      <c r="BQ1150" s="392" t="str">
        <f t="shared" si="1704"/>
        <v/>
      </c>
    </row>
    <row r="1151" spans="1:69" ht="14.25" customHeight="1" x14ac:dyDescent="0.35">
      <c r="A1151" s="294"/>
      <c r="B1151" s="296"/>
      <c r="C1151" s="298"/>
      <c r="D1151" s="300"/>
      <c r="E1151" s="302"/>
      <c r="F1151" s="304"/>
      <c r="G1151" s="276"/>
      <c r="H1151" s="277"/>
      <c r="I1151" s="290"/>
      <c r="J1151" s="290"/>
      <c r="K1151" s="291"/>
      <c r="L1151" s="17"/>
      <c r="M1151" s="286"/>
      <c r="N1151" s="21"/>
      <c r="O1151" s="286"/>
      <c r="P1151" s="21"/>
      <c r="Q1151" s="286"/>
      <c r="R1151" s="248"/>
      <c r="S1151" s="287"/>
      <c r="T1151" s="248"/>
      <c r="U1151" s="13"/>
      <c r="V1151" s="282"/>
      <c r="W1151" s="283"/>
      <c r="X1151" s="284"/>
      <c r="Y1151" s="245"/>
      <c r="Z1151" s="245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BP1151" s="391"/>
      <c r="BQ1151" s="393"/>
    </row>
    <row r="1152" spans="1:69" ht="14.25" customHeight="1" x14ac:dyDescent="0.35">
      <c r="A1152" s="293">
        <v>568</v>
      </c>
      <c r="B1152" s="295"/>
      <c r="C1152" s="297"/>
      <c r="D1152" s="299"/>
      <c r="E1152" s="301"/>
      <c r="F1152" s="303"/>
      <c r="G1152" s="288"/>
      <c r="H1152" s="289"/>
      <c r="I1152" s="290"/>
      <c r="J1152" s="290"/>
      <c r="K1152" s="291"/>
      <c r="L1152" s="18"/>
      <c r="M1152" s="285" t="str">
        <f t="shared" ref="M1152" si="1795">IF(COUNT(L1152:L1153)&lt;1,"",AVERAGE(L1152:L1153))</f>
        <v/>
      </c>
      <c r="N1152" s="22"/>
      <c r="O1152" s="285" t="str">
        <f t="shared" ref="O1152" si="1796">IF(COUNT(N1152:N1153)&lt;1,"",AVERAGE(N1152:N1153))</f>
        <v/>
      </c>
      <c r="P1152" s="22"/>
      <c r="Q1152" s="285" t="str">
        <f t="shared" ref="Q1152" si="1797">IF(COUNT(P1152:P1153)&lt;1,"",AVERAGE(P1152:P1153))</f>
        <v/>
      </c>
      <c r="R1152" s="278" t="str">
        <f>IF($X$13="/28",IF(COUNT(P1152:P1153)&lt;=1,"",ABS(P1152-P1153)),IF($X$13="/90",IF(COUNT(#REF!)&lt;=1,"",ABS(#REF!-#REF!))))</f>
        <v/>
      </c>
      <c r="S1152" s="278" t="str">
        <f>IF($X$13="/28",IF(Q1152="","",IF(AVERAGE(Q1148:Q1153)&gt;=$W$13,ROUND(AVERAGE(Q1148:Q1153),1)&amp;" ≥ "&amp;$W$13&amp;" OK",ROUND(AVERAGE(Q1148:Q1153),1)&amp;" &lt; "&amp;$W$13&amp;" NC")),IF($X$13="/90",IF(#REF!="","",IF(AVERAGE(#REF!)&gt;=$W$13,ROUND(AVERAGE(#REF!),1)&amp;" ≥ "&amp;$W$13&amp;" OK",ROUND(AVERAGE(#REF!),1)&amp;" &lt; "&amp;$W$13&amp;" NC"))))</f>
        <v/>
      </c>
      <c r="T1152" s="278" t="str">
        <f>IF($X$13="/28",IF(Q1152="","",IF(Q1152&gt;=$W$13-$S$12,ROUND((Q1152),1)&amp;" ≥ "&amp;$W$13-$S$12&amp;" OK",ROUND((Q1152),1)&amp;" &lt; "&amp;$W$13-$S$12&amp;" NC")),IF($X$13="/90",IF(#REF!="","",IF(#REF!&gt;=$W$13-$S$12,ROUND((#REF!),1)&amp;" ≥ "&amp;$W$13-$S$12&amp;" OK",ROUND((#REF!),1)&amp;" &lt; "&amp;$W$13-$S$12&amp;" NC"))))</f>
        <v/>
      </c>
      <c r="U1152" s="14"/>
      <c r="V1152" s="279"/>
      <c r="W1152" s="280"/>
      <c r="X1152" s="281"/>
      <c r="Y1152" s="246"/>
      <c r="Z1152" s="246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BP1152" s="390" t="str">
        <f>IF($X$13="/28",IF(Q1152="","",Q1152),IF($X$13="/90",IF(#REF!="","",#REF!),"Falso"))</f>
        <v/>
      </c>
      <c r="BQ1152" s="392" t="str">
        <f t="shared" ref="BQ1152:BQ1212" si="1798">IF(BP1152="","",BQ1150+1)</f>
        <v/>
      </c>
    </row>
    <row r="1153" spans="1:69" ht="14.25" customHeight="1" x14ac:dyDescent="0.35">
      <c r="A1153" s="294"/>
      <c r="B1153" s="296"/>
      <c r="C1153" s="298"/>
      <c r="D1153" s="300"/>
      <c r="E1153" s="302"/>
      <c r="F1153" s="304"/>
      <c r="G1153" s="276"/>
      <c r="H1153" s="277"/>
      <c r="I1153" s="290"/>
      <c r="J1153" s="290"/>
      <c r="K1153" s="291"/>
      <c r="L1153" s="17"/>
      <c r="M1153" s="286"/>
      <c r="N1153" s="21"/>
      <c r="O1153" s="286"/>
      <c r="P1153" s="21"/>
      <c r="Q1153" s="286"/>
      <c r="R1153" s="248"/>
      <c r="S1153" s="287"/>
      <c r="T1153" s="248"/>
      <c r="U1153" s="13"/>
      <c r="V1153" s="282"/>
      <c r="W1153" s="283"/>
      <c r="X1153" s="284"/>
      <c r="Y1153" s="245"/>
      <c r="Z1153" s="245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BP1153" s="391"/>
      <c r="BQ1153" s="393"/>
    </row>
    <row r="1154" spans="1:69" ht="14.25" customHeight="1" x14ac:dyDescent="0.35">
      <c r="A1154" s="293">
        <v>569</v>
      </c>
      <c r="B1154" s="295"/>
      <c r="C1154" s="297"/>
      <c r="D1154" s="299"/>
      <c r="E1154" s="301"/>
      <c r="F1154" s="303"/>
      <c r="G1154" s="288"/>
      <c r="H1154" s="289"/>
      <c r="I1154" s="290"/>
      <c r="J1154" s="290"/>
      <c r="K1154" s="291"/>
      <c r="L1154" s="18"/>
      <c r="M1154" s="285" t="str">
        <f t="shared" ref="M1154" si="1799">IF(COUNT(L1154:L1155)&lt;1,"",AVERAGE(L1154:L1155))</f>
        <v/>
      </c>
      <c r="N1154" s="22"/>
      <c r="O1154" s="285" t="str">
        <f t="shared" ref="O1154" si="1800">IF(COUNT(N1154:N1155)&lt;1,"",AVERAGE(N1154:N1155))</f>
        <v/>
      </c>
      <c r="P1154" s="22"/>
      <c r="Q1154" s="285" t="str">
        <f t="shared" ref="Q1154" si="1801">IF(COUNT(P1154:P1155)&lt;1,"",AVERAGE(P1154:P1155))</f>
        <v/>
      </c>
      <c r="R1154" s="278" t="str">
        <f>IF($X$13="/28",IF(COUNT(P1154:P1155)&lt;=1,"",ABS(P1154-P1155)),IF($X$13="/90",IF(COUNT(#REF!)&lt;=1,"",ABS(#REF!-#REF!))))</f>
        <v/>
      </c>
      <c r="S1154" s="278" t="str">
        <f>IF($X$13="/28",IF(Q1154="","",IF(AVERAGE(Q1150:Q1155)&gt;=$W$13,ROUND(AVERAGE(Q1150:Q1155),1)&amp;" ≥ "&amp;$W$13&amp;" OK",ROUND(AVERAGE(Q1150:Q1155),1)&amp;" &lt; "&amp;$W$13&amp;" NC")),IF($X$13="/90",IF(#REF!="","",IF(AVERAGE(#REF!)&gt;=$W$13,ROUND(AVERAGE(#REF!),1)&amp;" ≥ "&amp;$W$13&amp;" OK",ROUND(AVERAGE(#REF!),1)&amp;" &lt; "&amp;$W$13&amp;" NC"))))</f>
        <v/>
      </c>
      <c r="T1154" s="278" t="str">
        <f>IF($X$13="/28",IF(Q1154="","",IF(Q1154&gt;=$W$13-$S$12,ROUND((Q1154),1)&amp;" ≥ "&amp;$W$13-$S$12&amp;" OK",ROUND((Q1154),1)&amp;" &lt; "&amp;$W$13-$S$12&amp;" NC")),IF($X$13="/90",IF(#REF!="","",IF(#REF!&gt;=$W$13-$S$12,ROUND((#REF!),1)&amp;" ≥ "&amp;$W$13-$S$12&amp;" OK",ROUND((#REF!),1)&amp;" &lt; "&amp;$W$13-$S$12&amp;" NC"))))</f>
        <v/>
      </c>
      <c r="U1154" s="14"/>
      <c r="V1154" s="279"/>
      <c r="W1154" s="280"/>
      <c r="X1154" s="281"/>
      <c r="Y1154" s="246"/>
      <c r="Z1154" s="246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BP1154" s="390" t="str">
        <f>IF($X$13="/28",IF(Q1154="","",Q1154),IF($X$13="/90",IF(#REF!="","",#REF!),"Falso"))</f>
        <v/>
      </c>
      <c r="BQ1154" s="392" t="str">
        <f t="shared" ref="BQ1154:BQ1214" si="1802">IF(BP1154="","",BQ1152+1)</f>
        <v/>
      </c>
    </row>
    <row r="1155" spans="1:69" ht="14.25" customHeight="1" x14ac:dyDescent="0.35">
      <c r="A1155" s="294"/>
      <c r="B1155" s="296"/>
      <c r="C1155" s="298"/>
      <c r="D1155" s="300"/>
      <c r="E1155" s="302"/>
      <c r="F1155" s="304"/>
      <c r="G1155" s="276"/>
      <c r="H1155" s="277"/>
      <c r="I1155" s="290"/>
      <c r="J1155" s="290"/>
      <c r="K1155" s="291"/>
      <c r="L1155" s="17"/>
      <c r="M1155" s="286"/>
      <c r="N1155" s="21"/>
      <c r="O1155" s="286"/>
      <c r="P1155" s="21"/>
      <c r="Q1155" s="286"/>
      <c r="R1155" s="248"/>
      <c r="S1155" s="287"/>
      <c r="T1155" s="248"/>
      <c r="U1155" s="13"/>
      <c r="V1155" s="282"/>
      <c r="W1155" s="283"/>
      <c r="X1155" s="284"/>
      <c r="Y1155" s="245"/>
      <c r="Z1155" s="245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BP1155" s="391"/>
      <c r="BQ1155" s="393"/>
    </row>
    <row r="1156" spans="1:69" ht="14.25" customHeight="1" x14ac:dyDescent="0.35">
      <c r="A1156" s="293">
        <v>570</v>
      </c>
      <c r="B1156" s="295"/>
      <c r="C1156" s="297"/>
      <c r="D1156" s="299"/>
      <c r="E1156" s="301"/>
      <c r="F1156" s="303"/>
      <c r="G1156" s="288"/>
      <c r="H1156" s="289"/>
      <c r="I1156" s="290"/>
      <c r="J1156" s="290"/>
      <c r="K1156" s="291"/>
      <c r="L1156" s="18"/>
      <c r="M1156" s="285" t="str">
        <f t="shared" ref="M1156" si="1803">IF(COUNT(L1156:L1157)&lt;1,"",AVERAGE(L1156:L1157))</f>
        <v/>
      </c>
      <c r="N1156" s="22"/>
      <c r="O1156" s="285" t="str">
        <f t="shared" ref="O1156" si="1804">IF(COUNT(N1156:N1157)&lt;1,"",AVERAGE(N1156:N1157))</f>
        <v/>
      </c>
      <c r="P1156" s="22"/>
      <c r="Q1156" s="285" t="str">
        <f t="shared" ref="Q1156" si="1805">IF(COUNT(P1156:P1157)&lt;1,"",AVERAGE(P1156:P1157))</f>
        <v/>
      </c>
      <c r="R1156" s="278" t="str">
        <f>IF($X$13="/28",IF(COUNT(P1156:P1157)&lt;=1,"",ABS(P1156-P1157)),IF($X$13="/90",IF(COUNT(#REF!)&lt;=1,"",ABS(#REF!-#REF!))))</f>
        <v/>
      </c>
      <c r="S1156" s="278" t="str">
        <f>IF($X$13="/28",IF(Q1156="","",IF(AVERAGE(Q1152:Q1157)&gt;=$W$13,ROUND(AVERAGE(Q1152:Q1157),1)&amp;" ≥ "&amp;$W$13&amp;" OK",ROUND(AVERAGE(Q1152:Q1157),1)&amp;" &lt; "&amp;$W$13&amp;" NC")),IF($X$13="/90",IF(#REF!="","",IF(AVERAGE(#REF!)&gt;=$W$13,ROUND(AVERAGE(#REF!),1)&amp;" ≥ "&amp;$W$13&amp;" OK",ROUND(AVERAGE(#REF!),1)&amp;" &lt; "&amp;$W$13&amp;" NC"))))</f>
        <v/>
      </c>
      <c r="T1156" s="278" t="str">
        <f>IF($X$13="/28",IF(Q1156="","",IF(Q1156&gt;=$W$13-$S$12,ROUND((Q1156),1)&amp;" ≥ "&amp;$W$13-$S$12&amp;" OK",ROUND((Q1156),1)&amp;" &lt; "&amp;$W$13-$S$12&amp;" NC")),IF($X$13="/90",IF(#REF!="","",IF(#REF!&gt;=$W$13-$S$12,ROUND((#REF!),1)&amp;" ≥ "&amp;$W$13-$S$12&amp;" OK",ROUND((#REF!),1)&amp;" &lt; "&amp;$W$13-$S$12&amp;" NC"))))</f>
        <v/>
      </c>
      <c r="U1156" s="14"/>
      <c r="V1156" s="279"/>
      <c r="W1156" s="280"/>
      <c r="X1156" s="281"/>
      <c r="Y1156" s="246"/>
      <c r="Z1156" s="246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BP1156" s="390" t="str">
        <f>IF($X$13="/28",IF(Q1156="","",Q1156),IF($X$13="/90",IF(#REF!="","",#REF!),"Falso"))</f>
        <v/>
      </c>
      <c r="BQ1156" s="392" t="str">
        <f t="shared" ref="BQ1156:BQ1216" si="1806">IF(BP1156="","",BQ1154+1)</f>
        <v/>
      </c>
    </row>
    <row r="1157" spans="1:69" ht="14.25" customHeight="1" thickBot="1" x14ac:dyDescent="0.4">
      <c r="A1157" s="384"/>
      <c r="B1157" s="385"/>
      <c r="C1157" s="386"/>
      <c r="D1157" s="387"/>
      <c r="E1157" s="388"/>
      <c r="F1157" s="389"/>
      <c r="G1157" s="377"/>
      <c r="H1157" s="378"/>
      <c r="I1157" s="382"/>
      <c r="J1157" s="382"/>
      <c r="K1157" s="383"/>
      <c r="L1157" s="19"/>
      <c r="M1157" s="379"/>
      <c r="N1157" s="23"/>
      <c r="O1157" s="379"/>
      <c r="P1157" s="23"/>
      <c r="Q1157" s="379"/>
      <c r="R1157" s="380"/>
      <c r="S1157" s="381"/>
      <c r="T1157" s="380"/>
      <c r="U1157" s="15"/>
      <c r="V1157" s="373"/>
      <c r="W1157" s="374"/>
      <c r="X1157" s="375"/>
      <c r="Y1157" s="376"/>
      <c r="Z1157" s="376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BP1157" s="391"/>
      <c r="BQ1157" s="393"/>
    </row>
    <row r="1158" spans="1:69" ht="14.25" customHeight="1" x14ac:dyDescent="0.35">
      <c r="A1158" s="311">
        <v>571</v>
      </c>
      <c r="B1158" s="312"/>
      <c r="C1158" s="313"/>
      <c r="D1158" s="314"/>
      <c r="E1158" s="315"/>
      <c r="F1158" s="353"/>
      <c r="G1158" s="354"/>
      <c r="H1158" s="355"/>
      <c r="I1158" s="356"/>
      <c r="J1158" s="356"/>
      <c r="K1158" s="357"/>
      <c r="L1158" s="16"/>
      <c r="M1158" s="352" t="str">
        <f t="shared" ref="M1158" si="1807">IF(COUNT(L1158:L1159)&lt;1,"",AVERAGE(L1158:L1159))</f>
        <v/>
      </c>
      <c r="N1158" s="20"/>
      <c r="O1158" s="352" t="str">
        <f t="shared" ref="O1158" si="1808">IF(COUNT(N1158:N1159)&lt;1,"",AVERAGE(N1158:N1159))</f>
        <v/>
      </c>
      <c r="P1158" s="20"/>
      <c r="Q1158" s="352" t="str">
        <f t="shared" ref="Q1158" si="1809">IF(COUNT(P1158:P1159)&lt;1,"",AVERAGE(P1158:P1159))</f>
        <v/>
      </c>
      <c r="R1158" s="247" t="str">
        <f>IF($X$13="/28",IF(COUNT(P1158:P1159)&lt;=1,"",ABS(P1158-P1159)),IF($X$13="/90",IF(COUNT(#REF!)&lt;=1,"",ABS(#REF!-#REF!))))</f>
        <v/>
      </c>
      <c r="S1158" s="247" t="str">
        <f>IF($X$13="/28",IF(Q1158="","",IF(AVERAGE(Q1154:Q1159)&gt;=$W$13,ROUND(AVERAGE(Q1154:Q1159),1)&amp;" ≥ "&amp;$W$13&amp;" OK",ROUND(AVERAGE(Q1154:Q1159),1)&amp;" &lt; "&amp;$W$13&amp;" NC")),IF($X$13="/90",IF(#REF!="","",IF(AVERAGE(#REF!)&gt;=$W$13,ROUND(AVERAGE(#REF!),1)&amp;" ≥ "&amp;$W$13&amp;" OK",ROUND(AVERAGE(#REF!),1)&amp;" &lt; "&amp;$W$13&amp;" NC"))))</f>
        <v/>
      </c>
      <c r="T1158" s="247" t="str">
        <f>IF($X$13="/28",IF(Q1158="","",IF(Q1158&gt;=$W$13-$S$12,ROUND((Q1158),1)&amp;" ≥ "&amp;$W$13-$S$12&amp;" OK",ROUND((Q1158),1)&amp;" &lt; "&amp;$W$13-$S$12&amp;" NC")),IF($X$13="/90",IF(#REF!="","",IF(#REF!&gt;=$W$13-$S$12,ROUND((#REF!),1)&amp;" ≥ "&amp;$W$13-$S$12&amp;" OK",ROUND((#REF!),1)&amp;" &lt; "&amp;$W$13-$S$12&amp;" NC"))))</f>
        <v/>
      </c>
      <c r="U1158" s="12"/>
      <c r="V1158" s="349"/>
      <c r="W1158" s="350"/>
      <c r="X1158" s="351"/>
      <c r="Y1158" s="244"/>
      <c r="Z1158" s="244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BP1158" s="390" t="str">
        <f>IF($X$13="/28",IF(Q1158="","",Q1158),IF($X$13="/90",IF(#REF!="","",#REF!),"Falso"))</f>
        <v/>
      </c>
      <c r="BQ1158" s="392" t="str">
        <f t="shared" si="1798"/>
        <v/>
      </c>
    </row>
    <row r="1159" spans="1:69" ht="14.25" customHeight="1" x14ac:dyDescent="0.35">
      <c r="A1159" s="294"/>
      <c r="B1159" s="296"/>
      <c r="C1159" s="298"/>
      <c r="D1159" s="300"/>
      <c r="E1159" s="302"/>
      <c r="F1159" s="304"/>
      <c r="G1159" s="276"/>
      <c r="H1159" s="277"/>
      <c r="I1159" s="290"/>
      <c r="J1159" s="290"/>
      <c r="K1159" s="291"/>
      <c r="L1159" s="17"/>
      <c r="M1159" s="286"/>
      <c r="N1159" s="21"/>
      <c r="O1159" s="286"/>
      <c r="P1159" s="21"/>
      <c r="Q1159" s="286"/>
      <c r="R1159" s="248"/>
      <c r="S1159" s="248"/>
      <c r="T1159" s="248"/>
      <c r="U1159" s="13"/>
      <c r="V1159" s="282"/>
      <c r="W1159" s="283"/>
      <c r="X1159" s="284"/>
      <c r="Y1159" s="245"/>
      <c r="Z1159" s="245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BP1159" s="391"/>
      <c r="BQ1159" s="393"/>
    </row>
    <row r="1160" spans="1:69" ht="14.25" customHeight="1" x14ac:dyDescent="0.35">
      <c r="A1160" s="293">
        <v>572</v>
      </c>
      <c r="B1160" s="295"/>
      <c r="C1160" s="297"/>
      <c r="D1160" s="299"/>
      <c r="E1160" s="301"/>
      <c r="F1160" s="303"/>
      <c r="G1160" s="288"/>
      <c r="H1160" s="289"/>
      <c r="I1160" s="290"/>
      <c r="J1160" s="290"/>
      <c r="K1160" s="291"/>
      <c r="L1160" s="18"/>
      <c r="M1160" s="285" t="str">
        <f t="shared" ref="M1160" si="1810">IF(COUNT(L1160:L1161)&lt;1,"",AVERAGE(L1160:L1161))</f>
        <v/>
      </c>
      <c r="N1160" s="22"/>
      <c r="O1160" s="285" t="str">
        <f t="shared" ref="O1160" si="1811">IF(COUNT(N1160:N1161)&lt;1,"",AVERAGE(N1160:N1161))</f>
        <v/>
      </c>
      <c r="P1160" s="22"/>
      <c r="Q1160" s="285" t="str">
        <f t="shared" ref="Q1160" si="1812">IF(COUNT(P1160:P1161)&lt;1,"",AVERAGE(P1160:P1161))</f>
        <v/>
      </c>
      <c r="R1160" s="278" t="str">
        <f>IF($X$13="/28",IF(COUNT(P1160:P1161)&lt;=1,"",ABS(P1160-P1161)),IF($X$13="/90",IF(COUNT(#REF!)&lt;=1,"",ABS(#REF!-#REF!))))</f>
        <v/>
      </c>
      <c r="S1160" s="278" t="str">
        <f>IF($X$13="/28",IF(Q1160="","",IF(AVERAGE(Q1156:Q1161)&gt;=$W$13,ROUND(AVERAGE(Q1156:Q1161),1)&amp;" ≥ "&amp;$W$13&amp;" OK",ROUND(AVERAGE(Q1156:Q1161),1)&amp;" &lt; "&amp;$W$13&amp;" NC")),IF($X$13="/90",IF(#REF!="","",IF(AVERAGE(#REF!)&gt;=$W$13,ROUND(AVERAGE(#REF!),1)&amp;" ≥ "&amp;$W$13&amp;" OK",ROUND(AVERAGE(#REF!),1)&amp;" &lt; "&amp;$W$13&amp;" NC"))))</f>
        <v/>
      </c>
      <c r="T1160" s="278" t="str">
        <f>IF($X$13="/28",IF(Q1160="","",IF(Q1160&gt;=$W$13-$S$12,ROUND((Q1160),1)&amp;" ≥ "&amp;$W$13-$S$12&amp;" OK",ROUND((Q1160),1)&amp;" &lt; "&amp;$W$13-$S$12&amp;" NC")),IF($X$13="/90",IF(#REF!="","",IF(#REF!&gt;=$W$13-$S$12,ROUND((#REF!),1)&amp;" ≥ "&amp;$W$13-$S$12&amp;" OK",ROUND((#REF!),1)&amp;" &lt; "&amp;$W$13-$S$12&amp;" NC"))))</f>
        <v/>
      </c>
      <c r="U1160" s="14"/>
      <c r="V1160" s="279"/>
      <c r="W1160" s="280"/>
      <c r="X1160" s="281"/>
      <c r="Y1160" s="246"/>
      <c r="Z1160" s="246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BP1160" s="390" t="str">
        <f>IF($X$13="/28",IF(Q1160="","",Q1160),IF($X$13="/90",IF(#REF!="","",#REF!),"Falso"))</f>
        <v/>
      </c>
      <c r="BQ1160" s="392" t="str">
        <f t="shared" si="1802"/>
        <v/>
      </c>
    </row>
    <row r="1161" spans="1:69" ht="14.25" customHeight="1" x14ac:dyDescent="0.35">
      <c r="A1161" s="294"/>
      <c r="B1161" s="296"/>
      <c r="C1161" s="298"/>
      <c r="D1161" s="300"/>
      <c r="E1161" s="302"/>
      <c r="F1161" s="304"/>
      <c r="G1161" s="276"/>
      <c r="H1161" s="277"/>
      <c r="I1161" s="290"/>
      <c r="J1161" s="290"/>
      <c r="K1161" s="291"/>
      <c r="L1161" s="17"/>
      <c r="M1161" s="286"/>
      <c r="N1161" s="21"/>
      <c r="O1161" s="286"/>
      <c r="P1161" s="21"/>
      <c r="Q1161" s="286"/>
      <c r="R1161" s="248"/>
      <c r="S1161" s="248"/>
      <c r="T1161" s="248"/>
      <c r="U1161" s="13"/>
      <c r="V1161" s="282"/>
      <c r="W1161" s="283"/>
      <c r="X1161" s="284"/>
      <c r="Y1161" s="245"/>
      <c r="Z1161" s="245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BP1161" s="391"/>
      <c r="BQ1161" s="393"/>
    </row>
    <row r="1162" spans="1:69" ht="14.25" customHeight="1" x14ac:dyDescent="0.35">
      <c r="A1162" s="293">
        <v>573</v>
      </c>
      <c r="B1162" s="295"/>
      <c r="C1162" s="297"/>
      <c r="D1162" s="299"/>
      <c r="E1162" s="301"/>
      <c r="F1162" s="303"/>
      <c r="G1162" s="288"/>
      <c r="H1162" s="289"/>
      <c r="I1162" s="290"/>
      <c r="J1162" s="290"/>
      <c r="K1162" s="291"/>
      <c r="L1162" s="18"/>
      <c r="M1162" s="285" t="str">
        <f t="shared" ref="M1162" si="1813">IF(COUNT(L1162:L1163)&lt;1,"",AVERAGE(L1162:L1163))</f>
        <v/>
      </c>
      <c r="N1162" s="22"/>
      <c r="O1162" s="285" t="str">
        <f t="shared" ref="O1162" si="1814">IF(COUNT(N1162:N1163)&lt;1,"",AVERAGE(N1162:N1163))</f>
        <v/>
      </c>
      <c r="P1162" s="22"/>
      <c r="Q1162" s="285" t="str">
        <f t="shared" ref="Q1162" si="1815">IF(COUNT(P1162:P1163)&lt;1,"",AVERAGE(P1162:P1163))</f>
        <v/>
      </c>
      <c r="R1162" s="278" t="str">
        <f>IF($X$13="/28",IF(COUNT(P1162:P1163)&lt;=1,"",ABS(P1162-P1163)),IF($X$13="/90",IF(COUNT(#REF!)&lt;=1,"",ABS(#REF!-#REF!))))</f>
        <v/>
      </c>
      <c r="S1162" s="278" t="str">
        <f>IF($X$13="/28",IF(Q1162="","",IF(AVERAGE(Q1158:Q1163)&gt;=$W$13,ROUND(AVERAGE(Q1158:Q1163),1)&amp;" ≥ "&amp;$W$13&amp;" OK",ROUND(AVERAGE(Q1158:Q1163),1)&amp;" &lt; "&amp;$W$13&amp;" NC")),IF($X$13="/90",IF(#REF!="","",IF(AVERAGE(#REF!)&gt;=$W$13,ROUND(AVERAGE(#REF!),1)&amp;" ≥ "&amp;$W$13&amp;" OK",ROUND(AVERAGE(#REF!),1)&amp;" &lt; "&amp;$W$13&amp;" NC"))))</f>
        <v/>
      </c>
      <c r="T1162" s="278" t="str">
        <f>IF($X$13="/28",IF(Q1162="","",IF(Q1162&gt;=$W$13-$S$12,ROUND((Q1162),1)&amp;" ≥ "&amp;$W$13-$S$12&amp;" OK",ROUND((Q1162),1)&amp;" &lt; "&amp;$W$13-$S$12&amp;" NC")),IF($X$13="/90",IF(#REF!="","",IF(#REF!&gt;=$W$13-$S$12,ROUND((#REF!),1)&amp;" ≥ "&amp;$W$13-$S$12&amp;" OK",ROUND((#REF!),1)&amp;" &lt; "&amp;$W$13-$S$12&amp;" NC"))))</f>
        <v/>
      </c>
      <c r="U1162" s="14"/>
      <c r="V1162" s="279"/>
      <c r="W1162" s="280"/>
      <c r="X1162" s="281"/>
      <c r="Y1162" s="246"/>
      <c r="Z1162" s="246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BP1162" s="390" t="str">
        <f>IF($X$13="/28",IF(Q1162="","",Q1162),IF($X$13="/90",IF(#REF!="","",#REF!),"Falso"))</f>
        <v/>
      </c>
      <c r="BQ1162" s="392" t="str">
        <f t="shared" si="1806"/>
        <v/>
      </c>
    </row>
    <row r="1163" spans="1:69" ht="14.25" customHeight="1" x14ac:dyDescent="0.35">
      <c r="A1163" s="294"/>
      <c r="B1163" s="296"/>
      <c r="C1163" s="298"/>
      <c r="D1163" s="300"/>
      <c r="E1163" s="302"/>
      <c r="F1163" s="304"/>
      <c r="G1163" s="276"/>
      <c r="H1163" s="277"/>
      <c r="I1163" s="290"/>
      <c r="J1163" s="290"/>
      <c r="K1163" s="291"/>
      <c r="L1163" s="17"/>
      <c r="M1163" s="286"/>
      <c r="N1163" s="21"/>
      <c r="O1163" s="286"/>
      <c r="P1163" s="21"/>
      <c r="Q1163" s="286"/>
      <c r="R1163" s="248"/>
      <c r="S1163" s="287"/>
      <c r="T1163" s="248"/>
      <c r="U1163" s="13"/>
      <c r="V1163" s="282"/>
      <c r="W1163" s="283"/>
      <c r="X1163" s="284"/>
      <c r="Y1163" s="245"/>
      <c r="Z1163" s="245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BP1163" s="391"/>
      <c r="BQ1163" s="393"/>
    </row>
    <row r="1164" spans="1:69" ht="14.25" customHeight="1" x14ac:dyDescent="0.35">
      <c r="A1164" s="293">
        <v>574</v>
      </c>
      <c r="B1164" s="295"/>
      <c r="C1164" s="297"/>
      <c r="D1164" s="299"/>
      <c r="E1164" s="301"/>
      <c r="F1164" s="303"/>
      <c r="G1164" s="288"/>
      <c r="H1164" s="289"/>
      <c r="I1164" s="290"/>
      <c r="J1164" s="290"/>
      <c r="K1164" s="291"/>
      <c r="L1164" s="18"/>
      <c r="M1164" s="285" t="str">
        <f t="shared" ref="M1164" si="1816">IF(COUNT(L1164:L1165)&lt;1,"",AVERAGE(L1164:L1165))</f>
        <v/>
      </c>
      <c r="N1164" s="22"/>
      <c r="O1164" s="285" t="str">
        <f t="shared" ref="O1164" si="1817">IF(COUNT(N1164:N1165)&lt;1,"",AVERAGE(N1164:N1165))</f>
        <v/>
      </c>
      <c r="P1164" s="22"/>
      <c r="Q1164" s="285" t="str">
        <f t="shared" ref="Q1164" si="1818">IF(COUNT(P1164:P1165)&lt;1,"",AVERAGE(P1164:P1165))</f>
        <v/>
      </c>
      <c r="R1164" s="278" t="str">
        <f>IF($X$13="/28",IF(COUNT(P1164:P1165)&lt;=1,"",ABS(P1164-P1165)),IF($X$13="/90",IF(COUNT(#REF!)&lt;=1,"",ABS(#REF!-#REF!))))</f>
        <v/>
      </c>
      <c r="S1164" s="278" t="str">
        <f>IF($X$13="/28",IF(Q1164="","",IF(AVERAGE(Q1160:Q1165)&gt;=$W$13,ROUND(AVERAGE(Q1160:Q1165),1)&amp;" ≥ "&amp;$W$13&amp;" OK",ROUND(AVERAGE(Q1160:Q1165),1)&amp;" &lt; "&amp;$W$13&amp;" NC")),IF($X$13="/90",IF(#REF!="","",IF(AVERAGE(#REF!)&gt;=$W$13,ROUND(AVERAGE(#REF!),1)&amp;" ≥ "&amp;$W$13&amp;" OK",ROUND(AVERAGE(#REF!),1)&amp;" &lt; "&amp;$W$13&amp;" NC"))))</f>
        <v/>
      </c>
      <c r="T1164" s="278" t="str">
        <f>IF($X$13="/28",IF(Q1164="","",IF(Q1164&gt;=$W$13-$S$12,ROUND((Q1164),1)&amp;" ≥ "&amp;$W$13-$S$12&amp;" OK",ROUND((Q1164),1)&amp;" &lt; "&amp;$W$13-$S$12&amp;" NC")),IF($X$13="/90",IF(#REF!="","",IF(#REF!&gt;=$W$13-$S$12,ROUND((#REF!),1)&amp;" ≥ "&amp;$W$13-$S$12&amp;" OK",ROUND((#REF!),1)&amp;" &lt; "&amp;$W$13-$S$12&amp;" NC"))))</f>
        <v/>
      </c>
      <c r="U1164" s="14"/>
      <c r="V1164" s="279"/>
      <c r="W1164" s="280"/>
      <c r="X1164" s="281"/>
      <c r="Y1164" s="246"/>
      <c r="Z1164" s="246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BP1164" s="390" t="str">
        <f>IF($X$13="/28",IF(Q1164="","",Q1164),IF($X$13="/90",IF(#REF!="","",#REF!),"Falso"))</f>
        <v/>
      </c>
      <c r="BQ1164" s="392" t="str">
        <f t="shared" si="1798"/>
        <v/>
      </c>
    </row>
    <row r="1165" spans="1:69" ht="14.25" customHeight="1" x14ac:dyDescent="0.35">
      <c r="A1165" s="294"/>
      <c r="B1165" s="296"/>
      <c r="C1165" s="298"/>
      <c r="D1165" s="300"/>
      <c r="E1165" s="302"/>
      <c r="F1165" s="304"/>
      <c r="G1165" s="276"/>
      <c r="H1165" s="277"/>
      <c r="I1165" s="290"/>
      <c r="J1165" s="290"/>
      <c r="K1165" s="291"/>
      <c r="L1165" s="17"/>
      <c r="M1165" s="286"/>
      <c r="N1165" s="21"/>
      <c r="O1165" s="286"/>
      <c r="P1165" s="21"/>
      <c r="Q1165" s="286"/>
      <c r="R1165" s="248"/>
      <c r="S1165" s="287"/>
      <c r="T1165" s="248"/>
      <c r="U1165" s="13"/>
      <c r="V1165" s="282"/>
      <c r="W1165" s="283"/>
      <c r="X1165" s="284"/>
      <c r="Y1165" s="245"/>
      <c r="Z1165" s="245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BP1165" s="391"/>
      <c r="BQ1165" s="393"/>
    </row>
    <row r="1166" spans="1:69" ht="14.25" customHeight="1" x14ac:dyDescent="0.35">
      <c r="A1166" s="293">
        <v>575</v>
      </c>
      <c r="B1166" s="295"/>
      <c r="C1166" s="297"/>
      <c r="D1166" s="299"/>
      <c r="E1166" s="301"/>
      <c r="F1166" s="303"/>
      <c r="G1166" s="288"/>
      <c r="H1166" s="289"/>
      <c r="I1166" s="290"/>
      <c r="J1166" s="290"/>
      <c r="K1166" s="291"/>
      <c r="L1166" s="18"/>
      <c r="M1166" s="285" t="str">
        <f t="shared" ref="M1166" si="1819">IF(COUNT(L1166:L1167)&lt;1,"",AVERAGE(L1166:L1167))</f>
        <v/>
      </c>
      <c r="N1166" s="22"/>
      <c r="O1166" s="285" t="str">
        <f t="shared" ref="O1166" si="1820">IF(COUNT(N1166:N1167)&lt;1,"",AVERAGE(N1166:N1167))</f>
        <v/>
      </c>
      <c r="P1166" s="22"/>
      <c r="Q1166" s="285" t="str">
        <f t="shared" ref="Q1166" si="1821">IF(COUNT(P1166:P1167)&lt;1,"",AVERAGE(P1166:P1167))</f>
        <v/>
      </c>
      <c r="R1166" s="278" t="str">
        <f>IF($X$13="/28",IF(COUNT(P1166:P1167)&lt;=1,"",ABS(P1166-P1167)),IF($X$13="/90",IF(COUNT(#REF!)&lt;=1,"",ABS(#REF!-#REF!))))</f>
        <v/>
      </c>
      <c r="S1166" s="278" t="str">
        <f>IF($X$13="/28",IF(Q1166="","",IF(AVERAGE(Q1162:Q1167)&gt;=$W$13,ROUND(AVERAGE(Q1162:Q1167),1)&amp;" ≥ "&amp;$W$13&amp;" OK",ROUND(AVERAGE(Q1162:Q1167),1)&amp;" &lt; "&amp;$W$13&amp;" NC")),IF($X$13="/90",IF(#REF!="","",IF(AVERAGE(#REF!)&gt;=$W$13,ROUND(AVERAGE(#REF!),1)&amp;" ≥ "&amp;$W$13&amp;" OK",ROUND(AVERAGE(#REF!),1)&amp;" &lt; "&amp;$W$13&amp;" NC"))))</f>
        <v/>
      </c>
      <c r="T1166" s="278" t="str">
        <f>IF($X$13="/28",IF(Q1166="","",IF(Q1166&gt;=$W$13-$S$12,ROUND((Q1166),1)&amp;" ≥ "&amp;$W$13-$S$12&amp;" OK",ROUND((Q1166),1)&amp;" &lt; "&amp;$W$13-$S$12&amp;" NC")),IF($X$13="/90",IF(#REF!="","",IF(#REF!&gt;=$W$13-$S$12,ROUND((#REF!),1)&amp;" ≥ "&amp;$W$13-$S$12&amp;" OK",ROUND((#REF!),1)&amp;" &lt; "&amp;$W$13-$S$12&amp;" NC"))))</f>
        <v/>
      </c>
      <c r="U1166" s="14"/>
      <c r="V1166" s="279"/>
      <c r="W1166" s="280"/>
      <c r="X1166" s="281"/>
      <c r="Y1166" s="246"/>
      <c r="Z1166" s="246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BP1166" s="390" t="str">
        <f>IF($X$13="/28",IF(Q1166="","",Q1166),IF($X$13="/90",IF(#REF!="","",#REF!),"Falso"))</f>
        <v/>
      </c>
      <c r="BQ1166" s="392" t="str">
        <f t="shared" si="1802"/>
        <v/>
      </c>
    </row>
    <row r="1167" spans="1:69" ht="14.25" customHeight="1" x14ac:dyDescent="0.35">
      <c r="A1167" s="294"/>
      <c r="B1167" s="296"/>
      <c r="C1167" s="298"/>
      <c r="D1167" s="300"/>
      <c r="E1167" s="302"/>
      <c r="F1167" s="304"/>
      <c r="G1167" s="276"/>
      <c r="H1167" s="277"/>
      <c r="I1167" s="290"/>
      <c r="J1167" s="290"/>
      <c r="K1167" s="291"/>
      <c r="L1167" s="17"/>
      <c r="M1167" s="286"/>
      <c r="N1167" s="21"/>
      <c r="O1167" s="286"/>
      <c r="P1167" s="21"/>
      <c r="Q1167" s="286"/>
      <c r="R1167" s="248"/>
      <c r="S1167" s="287"/>
      <c r="T1167" s="248"/>
      <c r="U1167" s="13"/>
      <c r="V1167" s="282"/>
      <c r="W1167" s="283"/>
      <c r="X1167" s="284"/>
      <c r="Y1167" s="245"/>
      <c r="Z1167" s="245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BP1167" s="391"/>
      <c r="BQ1167" s="393"/>
    </row>
    <row r="1168" spans="1:69" ht="14.25" customHeight="1" x14ac:dyDescent="0.35">
      <c r="A1168" s="293">
        <v>576</v>
      </c>
      <c r="B1168" s="295"/>
      <c r="C1168" s="297"/>
      <c r="D1168" s="299"/>
      <c r="E1168" s="301"/>
      <c r="F1168" s="303"/>
      <c r="G1168" s="288"/>
      <c r="H1168" s="289"/>
      <c r="I1168" s="290"/>
      <c r="J1168" s="290"/>
      <c r="K1168" s="291"/>
      <c r="L1168" s="18"/>
      <c r="M1168" s="285" t="str">
        <f t="shared" ref="M1168" si="1822">IF(COUNT(L1168:L1169)&lt;1,"",AVERAGE(L1168:L1169))</f>
        <v/>
      </c>
      <c r="N1168" s="22"/>
      <c r="O1168" s="285" t="str">
        <f t="shared" ref="O1168" si="1823">IF(COUNT(N1168:N1169)&lt;1,"",AVERAGE(N1168:N1169))</f>
        <v/>
      </c>
      <c r="P1168" s="22"/>
      <c r="Q1168" s="285" t="str">
        <f t="shared" ref="Q1168" si="1824">IF(COUNT(P1168:P1169)&lt;1,"",AVERAGE(P1168:P1169))</f>
        <v/>
      </c>
      <c r="R1168" s="278" t="str">
        <f>IF($X$13="/28",IF(COUNT(P1168:P1169)&lt;=1,"",ABS(P1168-P1169)),IF($X$13="/90",IF(COUNT(#REF!)&lt;=1,"",ABS(#REF!-#REF!))))</f>
        <v/>
      </c>
      <c r="S1168" s="278" t="str">
        <f>IF($X$13="/28",IF(Q1168="","",IF(AVERAGE(Q1164:Q1169)&gt;=$W$13,ROUND(AVERAGE(Q1164:Q1169),1)&amp;" ≥ "&amp;$W$13&amp;" OK",ROUND(AVERAGE(Q1164:Q1169),1)&amp;" &lt; "&amp;$W$13&amp;" NC")),IF($X$13="/90",IF(#REF!="","",IF(AVERAGE(#REF!)&gt;=$W$13,ROUND(AVERAGE(#REF!),1)&amp;" ≥ "&amp;$W$13&amp;" OK",ROUND(AVERAGE(#REF!),1)&amp;" &lt; "&amp;$W$13&amp;" NC"))))</f>
        <v/>
      </c>
      <c r="T1168" s="278" t="str">
        <f>IF($X$13="/28",IF(Q1168="","",IF(Q1168&gt;=$W$13-$S$12,ROUND((Q1168),1)&amp;" ≥ "&amp;$W$13-$S$12&amp;" OK",ROUND((Q1168),1)&amp;" &lt; "&amp;$W$13-$S$12&amp;" NC")),IF($X$13="/90",IF(#REF!="","",IF(#REF!&gt;=$W$13-$S$12,ROUND((#REF!),1)&amp;" ≥ "&amp;$W$13-$S$12&amp;" OK",ROUND((#REF!),1)&amp;" &lt; "&amp;$W$13-$S$12&amp;" NC"))))</f>
        <v/>
      </c>
      <c r="U1168" s="14"/>
      <c r="V1168" s="279"/>
      <c r="W1168" s="280"/>
      <c r="X1168" s="281"/>
      <c r="Y1168" s="246"/>
      <c r="Z1168" s="246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BP1168" s="390" t="str">
        <f>IF($X$13="/28",IF(Q1168="","",Q1168),IF($X$13="/90",IF(#REF!="","",#REF!),"Falso"))</f>
        <v/>
      </c>
      <c r="BQ1168" s="392" t="str">
        <f t="shared" si="1806"/>
        <v/>
      </c>
    </row>
    <row r="1169" spans="1:69" ht="14.25" customHeight="1" x14ac:dyDescent="0.35">
      <c r="A1169" s="294"/>
      <c r="B1169" s="296"/>
      <c r="C1169" s="298"/>
      <c r="D1169" s="300"/>
      <c r="E1169" s="302"/>
      <c r="F1169" s="304"/>
      <c r="G1169" s="276"/>
      <c r="H1169" s="277"/>
      <c r="I1169" s="290"/>
      <c r="J1169" s="290"/>
      <c r="K1169" s="291"/>
      <c r="L1169" s="17"/>
      <c r="M1169" s="286"/>
      <c r="N1169" s="21"/>
      <c r="O1169" s="286"/>
      <c r="P1169" s="21"/>
      <c r="Q1169" s="286"/>
      <c r="R1169" s="248"/>
      <c r="S1169" s="287"/>
      <c r="T1169" s="248"/>
      <c r="U1169" s="13"/>
      <c r="V1169" s="282"/>
      <c r="W1169" s="283"/>
      <c r="X1169" s="284"/>
      <c r="Y1169" s="245"/>
      <c r="Z1169" s="245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BP1169" s="391"/>
      <c r="BQ1169" s="393"/>
    </row>
    <row r="1170" spans="1:69" ht="14.25" customHeight="1" x14ac:dyDescent="0.35">
      <c r="A1170" s="293">
        <v>577</v>
      </c>
      <c r="B1170" s="295"/>
      <c r="C1170" s="297"/>
      <c r="D1170" s="299"/>
      <c r="E1170" s="301"/>
      <c r="F1170" s="303"/>
      <c r="G1170" s="288"/>
      <c r="H1170" s="289"/>
      <c r="I1170" s="290"/>
      <c r="J1170" s="290"/>
      <c r="K1170" s="291"/>
      <c r="L1170" s="18"/>
      <c r="M1170" s="285" t="str">
        <f t="shared" ref="M1170" si="1825">IF(COUNT(L1170:L1171)&lt;1,"",AVERAGE(L1170:L1171))</f>
        <v/>
      </c>
      <c r="N1170" s="22"/>
      <c r="O1170" s="285" t="str">
        <f t="shared" ref="O1170" si="1826">IF(COUNT(N1170:N1171)&lt;1,"",AVERAGE(N1170:N1171))</f>
        <v/>
      </c>
      <c r="P1170" s="22"/>
      <c r="Q1170" s="285" t="str">
        <f t="shared" ref="Q1170" si="1827">IF(COUNT(P1170:P1171)&lt;1,"",AVERAGE(P1170:P1171))</f>
        <v/>
      </c>
      <c r="R1170" s="278" t="str">
        <f>IF($X$13="/28",IF(COUNT(P1170:P1171)&lt;=1,"",ABS(P1170-P1171)),IF($X$13="/90",IF(COUNT(#REF!)&lt;=1,"",ABS(#REF!-#REF!))))</f>
        <v/>
      </c>
      <c r="S1170" s="278" t="str">
        <f>IF($X$13="/28",IF(Q1170="","",IF(AVERAGE(Q1166:Q1171)&gt;=$W$13,ROUND(AVERAGE(Q1166:Q1171),1)&amp;" ≥ "&amp;$W$13&amp;" OK",ROUND(AVERAGE(Q1166:Q1171),1)&amp;" &lt; "&amp;$W$13&amp;" NC")),IF($X$13="/90",IF(#REF!="","",IF(AVERAGE(#REF!)&gt;=$W$13,ROUND(AVERAGE(#REF!),1)&amp;" ≥ "&amp;$W$13&amp;" OK",ROUND(AVERAGE(#REF!),1)&amp;" &lt; "&amp;$W$13&amp;" NC"))))</f>
        <v/>
      </c>
      <c r="T1170" s="278" t="str">
        <f>IF($X$13="/28",IF(Q1170="","",IF(Q1170&gt;=$W$13-$S$12,ROUND((Q1170),1)&amp;" ≥ "&amp;$W$13-$S$12&amp;" OK",ROUND((Q1170),1)&amp;" &lt; "&amp;$W$13-$S$12&amp;" NC")),IF($X$13="/90",IF(#REF!="","",IF(#REF!&gt;=$W$13-$S$12,ROUND((#REF!),1)&amp;" ≥ "&amp;$W$13-$S$12&amp;" OK",ROUND((#REF!),1)&amp;" &lt; "&amp;$W$13-$S$12&amp;" NC"))))</f>
        <v/>
      </c>
      <c r="U1170" s="14"/>
      <c r="V1170" s="279"/>
      <c r="W1170" s="280"/>
      <c r="X1170" s="281"/>
      <c r="Y1170" s="246"/>
      <c r="Z1170" s="246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BP1170" s="390" t="str">
        <f>IF($X$13="/28",IF(Q1170="","",Q1170),IF($X$13="/90",IF(#REF!="","",#REF!),"Falso"))</f>
        <v/>
      </c>
      <c r="BQ1170" s="392" t="str">
        <f t="shared" si="1798"/>
        <v/>
      </c>
    </row>
    <row r="1171" spans="1:69" ht="14.25" customHeight="1" x14ac:dyDescent="0.35">
      <c r="A1171" s="294"/>
      <c r="B1171" s="296"/>
      <c r="C1171" s="298"/>
      <c r="D1171" s="300"/>
      <c r="E1171" s="302"/>
      <c r="F1171" s="304"/>
      <c r="G1171" s="276"/>
      <c r="H1171" s="277"/>
      <c r="I1171" s="290"/>
      <c r="J1171" s="290"/>
      <c r="K1171" s="291"/>
      <c r="L1171" s="17"/>
      <c r="M1171" s="286"/>
      <c r="N1171" s="21"/>
      <c r="O1171" s="286"/>
      <c r="P1171" s="21"/>
      <c r="Q1171" s="286"/>
      <c r="R1171" s="248"/>
      <c r="S1171" s="287"/>
      <c r="T1171" s="248"/>
      <c r="U1171" s="13"/>
      <c r="V1171" s="282"/>
      <c r="W1171" s="283"/>
      <c r="X1171" s="284"/>
      <c r="Y1171" s="245"/>
      <c r="Z1171" s="245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BP1171" s="391"/>
      <c r="BQ1171" s="393"/>
    </row>
    <row r="1172" spans="1:69" ht="14.25" customHeight="1" x14ac:dyDescent="0.35">
      <c r="A1172" s="293">
        <v>578</v>
      </c>
      <c r="B1172" s="295"/>
      <c r="C1172" s="297"/>
      <c r="D1172" s="299"/>
      <c r="E1172" s="301"/>
      <c r="F1172" s="303"/>
      <c r="G1172" s="288"/>
      <c r="H1172" s="289"/>
      <c r="I1172" s="290"/>
      <c r="J1172" s="290"/>
      <c r="K1172" s="291"/>
      <c r="L1172" s="18"/>
      <c r="M1172" s="285" t="str">
        <f t="shared" ref="M1172" si="1828">IF(COUNT(L1172:L1173)&lt;1,"",AVERAGE(L1172:L1173))</f>
        <v/>
      </c>
      <c r="N1172" s="22"/>
      <c r="O1172" s="285" t="str">
        <f t="shared" ref="O1172" si="1829">IF(COUNT(N1172:N1173)&lt;1,"",AVERAGE(N1172:N1173))</f>
        <v/>
      </c>
      <c r="P1172" s="22"/>
      <c r="Q1172" s="285" t="str">
        <f t="shared" ref="Q1172" si="1830">IF(COUNT(P1172:P1173)&lt;1,"",AVERAGE(P1172:P1173))</f>
        <v/>
      </c>
      <c r="R1172" s="278" t="str">
        <f>IF($X$13="/28",IF(COUNT(P1172:P1173)&lt;=1,"",ABS(P1172-P1173)),IF($X$13="/90",IF(COUNT(#REF!)&lt;=1,"",ABS(#REF!-#REF!))))</f>
        <v/>
      </c>
      <c r="S1172" s="278" t="str">
        <f>IF($X$13="/28",IF(Q1172="","",IF(AVERAGE(Q1168:Q1173)&gt;=$W$13,ROUND(AVERAGE(Q1168:Q1173),1)&amp;" ≥ "&amp;$W$13&amp;" OK",ROUND(AVERAGE(Q1168:Q1173),1)&amp;" &lt; "&amp;$W$13&amp;" NC")),IF($X$13="/90",IF(#REF!="","",IF(AVERAGE(#REF!)&gt;=$W$13,ROUND(AVERAGE(#REF!),1)&amp;" ≥ "&amp;$W$13&amp;" OK",ROUND(AVERAGE(#REF!),1)&amp;" &lt; "&amp;$W$13&amp;" NC"))))</f>
        <v/>
      </c>
      <c r="T1172" s="278" t="str">
        <f>IF($X$13="/28",IF(Q1172="","",IF(Q1172&gt;=$W$13-$S$12,ROUND((Q1172),1)&amp;" ≥ "&amp;$W$13-$S$12&amp;" OK",ROUND((Q1172),1)&amp;" &lt; "&amp;$W$13-$S$12&amp;" NC")),IF($X$13="/90",IF(#REF!="","",IF(#REF!&gt;=$W$13-$S$12,ROUND((#REF!),1)&amp;" ≥ "&amp;$W$13-$S$12&amp;" OK",ROUND((#REF!),1)&amp;" &lt; "&amp;$W$13-$S$12&amp;" NC"))))</f>
        <v/>
      </c>
      <c r="U1172" s="14"/>
      <c r="V1172" s="279"/>
      <c r="W1172" s="280"/>
      <c r="X1172" s="281"/>
      <c r="Y1172" s="246"/>
      <c r="Z1172" s="246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BP1172" s="390" t="str">
        <f>IF($X$13="/28",IF(Q1172="","",Q1172),IF($X$13="/90",IF(#REF!="","",#REF!),"Falso"))</f>
        <v/>
      </c>
      <c r="BQ1172" s="392" t="str">
        <f t="shared" si="1802"/>
        <v/>
      </c>
    </row>
    <row r="1173" spans="1:69" ht="14.25" customHeight="1" x14ac:dyDescent="0.35">
      <c r="A1173" s="294"/>
      <c r="B1173" s="296"/>
      <c r="C1173" s="298"/>
      <c r="D1173" s="300"/>
      <c r="E1173" s="302"/>
      <c r="F1173" s="304"/>
      <c r="G1173" s="276"/>
      <c r="H1173" s="277"/>
      <c r="I1173" s="290"/>
      <c r="J1173" s="290"/>
      <c r="K1173" s="291"/>
      <c r="L1173" s="17"/>
      <c r="M1173" s="286"/>
      <c r="N1173" s="21"/>
      <c r="O1173" s="286"/>
      <c r="P1173" s="21"/>
      <c r="Q1173" s="286"/>
      <c r="R1173" s="248"/>
      <c r="S1173" s="287"/>
      <c r="T1173" s="248"/>
      <c r="U1173" s="13"/>
      <c r="V1173" s="282"/>
      <c r="W1173" s="283"/>
      <c r="X1173" s="284"/>
      <c r="Y1173" s="245"/>
      <c r="Z1173" s="245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BP1173" s="391"/>
      <c r="BQ1173" s="393"/>
    </row>
    <row r="1174" spans="1:69" ht="14.25" customHeight="1" x14ac:dyDescent="0.35">
      <c r="A1174" s="293">
        <v>579</v>
      </c>
      <c r="B1174" s="295"/>
      <c r="C1174" s="297"/>
      <c r="D1174" s="299"/>
      <c r="E1174" s="301"/>
      <c r="F1174" s="303"/>
      <c r="G1174" s="288"/>
      <c r="H1174" s="289"/>
      <c r="I1174" s="290"/>
      <c r="J1174" s="290"/>
      <c r="K1174" s="291"/>
      <c r="L1174" s="18"/>
      <c r="M1174" s="285" t="str">
        <f t="shared" ref="M1174" si="1831">IF(COUNT(L1174:L1175)&lt;1,"",AVERAGE(L1174:L1175))</f>
        <v/>
      </c>
      <c r="N1174" s="22"/>
      <c r="O1174" s="285" t="str">
        <f t="shared" ref="O1174" si="1832">IF(COUNT(N1174:N1175)&lt;1,"",AVERAGE(N1174:N1175))</f>
        <v/>
      </c>
      <c r="P1174" s="22"/>
      <c r="Q1174" s="285" t="str">
        <f t="shared" ref="Q1174" si="1833">IF(COUNT(P1174:P1175)&lt;1,"",AVERAGE(P1174:P1175))</f>
        <v/>
      </c>
      <c r="R1174" s="278" t="str">
        <f>IF($X$13="/28",IF(COUNT(P1174:P1175)&lt;=1,"",ABS(P1174-P1175)),IF($X$13="/90",IF(COUNT(#REF!)&lt;=1,"",ABS(#REF!-#REF!))))</f>
        <v/>
      </c>
      <c r="S1174" s="278" t="str">
        <f>IF($X$13="/28",IF(Q1174="","",IF(AVERAGE(Q1170:Q1175)&gt;=$W$13,ROUND(AVERAGE(Q1170:Q1175),1)&amp;" ≥ "&amp;$W$13&amp;" OK",ROUND(AVERAGE(Q1170:Q1175),1)&amp;" &lt; "&amp;$W$13&amp;" NC")),IF($X$13="/90",IF(#REF!="","",IF(AVERAGE(#REF!)&gt;=$W$13,ROUND(AVERAGE(#REF!),1)&amp;" ≥ "&amp;$W$13&amp;" OK",ROUND(AVERAGE(#REF!),1)&amp;" &lt; "&amp;$W$13&amp;" NC"))))</f>
        <v/>
      </c>
      <c r="T1174" s="278" t="str">
        <f>IF($X$13="/28",IF(Q1174="","",IF(Q1174&gt;=$W$13-$S$12,ROUND((Q1174),1)&amp;" ≥ "&amp;$W$13-$S$12&amp;" OK",ROUND((Q1174),1)&amp;" &lt; "&amp;$W$13-$S$12&amp;" NC")),IF($X$13="/90",IF(#REF!="","",IF(#REF!&gt;=$W$13-$S$12,ROUND((#REF!),1)&amp;" ≥ "&amp;$W$13-$S$12&amp;" OK",ROUND((#REF!),1)&amp;" &lt; "&amp;$W$13-$S$12&amp;" NC"))))</f>
        <v/>
      </c>
      <c r="U1174" s="14"/>
      <c r="V1174" s="279"/>
      <c r="W1174" s="280"/>
      <c r="X1174" s="281"/>
      <c r="Y1174" s="246"/>
      <c r="Z1174" s="246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BP1174" s="390" t="str">
        <f>IF($X$13="/28",IF(Q1174="","",Q1174),IF($X$13="/90",IF(#REF!="","",#REF!),"Falso"))</f>
        <v/>
      </c>
      <c r="BQ1174" s="392" t="str">
        <f t="shared" si="1806"/>
        <v/>
      </c>
    </row>
    <row r="1175" spans="1:69" ht="14.25" customHeight="1" x14ac:dyDescent="0.35">
      <c r="A1175" s="294"/>
      <c r="B1175" s="296"/>
      <c r="C1175" s="298"/>
      <c r="D1175" s="300"/>
      <c r="E1175" s="302"/>
      <c r="F1175" s="304"/>
      <c r="G1175" s="276"/>
      <c r="H1175" s="277"/>
      <c r="I1175" s="290"/>
      <c r="J1175" s="290"/>
      <c r="K1175" s="291"/>
      <c r="L1175" s="17"/>
      <c r="M1175" s="286"/>
      <c r="N1175" s="21"/>
      <c r="O1175" s="286"/>
      <c r="P1175" s="21"/>
      <c r="Q1175" s="286"/>
      <c r="R1175" s="248"/>
      <c r="S1175" s="287"/>
      <c r="T1175" s="248"/>
      <c r="U1175" s="13"/>
      <c r="V1175" s="282"/>
      <c r="W1175" s="283"/>
      <c r="X1175" s="284"/>
      <c r="Y1175" s="245"/>
      <c r="Z1175" s="245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BP1175" s="391"/>
      <c r="BQ1175" s="393"/>
    </row>
    <row r="1176" spans="1:69" ht="14.25" customHeight="1" x14ac:dyDescent="0.35">
      <c r="A1176" s="293">
        <v>580</v>
      </c>
      <c r="B1176" s="295"/>
      <c r="C1176" s="297"/>
      <c r="D1176" s="299"/>
      <c r="E1176" s="301"/>
      <c r="F1176" s="303"/>
      <c r="G1176" s="288"/>
      <c r="H1176" s="289"/>
      <c r="I1176" s="290"/>
      <c r="J1176" s="290"/>
      <c r="K1176" s="291"/>
      <c r="L1176" s="18"/>
      <c r="M1176" s="285" t="str">
        <f t="shared" ref="M1176" si="1834">IF(COUNT(L1176:L1177)&lt;1,"",AVERAGE(L1176:L1177))</f>
        <v/>
      </c>
      <c r="N1176" s="22"/>
      <c r="O1176" s="285" t="str">
        <f t="shared" ref="O1176" si="1835">IF(COUNT(N1176:N1177)&lt;1,"",AVERAGE(N1176:N1177))</f>
        <v/>
      </c>
      <c r="P1176" s="22"/>
      <c r="Q1176" s="285" t="str">
        <f t="shared" ref="Q1176" si="1836">IF(COUNT(P1176:P1177)&lt;1,"",AVERAGE(P1176:P1177))</f>
        <v/>
      </c>
      <c r="R1176" s="278" t="str">
        <f>IF($X$13="/28",IF(COUNT(P1176:P1177)&lt;=1,"",ABS(P1176-P1177)),IF($X$13="/90",IF(COUNT(#REF!)&lt;=1,"",ABS(#REF!-#REF!))))</f>
        <v/>
      </c>
      <c r="S1176" s="278" t="str">
        <f>IF($X$13="/28",IF(Q1176="","",IF(AVERAGE(Q1172:Q1177)&gt;=$W$13,ROUND(AVERAGE(Q1172:Q1177),1)&amp;" ≥ "&amp;$W$13&amp;" OK",ROUND(AVERAGE(Q1172:Q1177),1)&amp;" &lt; "&amp;$W$13&amp;" NC")),IF($X$13="/90",IF(#REF!="","",IF(AVERAGE(#REF!)&gt;=$W$13,ROUND(AVERAGE(#REF!),1)&amp;" ≥ "&amp;$W$13&amp;" OK",ROUND(AVERAGE(#REF!),1)&amp;" &lt; "&amp;$W$13&amp;" NC"))))</f>
        <v/>
      </c>
      <c r="T1176" s="278" t="str">
        <f>IF($X$13="/28",IF(Q1176="","",IF(Q1176&gt;=$W$13-$S$12,ROUND((Q1176),1)&amp;" ≥ "&amp;$W$13-$S$12&amp;" OK",ROUND((Q1176),1)&amp;" &lt; "&amp;$W$13-$S$12&amp;" NC")),IF($X$13="/90",IF(#REF!="","",IF(#REF!&gt;=$W$13-$S$12,ROUND((#REF!),1)&amp;" ≥ "&amp;$W$13-$S$12&amp;" OK",ROUND((#REF!),1)&amp;" &lt; "&amp;$W$13-$S$12&amp;" NC"))))</f>
        <v/>
      </c>
      <c r="U1176" s="14"/>
      <c r="V1176" s="279"/>
      <c r="W1176" s="280"/>
      <c r="X1176" s="281"/>
      <c r="Y1176" s="246"/>
      <c r="Z1176" s="246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BP1176" s="390" t="str">
        <f>IF($X$13="/28",IF(Q1176="","",Q1176),IF($X$13="/90",IF(#REF!="","",#REF!),"Falso"))</f>
        <v/>
      </c>
      <c r="BQ1176" s="392" t="str">
        <f t="shared" si="1798"/>
        <v/>
      </c>
    </row>
    <row r="1177" spans="1:69" ht="14.25" customHeight="1" x14ac:dyDescent="0.35">
      <c r="A1177" s="294"/>
      <c r="B1177" s="296"/>
      <c r="C1177" s="298"/>
      <c r="D1177" s="300"/>
      <c r="E1177" s="302"/>
      <c r="F1177" s="304"/>
      <c r="G1177" s="276"/>
      <c r="H1177" s="277"/>
      <c r="I1177" s="290"/>
      <c r="J1177" s="290"/>
      <c r="K1177" s="291"/>
      <c r="L1177" s="17"/>
      <c r="M1177" s="286"/>
      <c r="N1177" s="21"/>
      <c r="O1177" s="286"/>
      <c r="P1177" s="21"/>
      <c r="Q1177" s="286"/>
      <c r="R1177" s="248"/>
      <c r="S1177" s="287"/>
      <c r="T1177" s="248"/>
      <c r="U1177" s="13"/>
      <c r="V1177" s="282"/>
      <c r="W1177" s="283"/>
      <c r="X1177" s="284"/>
      <c r="Y1177" s="245"/>
      <c r="Z1177" s="245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BP1177" s="391"/>
      <c r="BQ1177" s="393"/>
    </row>
    <row r="1178" spans="1:69" ht="14.25" customHeight="1" x14ac:dyDescent="0.35">
      <c r="A1178" s="293">
        <v>581</v>
      </c>
      <c r="B1178" s="295"/>
      <c r="C1178" s="297"/>
      <c r="D1178" s="299"/>
      <c r="E1178" s="301"/>
      <c r="F1178" s="303"/>
      <c r="G1178" s="288"/>
      <c r="H1178" s="289"/>
      <c r="I1178" s="290"/>
      <c r="J1178" s="290"/>
      <c r="K1178" s="291"/>
      <c r="L1178" s="18"/>
      <c r="M1178" s="285" t="str">
        <f t="shared" ref="M1178" si="1837">IF(COUNT(L1178:L1179)&lt;1,"",AVERAGE(L1178:L1179))</f>
        <v/>
      </c>
      <c r="N1178" s="22"/>
      <c r="O1178" s="285" t="str">
        <f t="shared" ref="O1178" si="1838">IF(COUNT(N1178:N1179)&lt;1,"",AVERAGE(N1178:N1179))</f>
        <v/>
      </c>
      <c r="P1178" s="22"/>
      <c r="Q1178" s="285" t="str">
        <f t="shared" ref="Q1178" si="1839">IF(COUNT(P1178:P1179)&lt;1,"",AVERAGE(P1178:P1179))</f>
        <v/>
      </c>
      <c r="R1178" s="278" t="str">
        <f>IF($X$13="/28",IF(COUNT(P1178:P1179)&lt;=1,"",ABS(P1178-P1179)),IF($X$13="/90",IF(COUNT(#REF!)&lt;=1,"",ABS(#REF!-#REF!))))</f>
        <v/>
      </c>
      <c r="S1178" s="278" t="str">
        <f>IF($X$13="/28",IF(Q1178="","",IF(AVERAGE(Q1174:Q1179)&gt;=$W$13,ROUND(AVERAGE(Q1174:Q1179),1)&amp;" ≥ "&amp;$W$13&amp;" OK",ROUND(AVERAGE(Q1174:Q1179),1)&amp;" &lt; "&amp;$W$13&amp;" NC")),IF($X$13="/90",IF(#REF!="","",IF(AVERAGE(#REF!)&gt;=$W$13,ROUND(AVERAGE(#REF!),1)&amp;" ≥ "&amp;$W$13&amp;" OK",ROUND(AVERAGE(#REF!),1)&amp;" &lt; "&amp;$W$13&amp;" NC"))))</f>
        <v/>
      </c>
      <c r="T1178" s="278" t="str">
        <f>IF($X$13="/28",IF(Q1178="","",IF(Q1178&gt;=$W$13-$S$12,ROUND((Q1178),1)&amp;" ≥ "&amp;$W$13-$S$12&amp;" OK",ROUND((Q1178),1)&amp;" &lt; "&amp;$W$13-$S$12&amp;" NC")),IF($X$13="/90",IF(#REF!="","",IF(#REF!&gt;=$W$13-$S$12,ROUND((#REF!),1)&amp;" ≥ "&amp;$W$13-$S$12&amp;" OK",ROUND((#REF!),1)&amp;" &lt; "&amp;$W$13-$S$12&amp;" NC"))))</f>
        <v/>
      </c>
      <c r="U1178" s="14"/>
      <c r="V1178" s="279"/>
      <c r="W1178" s="280"/>
      <c r="X1178" s="281"/>
      <c r="Y1178" s="246"/>
      <c r="Z1178" s="246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BP1178" s="390" t="str">
        <f>IF($X$13="/28",IF(Q1178="","",Q1178),IF($X$13="/90",IF(#REF!="","",#REF!),"Falso"))</f>
        <v/>
      </c>
      <c r="BQ1178" s="392" t="str">
        <f t="shared" si="1802"/>
        <v/>
      </c>
    </row>
    <row r="1179" spans="1:69" ht="14.25" customHeight="1" x14ac:dyDescent="0.35">
      <c r="A1179" s="294"/>
      <c r="B1179" s="296"/>
      <c r="C1179" s="298"/>
      <c r="D1179" s="300"/>
      <c r="E1179" s="302"/>
      <c r="F1179" s="304"/>
      <c r="G1179" s="276"/>
      <c r="H1179" s="277"/>
      <c r="I1179" s="290"/>
      <c r="J1179" s="290"/>
      <c r="K1179" s="291"/>
      <c r="L1179" s="17"/>
      <c r="M1179" s="286"/>
      <c r="N1179" s="21"/>
      <c r="O1179" s="286"/>
      <c r="P1179" s="21"/>
      <c r="Q1179" s="286"/>
      <c r="R1179" s="248"/>
      <c r="S1179" s="287"/>
      <c r="T1179" s="248"/>
      <c r="U1179" s="13"/>
      <c r="V1179" s="282"/>
      <c r="W1179" s="283"/>
      <c r="X1179" s="284"/>
      <c r="Y1179" s="245"/>
      <c r="Z1179" s="245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BP1179" s="391"/>
      <c r="BQ1179" s="393"/>
    </row>
    <row r="1180" spans="1:69" ht="14.25" customHeight="1" x14ac:dyDescent="0.35">
      <c r="A1180" s="293">
        <v>582</v>
      </c>
      <c r="B1180" s="295"/>
      <c r="C1180" s="297"/>
      <c r="D1180" s="299"/>
      <c r="E1180" s="301"/>
      <c r="F1180" s="303"/>
      <c r="G1180" s="288"/>
      <c r="H1180" s="289"/>
      <c r="I1180" s="290"/>
      <c r="J1180" s="290"/>
      <c r="K1180" s="291"/>
      <c r="L1180" s="18"/>
      <c r="M1180" s="285" t="str">
        <f t="shared" ref="M1180" si="1840">IF(COUNT(L1180:L1181)&lt;1,"",AVERAGE(L1180:L1181))</f>
        <v/>
      </c>
      <c r="N1180" s="22"/>
      <c r="O1180" s="285" t="str">
        <f t="shared" ref="O1180" si="1841">IF(COUNT(N1180:N1181)&lt;1,"",AVERAGE(N1180:N1181))</f>
        <v/>
      </c>
      <c r="P1180" s="22"/>
      <c r="Q1180" s="285" t="str">
        <f t="shared" ref="Q1180" si="1842">IF(COUNT(P1180:P1181)&lt;1,"",AVERAGE(P1180:P1181))</f>
        <v/>
      </c>
      <c r="R1180" s="278" t="str">
        <f>IF($X$13="/28",IF(COUNT(P1180:P1181)&lt;=1,"",ABS(P1180-P1181)),IF($X$13="/90",IF(COUNT(#REF!)&lt;=1,"",ABS(#REF!-#REF!))))</f>
        <v/>
      </c>
      <c r="S1180" s="278" t="str">
        <f>IF($X$13="/28",IF(Q1180="","",IF(AVERAGE(Q1176:Q1181)&gt;=$W$13,ROUND(AVERAGE(Q1176:Q1181),1)&amp;" ≥ "&amp;$W$13&amp;" OK",ROUND(AVERAGE(Q1176:Q1181),1)&amp;" &lt; "&amp;$W$13&amp;" NC")),IF($X$13="/90",IF(#REF!="","",IF(AVERAGE(#REF!)&gt;=$W$13,ROUND(AVERAGE(#REF!),1)&amp;" ≥ "&amp;$W$13&amp;" OK",ROUND(AVERAGE(#REF!),1)&amp;" &lt; "&amp;$W$13&amp;" NC"))))</f>
        <v/>
      </c>
      <c r="T1180" s="278" t="str">
        <f>IF($X$13="/28",IF(Q1180="","",IF(Q1180&gt;=$W$13-$S$12,ROUND((Q1180),1)&amp;" ≥ "&amp;$W$13-$S$12&amp;" OK",ROUND((Q1180),1)&amp;" &lt; "&amp;$W$13-$S$12&amp;" NC")),IF($X$13="/90",IF(#REF!="","",IF(#REF!&gt;=$W$13-$S$12,ROUND((#REF!),1)&amp;" ≥ "&amp;$W$13-$S$12&amp;" OK",ROUND((#REF!),1)&amp;" &lt; "&amp;$W$13-$S$12&amp;" NC"))))</f>
        <v/>
      </c>
      <c r="U1180" s="14"/>
      <c r="V1180" s="279"/>
      <c r="W1180" s="280"/>
      <c r="X1180" s="281"/>
      <c r="Y1180" s="246"/>
      <c r="Z1180" s="246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BP1180" s="390" t="str">
        <f>IF($X$13="/28",IF(Q1180="","",Q1180),IF($X$13="/90",IF(#REF!="","",#REF!),"Falso"))</f>
        <v/>
      </c>
      <c r="BQ1180" s="392" t="str">
        <f t="shared" si="1806"/>
        <v/>
      </c>
    </row>
    <row r="1181" spans="1:69" ht="14.25" customHeight="1" x14ac:dyDescent="0.35">
      <c r="A1181" s="294"/>
      <c r="B1181" s="296"/>
      <c r="C1181" s="298"/>
      <c r="D1181" s="300"/>
      <c r="E1181" s="302"/>
      <c r="F1181" s="304"/>
      <c r="G1181" s="276"/>
      <c r="H1181" s="277"/>
      <c r="I1181" s="290"/>
      <c r="J1181" s="290"/>
      <c r="K1181" s="291"/>
      <c r="L1181" s="17"/>
      <c r="M1181" s="286"/>
      <c r="N1181" s="21"/>
      <c r="O1181" s="286"/>
      <c r="P1181" s="21"/>
      <c r="Q1181" s="286"/>
      <c r="R1181" s="248"/>
      <c r="S1181" s="287"/>
      <c r="T1181" s="248"/>
      <c r="U1181" s="13"/>
      <c r="V1181" s="282"/>
      <c r="W1181" s="283"/>
      <c r="X1181" s="284"/>
      <c r="Y1181" s="245"/>
      <c r="Z1181" s="245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BP1181" s="391"/>
      <c r="BQ1181" s="393"/>
    </row>
    <row r="1182" spans="1:69" ht="14.25" customHeight="1" x14ac:dyDescent="0.35">
      <c r="A1182" s="293">
        <v>583</v>
      </c>
      <c r="B1182" s="295"/>
      <c r="C1182" s="297"/>
      <c r="D1182" s="299"/>
      <c r="E1182" s="301"/>
      <c r="F1182" s="303"/>
      <c r="G1182" s="288"/>
      <c r="H1182" s="289"/>
      <c r="I1182" s="290"/>
      <c r="J1182" s="290"/>
      <c r="K1182" s="291"/>
      <c r="L1182" s="18"/>
      <c r="M1182" s="285" t="str">
        <f t="shared" ref="M1182" si="1843">IF(COUNT(L1182:L1183)&lt;1,"",AVERAGE(L1182:L1183))</f>
        <v/>
      </c>
      <c r="N1182" s="22"/>
      <c r="O1182" s="285" t="str">
        <f t="shared" ref="O1182" si="1844">IF(COUNT(N1182:N1183)&lt;1,"",AVERAGE(N1182:N1183))</f>
        <v/>
      </c>
      <c r="P1182" s="22"/>
      <c r="Q1182" s="285" t="str">
        <f t="shared" ref="Q1182" si="1845">IF(COUNT(P1182:P1183)&lt;1,"",AVERAGE(P1182:P1183))</f>
        <v/>
      </c>
      <c r="R1182" s="278" t="str">
        <f>IF($X$13="/28",IF(COUNT(P1182:P1183)&lt;=1,"",ABS(P1182-P1183)),IF($X$13="/90",IF(COUNT(#REF!)&lt;=1,"",ABS(#REF!-#REF!))))</f>
        <v/>
      </c>
      <c r="S1182" s="278" t="str">
        <f>IF($X$13="/28",IF(Q1182="","",IF(AVERAGE(Q1178:Q1183)&gt;=$W$13,ROUND(AVERAGE(Q1178:Q1183),1)&amp;" ≥ "&amp;$W$13&amp;" OK",ROUND(AVERAGE(Q1178:Q1183),1)&amp;" &lt; "&amp;$W$13&amp;" NC")),IF($X$13="/90",IF(#REF!="","",IF(AVERAGE(#REF!)&gt;=$W$13,ROUND(AVERAGE(#REF!),1)&amp;" ≥ "&amp;$W$13&amp;" OK",ROUND(AVERAGE(#REF!),1)&amp;" &lt; "&amp;$W$13&amp;" NC"))))</f>
        <v/>
      </c>
      <c r="T1182" s="278" t="str">
        <f>IF($X$13="/28",IF(Q1182="","",IF(Q1182&gt;=$W$13-$S$12,ROUND((Q1182),1)&amp;" ≥ "&amp;$W$13-$S$12&amp;" OK",ROUND((Q1182),1)&amp;" &lt; "&amp;$W$13-$S$12&amp;" NC")),IF($X$13="/90",IF(#REF!="","",IF(#REF!&gt;=$W$13-$S$12,ROUND((#REF!),1)&amp;" ≥ "&amp;$W$13-$S$12&amp;" OK",ROUND((#REF!),1)&amp;" &lt; "&amp;$W$13-$S$12&amp;" NC"))))</f>
        <v/>
      </c>
      <c r="U1182" s="14"/>
      <c r="V1182" s="279"/>
      <c r="W1182" s="280"/>
      <c r="X1182" s="281"/>
      <c r="Y1182" s="246"/>
      <c r="Z1182" s="246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BP1182" s="390" t="str">
        <f>IF($X$13="/28",IF(Q1182="","",Q1182),IF($X$13="/90",IF(#REF!="","",#REF!),"Falso"))</f>
        <v/>
      </c>
      <c r="BQ1182" s="392" t="str">
        <f t="shared" si="1798"/>
        <v/>
      </c>
    </row>
    <row r="1183" spans="1:69" ht="14.25" customHeight="1" x14ac:dyDescent="0.35">
      <c r="A1183" s="294"/>
      <c r="B1183" s="296"/>
      <c r="C1183" s="298"/>
      <c r="D1183" s="300"/>
      <c r="E1183" s="302"/>
      <c r="F1183" s="304"/>
      <c r="G1183" s="276"/>
      <c r="H1183" s="277"/>
      <c r="I1183" s="290"/>
      <c r="J1183" s="290"/>
      <c r="K1183" s="291"/>
      <c r="L1183" s="17"/>
      <c r="M1183" s="286"/>
      <c r="N1183" s="21"/>
      <c r="O1183" s="286"/>
      <c r="P1183" s="21"/>
      <c r="Q1183" s="286"/>
      <c r="R1183" s="248"/>
      <c r="S1183" s="287"/>
      <c r="T1183" s="248"/>
      <c r="U1183" s="13"/>
      <c r="V1183" s="282"/>
      <c r="W1183" s="283"/>
      <c r="X1183" s="284"/>
      <c r="Y1183" s="245"/>
      <c r="Z1183" s="245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BP1183" s="391"/>
      <c r="BQ1183" s="393"/>
    </row>
    <row r="1184" spans="1:69" ht="14.25" customHeight="1" x14ac:dyDescent="0.35">
      <c r="A1184" s="293">
        <v>584</v>
      </c>
      <c r="B1184" s="295"/>
      <c r="C1184" s="297"/>
      <c r="D1184" s="299"/>
      <c r="E1184" s="301"/>
      <c r="F1184" s="303"/>
      <c r="G1184" s="288"/>
      <c r="H1184" s="289"/>
      <c r="I1184" s="290"/>
      <c r="J1184" s="290"/>
      <c r="K1184" s="291"/>
      <c r="L1184" s="18"/>
      <c r="M1184" s="285" t="str">
        <f t="shared" ref="M1184" si="1846">IF(COUNT(L1184:L1185)&lt;1,"",AVERAGE(L1184:L1185))</f>
        <v/>
      </c>
      <c r="N1184" s="22"/>
      <c r="O1184" s="285" t="str">
        <f t="shared" ref="O1184" si="1847">IF(COUNT(N1184:N1185)&lt;1,"",AVERAGE(N1184:N1185))</f>
        <v/>
      </c>
      <c r="P1184" s="22"/>
      <c r="Q1184" s="285" t="str">
        <f t="shared" ref="Q1184" si="1848">IF(COUNT(P1184:P1185)&lt;1,"",AVERAGE(P1184:P1185))</f>
        <v/>
      </c>
      <c r="R1184" s="278" t="str">
        <f>IF($X$13="/28",IF(COUNT(P1184:P1185)&lt;=1,"",ABS(P1184-P1185)),IF($X$13="/90",IF(COUNT(#REF!)&lt;=1,"",ABS(#REF!-#REF!))))</f>
        <v/>
      </c>
      <c r="S1184" s="278" t="str">
        <f>IF($X$13="/28",IF(Q1184="","",IF(AVERAGE(Q1180:Q1185)&gt;=$W$13,ROUND(AVERAGE(Q1180:Q1185),1)&amp;" ≥ "&amp;$W$13&amp;" OK",ROUND(AVERAGE(Q1180:Q1185),1)&amp;" &lt; "&amp;$W$13&amp;" NC")),IF($X$13="/90",IF(#REF!="","",IF(AVERAGE(#REF!)&gt;=$W$13,ROUND(AVERAGE(#REF!),1)&amp;" ≥ "&amp;$W$13&amp;" OK",ROUND(AVERAGE(#REF!),1)&amp;" &lt; "&amp;$W$13&amp;" NC"))))</f>
        <v/>
      </c>
      <c r="T1184" s="278" t="str">
        <f>IF($X$13="/28",IF(Q1184="","",IF(Q1184&gt;=$W$13-$S$12,ROUND((Q1184),1)&amp;" ≥ "&amp;$W$13-$S$12&amp;" OK",ROUND((Q1184),1)&amp;" &lt; "&amp;$W$13-$S$12&amp;" NC")),IF($X$13="/90",IF(#REF!="","",IF(#REF!&gt;=$W$13-$S$12,ROUND((#REF!),1)&amp;" ≥ "&amp;$W$13-$S$12&amp;" OK",ROUND((#REF!),1)&amp;" &lt; "&amp;$W$13-$S$12&amp;" NC"))))</f>
        <v/>
      </c>
      <c r="U1184" s="14"/>
      <c r="V1184" s="279"/>
      <c r="W1184" s="280"/>
      <c r="X1184" s="281"/>
      <c r="Y1184" s="246"/>
      <c r="Z1184" s="246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BP1184" s="390" t="str">
        <f>IF($X$13="/28",IF(Q1184="","",Q1184),IF($X$13="/90",IF(#REF!="","",#REF!),"Falso"))</f>
        <v/>
      </c>
      <c r="BQ1184" s="392" t="str">
        <f t="shared" si="1802"/>
        <v/>
      </c>
    </row>
    <row r="1185" spans="1:69" ht="14.25" customHeight="1" x14ac:dyDescent="0.35">
      <c r="A1185" s="294"/>
      <c r="B1185" s="296"/>
      <c r="C1185" s="298"/>
      <c r="D1185" s="300"/>
      <c r="E1185" s="302"/>
      <c r="F1185" s="304"/>
      <c r="G1185" s="276"/>
      <c r="H1185" s="277"/>
      <c r="I1185" s="290"/>
      <c r="J1185" s="290"/>
      <c r="K1185" s="291"/>
      <c r="L1185" s="17"/>
      <c r="M1185" s="286"/>
      <c r="N1185" s="21"/>
      <c r="O1185" s="286"/>
      <c r="P1185" s="21"/>
      <c r="Q1185" s="286"/>
      <c r="R1185" s="248"/>
      <c r="S1185" s="287"/>
      <c r="T1185" s="248"/>
      <c r="U1185" s="13"/>
      <c r="V1185" s="282"/>
      <c r="W1185" s="283"/>
      <c r="X1185" s="284"/>
      <c r="Y1185" s="245"/>
      <c r="Z1185" s="245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BP1185" s="391"/>
      <c r="BQ1185" s="393"/>
    </row>
    <row r="1186" spans="1:69" ht="14.25" customHeight="1" x14ac:dyDescent="0.35">
      <c r="A1186" s="293">
        <v>585</v>
      </c>
      <c r="B1186" s="295"/>
      <c r="C1186" s="297"/>
      <c r="D1186" s="299"/>
      <c r="E1186" s="301"/>
      <c r="F1186" s="303"/>
      <c r="G1186" s="288"/>
      <c r="H1186" s="289"/>
      <c r="I1186" s="290"/>
      <c r="J1186" s="290"/>
      <c r="K1186" s="291"/>
      <c r="L1186" s="18"/>
      <c r="M1186" s="285" t="str">
        <f t="shared" ref="M1186" si="1849">IF(COUNT(L1186:L1187)&lt;1,"",AVERAGE(L1186:L1187))</f>
        <v/>
      </c>
      <c r="N1186" s="22"/>
      <c r="O1186" s="285" t="str">
        <f t="shared" ref="O1186" si="1850">IF(COUNT(N1186:N1187)&lt;1,"",AVERAGE(N1186:N1187))</f>
        <v/>
      </c>
      <c r="P1186" s="22"/>
      <c r="Q1186" s="285" t="str">
        <f t="shared" ref="Q1186" si="1851">IF(COUNT(P1186:P1187)&lt;1,"",AVERAGE(P1186:P1187))</f>
        <v/>
      </c>
      <c r="R1186" s="278" t="str">
        <f>IF($X$13="/28",IF(COUNT(P1186:P1187)&lt;=1,"",ABS(P1186-P1187)),IF($X$13="/90",IF(COUNT(#REF!)&lt;=1,"",ABS(#REF!-#REF!))))</f>
        <v/>
      </c>
      <c r="S1186" s="278" t="str">
        <f>IF($X$13="/28",IF(Q1186="","",IF(AVERAGE(Q1182:Q1187)&gt;=$W$13,ROUND(AVERAGE(Q1182:Q1187),1)&amp;" ≥ "&amp;$W$13&amp;" OK",ROUND(AVERAGE(Q1182:Q1187),1)&amp;" &lt; "&amp;$W$13&amp;" NC")),IF($X$13="/90",IF(#REF!="","",IF(AVERAGE(#REF!)&gt;=$W$13,ROUND(AVERAGE(#REF!),1)&amp;" ≥ "&amp;$W$13&amp;" OK",ROUND(AVERAGE(#REF!),1)&amp;" &lt; "&amp;$W$13&amp;" NC"))))</f>
        <v/>
      </c>
      <c r="T1186" s="278" t="str">
        <f>IF($X$13="/28",IF(Q1186="","",IF(Q1186&gt;=$W$13-$S$12,ROUND((Q1186),1)&amp;" ≥ "&amp;$W$13-$S$12&amp;" OK",ROUND((Q1186),1)&amp;" &lt; "&amp;$W$13-$S$12&amp;" NC")),IF($X$13="/90",IF(#REF!="","",IF(#REF!&gt;=$W$13-$S$12,ROUND((#REF!),1)&amp;" ≥ "&amp;$W$13-$S$12&amp;" OK",ROUND((#REF!),1)&amp;" &lt; "&amp;$W$13-$S$12&amp;" NC"))))</f>
        <v/>
      </c>
      <c r="U1186" s="14"/>
      <c r="V1186" s="279"/>
      <c r="W1186" s="280"/>
      <c r="X1186" s="281"/>
      <c r="Y1186" s="246"/>
      <c r="Z1186" s="246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BP1186" s="390" t="str">
        <f>IF($X$13="/28",IF(Q1186="","",Q1186),IF($X$13="/90",IF(#REF!="","",#REF!),"Falso"))</f>
        <v/>
      </c>
      <c r="BQ1186" s="392" t="str">
        <f t="shared" si="1806"/>
        <v/>
      </c>
    </row>
    <row r="1187" spans="1:69" ht="14.25" customHeight="1" x14ac:dyDescent="0.35">
      <c r="A1187" s="294"/>
      <c r="B1187" s="296"/>
      <c r="C1187" s="298"/>
      <c r="D1187" s="300"/>
      <c r="E1187" s="302"/>
      <c r="F1187" s="304"/>
      <c r="G1187" s="276"/>
      <c r="H1187" s="277"/>
      <c r="I1187" s="290"/>
      <c r="J1187" s="290"/>
      <c r="K1187" s="291"/>
      <c r="L1187" s="17"/>
      <c r="M1187" s="286"/>
      <c r="N1187" s="21"/>
      <c r="O1187" s="286"/>
      <c r="P1187" s="21"/>
      <c r="Q1187" s="286"/>
      <c r="R1187" s="248"/>
      <c r="S1187" s="287"/>
      <c r="T1187" s="248"/>
      <c r="U1187" s="13"/>
      <c r="V1187" s="282"/>
      <c r="W1187" s="283"/>
      <c r="X1187" s="284"/>
      <c r="Y1187" s="245"/>
      <c r="Z1187" s="245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BP1187" s="391"/>
      <c r="BQ1187" s="393"/>
    </row>
    <row r="1188" spans="1:69" ht="14.25" customHeight="1" x14ac:dyDescent="0.35">
      <c r="A1188" s="293">
        <v>586</v>
      </c>
      <c r="B1188" s="295"/>
      <c r="C1188" s="297"/>
      <c r="D1188" s="299"/>
      <c r="E1188" s="301"/>
      <c r="F1188" s="303"/>
      <c r="G1188" s="288"/>
      <c r="H1188" s="289"/>
      <c r="I1188" s="290"/>
      <c r="J1188" s="290"/>
      <c r="K1188" s="291"/>
      <c r="L1188" s="18"/>
      <c r="M1188" s="285" t="str">
        <f t="shared" ref="M1188" si="1852">IF(COUNT(L1188:L1189)&lt;1,"",AVERAGE(L1188:L1189))</f>
        <v/>
      </c>
      <c r="N1188" s="22"/>
      <c r="O1188" s="285" t="str">
        <f t="shared" ref="O1188" si="1853">IF(COUNT(N1188:N1189)&lt;1,"",AVERAGE(N1188:N1189))</f>
        <v/>
      </c>
      <c r="P1188" s="22"/>
      <c r="Q1188" s="285" t="str">
        <f t="shared" ref="Q1188" si="1854">IF(COUNT(P1188:P1189)&lt;1,"",AVERAGE(P1188:P1189))</f>
        <v/>
      </c>
      <c r="R1188" s="278" t="str">
        <f>IF($X$13="/28",IF(COUNT(P1188:P1189)&lt;=1,"",ABS(P1188-P1189)),IF($X$13="/90",IF(COUNT(#REF!)&lt;=1,"",ABS(#REF!-#REF!))))</f>
        <v/>
      </c>
      <c r="S1188" s="278" t="str">
        <f>IF($X$13="/28",IF(Q1188="","",IF(AVERAGE(Q1184:Q1189)&gt;=$W$13,ROUND(AVERAGE(Q1184:Q1189),1)&amp;" ≥ "&amp;$W$13&amp;" OK",ROUND(AVERAGE(Q1184:Q1189),1)&amp;" &lt; "&amp;$W$13&amp;" NC")),IF($X$13="/90",IF(#REF!="","",IF(AVERAGE(#REF!)&gt;=$W$13,ROUND(AVERAGE(#REF!),1)&amp;" ≥ "&amp;$W$13&amp;" OK",ROUND(AVERAGE(#REF!),1)&amp;" &lt; "&amp;$W$13&amp;" NC"))))</f>
        <v/>
      </c>
      <c r="T1188" s="278" t="str">
        <f>IF($X$13="/28",IF(Q1188="","",IF(Q1188&gt;=$W$13-$S$12,ROUND((Q1188),1)&amp;" ≥ "&amp;$W$13-$S$12&amp;" OK",ROUND((Q1188),1)&amp;" &lt; "&amp;$W$13-$S$12&amp;" NC")),IF($X$13="/90",IF(#REF!="","",IF(#REF!&gt;=$W$13-$S$12,ROUND((#REF!),1)&amp;" ≥ "&amp;$W$13-$S$12&amp;" OK",ROUND((#REF!),1)&amp;" &lt; "&amp;$W$13-$S$12&amp;" NC"))))</f>
        <v/>
      </c>
      <c r="U1188" s="14"/>
      <c r="V1188" s="279"/>
      <c r="W1188" s="280"/>
      <c r="X1188" s="281"/>
      <c r="Y1188" s="246"/>
      <c r="Z1188" s="246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BP1188" s="390" t="str">
        <f>IF($X$13="/28",IF(Q1188="","",Q1188),IF($X$13="/90",IF(#REF!="","",#REF!),"Falso"))</f>
        <v/>
      </c>
      <c r="BQ1188" s="392" t="str">
        <f t="shared" si="1798"/>
        <v/>
      </c>
    </row>
    <row r="1189" spans="1:69" ht="14.25" customHeight="1" x14ac:dyDescent="0.35">
      <c r="A1189" s="294"/>
      <c r="B1189" s="296"/>
      <c r="C1189" s="298"/>
      <c r="D1189" s="300"/>
      <c r="E1189" s="302"/>
      <c r="F1189" s="304"/>
      <c r="G1189" s="276"/>
      <c r="H1189" s="277"/>
      <c r="I1189" s="290"/>
      <c r="J1189" s="290"/>
      <c r="K1189" s="291"/>
      <c r="L1189" s="17"/>
      <c r="M1189" s="286"/>
      <c r="N1189" s="21"/>
      <c r="O1189" s="286"/>
      <c r="P1189" s="21"/>
      <c r="Q1189" s="286"/>
      <c r="R1189" s="248"/>
      <c r="S1189" s="287"/>
      <c r="T1189" s="248"/>
      <c r="U1189" s="13"/>
      <c r="V1189" s="282"/>
      <c r="W1189" s="283"/>
      <c r="X1189" s="284"/>
      <c r="Y1189" s="245"/>
      <c r="Z1189" s="245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BP1189" s="391"/>
      <c r="BQ1189" s="393"/>
    </row>
    <row r="1190" spans="1:69" ht="14.25" customHeight="1" x14ac:dyDescent="0.35">
      <c r="A1190" s="293">
        <v>587</v>
      </c>
      <c r="B1190" s="295"/>
      <c r="C1190" s="297"/>
      <c r="D1190" s="299"/>
      <c r="E1190" s="301"/>
      <c r="F1190" s="303"/>
      <c r="G1190" s="288"/>
      <c r="H1190" s="289"/>
      <c r="I1190" s="290"/>
      <c r="J1190" s="290"/>
      <c r="K1190" s="291"/>
      <c r="L1190" s="18"/>
      <c r="M1190" s="285" t="str">
        <f t="shared" ref="M1190" si="1855">IF(COUNT(L1190:L1191)&lt;1,"",AVERAGE(L1190:L1191))</f>
        <v/>
      </c>
      <c r="N1190" s="22"/>
      <c r="O1190" s="285" t="str">
        <f t="shared" ref="O1190" si="1856">IF(COUNT(N1190:N1191)&lt;1,"",AVERAGE(N1190:N1191))</f>
        <v/>
      </c>
      <c r="P1190" s="22"/>
      <c r="Q1190" s="285" t="str">
        <f t="shared" ref="Q1190" si="1857">IF(COUNT(P1190:P1191)&lt;1,"",AVERAGE(P1190:P1191))</f>
        <v/>
      </c>
      <c r="R1190" s="278" t="str">
        <f>IF($X$13="/28",IF(COUNT(P1190:P1191)&lt;=1,"",ABS(P1190-P1191)),IF($X$13="/90",IF(COUNT(#REF!)&lt;=1,"",ABS(#REF!-#REF!))))</f>
        <v/>
      </c>
      <c r="S1190" s="278" t="str">
        <f>IF($X$13="/28",IF(Q1190="","",IF(AVERAGE(Q1186:Q1191)&gt;=$W$13,ROUND(AVERAGE(Q1186:Q1191),1)&amp;" ≥ "&amp;$W$13&amp;" OK",ROUND(AVERAGE(Q1186:Q1191),1)&amp;" &lt; "&amp;$W$13&amp;" NC")),IF($X$13="/90",IF(#REF!="","",IF(AVERAGE(#REF!)&gt;=$W$13,ROUND(AVERAGE(#REF!),1)&amp;" ≥ "&amp;$W$13&amp;" OK",ROUND(AVERAGE(#REF!),1)&amp;" &lt; "&amp;$W$13&amp;" NC"))))</f>
        <v/>
      </c>
      <c r="T1190" s="278" t="str">
        <f>IF($X$13="/28",IF(Q1190="","",IF(Q1190&gt;=$W$13-$S$12,ROUND((Q1190),1)&amp;" ≥ "&amp;$W$13-$S$12&amp;" OK",ROUND((Q1190),1)&amp;" &lt; "&amp;$W$13-$S$12&amp;" NC")),IF($X$13="/90",IF(#REF!="","",IF(#REF!&gt;=$W$13-$S$12,ROUND((#REF!),1)&amp;" ≥ "&amp;$W$13-$S$12&amp;" OK",ROUND((#REF!),1)&amp;" &lt; "&amp;$W$13-$S$12&amp;" NC"))))</f>
        <v/>
      </c>
      <c r="U1190" s="14"/>
      <c r="V1190" s="279"/>
      <c r="W1190" s="280"/>
      <c r="X1190" s="281"/>
      <c r="Y1190" s="246"/>
      <c r="Z1190" s="246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BP1190" s="390" t="str">
        <f>IF($X$13="/28",IF(Q1190="","",Q1190),IF($X$13="/90",IF(#REF!="","",#REF!),"Falso"))</f>
        <v/>
      </c>
      <c r="BQ1190" s="392" t="str">
        <f t="shared" si="1802"/>
        <v/>
      </c>
    </row>
    <row r="1191" spans="1:69" ht="14.25" customHeight="1" x14ac:dyDescent="0.35">
      <c r="A1191" s="294"/>
      <c r="B1191" s="296"/>
      <c r="C1191" s="298"/>
      <c r="D1191" s="300"/>
      <c r="E1191" s="302"/>
      <c r="F1191" s="304"/>
      <c r="G1191" s="276"/>
      <c r="H1191" s="277"/>
      <c r="I1191" s="290"/>
      <c r="J1191" s="290"/>
      <c r="K1191" s="291"/>
      <c r="L1191" s="17"/>
      <c r="M1191" s="286"/>
      <c r="N1191" s="21"/>
      <c r="O1191" s="286"/>
      <c r="P1191" s="21"/>
      <c r="Q1191" s="286"/>
      <c r="R1191" s="248"/>
      <c r="S1191" s="287"/>
      <c r="T1191" s="248"/>
      <c r="U1191" s="13"/>
      <c r="V1191" s="282"/>
      <c r="W1191" s="283"/>
      <c r="X1191" s="284"/>
      <c r="Y1191" s="245"/>
      <c r="Z1191" s="245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BP1191" s="391"/>
      <c r="BQ1191" s="393"/>
    </row>
    <row r="1192" spans="1:69" ht="14.25" customHeight="1" x14ac:dyDescent="0.35">
      <c r="A1192" s="293">
        <v>588</v>
      </c>
      <c r="B1192" s="295"/>
      <c r="C1192" s="297"/>
      <c r="D1192" s="299"/>
      <c r="E1192" s="301"/>
      <c r="F1192" s="303"/>
      <c r="G1192" s="288"/>
      <c r="H1192" s="289"/>
      <c r="I1192" s="290"/>
      <c r="J1192" s="290"/>
      <c r="K1192" s="291"/>
      <c r="L1192" s="18"/>
      <c r="M1192" s="285" t="str">
        <f t="shared" ref="M1192" si="1858">IF(COUNT(L1192:L1193)&lt;1,"",AVERAGE(L1192:L1193))</f>
        <v/>
      </c>
      <c r="N1192" s="22"/>
      <c r="O1192" s="285" t="str">
        <f t="shared" ref="O1192" si="1859">IF(COUNT(N1192:N1193)&lt;1,"",AVERAGE(N1192:N1193))</f>
        <v/>
      </c>
      <c r="P1192" s="22"/>
      <c r="Q1192" s="285" t="str">
        <f t="shared" ref="Q1192" si="1860">IF(COUNT(P1192:P1193)&lt;1,"",AVERAGE(P1192:P1193))</f>
        <v/>
      </c>
      <c r="R1192" s="278" t="str">
        <f>IF($X$13="/28",IF(COUNT(P1192:P1193)&lt;=1,"",ABS(P1192-P1193)),IF($X$13="/90",IF(COUNT(#REF!)&lt;=1,"",ABS(#REF!-#REF!))))</f>
        <v/>
      </c>
      <c r="S1192" s="278" t="str">
        <f>IF($X$13="/28",IF(Q1192="","",IF(AVERAGE(Q1188:Q1193)&gt;=$W$13,ROUND(AVERAGE(Q1188:Q1193),1)&amp;" ≥ "&amp;$W$13&amp;" OK",ROUND(AVERAGE(Q1188:Q1193),1)&amp;" &lt; "&amp;$W$13&amp;" NC")),IF($X$13="/90",IF(#REF!="","",IF(AVERAGE(#REF!)&gt;=$W$13,ROUND(AVERAGE(#REF!),1)&amp;" ≥ "&amp;$W$13&amp;" OK",ROUND(AVERAGE(#REF!),1)&amp;" &lt; "&amp;$W$13&amp;" NC"))))</f>
        <v/>
      </c>
      <c r="T1192" s="278" t="str">
        <f>IF($X$13="/28",IF(Q1192="","",IF(Q1192&gt;=$W$13-$S$12,ROUND((Q1192),1)&amp;" ≥ "&amp;$W$13-$S$12&amp;" OK",ROUND((Q1192),1)&amp;" &lt; "&amp;$W$13-$S$12&amp;" NC")),IF($X$13="/90",IF(#REF!="","",IF(#REF!&gt;=$W$13-$S$12,ROUND((#REF!),1)&amp;" ≥ "&amp;$W$13-$S$12&amp;" OK",ROUND((#REF!),1)&amp;" &lt; "&amp;$W$13-$S$12&amp;" NC"))))</f>
        <v/>
      </c>
      <c r="U1192" s="14"/>
      <c r="V1192" s="279"/>
      <c r="W1192" s="280"/>
      <c r="X1192" s="281"/>
      <c r="Y1192" s="246"/>
      <c r="Z1192" s="246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BP1192" s="390" t="str">
        <f>IF($X$13="/28",IF(Q1192="","",Q1192),IF($X$13="/90",IF(#REF!="","",#REF!),"Falso"))</f>
        <v/>
      </c>
      <c r="BQ1192" s="392" t="str">
        <f t="shared" si="1806"/>
        <v/>
      </c>
    </row>
    <row r="1193" spans="1:69" ht="14.25" customHeight="1" x14ac:dyDescent="0.35">
      <c r="A1193" s="294"/>
      <c r="B1193" s="296"/>
      <c r="C1193" s="298"/>
      <c r="D1193" s="300"/>
      <c r="E1193" s="302"/>
      <c r="F1193" s="304"/>
      <c r="G1193" s="276"/>
      <c r="H1193" s="277"/>
      <c r="I1193" s="290"/>
      <c r="J1193" s="290"/>
      <c r="K1193" s="291"/>
      <c r="L1193" s="17"/>
      <c r="M1193" s="286"/>
      <c r="N1193" s="21"/>
      <c r="O1193" s="286"/>
      <c r="P1193" s="21"/>
      <c r="Q1193" s="286"/>
      <c r="R1193" s="248"/>
      <c r="S1193" s="287"/>
      <c r="T1193" s="248"/>
      <c r="U1193" s="13"/>
      <c r="V1193" s="282"/>
      <c r="W1193" s="283"/>
      <c r="X1193" s="284"/>
      <c r="Y1193" s="245"/>
      <c r="Z1193" s="245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BP1193" s="391"/>
      <c r="BQ1193" s="393"/>
    </row>
    <row r="1194" spans="1:69" ht="14.25" customHeight="1" x14ac:dyDescent="0.35">
      <c r="A1194" s="293">
        <v>589</v>
      </c>
      <c r="B1194" s="295"/>
      <c r="C1194" s="297"/>
      <c r="D1194" s="299"/>
      <c r="E1194" s="301"/>
      <c r="F1194" s="303"/>
      <c r="G1194" s="288"/>
      <c r="H1194" s="289"/>
      <c r="I1194" s="290"/>
      <c r="J1194" s="290"/>
      <c r="K1194" s="291"/>
      <c r="L1194" s="18"/>
      <c r="M1194" s="285" t="str">
        <f t="shared" ref="M1194" si="1861">IF(COUNT(L1194:L1195)&lt;1,"",AVERAGE(L1194:L1195))</f>
        <v/>
      </c>
      <c r="N1194" s="22"/>
      <c r="O1194" s="285" t="str">
        <f t="shared" ref="O1194" si="1862">IF(COUNT(N1194:N1195)&lt;1,"",AVERAGE(N1194:N1195))</f>
        <v/>
      </c>
      <c r="P1194" s="22"/>
      <c r="Q1194" s="285" t="str">
        <f t="shared" ref="Q1194" si="1863">IF(COUNT(P1194:P1195)&lt;1,"",AVERAGE(P1194:P1195))</f>
        <v/>
      </c>
      <c r="R1194" s="278" t="str">
        <f>IF($X$13="/28",IF(COUNT(P1194:P1195)&lt;=1,"",ABS(P1194-P1195)),IF($X$13="/90",IF(COUNT(#REF!)&lt;=1,"",ABS(#REF!-#REF!))))</f>
        <v/>
      </c>
      <c r="S1194" s="278" t="str">
        <f>IF($X$13="/28",IF(Q1194="","",IF(AVERAGE(Q1190:Q1195)&gt;=$W$13,ROUND(AVERAGE(Q1190:Q1195),1)&amp;" ≥ "&amp;$W$13&amp;" OK",ROUND(AVERAGE(Q1190:Q1195),1)&amp;" &lt; "&amp;$W$13&amp;" NC")),IF($X$13="/90",IF(#REF!="","",IF(AVERAGE(#REF!)&gt;=$W$13,ROUND(AVERAGE(#REF!),1)&amp;" ≥ "&amp;$W$13&amp;" OK",ROUND(AVERAGE(#REF!),1)&amp;" &lt; "&amp;$W$13&amp;" NC"))))</f>
        <v/>
      </c>
      <c r="T1194" s="278" t="str">
        <f>IF($X$13="/28",IF(Q1194="","",IF(Q1194&gt;=$W$13-$S$12,ROUND((Q1194),1)&amp;" ≥ "&amp;$W$13-$S$12&amp;" OK",ROUND((Q1194),1)&amp;" &lt; "&amp;$W$13-$S$12&amp;" NC")),IF($X$13="/90",IF(#REF!="","",IF(#REF!&gt;=$W$13-$S$12,ROUND((#REF!),1)&amp;" ≥ "&amp;$W$13-$S$12&amp;" OK",ROUND((#REF!),1)&amp;" &lt; "&amp;$W$13-$S$12&amp;" NC"))))</f>
        <v/>
      </c>
      <c r="U1194" s="14"/>
      <c r="V1194" s="279"/>
      <c r="W1194" s="280"/>
      <c r="X1194" s="281"/>
      <c r="Y1194" s="246"/>
      <c r="Z1194" s="246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BP1194" s="390" t="str">
        <f>IF($X$13="/28",IF(Q1194="","",Q1194),IF($X$13="/90",IF(#REF!="","",#REF!),"Falso"))</f>
        <v/>
      </c>
      <c r="BQ1194" s="392" t="str">
        <f t="shared" si="1798"/>
        <v/>
      </c>
    </row>
    <row r="1195" spans="1:69" ht="14.25" customHeight="1" x14ac:dyDescent="0.35">
      <c r="A1195" s="294"/>
      <c r="B1195" s="296"/>
      <c r="C1195" s="298"/>
      <c r="D1195" s="300"/>
      <c r="E1195" s="302"/>
      <c r="F1195" s="304"/>
      <c r="G1195" s="276"/>
      <c r="H1195" s="277"/>
      <c r="I1195" s="290"/>
      <c r="J1195" s="290"/>
      <c r="K1195" s="291"/>
      <c r="L1195" s="17"/>
      <c r="M1195" s="286"/>
      <c r="N1195" s="21"/>
      <c r="O1195" s="286"/>
      <c r="P1195" s="21"/>
      <c r="Q1195" s="286"/>
      <c r="R1195" s="248"/>
      <c r="S1195" s="287"/>
      <c r="T1195" s="248"/>
      <c r="U1195" s="13"/>
      <c r="V1195" s="282"/>
      <c r="W1195" s="283"/>
      <c r="X1195" s="284"/>
      <c r="Y1195" s="245"/>
      <c r="Z1195" s="245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BP1195" s="391"/>
      <c r="BQ1195" s="393"/>
    </row>
    <row r="1196" spans="1:69" ht="14.25" customHeight="1" x14ac:dyDescent="0.35">
      <c r="A1196" s="293">
        <v>590</v>
      </c>
      <c r="B1196" s="295"/>
      <c r="C1196" s="297"/>
      <c r="D1196" s="299"/>
      <c r="E1196" s="301"/>
      <c r="F1196" s="303"/>
      <c r="G1196" s="288"/>
      <c r="H1196" s="289"/>
      <c r="I1196" s="290"/>
      <c r="J1196" s="290"/>
      <c r="K1196" s="291"/>
      <c r="L1196" s="18"/>
      <c r="M1196" s="285" t="str">
        <f t="shared" ref="M1196" si="1864">IF(COUNT(L1196:L1197)&lt;1,"",AVERAGE(L1196:L1197))</f>
        <v/>
      </c>
      <c r="N1196" s="22"/>
      <c r="O1196" s="285" t="str">
        <f t="shared" ref="O1196" si="1865">IF(COUNT(N1196:N1197)&lt;1,"",AVERAGE(N1196:N1197))</f>
        <v/>
      </c>
      <c r="P1196" s="22"/>
      <c r="Q1196" s="285" t="str">
        <f t="shared" ref="Q1196" si="1866">IF(COUNT(P1196:P1197)&lt;1,"",AVERAGE(P1196:P1197))</f>
        <v/>
      </c>
      <c r="R1196" s="278" t="str">
        <f>IF($X$13="/28",IF(COUNT(P1196:P1197)&lt;=1,"",ABS(P1196-P1197)),IF($X$13="/90",IF(COUNT(#REF!)&lt;=1,"",ABS(#REF!-#REF!))))</f>
        <v/>
      </c>
      <c r="S1196" s="278" t="str">
        <f>IF($X$13="/28",IF(Q1196="","",IF(AVERAGE(Q1192:Q1197)&gt;=$W$13,ROUND(AVERAGE(Q1192:Q1197),1)&amp;" ≥ "&amp;$W$13&amp;" OK",ROUND(AVERAGE(Q1192:Q1197),1)&amp;" &lt; "&amp;$W$13&amp;" NC")),IF($X$13="/90",IF(#REF!="","",IF(AVERAGE(#REF!)&gt;=$W$13,ROUND(AVERAGE(#REF!),1)&amp;" ≥ "&amp;$W$13&amp;" OK",ROUND(AVERAGE(#REF!),1)&amp;" &lt; "&amp;$W$13&amp;" NC"))))</f>
        <v/>
      </c>
      <c r="T1196" s="278" t="str">
        <f>IF($X$13="/28",IF(Q1196="","",IF(Q1196&gt;=$W$13-$S$12,ROUND((Q1196),1)&amp;" ≥ "&amp;$W$13-$S$12&amp;" OK",ROUND((Q1196),1)&amp;" &lt; "&amp;$W$13-$S$12&amp;" NC")),IF($X$13="/90",IF(#REF!="","",IF(#REF!&gt;=$W$13-$S$12,ROUND((#REF!),1)&amp;" ≥ "&amp;$W$13-$S$12&amp;" OK",ROUND((#REF!),1)&amp;" &lt; "&amp;$W$13-$S$12&amp;" NC"))))</f>
        <v/>
      </c>
      <c r="U1196" s="14"/>
      <c r="V1196" s="279"/>
      <c r="W1196" s="280"/>
      <c r="X1196" s="281"/>
      <c r="Y1196" s="246"/>
      <c r="Z1196" s="246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BP1196" s="390" t="str">
        <f>IF($X$13="/28",IF(Q1196="","",Q1196),IF($X$13="/90",IF(#REF!="","",#REF!),"Falso"))</f>
        <v/>
      </c>
      <c r="BQ1196" s="392" t="str">
        <f t="shared" si="1802"/>
        <v/>
      </c>
    </row>
    <row r="1197" spans="1:69" ht="14.25" customHeight="1" x14ac:dyDescent="0.35">
      <c r="A1197" s="294"/>
      <c r="B1197" s="296"/>
      <c r="C1197" s="298"/>
      <c r="D1197" s="300"/>
      <c r="E1197" s="302"/>
      <c r="F1197" s="304"/>
      <c r="G1197" s="276"/>
      <c r="H1197" s="277"/>
      <c r="I1197" s="290"/>
      <c r="J1197" s="290"/>
      <c r="K1197" s="291"/>
      <c r="L1197" s="17"/>
      <c r="M1197" s="286"/>
      <c r="N1197" s="21"/>
      <c r="O1197" s="286"/>
      <c r="P1197" s="21"/>
      <c r="Q1197" s="286"/>
      <c r="R1197" s="248"/>
      <c r="S1197" s="287"/>
      <c r="T1197" s="248"/>
      <c r="U1197" s="13"/>
      <c r="V1197" s="282"/>
      <c r="W1197" s="283"/>
      <c r="X1197" s="284"/>
      <c r="Y1197" s="245"/>
      <c r="Z1197" s="245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BP1197" s="391"/>
      <c r="BQ1197" s="393"/>
    </row>
    <row r="1198" spans="1:69" ht="14.25" customHeight="1" x14ac:dyDescent="0.35">
      <c r="A1198" s="293">
        <v>591</v>
      </c>
      <c r="B1198" s="295"/>
      <c r="C1198" s="297"/>
      <c r="D1198" s="299"/>
      <c r="E1198" s="301"/>
      <c r="F1198" s="303"/>
      <c r="G1198" s="288"/>
      <c r="H1198" s="289"/>
      <c r="I1198" s="290"/>
      <c r="J1198" s="290"/>
      <c r="K1198" s="291"/>
      <c r="L1198" s="18"/>
      <c r="M1198" s="285" t="str">
        <f t="shared" ref="M1198" si="1867">IF(COUNT(L1198:L1199)&lt;1,"",AVERAGE(L1198:L1199))</f>
        <v/>
      </c>
      <c r="N1198" s="22"/>
      <c r="O1198" s="285" t="str">
        <f t="shared" ref="O1198" si="1868">IF(COUNT(N1198:N1199)&lt;1,"",AVERAGE(N1198:N1199))</f>
        <v/>
      </c>
      <c r="P1198" s="22"/>
      <c r="Q1198" s="285" t="str">
        <f t="shared" ref="Q1198" si="1869">IF(COUNT(P1198:P1199)&lt;1,"",AVERAGE(P1198:P1199))</f>
        <v/>
      </c>
      <c r="R1198" s="278" t="str">
        <f>IF($X$13="/28",IF(COUNT(P1198:P1199)&lt;=1,"",ABS(P1198-P1199)),IF($X$13="/90",IF(COUNT(#REF!)&lt;=1,"",ABS(#REF!-#REF!))))</f>
        <v/>
      </c>
      <c r="S1198" s="278" t="str">
        <f>IF($X$13="/28",IF(Q1198="","",IF(AVERAGE(Q1194:Q1199)&gt;=$W$13,ROUND(AVERAGE(Q1194:Q1199),1)&amp;" ≥ "&amp;$W$13&amp;" OK",ROUND(AVERAGE(Q1194:Q1199),1)&amp;" &lt; "&amp;$W$13&amp;" NC")),IF($X$13="/90",IF(#REF!="","",IF(AVERAGE(#REF!)&gt;=$W$13,ROUND(AVERAGE(#REF!),1)&amp;" ≥ "&amp;$W$13&amp;" OK",ROUND(AVERAGE(#REF!),1)&amp;" &lt; "&amp;$W$13&amp;" NC"))))</f>
        <v/>
      </c>
      <c r="T1198" s="278" t="str">
        <f>IF($X$13="/28",IF(Q1198="","",IF(Q1198&gt;=$W$13-$S$12,ROUND((Q1198),1)&amp;" ≥ "&amp;$W$13-$S$12&amp;" OK",ROUND((Q1198),1)&amp;" &lt; "&amp;$W$13-$S$12&amp;" NC")),IF($X$13="/90",IF(#REF!="","",IF(#REF!&gt;=$W$13-$S$12,ROUND((#REF!),1)&amp;" ≥ "&amp;$W$13-$S$12&amp;" OK",ROUND((#REF!),1)&amp;" &lt; "&amp;$W$13-$S$12&amp;" NC"))))</f>
        <v/>
      </c>
      <c r="U1198" s="14"/>
      <c r="V1198" s="279"/>
      <c r="W1198" s="280"/>
      <c r="X1198" s="281"/>
      <c r="Y1198" s="246"/>
      <c r="Z1198" s="246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BP1198" s="390" t="str">
        <f>IF($X$13="/28",IF(Q1198="","",Q1198),IF($X$13="/90",IF(#REF!="","",#REF!),"Falso"))</f>
        <v/>
      </c>
      <c r="BQ1198" s="392" t="str">
        <f t="shared" si="1806"/>
        <v/>
      </c>
    </row>
    <row r="1199" spans="1:69" ht="14.25" customHeight="1" x14ac:dyDescent="0.35">
      <c r="A1199" s="294"/>
      <c r="B1199" s="296"/>
      <c r="C1199" s="298"/>
      <c r="D1199" s="300"/>
      <c r="E1199" s="302"/>
      <c r="F1199" s="304"/>
      <c r="G1199" s="276"/>
      <c r="H1199" s="277"/>
      <c r="I1199" s="290"/>
      <c r="J1199" s="290"/>
      <c r="K1199" s="291"/>
      <c r="L1199" s="17"/>
      <c r="M1199" s="286"/>
      <c r="N1199" s="21"/>
      <c r="O1199" s="286"/>
      <c r="P1199" s="21"/>
      <c r="Q1199" s="286"/>
      <c r="R1199" s="248"/>
      <c r="S1199" s="287"/>
      <c r="T1199" s="248"/>
      <c r="U1199" s="13"/>
      <c r="V1199" s="282"/>
      <c r="W1199" s="283"/>
      <c r="X1199" s="284"/>
      <c r="Y1199" s="245"/>
      <c r="Z1199" s="245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BP1199" s="391"/>
      <c r="BQ1199" s="393"/>
    </row>
    <row r="1200" spans="1:69" ht="14.25" customHeight="1" x14ac:dyDescent="0.35">
      <c r="A1200" s="293">
        <v>592</v>
      </c>
      <c r="B1200" s="295"/>
      <c r="C1200" s="297"/>
      <c r="D1200" s="299"/>
      <c r="E1200" s="301"/>
      <c r="F1200" s="303"/>
      <c r="G1200" s="288"/>
      <c r="H1200" s="289"/>
      <c r="I1200" s="290"/>
      <c r="J1200" s="290"/>
      <c r="K1200" s="291"/>
      <c r="L1200" s="18"/>
      <c r="M1200" s="285" t="str">
        <f t="shared" ref="M1200" si="1870">IF(COUNT(L1200:L1201)&lt;1,"",AVERAGE(L1200:L1201))</f>
        <v/>
      </c>
      <c r="N1200" s="22"/>
      <c r="O1200" s="285" t="str">
        <f t="shared" ref="O1200" si="1871">IF(COUNT(N1200:N1201)&lt;1,"",AVERAGE(N1200:N1201))</f>
        <v/>
      </c>
      <c r="P1200" s="22"/>
      <c r="Q1200" s="285" t="str">
        <f t="shared" ref="Q1200" si="1872">IF(COUNT(P1200:P1201)&lt;1,"",AVERAGE(P1200:P1201))</f>
        <v/>
      </c>
      <c r="R1200" s="278" t="str">
        <f>IF($X$13="/28",IF(COUNT(P1200:P1201)&lt;=1,"",ABS(P1200-P1201)),IF($X$13="/90",IF(COUNT(#REF!)&lt;=1,"",ABS(#REF!-#REF!))))</f>
        <v/>
      </c>
      <c r="S1200" s="278" t="str">
        <f>IF($X$13="/28",IF(Q1200="","",IF(AVERAGE(Q1196:Q1201)&gt;=$W$13,ROUND(AVERAGE(Q1196:Q1201),1)&amp;" ≥ "&amp;$W$13&amp;" OK",ROUND(AVERAGE(Q1196:Q1201),1)&amp;" &lt; "&amp;$W$13&amp;" NC")),IF($X$13="/90",IF(#REF!="","",IF(AVERAGE(#REF!)&gt;=$W$13,ROUND(AVERAGE(#REF!),1)&amp;" ≥ "&amp;$W$13&amp;" OK",ROUND(AVERAGE(#REF!),1)&amp;" &lt; "&amp;$W$13&amp;" NC"))))</f>
        <v/>
      </c>
      <c r="T1200" s="278" t="str">
        <f>IF($X$13="/28",IF(Q1200="","",IF(Q1200&gt;=$W$13-$S$12,ROUND((Q1200),1)&amp;" ≥ "&amp;$W$13-$S$12&amp;" OK",ROUND((Q1200),1)&amp;" &lt; "&amp;$W$13-$S$12&amp;" NC")),IF($X$13="/90",IF(#REF!="","",IF(#REF!&gt;=$W$13-$S$12,ROUND((#REF!),1)&amp;" ≥ "&amp;$W$13-$S$12&amp;" OK",ROUND((#REF!),1)&amp;" &lt; "&amp;$W$13-$S$12&amp;" NC"))))</f>
        <v/>
      </c>
      <c r="U1200" s="14"/>
      <c r="V1200" s="279"/>
      <c r="W1200" s="280"/>
      <c r="X1200" s="281"/>
      <c r="Y1200" s="246"/>
      <c r="Z1200" s="246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BP1200" s="390" t="str">
        <f>IF($X$13="/28",IF(Q1200="","",Q1200),IF($X$13="/90",IF(#REF!="","",#REF!),"Falso"))</f>
        <v/>
      </c>
      <c r="BQ1200" s="392" t="str">
        <f t="shared" si="1798"/>
        <v/>
      </c>
    </row>
    <row r="1201" spans="1:69" ht="14.25" customHeight="1" x14ac:dyDescent="0.35">
      <c r="A1201" s="294"/>
      <c r="B1201" s="296"/>
      <c r="C1201" s="298"/>
      <c r="D1201" s="300"/>
      <c r="E1201" s="302"/>
      <c r="F1201" s="304"/>
      <c r="G1201" s="276"/>
      <c r="H1201" s="277"/>
      <c r="I1201" s="290"/>
      <c r="J1201" s="290"/>
      <c r="K1201" s="291"/>
      <c r="L1201" s="17"/>
      <c r="M1201" s="286"/>
      <c r="N1201" s="21"/>
      <c r="O1201" s="286"/>
      <c r="P1201" s="21"/>
      <c r="Q1201" s="286"/>
      <c r="R1201" s="248"/>
      <c r="S1201" s="287"/>
      <c r="T1201" s="248"/>
      <c r="U1201" s="13"/>
      <c r="V1201" s="282"/>
      <c r="W1201" s="283"/>
      <c r="X1201" s="284"/>
      <c r="Y1201" s="245"/>
      <c r="Z1201" s="245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BP1201" s="391"/>
      <c r="BQ1201" s="393"/>
    </row>
    <row r="1202" spans="1:69" ht="14.25" customHeight="1" x14ac:dyDescent="0.35">
      <c r="A1202" s="293">
        <v>593</v>
      </c>
      <c r="B1202" s="295"/>
      <c r="C1202" s="297"/>
      <c r="D1202" s="299"/>
      <c r="E1202" s="301"/>
      <c r="F1202" s="303"/>
      <c r="G1202" s="288"/>
      <c r="H1202" s="289"/>
      <c r="I1202" s="290"/>
      <c r="J1202" s="290"/>
      <c r="K1202" s="291"/>
      <c r="L1202" s="18"/>
      <c r="M1202" s="285" t="str">
        <f t="shared" ref="M1202" si="1873">IF(COUNT(L1202:L1203)&lt;1,"",AVERAGE(L1202:L1203))</f>
        <v/>
      </c>
      <c r="N1202" s="22"/>
      <c r="O1202" s="285" t="str">
        <f t="shared" ref="O1202" si="1874">IF(COUNT(N1202:N1203)&lt;1,"",AVERAGE(N1202:N1203))</f>
        <v/>
      </c>
      <c r="P1202" s="22"/>
      <c r="Q1202" s="285" t="str">
        <f t="shared" ref="Q1202" si="1875">IF(COUNT(P1202:P1203)&lt;1,"",AVERAGE(P1202:P1203))</f>
        <v/>
      </c>
      <c r="R1202" s="278" t="str">
        <f>IF($X$13="/28",IF(COUNT(P1202:P1203)&lt;=1,"",ABS(P1202-P1203)),IF($X$13="/90",IF(COUNT(#REF!)&lt;=1,"",ABS(#REF!-#REF!))))</f>
        <v/>
      </c>
      <c r="S1202" s="278" t="str">
        <f>IF($X$13="/28",IF(Q1202="","",IF(AVERAGE(Q1198:Q1203)&gt;=$W$13,ROUND(AVERAGE(Q1198:Q1203),1)&amp;" ≥ "&amp;$W$13&amp;" OK",ROUND(AVERAGE(Q1198:Q1203),1)&amp;" &lt; "&amp;$W$13&amp;" NC")),IF($X$13="/90",IF(#REF!="","",IF(AVERAGE(#REF!)&gt;=$W$13,ROUND(AVERAGE(#REF!),1)&amp;" ≥ "&amp;$W$13&amp;" OK",ROUND(AVERAGE(#REF!),1)&amp;" &lt; "&amp;$W$13&amp;" NC"))))</f>
        <v/>
      </c>
      <c r="T1202" s="278" t="str">
        <f>IF($X$13="/28",IF(Q1202="","",IF(Q1202&gt;=$W$13-$S$12,ROUND((Q1202),1)&amp;" ≥ "&amp;$W$13-$S$12&amp;" OK",ROUND((Q1202),1)&amp;" &lt; "&amp;$W$13-$S$12&amp;" NC")),IF($X$13="/90",IF(#REF!="","",IF(#REF!&gt;=$W$13-$S$12,ROUND((#REF!),1)&amp;" ≥ "&amp;$W$13-$S$12&amp;" OK",ROUND((#REF!),1)&amp;" &lt; "&amp;$W$13-$S$12&amp;" NC"))))</f>
        <v/>
      </c>
      <c r="U1202" s="14"/>
      <c r="V1202" s="279"/>
      <c r="W1202" s="280"/>
      <c r="X1202" s="281"/>
      <c r="Y1202" s="246"/>
      <c r="Z1202" s="246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BP1202" s="390" t="str">
        <f>IF($X$13="/28",IF(Q1202="","",Q1202),IF($X$13="/90",IF(#REF!="","",#REF!),"Falso"))</f>
        <v/>
      </c>
      <c r="BQ1202" s="392" t="str">
        <f t="shared" si="1802"/>
        <v/>
      </c>
    </row>
    <row r="1203" spans="1:69" ht="14.25" customHeight="1" x14ac:dyDescent="0.35">
      <c r="A1203" s="294"/>
      <c r="B1203" s="296"/>
      <c r="C1203" s="298"/>
      <c r="D1203" s="300"/>
      <c r="E1203" s="302"/>
      <c r="F1203" s="304"/>
      <c r="G1203" s="276"/>
      <c r="H1203" s="277"/>
      <c r="I1203" s="290"/>
      <c r="J1203" s="290"/>
      <c r="K1203" s="291"/>
      <c r="L1203" s="17"/>
      <c r="M1203" s="286"/>
      <c r="N1203" s="21"/>
      <c r="O1203" s="286"/>
      <c r="P1203" s="21"/>
      <c r="Q1203" s="286"/>
      <c r="R1203" s="248"/>
      <c r="S1203" s="287"/>
      <c r="T1203" s="248"/>
      <c r="U1203" s="13"/>
      <c r="V1203" s="282"/>
      <c r="W1203" s="283"/>
      <c r="X1203" s="284"/>
      <c r="Y1203" s="245"/>
      <c r="Z1203" s="245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BP1203" s="391"/>
      <c r="BQ1203" s="393"/>
    </row>
    <row r="1204" spans="1:69" ht="14.25" customHeight="1" x14ac:dyDescent="0.35">
      <c r="A1204" s="293">
        <v>594</v>
      </c>
      <c r="B1204" s="295"/>
      <c r="C1204" s="297"/>
      <c r="D1204" s="299"/>
      <c r="E1204" s="301"/>
      <c r="F1204" s="303"/>
      <c r="G1204" s="288"/>
      <c r="H1204" s="289"/>
      <c r="I1204" s="290"/>
      <c r="J1204" s="290"/>
      <c r="K1204" s="291"/>
      <c r="L1204" s="18"/>
      <c r="M1204" s="285" t="str">
        <f t="shared" ref="M1204" si="1876">IF(COUNT(L1204:L1205)&lt;1,"",AVERAGE(L1204:L1205))</f>
        <v/>
      </c>
      <c r="N1204" s="22"/>
      <c r="O1204" s="285" t="str">
        <f t="shared" ref="O1204" si="1877">IF(COUNT(N1204:N1205)&lt;1,"",AVERAGE(N1204:N1205))</f>
        <v/>
      </c>
      <c r="P1204" s="22"/>
      <c r="Q1204" s="285" t="str">
        <f t="shared" ref="Q1204" si="1878">IF(COUNT(P1204:P1205)&lt;1,"",AVERAGE(P1204:P1205))</f>
        <v/>
      </c>
      <c r="R1204" s="278" t="str">
        <f>IF($X$13="/28",IF(COUNT(P1204:P1205)&lt;=1,"",ABS(P1204-P1205)),IF($X$13="/90",IF(COUNT(#REF!)&lt;=1,"",ABS(#REF!-#REF!))))</f>
        <v/>
      </c>
      <c r="S1204" s="278" t="str">
        <f>IF($X$13="/28",IF(Q1204="","",IF(AVERAGE(Q1200:Q1205)&gt;=$W$13,ROUND(AVERAGE(Q1200:Q1205),1)&amp;" ≥ "&amp;$W$13&amp;" OK",ROUND(AVERAGE(Q1200:Q1205),1)&amp;" &lt; "&amp;$W$13&amp;" NC")),IF($X$13="/90",IF(#REF!="","",IF(AVERAGE(#REF!)&gt;=$W$13,ROUND(AVERAGE(#REF!),1)&amp;" ≥ "&amp;$W$13&amp;" OK",ROUND(AVERAGE(#REF!),1)&amp;" &lt; "&amp;$W$13&amp;" NC"))))</f>
        <v/>
      </c>
      <c r="T1204" s="278" t="str">
        <f>IF($X$13="/28",IF(Q1204="","",IF(Q1204&gt;=$W$13-$S$12,ROUND((Q1204),1)&amp;" ≥ "&amp;$W$13-$S$12&amp;" OK",ROUND((Q1204),1)&amp;" &lt; "&amp;$W$13-$S$12&amp;" NC")),IF($X$13="/90",IF(#REF!="","",IF(#REF!&gt;=$W$13-$S$12,ROUND((#REF!),1)&amp;" ≥ "&amp;$W$13-$S$12&amp;" OK",ROUND((#REF!),1)&amp;" &lt; "&amp;$W$13-$S$12&amp;" NC"))))</f>
        <v/>
      </c>
      <c r="U1204" s="14"/>
      <c r="V1204" s="279"/>
      <c r="W1204" s="280"/>
      <c r="X1204" s="281"/>
      <c r="Y1204" s="246"/>
      <c r="Z1204" s="246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BP1204" s="390" t="str">
        <f>IF($X$13="/28",IF(Q1204="","",Q1204),IF($X$13="/90",IF(#REF!="","",#REF!),"Falso"))</f>
        <v/>
      </c>
      <c r="BQ1204" s="392" t="str">
        <f t="shared" si="1806"/>
        <v/>
      </c>
    </row>
    <row r="1205" spans="1:69" ht="14.25" customHeight="1" x14ac:dyDescent="0.35">
      <c r="A1205" s="294"/>
      <c r="B1205" s="296"/>
      <c r="C1205" s="298"/>
      <c r="D1205" s="300"/>
      <c r="E1205" s="302"/>
      <c r="F1205" s="304"/>
      <c r="G1205" s="276"/>
      <c r="H1205" s="277"/>
      <c r="I1205" s="290"/>
      <c r="J1205" s="290"/>
      <c r="K1205" s="291"/>
      <c r="L1205" s="17"/>
      <c r="M1205" s="286"/>
      <c r="N1205" s="21"/>
      <c r="O1205" s="286"/>
      <c r="P1205" s="21"/>
      <c r="Q1205" s="286"/>
      <c r="R1205" s="248"/>
      <c r="S1205" s="287"/>
      <c r="T1205" s="248"/>
      <c r="U1205" s="13"/>
      <c r="V1205" s="282"/>
      <c r="W1205" s="283"/>
      <c r="X1205" s="284"/>
      <c r="Y1205" s="245"/>
      <c r="Z1205" s="245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BP1205" s="391"/>
      <c r="BQ1205" s="393"/>
    </row>
    <row r="1206" spans="1:69" ht="14.25" customHeight="1" x14ac:dyDescent="0.35">
      <c r="A1206" s="293">
        <v>595</v>
      </c>
      <c r="B1206" s="295"/>
      <c r="C1206" s="297"/>
      <c r="D1206" s="299"/>
      <c r="E1206" s="301"/>
      <c r="F1206" s="303"/>
      <c r="G1206" s="288"/>
      <c r="H1206" s="289"/>
      <c r="I1206" s="290"/>
      <c r="J1206" s="290"/>
      <c r="K1206" s="291"/>
      <c r="L1206" s="18"/>
      <c r="M1206" s="285" t="str">
        <f t="shared" ref="M1206" si="1879">IF(COUNT(L1206:L1207)&lt;1,"",AVERAGE(L1206:L1207))</f>
        <v/>
      </c>
      <c r="N1206" s="22"/>
      <c r="O1206" s="285" t="str">
        <f t="shared" ref="O1206" si="1880">IF(COUNT(N1206:N1207)&lt;1,"",AVERAGE(N1206:N1207))</f>
        <v/>
      </c>
      <c r="P1206" s="22"/>
      <c r="Q1206" s="285" t="str">
        <f t="shared" ref="Q1206" si="1881">IF(COUNT(P1206:P1207)&lt;1,"",AVERAGE(P1206:P1207))</f>
        <v/>
      </c>
      <c r="R1206" s="278" t="str">
        <f>IF($X$13="/28",IF(COUNT(P1206:P1207)&lt;=1,"",ABS(P1206-P1207)),IF($X$13="/90",IF(COUNT(#REF!)&lt;=1,"",ABS(#REF!-#REF!))))</f>
        <v/>
      </c>
      <c r="S1206" s="278" t="str">
        <f>IF($X$13="/28",IF(Q1206="","",IF(AVERAGE(Q1202:Q1207)&gt;=$W$13,ROUND(AVERAGE(Q1202:Q1207),1)&amp;" ≥ "&amp;$W$13&amp;" OK",ROUND(AVERAGE(Q1202:Q1207),1)&amp;" &lt; "&amp;$W$13&amp;" NC")),IF($X$13="/90",IF(#REF!="","",IF(AVERAGE(#REF!)&gt;=$W$13,ROUND(AVERAGE(#REF!),1)&amp;" ≥ "&amp;$W$13&amp;" OK",ROUND(AVERAGE(#REF!),1)&amp;" &lt; "&amp;$W$13&amp;" NC"))))</f>
        <v/>
      </c>
      <c r="T1206" s="278" t="str">
        <f>IF($X$13="/28",IF(Q1206="","",IF(Q1206&gt;=$W$13-$S$12,ROUND((Q1206),1)&amp;" ≥ "&amp;$W$13-$S$12&amp;" OK",ROUND((Q1206),1)&amp;" &lt; "&amp;$W$13-$S$12&amp;" NC")),IF($X$13="/90",IF(#REF!="","",IF(#REF!&gt;=$W$13-$S$12,ROUND((#REF!),1)&amp;" ≥ "&amp;$W$13-$S$12&amp;" OK",ROUND((#REF!),1)&amp;" &lt; "&amp;$W$13-$S$12&amp;" NC"))))</f>
        <v/>
      </c>
      <c r="U1206" s="14"/>
      <c r="V1206" s="279"/>
      <c r="W1206" s="280"/>
      <c r="X1206" s="281"/>
      <c r="Y1206" s="246"/>
      <c r="Z1206" s="246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BP1206" s="390" t="str">
        <f>IF($X$13="/28",IF(Q1206="","",Q1206),IF($X$13="/90",IF(#REF!="","",#REF!),"Falso"))</f>
        <v/>
      </c>
      <c r="BQ1206" s="392" t="str">
        <f t="shared" si="1798"/>
        <v/>
      </c>
    </row>
    <row r="1207" spans="1:69" ht="14.25" customHeight="1" x14ac:dyDescent="0.35">
      <c r="A1207" s="294"/>
      <c r="B1207" s="296"/>
      <c r="C1207" s="298"/>
      <c r="D1207" s="300"/>
      <c r="E1207" s="302"/>
      <c r="F1207" s="304"/>
      <c r="G1207" s="276"/>
      <c r="H1207" s="277"/>
      <c r="I1207" s="290"/>
      <c r="J1207" s="290"/>
      <c r="K1207" s="291"/>
      <c r="L1207" s="17"/>
      <c r="M1207" s="286"/>
      <c r="N1207" s="21"/>
      <c r="O1207" s="286"/>
      <c r="P1207" s="21"/>
      <c r="Q1207" s="286"/>
      <c r="R1207" s="248"/>
      <c r="S1207" s="287"/>
      <c r="T1207" s="248"/>
      <c r="U1207" s="13"/>
      <c r="V1207" s="282"/>
      <c r="W1207" s="283"/>
      <c r="X1207" s="284"/>
      <c r="Y1207" s="245"/>
      <c r="Z1207" s="245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BP1207" s="391"/>
      <c r="BQ1207" s="393"/>
    </row>
    <row r="1208" spans="1:69" ht="14.25" customHeight="1" x14ac:dyDescent="0.35">
      <c r="A1208" s="293">
        <v>596</v>
      </c>
      <c r="B1208" s="295"/>
      <c r="C1208" s="297"/>
      <c r="D1208" s="299"/>
      <c r="E1208" s="301"/>
      <c r="F1208" s="303"/>
      <c r="G1208" s="288"/>
      <c r="H1208" s="289"/>
      <c r="I1208" s="290"/>
      <c r="J1208" s="290"/>
      <c r="K1208" s="291"/>
      <c r="L1208" s="18"/>
      <c r="M1208" s="285" t="str">
        <f t="shared" ref="M1208" si="1882">IF(COUNT(L1208:L1209)&lt;1,"",AVERAGE(L1208:L1209))</f>
        <v/>
      </c>
      <c r="N1208" s="22"/>
      <c r="O1208" s="285" t="str">
        <f t="shared" ref="O1208" si="1883">IF(COUNT(N1208:N1209)&lt;1,"",AVERAGE(N1208:N1209))</f>
        <v/>
      </c>
      <c r="P1208" s="22"/>
      <c r="Q1208" s="285" t="str">
        <f t="shared" ref="Q1208" si="1884">IF(COUNT(P1208:P1209)&lt;1,"",AVERAGE(P1208:P1209))</f>
        <v/>
      </c>
      <c r="R1208" s="278" t="str">
        <f>IF($X$13="/28",IF(COUNT(P1208:P1209)&lt;=1,"",ABS(P1208-P1209)),IF($X$13="/90",IF(COUNT(#REF!)&lt;=1,"",ABS(#REF!-#REF!))))</f>
        <v/>
      </c>
      <c r="S1208" s="278" t="str">
        <f>IF($X$13="/28",IF(Q1208="","",IF(AVERAGE(Q1204:Q1209)&gt;=$W$13,ROUND(AVERAGE(Q1204:Q1209),1)&amp;" ≥ "&amp;$W$13&amp;" OK",ROUND(AVERAGE(Q1204:Q1209),1)&amp;" &lt; "&amp;$W$13&amp;" NC")),IF($X$13="/90",IF(#REF!="","",IF(AVERAGE(#REF!)&gt;=$W$13,ROUND(AVERAGE(#REF!),1)&amp;" ≥ "&amp;$W$13&amp;" OK",ROUND(AVERAGE(#REF!),1)&amp;" &lt; "&amp;$W$13&amp;" NC"))))</f>
        <v/>
      </c>
      <c r="T1208" s="278" t="str">
        <f>IF($X$13="/28",IF(Q1208="","",IF(Q1208&gt;=$W$13-$S$12,ROUND((Q1208),1)&amp;" ≥ "&amp;$W$13-$S$12&amp;" OK",ROUND((Q1208),1)&amp;" &lt; "&amp;$W$13-$S$12&amp;" NC")),IF($X$13="/90",IF(#REF!="","",IF(#REF!&gt;=$W$13-$S$12,ROUND((#REF!),1)&amp;" ≥ "&amp;$W$13-$S$12&amp;" OK",ROUND((#REF!),1)&amp;" &lt; "&amp;$W$13-$S$12&amp;" NC"))))</f>
        <v/>
      </c>
      <c r="U1208" s="14"/>
      <c r="V1208" s="279"/>
      <c r="W1208" s="280"/>
      <c r="X1208" s="281"/>
      <c r="Y1208" s="246"/>
      <c r="Z1208" s="246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BP1208" s="390" t="str">
        <f>IF($X$13="/28",IF(Q1208="","",Q1208),IF($X$13="/90",IF(#REF!="","",#REF!),"Falso"))</f>
        <v/>
      </c>
      <c r="BQ1208" s="392" t="str">
        <f t="shared" si="1802"/>
        <v/>
      </c>
    </row>
    <row r="1209" spans="1:69" ht="14.25" customHeight="1" x14ac:dyDescent="0.35">
      <c r="A1209" s="294"/>
      <c r="B1209" s="296"/>
      <c r="C1209" s="298"/>
      <c r="D1209" s="300"/>
      <c r="E1209" s="302"/>
      <c r="F1209" s="304"/>
      <c r="G1209" s="276"/>
      <c r="H1209" s="277"/>
      <c r="I1209" s="290"/>
      <c r="J1209" s="290"/>
      <c r="K1209" s="291"/>
      <c r="L1209" s="17"/>
      <c r="M1209" s="286"/>
      <c r="N1209" s="21"/>
      <c r="O1209" s="286"/>
      <c r="P1209" s="21"/>
      <c r="Q1209" s="286"/>
      <c r="R1209" s="248"/>
      <c r="S1209" s="287"/>
      <c r="T1209" s="248"/>
      <c r="U1209" s="13"/>
      <c r="V1209" s="282"/>
      <c r="W1209" s="283"/>
      <c r="X1209" s="284"/>
      <c r="Y1209" s="245"/>
      <c r="Z1209" s="245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BP1209" s="391"/>
      <c r="BQ1209" s="393"/>
    </row>
    <row r="1210" spans="1:69" ht="14.25" customHeight="1" x14ac:dyDescent="0.35">
      <c r="A1210" s="293">
        <v>597</v>
      </c>
      <c r="B1210" s="295"/>
      <c r="C1210" s="297"/>
      <c r="D1210" s="299"/>
      <c r="E1210" s="301"/>
      <c r="F1210" s="303"/>
      <c r="G1210" s="288"/>
      <c r="H1210" s="289"/>
      <c r="I1210" s="290"/>
      <c r="J1210" s="290"/>
      <c r="K1210" s="291"/>
      <c r="L1210" s="18"/>
      <c r="M1210" s="285" t="str">
        <f t="shared" ref="M1210" si="1885">IF(COUNT(L1210:L1211)&lt;1,"",AVERAGE(L1210:L1211))</f>
        <v/>
      </c>
      <c r="N1210" s="22"/>
      <c r="O1210" s="285" t="str">
        <f t="shared" ref="O1210" si="1886">IF(COUNT(N1210:N1211)&lt;1,"",AVERAGE(N1210:N1211))</f>
        <v/>
      </c>
      <c r="P1210" s="22"/>
      <c r="Q1210" s="285" t="str">
        <f t="shared" ref="Q1210" si="1887">IF(COUNT(P1210:P1211)&lt;1,"",AVERAGE(P1210:P1211))</f>
        <v/>
      </c>
      <c r="R1210" s="278" t="str">
        <f>IF($X$13="/28",IF(COUNT(P1210:P1211)&lt;=1,"",ABS(P1210-P1211)),IF($X$13="/90",IF(COUNT(#REF!)&lt;=1,"",ABS(#REF!-#REF!))))</f>
        <v/>
      </c>
      <c r="S1210" s="278" t="str">
        <f>IF($X$13="/28",IF(Q1210="","",IF(AVERAGE(Q1206:Q1211)&gt;=$W$13,ROUND(AVERAGE(Q1206:Q1211),1)&amp;" ≥ "&amp;$W$13&amp;" OK",ROUND(AVERAGE(Q1206:Q1211),1)&amp;" &lt; "&amp;$W$13&amp;" NC")),IF($X$13="/90",IF(#REF!="","",IF(AVERAGE(#REF!)&gt;=$W$13,ROUND(AVERAGE(#REF!),1)&amp;" ≥ "&amp;$W$13&amp;" OK",ROUND(AVERAGE(#REF!),1)&amp;" &lt; "&amp;$W$13&amp;" NC"))))</f>
        <v/>
      </c>
      <c r="T1210" s="278" t="str">
        <f>IF($X$13="/28",IF(Q1210="","",IF(Q1210&gt;=$W$13-$S$12,ROUND((Q1210),1)&amp;" ≥ "&amp;$W$13-$S$12&amp;" OK",ROUND((Q1210),1)&amp;" &lt; "&amp;$W$13-$S$12&amp;" NC")),IF($X$13="/90",IF(#REF!="","",IF(#REF!&gt;=$W$13-$S$12,ROUND((#REF!),1)&amp;" ≥ "&amp;$W$13-$S$12&amp;" OK",ROUND((#REF!),1)&amp;" &lt; "&amp;$W$13-$S$12&amp;" NC"))))</f>
        <v/>
      </c>
      <c r="U1210" s="14"/>
      <c r="V1210" s="279"/>
      <c r="W1210" s="280"/>
      <c r="X1210" s="281"/>
      <c r="Y1210" s="246"/>
      <c r="Z1210" s="246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BP1210" s="390" t="str">
        <f>IF($X$13="/28",IF(Q1210="","",Q1210),IF($X$13="/90",IF(#REF!="","",#REF!),"Falso"))</f>
        <v/>
      </c>
      <c r="BQ1210" s="392" t="str">
        <f t="shared" si="1806"/>
        <v/>
      </c>
    </row>
    <row r="1211" spans="1:69" ht="14.25" customHeight="1" x14ac:dyDescent="0.35">
      <c r="A1211" s="294"/>
      <c r="B1211" s="296"/>
      <c r="C1211" s="298"/>
      <c r="D1211" s="300"/>
      <c r="E1211" s="302"/>
      <c r="F1211" s="304"/>
      <c r="G1211" s="276"/>
      <c r="H1211" s="277"/>
      <c r="I1211" s="290"/>
      <c r="J1211" s="290"/>
      <c r="K1211" s="291"/>
      <c r="L1211" s="17"/>
      <c r="M1211" s="286"/>
      <c r="N1211" s="21"/>
      <c r="O1211" s="286"/>
      <c r="P1211" s="21"/>
      <c r="Q1211" s="286"/>
      <c r="R1211" s="248"/>
      <c r="S1211" s="287"/>
      <c r="T1211" s="248"/>
      <c r="U1211" s="13"/>
      <c r="V1211" s="282"/>
      <c r="W1211" s="283"/>
      <c r="X1211" s="284"/>
      <c r="Y1211" s="245"/>
      <c r="Z1211" s="245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BP1211" s="391"/>
      <c r="BQ1211" s="393"/>
    </row>
    <row r="1212" spans="1:69" ht="14.25" customHeight="1" x14ac:dyDescent="0.35">
      <c r="A1212" s="293">
        <v>598</v>
      </c>
      <c r="B1212" s="295"/>
      <c r="C1212" s="297"/>
      <c r="D1212" s="299"/>
      <c r="E1212" s="301"/>
      <c r="F1212" s="303"/>
      <c r="G1212" s="288"/>
      <c r="H1212" s="289"/>
      <c r="I1212" s="290"/>
      <c r="J1212" s="290"/>
      <c r="K1212" s="291"/>
      <c r="L1212" s="18"/>
      <c r="M1212" s="285" t="str">
        <f t="shared" ref="M1212" si="1888">IF(COUNT(L1212:L1213)&lt;1,"",AVERAGE(L1212:L1213))</f>
        <v/>
      </c>
      <c r="N1212" s="22"/>
      <c r="O1212" s="285" t="str">
        <f t="shared" ref="O1212" si="1889">IF(COUNT(N1212:N1213)&lt;1,"",AVERAGE(N1212:N1213))</f>
        <v/>
      </c>
      <c r="P1212" s="22"/>
      <c r="Q1212" s="285" t="str">
        <f t="shared" ref="Q1212" si="1890">IF(COUNT(P1212:P1213)&lt;1,"",AVERAGE(P1212:P1213))</f>
        <v/>
      </c>
      <c r="R1212" s="278" t="str">
        <f>IF($X$13="/28",IF(COUNT(P1212:P1213)&lt;=1,"",ABS(P1212-P1213)),IF($X$13="/90",IF(COUNT(#REF!)&lt;=1,"",ABS(#REF!-#REF!))))</f>
        <v/>
      </c>
      <c r="S1212" s="278" t="str">
        <f>IF($X$13="/28",IF(Q1212="","",IF(AVERAGE(Q1208:Q1213)&gt;=$W$13,ROUND(AVERAGE(Q1208:Q1213),1)&amp;" ≥ "&amp;$W$13&amp;" OK",ROUND(AVERAGE(Q1208:Q1213),1)&amp;" &lt; "&amp;$W$13&amp;" NC")),IF($X$13="/90",IF(#REF!="","",IF(AVERAGE(#REF!)&gt;=$W$13,ROUND(AVERAGE(#REF!),1)&amp;" ≥ "&amp;$W$13&amp;" OK",ROUND(AVERAGE(#REF!),1)&amp;" &lt; "&amp;$W$13&amp;" NC"))))</f>
        <v/>
      </c>
      <c r="T1212" s="278" t="str">
        <f>IF($X$13="/28",IF(Q1212="","",IF(Q1212&gt;=$W$13-$S$12,ROUND((Q1212),1)&amp;" ≥ "&amp;$W$13-$S$12&amp;" OK",ROUND((Q1212),1)&amp;" &lt; "&amp;$W$13-$S$12&amp;" NC")),IF($X$13="/90",IF(#REF!="","",IF(#REF!&gt;=$W$13-$S$12,ROUND((#REF!),1)&amp;" ≥ "&amp;$W$13-$S$12&amp;" OK",ROUND((#REF!),1)&amp;" &lt; "&amp;$W$13-$S$12&amp;" NC"))))</f>
        <v/>
      </c>
      <c r="U1212" s="14"/>
      <c r="V1212" s="279"/>
      <c r="W1212" s="280"/>
      <c r="X1212" s="281"/>
      <c r="Y1212" s="246"/>
      <c r="Z1212" s="246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BP1212" s="390" t="str">
        <f>IF($X$13="/28",IF(Q1212="","",Q1212),IF($X$13="/90",IF(#REF!="","",#REF!),"Falso"))</f>
        <v/>
      </c>
      <c r="BQ1212" s="392" t="str">
        <f t="shared" si="1798"/>
        <v/>
      </c>
    </row>
    <row r="1213" spans="1:69" ht="14.25" customHeight="1" x14ac:dyDescent="0.35">
      <c r="A1213" s="294"/>
      <c r="B1213" s="296"/>
      <c r="C1213" s="298"/>
      <c r="D1213" s="300"/>
      <c r="E1213" s="302"/>
      <c r="F1213" s="304"/>
      <c r="G1213" s="276"/>
      <c r="H1213" s="277"/>
      <c r="I1213" s="290"/>
      <c r="J1213" s="290"/>
      <c r="K1213" s="291"/>
      <c r="L1213" s="17"/>
      <c r="M1213" s="286"/>
      <c r="N1213" s="21"/>
      <c r="O1213" s="286"/>
      <c r="P1213" s="21"/>
      <c r="Q1213" s="286"/>
      <c r="R1213" s="248"/>
      <c r="S1213" s="287"/>
      <c r="T1213" s="248"/>
      <c r="U1213" s="13"/>
      <c r="V1213" s="282"/>
      <c r="W1213" s="283"/>
      <c r="X1213" s="284"/>
      <c r="Y1213" s="245"/>
      <c r="Z1213" s="245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BP1213" s="391"/>
      <c r="BQ1213" s="393"/>
    </row>
    <row r="1214" spans="1:69" ht="14.25" customHeight="1" x14ac:dyDescent="0.35">
      <c r="A1214" s="293">
        <v>599</v>
      </c>
      <c r="B1214" s="295"/>
      <c r="C1214" s="297"/>
      <c r="D1214" s="299"/>
      <c r="E1214" s="301"/>
      <c r="F1214" s="303"/>
      <c r="G1214" s="288"/>
      <c r="H1214" s="289"/>
      <c r="I1214" s="290"/>
      <c r="J1214" s="290"/>
      <c r="K1214" s="291"/>
      <c r="L1214" s="18"/>
      <c r="M1214" s="285" t="str">
        <f t="shared" ref="M1214" si="1891">IF(COUNT(L1214:L1215)&lt;1,"",AVERAGE(L1214:L1215))</f>
        <v/>
      </c>
      <c r="N1214" s="22"/>
      <c r="O1214" s="285" t="str">
        <f t="shared" ref="O1214" si="1892">IF(COUNT(N1214:N1215)&lt;1,"",AVERAGE(N1214:N1215))</f>
        <v/>
      </c>
      <c r="P1214" s="22"/>
      <c r="Q1214" s="285" t="str">
        <f t="shared" ref="Q1214" si="1893">IF(COUNT(P1214:P1215)&lt;1,"",AVERAGE(P1214:P1215))</f>
        <v/>
      </c>
      <c r="R1214" s="278" t="str">
        <f>IF($X$13="/28",IF(COUNT(P1214:P1215)&lt;=1,"",ABS(P1214-P1215)),IF($X$13="/90",IF(COUNT(#REF!)&lt;=1,"",ABS(#REF!-#REF!))))</f>
        <v/>
      </c>
      <c r="S1214" s="278" t="str">
        <f>IF($X$13="/28",IF(Q1214="","",IF(AVERAGE(Q1210:Q1215)&gt;=$W$13,ROUND(AVERAGE(Q1210:Q1215),1)&amp;" ≥ "&amp;$W$13&amp;" OK",ROUND(AVERAGE(Q1210:Q1215),1)&amp;" &lt; "&amp;$W$13&amp;" NC")),IF($X$13="/90",IF(#REF!="","",IF(AVERAGE(#REF!)&gt;=$W$13,ROUND(AVERAGE(#REF!),1)&amp;" ≥ "&amp;$W$13&amp;" OK",ROUND(AVERAGE(#REF!),1)&amp;" &lt; "&amp;$W$13&amp;" NC"))))</f>
        <v/>
      </c>
      <c r="T1214" s="278" t="str">
        <f>IF($X$13="/28",IF(Q1214="","",IF(Q1214&gt;=$W$13-$S$12,ROUND((Q1214),1)&amp;" ≥ "&amp;$W$13-$S$12&amp;" OK",ROUND((Q1214),1)&amp;" &lt; "&amp;$W$13-$S$12&amp;" NC")),IF($X$13="/90",IF(#REF!="","",IF(#REF!&gt;=$W$13-$S$12,ROUND((#REF!),1)&amp;" ≥ "&amp;$W$13-$S$12&amp;" OK",ROUND((#REF!),1)&amp;" &lt; "&amp;$W$13-$S$12&amp;" NC"))))</f>
        <v/>
      </c>
      <c r="U1214" s="14"/>
      <c r="V1214" s="279"/>
      <c r="W1214" s="280"/>
      <c r="X1214" s="281"/>
      <c r="Y1214" s="246"/>
      <c r="Z1214" s="246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BP1214" s="390" t="str">
        <f>IF($X$13="/28",IF(Q1214="","",Q1214),IF($X$13="/90",IF(#REF!="","",#REF!),"Falso"))</f>
        <v/>
      </c>
      <c r="BQ1214" s="392" t="str">
        <f t="shared" si="1802"/>
        <v/>
      </c>
    </row>
    <row r="1215" spans="1:69" ht="14.25" customHeight="1" x14ac:dyDescent="0.35">
      <c r="A1215" s="294"/>
      <c r="B1215" s="296"/>
      <c r="C1215" s="298"/>
      <c r="D1215" s="300"/>
      <c r="E1215" s="302"/>
      <c r="F1215" s="304"/>
      <c r="G1215" s="276"/>
      <c r="H1215" s="277"/>
      <c r="I1215" s="290"/>
      <c r="J1215" s="290"/>
      <c r="K1215" s="291"/>
      <c r="L1215" s="17"/>
      <c r="M1215" s="286"/>
      <c r="N1215" s="21"/>
      <c r="O1215" s="286"/>
      <c r="P1215" s="21"/>
      <c r="Q1215" s="286"/>
      <c r="R1215" s="248"/>
      <c r="S1215" s="287"/>
      <c r="T1215" s="248"/>
      <c r="U1215" s="13"/>
      <c r="V1215" s="282"/>
      <c r="W1215" s="283"/>
      <c r="X1215" s="284"/>
      <c r="Y1215" s="245"/>
      <c r="Z1215" s="245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BP1215" s="391"/>
      <c r="BQ1215" s="393"/>
    </row>
    <row r="1216" spans="1:69" ht="14.25" customHeight="1" x14ac:dyDescent="0.35">
      <c r="A1216" s="293">
        <v>600</v>
      </c>
      <c r="B1216" s="295"/>
      <c r="C1216" s="297"/>
      <c r="D1216" s="299"/>
      <c r="E1216" s="301"/>
      <c r="F1216" s="303"/>
      <c r="G1216" s="288"/>
      <c r="H1216" s="289"/>
      <c r="I1216" s="290"/>
      <c r="J1216" s="290"/>
      <c r="K1216" s="291"/>
      <c r="L1216" s="18"/>
      <c r="M1216" s="285" t="str">
        <f t="shared" ref="M1216" si="1894">IF(COUNT(L1216:L1217)&lt;1,"",AVERAGE(L1216:L1217))</f>
        <v/>
      </c>
      <c r="N1216" s="22"/>
      <c r="O1216" s="285" t="str">
        <f t="shared" ref="O1216" si="1895">IF(COUNT(N1216:N1217)&lt;1,"",AVERAGE(N1216:N1217))</f>
        <v/>
      </c>
      <c r="P1216" s="22"/>
      <c r="Q1216" s="285" t="str">
        <f t="shared" ref="Q1216" si="1896">IF(COUNT(P1216:P1217)&lt;1,"",AVERAGE(P1216:P1217))</f>
        <v/>
      </c>
      <c r="R1216" s="278" t="str">
        <f>IF($X$13="/28",IF(COUNT(P1216:P1217)&lt;=1,"",ABS(P1216-P1217)),IF($X$13="/90",IF(COUNT(#REF!)&lt;=1,"",ABS(#REF!-#REF!))))</f>
        <v/>
      </c>
      <c r="S1216" s="278" t="str">
        <f>IF($X$13="/28",IF(Q1216="","",IF(AVERAGE(Q1212:Q1217)&gt;=$W$13,ROUND(AVERAGE(Q1212:Q1217),1)&amp;" ≥ "&amp;$W$13&amp;" OK",ROUND(AVERAGE(Q1212:Q1217),1)&amp;" &lt; "&amp;$W$13&amp;" NC")),IF($X$13="/90",IF(#REF!="","",IF(AVERAGE(#REF!)&gt;=$W$13,ROUND(AVERAGE(#REF!),1)&amp;" ≥ "&amp;$W$13&amp;" OK",ROUND(AVERAGE(#REF!),1)&amp;" &lt; "&amp;$W$13&amp;" NC"))))</f>
        <v/>
      </c>
      <c r="T1216" s="278" t="str">
        <f>IF($X$13="/28",IF(Q1216="","",IF(Q1216&gt;=$W$13-$S$12,ROUND((Q1216),1)&amp;" ≥ "&amp;$W$13-$S$12&amp;" OK",ROUND((Q1216),1)&amp;" &lt; "&amp;$W$13-$S$12&amp;" NC")),IF($X$13="/90",IF(#REF!="","",IF(#REF!&gt;=$W$13-$S$12,ROUND((#REF!),1)&amp;" ≥ "&amp;$W$13-$S$12&amp;" OK",ROUND((#REF!),1)&amp;" &lt; "&amp;$W$13-$S$12&amp;" NC"))))</f>
        <v/>
      </c>
      <c r="U1216" s="14"/>
      <c r="V1216" s="279"/>
      <c r="W1216" s="280"/>
      <c r="X1216" s="281"/>
      <c r="Y1216" s="246"/>
      <c r="Z1216" s="246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BP1216" s="390" t="str">
        <f>IF($X$13="/28",IF(Q1216="","",Q1216),IF($X$13="/90",IF(#REF!="","",#REF!),"Falso"))</f>
        <v/>
      </c>
      <c r="BQ1216" s="392" t="str">
        <f t="shared" si="1806"/>
        <v/>
      </c>
    </row>
    <row r="1217" spans="1:69" ht="14.25" customHeight="1" thickBot="1" x14ac:dyDescent="0.4">
      <c r="A1217" s="384"/>
      <c r="B1217" s="385"/>
      <c r="C1217" s="386"/>
      <c r="D1217" s="387"/>
      <c r="E1217" s="388"/>
      <c r="F1217" s="389"/>
      <c r="G1217" s="377"/>
      <c r="H1217" s="378"/>
      <c r="I1217" s="382"/>
      <c r="J1217" s="382"/>
      <c r="K1217" s="383"/>
      <c r="L1217" s="19"/>
      <c r="M1217" s="379"/>
      <c r="N1217" s="23"/>
      <c r="O1217" s="379"/>
      <c r="P1217" s="23"/>
      <c r="Q1217" s="379"/>
      <c r="R1217" s="380"/>
      <c r="S1217" s="381"/>
      <c r="T1217" s="380"/>
      <c r="U1217" s="15"/>
      <c r="V1217" s="373"/>
      <c r="W1217" s="374"/>
      <c r="X1217" s="375"/>
      <c r="Y1217" s="376"/>
      <c r="Z1217" s="376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BP1217" s="391"/>
      <c r="BQ1217" s="393"/>
    </row>
    <row r="1218" spans="1:69" ht="14.25" customHeight="1" x14ac:dyDescent="0.35">
      <c r="A1218" s="311">
        <v>601</v>
      </c>
      <c r="B1218" s="312"/>
      <c r="C1218" s="313"/>
      <c r="D1218" s="314"/>
      <c r="E1218" s="315"/>
      <c r="F1218" s="353"/>
      <c r="G1218" s="354"/>
      <c r="H1218" s="355"/>
      <c r="I1218" s="356"/>
      <c r="J1218" s="356"/>
      <c r="K1218" s="357"/>
      <c r="L1218" s="16"/>
      <c r="M1218" s="352" t="str">
        <f t="shared" ref="M1218" si="1897">IF(COUNT(L1218:L1219)&lt;1,"",AVERAGE(L1218:L1219))</f>
        <v/>
      </c>
      <c r="N1218" s="20"/>
      <c r="O1218" s="352" t="str">
        <f t="shared" ref="O1218" si="1898">IF(COUNT(N1218:N1219)&lt;1,"",AVERAGE(N1218:N1219))</f>
        <v/>
      </c>
      <c r="P1218" s="20"/>
      <c r="Q1218" s="352" t="str">
        <f t="shared" ref="Q1218" si="1899">IF(COUNT(P1218:P1219)&lt;1,"",AVERAGE(P1218:P1219))</f>
        <v/>
      </c>
      <c r="R1218" s="247" t="str">
        <f>IF($X$13="/28",IF(COUNT(P1218:P1219)&lt;=1,"",ABS(P1218-P1219)),IF($X$13="/90",IF(COUNT(#REF!)&lt;=1,"",ABS(#REF!-#REF!))))</f>
        <v/>
      </c>
      <c r="S1218" s="247" t="str">
        <f>IF($X$13="/28",IF(Q1218="","",IF(AVERAGE(Q1214:Q1219)&gt;=$W$13,ROUND(AVERAGE(Q1214:Q1219),1)&amp;" ≥ "&amp;$W$13&amp;" OK",ROUND(AVERAGE(Q1214:Q1219),1)&amp;" &lt; "&amp;$W$13&amp;" NC")),IF($X$13="/90",IF(#REF!="","",IF(AVERAGE(#REF!)&gt;=$W$13,ROUND(AVERAGE(#REF!),1)&amp;" ≥ "&amp;$W$13&amp;" OK",ROUND(AVERAGE(#REF!),1)&amp;" &lt; "&amp;$W$13&amp;" NC"))))</f>
        <v/>
      </c>
      <c r="T1218" s="247" t="str">
        <f>IF($X$13="/28",IF(Q1218="","",IF(Q1218&gt;=$W$13-$S$12,ROUND((Q1218),1)&amp;" ≥ "&amp;$W$13-$S$12&amp;" OK",ROUND((Q1218),1)&amp;" &lt; "&amp;$W$13-$S$12&amp;" NC")),IF($X$13="/90",IF(#REF!="","",IF(#REF!&gt;=$W$13-$S$12,ROUND((#REF!),1)&amp;" ≥ "&amp;$W$13-$S$12&amp;" OK",ROUND((#REF!),1)&amp;" &lt; "&amp;$W$13-$S$12&amp;" NC"))))</f>
        <v/>
      </c>
      <c r="U1218" s="12"/>
      <c r="V1218" s="349"/>
      <c r="W1218" s="350"/>
      <c r="X1218" s="351"/>
      <c r="Y1218" s="244"/>
      <c r="Z1218" s="244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BP1218" s="390" t="str">
        <f>IF($X$13="/28",IF(Q1218="","",Q1218),IF($X$13="/90",IF(#REF!="","",#REF!),"Falso"))</f>
        <v/>
      </c>
      <c r="BQ1218" s="392" t="str">
        <f t="shared" ref="BQ1218:BQ1278" si="1900">IF(BP1218="","",BQ1216+1)</f>
        <v/>
      </c>
    </row>
    <row r="1219" spans="1:69" ht="14.25" customHeight="1" x14ac:dyDescent="0.35">
      <c r="A1219" s="294"/>
      <c r="B1219" s="296"/>
      <c r="C1219" s="298"/>
      <c r="D1219" s="300"/>
      <c r="E1219" s="302"/>
      <c r="F1219" s="304"/>
      <c r="G1219" s="276"/>
      <c r="H1219" s="277"/>
      <c r="I1219" s="290"/>
      <c r="J1219" s="290"/>
      <c r="K1219" s="291"/>
      <c r="L1219" s="17"/>
      <c r="M1219" s="286"/>
      <c r="N1219" s="21"/>
      <c r="O1219" s="286"/>
      <c r="P1219" s="21"/>
      <c r="Q1219" s="286"/>
      <c r="R1219" s="248"/>
      <c r="S1219" s="248"/>
      <c r="T1219" s="248"/>
      <c r="U1219" s="13"/>
      <c r="V1219" s="282"/>
      <c r="W1219" s="283"/>
      <c r="X1219" s="284"/>
      <c r="Y1219" s="245"/>
      <c r="Z1219" s="245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BP1219" s="391"/>
      <c r="BQ1219" s="393"/>
    </row>
    <row r="1220" spans="1:69" ht="14.25" customHeight="1" x14ac:dyDescent="0.35">
      <c r="A1220" s="293">
        <v>602</v>
      </c>
      <c r="B1220" s="295"/>
      <c r="C1220" s="297"/>
      <c r="D1220" s="299"/>
      <c r="E1220" s="301"/>
      <c r="F1220" s="303"/>
      <c r="G1220" s="288"/>
      <c r="H1220" s="289"/>
      <c r="I1220" s="290"/>
      <c r="J1220" s="290"/>
      <c r="K1220" s="291"/>
      <c r="L1220" s="18"/>
      <c r="M1220" s="285" t="str">
        <f t="shared" ref="M1220" si="1901">IF(COUNT(L1220:L1221)&lt;1,"",AVERAGE(L1220:L1221))</f>
        <v/>
      </c>
      <c r="N1220" s="22"/>
      <c r="O1220" s="285" t="str">
        <f t="shared" ref="O1220" si="1902">IF(COUNT(N1220:N1221)&lt;1,"",AVERAGE(N1220:N1221))</f>
        <v/>
      </c>
      <c r="P1220" s="22"/>
      <c r="Q1220" s="285" t="str">
        <f t="shared" ref="Q1220" si="1903">IF(COUNT(P1220:P1221)&lt;1,"",AVERAGE(P1220:P1221))</f>
        <v/>
      </c>
      <c r="R1220" s="278" t="str">
        <f>IF($X$13="/28",IF(COUNT(P1220:P1221)&lt;=1,"",ABS(P1220-P1221)),IF($X$13="/90",IF(COUNT(#REF!)&lt;=1,"",ABS(#REF!-#REF!))))</f>
        <v/>
      </c>
      <c r="S1220" s="278" t="str">
        <f>IF($X$13="/28",IF(Q1220="","",IF(AVERAGE(Q1216:Q1221)&gt;=$W$13,ROUND(AVERAGE(Q1216:Q1221),1)&amp;" ≥ "&amp;$W$13&amp;" OK",ROUND(AVERAGE(Q1216:Q1221),1)&amp;" &lt; "&amp;$W$13&amp;" NC")),IF($X$13="/90",IF(#REF!="","",IF(AVERAGE(#REF!)&gt;=$W$13,ROUND(AVERAGE(#REF!),1)&amp;" ≥ "&amp;$W$13&amp;" OK",ROUND(AVERAGE(#REF!),1)&amp;" &lt; "&amp;$W$13&amp;" NC"))))</f>
        <v/>
      </c>
      <c r="T1220" s="278" t="str">
        <f>IF($X$13="/28",IF(Q1220="","",IF(Q1220&gt;=$W$13-$S$12,ROUND((Q1220),1)&amp;" ≥ "&amp;$W$13-$S$12&amp;" OK",ROUND((Q1220),1)&amp;" &lt; "&amp;$W$13-$S$12&amp;" NC")),IF($X$13="/90",IF(#REF!="","",IF(#REF!&gt;=$W$13-$S$12,ROUND((#REF!),1)&amp;" ≥ "&amp;$W$13-$S$12&amp;" OK",ROUND((#REF!),1)&amp;" &lt; "&amp;$W$13-$S$12&amp;" NC"))))</f>
        <v/>
      </c>
      <c r="U1220" s="14"/>
      <c r="V1220" s="279"/>
      <c r="W1220" s="280"/>
      <c r="X1220" s="281"/>
      <c r="Y1220" s="246"/>
      <c r="Z1220" s="246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BP1220" s="390" t="str">
        <f>IF($X$13="/28",IF(Q1220="","",Q1220),IF($X$13="/90",IF(#REF!="","",#REF!),"Falso"))</f>
        <v/>
      </c>
      <c r="BQ1220" s="392" t="str">
        <f t="shared" ref="BQ1220:BQ1280" si="1904">IF(BP1220="","",BQ1218+1)</f>
        <v/>
      </c>
    </row>
    <row r="1221" spans="1:69" ht="14.25" customHeight="1" x14ac:dyDescent="0.35">
      <c r="A1221" s="294"/>
      <c r="B1221" s="296"/>
      <c r="C1221" s="298"/>
      <c r="D1221" s="300"/>
      <c r="E1221" s="302"/>
      <c r="F1221" s="304"/>
      <c r="G1221" s="276"/>
      <c r="H1221" s="277"/>
      <c r="I1221" s="290"/>
      <c r="J1221" s="290"/>
      <c r="K1221" s="291"/>
      <c r="L1221" s="17"/>
      <c r="M1221" s="286"/>
      <c r="N1221" s="21"/>
      <c r="O1221" s="286"/>
      <c r="P1221" s="21"/>
      <c r="Q1221" s="286"/>
      <c r="R1221" s="248"/>
      <c r="S1221" s="248"/>
      <c r="T1221" s="248"/>
      <c r="U1221" s="13"/>
      <c r="V1221" s="282"/>
      <c r="W1221" s="283"/>
      <c r="X1221" s="284"/>
      <c r="Y1221" s="245"/>
      <c r="Z1221" s="245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BP1221" s="391"/>
      <c r="BQ1221" s="393"/>
    </row>
    <row r="1222" spans="1:69" ht="14.25" customHeight="1" x14ac:dyDescent="0.35">
      <c r="A1222" s="293">
        <v>603</v>
      </c>
      <c r="B1222" s="295"/>
      <c r="C1222" s="297"/>
      <c r="D1222" s="299"/>
      <c r="E1222" s="301"/>
      <c r="F1222" s="303"/>
      <c r="G1222" s="288"/>
      <c r="H1222" s="289"/>
      <c r="I1222" s="290"/>
      <c r="J1222" s="290"/>
      <c r="K1222" s="291"/>
      <c r="L1222" s="18"/>
      <c r="M1222" s="285" t="str">
        <f t="shared" ref="M1222" si="1905">IF(COUNT(L1222:L1223)&lt;1,"",AVERAGE(L1222:L1223))</f>
        <v/>
      </c>
      <c r="N1222" s="22"/>
      <c r="O1222" s="285" t="str">
        <f t="shared" ref="O1222" si="1906">IF(COUNT(N1222:N1223)&lt;1,"",AVERAGE(N1222:N1223))</f>
        <v/>
      </c>
      <c r="P1222" s="22"/>
      <c r="Q1222" s="285" t="str">
        <f t="shared" ref="Q1222" si="1907">IF(COUNT(P1222:P1223)&lt;1,"",AVERAGE(P1222:P1223))</f>
        <v/>
      </c>
      <c r="R1222" s="278" t="str">
        <f>IF($X$13="/28",IF(COUNT(P1222:P1223)&lt;=1,"",ABS(P1222-P1223)),IF($X$13="/90",IF(COUNT(#REF!)&lt;=1,"",ABS(#REF!-#REF!))))</f>
        <v/>
      </c>
      <c r="S1222" s="278" t="str">
        <f>IF($X$13="/28",IF(Q1222="","",IF(AVERAGE(Q1218:Q1223)&gt;=$W$13,ROUND(AVERAGE(Q1218:Q1223),1)&amp;" ≥ "&amp;$W$13&amp;" OK",ROUND(AVERAGE(Q1218:Q1223),1)&amp;" &lt; "&amp;$W$13&amp;" NC")),IF($X$13="/90",IF(#REF!="","",IF(AVERAGE(#REF!)&gt;=$W$13,ROUND(AVERAGE(#REF!),1)&amp;" ≥ "&amp;$W$13&amp;" OK",ROUND(AVERAGE(#REF!),1)&amp;" &lt; "&amp;$W$13&amp;" NC"))))</f>
        <v/>
      </c>
      <c r="T1222" s="278" t="str">
        <f>IF($X$13="/28",IF(Q1222="","",IF(Q1222&gt;=$W$13-$S$12,ROUND((Q1222),1)&amp;" ≥ "&amp;$W$13-$S$12&amp;" OK",ROUND((Q1222),1)&amp;" &lt; "&amp;$W$13-$S$12&amp;" NC")),IF($X$13="/90",IF(#REF!="","",IF(#REF!&gt;=$W$13-$S$12,ROUND((#REF!),1)&amp;" ≥ "&amp;$W$13-$S$12&amp;" OK",ROUND((#REF!),1)&amp;" &lt; "&amp;$W$13-$S$12&amp;" NC"))))</f>
        <v/>
      </c>
      <c r="U1222" s="14"/>
      <c r="V1222" s="279"/>
      <c r="W1222" s="280"/>
      <c r="X1222" s="281"/>
      <c r="Y1222" s="246"/>
      <c r="Z1222" s="246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BP1222" s="390" t="str">
        <f>IF($X$13="/28",IF(Q1222="","",Q1222),IF($X$13="/90",IF(#REF!="","",#REF!),"Falso"))</f>
        <v/>
      </c>
      <c r="BQ1222" s="392" t="str">
        <f t="shared" ref="BQ1222:BQ1282" si="1908">IF(BP1222="","",BQ1220+1)</f>
        <v/>
      </c>
    </row>
    <row r="1223" spans="1:69" ht="14.25" customHeight="1" x14ac:dyDescent="0.35">
      <c r="A1223" s="294"/>
      <c r="B1223" s="296"/>
      <c r="C1223" s="298"/>
      <c r="D1223" s="300"/>
      <c r="E1223" s="302"/>
      <c r="F1223" s="304"/>
      <c r="G1223" s="276"/>
      <c r="H1223" s="277"/>
      <c r="I1223" s="290"/>
      <c r="J1223" s="290"/>
      <c r="K1223" s="291"/>
      <c r="L1223" s="17"/>
      <c r="M1223" s="286"/>
      <c r="N1223" s="21"/>
      <c r="O1223" s="286"/>
      <c r="P1223" s="21"/>
      <c r="Q1223" s="286"/>
      <c r="R1223" s="248"/>
      <c r="S1223" s="287"/>
      <c r="T1223" s="248"/>
      <c r="U1223" s="13"/>
      <c r="V1223" s="282"/>
      <c r="W1223" s="283"/>
      <c r="X1223" s="284"/>
      <c r="Y1223" s="245"/>
      <c r="Z1223" s="245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BP1223" s="391"/>
      <c r="BQ1223" s="393"/>
    </row>
    <row r="1224" spans="1:69" ht="14.25" customHeight="1" x14ac:dyDescent="0.35">
      <c r="A1224" s="293">
        <v>604</v>
      </c>
      <c r="B1224" s="295"/>
      <c r="C1224" s="297"/>
      <c r="D1224" s="299"/>
      <c r="E1224" s="301"/>
      <c r="F1224" s="303"/>
      <c r="G1224" s="288"/>
      <c r="H1224" s="289"/>
      <c r="I1224" s="290"/>
      <c r="J1224" s="290"/>
      <c r="K1224" s="291"/>
      <c r="L1224" s="18"/>
      <c r="M1224" s="285" t="str">
        <f t="shared" ref="M1224" si="1909">IF(COUNT(L1224:L1225)&lt;1,"",AVERAGE(L1224:L1225))</f>
        <v/>
      </c>
      <c r="N1224" s="22"/>
      <c r="O1224" s="285" t="str">
        <f t="shared" ref="O1224" si="1910">IF(COUNT(N1224:N1225)&lt;1,"",AVERAGE(N1224:N1225))</f>
        <v/>
      </c>
      <c r="P1224" s="22"/>
      <c r="Q1224" s="285" t="str">
        <f t="shared" ref="Q1224" si="1911">IF(COUNT(P1224:P1225)&lt;1,"",AVERAGE(P1224:P1225))</f>
        <v/>
      </c>
      <c r="R1224" s="278" t="str">
        <f>IF($X$13="/28",IF(COUNT(P1224:P1225)&lt;=1,"",ABS(P1224-P1225)),IF($X$13="/90",IF(COUNT(#REF!)&lt;=1,"",ABS(#REF!-#REF!))))</f>
        <v/>
      </c>
      <c r="S1224" s="278" t="str">
        <f>IF($X$13="/28",IF(Q1224="","",IF(AVERAGE(Q1220:Q1225)&gt;=$W$13,ROUND(AVERAGE(Q1220:Q1225),1)&amp;" ≥ "&amp;$W$13&amp;" OK",ROUND(AVERAGE(Q1220:Q1225),1)&amp;" &lt; "&amp;$W$13&amp;" NC")),IF($X$13="/90",IF(#REF!="","",IF(AVERAGE(#REF!)&gt;=$W$13,ROUND(AVERAGE(#REF!),1)&amp;" ≥ "&amp;$W$13&amp;" OK",ROUND(AVERAGE(#REF!),1)&amp;" &lt; "&amp;$W$13&amp;" NC"))))</f>
        <v/>
      </c>
      <c r="T1224" s="278" t="str">
        <f>IF($X$13="/28",IF(Q1224="","",IF(Q1224&gt;=$W$13-$S$12,ROUND((Q1224),1)&amp;" ≥ "&amp;$W$13-$S$12&amp;" OK",ROUND((Q1224),1)&amp;" &lt; "&amp;$W$13-$S$12&amp;" NC")),IF($X$13="/90",IF(#REF!="","",IF(#REF!&gt;=$W$13-$S$12,ROUND((#REF!),1)&amp;" ≥ "&amp;$W$13-$S$12&amp;" OK",ROUND((#REF!),1)&amp;" &lt; "&amp;$W$13-$S$12&amp;" NC"))))</f>
        <v/>
      </c>
      <c r="U1224" s="14"/>
      <c r="V1224" s="279"/>
      <c r="W1224" s="280"/>
      <c r="X1224" s="281"/>
      <c r="Y1224" s="246"/>
      <c r="Z1224" s="246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BP1224" s="390" t="str">
        <f>IF($X$13="/28",IF(Q1224="","",Q1224),IF($X$13="/90",IF(#REF!="","",#REF!),"Falso"))</f>
        <v/>
      </c>
      <c r="BQ1224" s="392" t="str">
        <f t="shared" si="1900"/>
        <v/>
      </c>
    </row>
    <row r="1225" spans="1:69" ht="14.25" customHeight="1" x14ac:dyDescent="0.35">
      <c r="A1225" s="294"/>
      <c r="B1225" s="296"/>
      <c r="C1225" s="298"/>
      <c r="D1225" s="300"/>
      <c r="E1225" s="302"/>
      <c r="F1225" s="304"/>
      <c r="G1225" s="276"/>
      <c r="H1225" s="277"/>
      <c r="I1225" s="290"/>
      <c r="J1225" s="290"/>
      <c r="K1225" s="291"/>
      <c r="L1225" s="17"/>
      <c r="M1225" s="286"/>
      <c r="N1225" s="21"/>
      <c r="O1225" s="286"/>
      <c r="P1225" s="21"/>
      <c r="Q1225" s="286"/>
      <c r="R1225" s="248"/>
      <c r="S1225" s="287"/>
      <c r="T1225" s="248"/>
      <c r="U1225" s="13"/>
      <c r="V1225" s="282"/>
      <c r="W1225" s="283"/>
      <c r="X1225" s="284"/>
      <c r="Y1225" s="245"/>
      <c r="Z1225" s="245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BP1225" s="391"/>
      <c r="BQ1225" s="393"/>
    </row>
    <row r="1226" spans="1:69" ht="14.25" customHeight="1" x14ac:dyDescent="0.35">
      <c r="A1226" s="293">
        <v>605</v>
      </c>
      <c r="B1226" s="295"/>
      <c r="C1226" s="297"/>
      <c r="D1226" s="299"/>
      <c r="E1226" s="301"/>
      <c r="F1226" s="303"/>
      <c r="G1226" s="288"/>
      <c r="H1226" s="289"/>
      <c r="I1226" s="290"/>
      <c r="J1226" s="290"/>
      <c r="K1226" s="291"/>
      <c r="L1226" s="18"/>
      <c r="M1226" s="285" t="str">
        <f t="shared" ref="M1226" si="1912">IF(COUNT(L1226:L1227)&lt;1,"",AVERAGE(L1226:L1227))</f>
        <v/>
      </c>
      <c r="N1226" s="22"/>
      <c r="O1226" s="285" t="str">
        <f t="shared" ref="O1226" si="1913">IF(COUNT(N1226:N1227)&lt;1,"",AVERAGE(N1226:N1227))</f>
        <v/>
      </c>
      <c r="P1226" s="22"/>
      <c r="Q1226" s="285" t="str">
        <f t="shared" ref="Q1226" si="1914">IF(COUNT(P1226:P1227)&lt;1,"",AVERAGE(P1226:P1227))</f>
        <v/>
      </c>
      <c r="R1226" s="278" t="str">
        <f>IF($X$13="/28",IF(COUNT(P1226:P1227)&lt;=1,"",ABS(P1226-P1227)),IF($X$13="/90",IF(COUNT(#REF!)&lt;=1,"",ABS(#REF!-#REF!))))</f>
        <v/>
      </c>
      <c r="S1226" s="278" t="str">
        <f>IF($X$13="/28",IF(Q1226="","",IF(AVERAGE(Q1222:Q1227)&gt;=$W$13,ROUND(AVERAGE(Q1222:Q1227),1)&amp;" ≥ "&amp;$W$13&amp;" OK",ROUND(AVERAGE(Q1222:Q1227),1)&amp;" &lt; "&amp;$W$13&amp;" NC")),IF($X$13="/90",IF(#REF!="","",IF(AVERAGE(#REF!)&gt;=$W$13,ROUND(AVERAGE(#REF!),1)&amp;" ≥ "&amp;$W$13&amp;" OK",ROUND(AVERAGE(#REF!),1)&amp;" &lt; "&amp;$W$13&amp;" NC"))))</f>
        <v/>
      </c>
      <c r="T1226" s="278" t="str">
        <f>IF($X$13="/28",IF(Q1226="","",IF(Q1226&gt;=$W$13-$S$12,ROUND((Q1226),1)&amp;" ≥ "&amp;$W$13-$S$12&amp;" OK",ROUND((Q1226),1)&amp;" &lt; "&amp;$W$13-$S$12&amp;" NC")),IF($X$13="/90",IF(#REF!="","",IF(#REF!&gt;=$W$13-$S$12,ROUND((#REF!),1)&amp;" ≥ "&amp;$W$13-$S$12&amp;" OK",ROUND((#REF!),1)&amp;" &lt; "&amp;$W$13-$S$12&amp;" NC"))))</f>
        <v/>
      </c>
      <c r="U1226" s="14"/>
      <c r="V1226" s="279"/>
      <c r="W1226" s="280"/>
      <c r="X1226" s="281"/>
      <c r="Y1226" s="246"/>
      <c r="Z1226" s="246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BP1226" s="390" t="str">
        <f>IF($X$13="/28",IF(Q1226="","",Q1226),IF($X$13="/90",IF(#REF!="","",#REF!),"Falso"))</f>
        <v/>
      </c>
      <c r="BQ1226" s="392" t="str">
        <f t="shared" si="1904"/>
        <v/>
      </c>
    </row>
    <row r="1227" spans="1:69" ht="14.25" customHeight="1" x14ac:dyDescent="0.35">
      <c r="A1227" s="294"/>
      <c r="B1227" s="296"/>
      <c r="C1227" s="298"/>
      <c r="D1227" s="300"/>
      <c r="E1227" s="302"/>
      <c r="F1227" s="304"/>
      <c r="G1227" s="276"/>
      <c r="H1227" s="277"/>
      <c r="I1227" s="290"/>
      <c r="J1227" s="290"/>
      <c r="K1227" s="291"/>
      <c r="L1227" s="17"/>
      <c r="M1227" s="286"/>
      <c r="N1227" s="21"/>
      <c r="O1227" s="286"/>
      <c r="P1227" s="21"/>
      <c r="Q1227" s="286"/>
      <c r="R1227" s="248"/>
      <c r="S1227" s="287"/>
      <c r="T1227" s="248"/>
      <c r="U1227" s="13"/>
      <c r="V1227" s="282"/>
      <c r="W1227" s="283"/>
      <c r="X1227" s="284"/>
      <c r="Y1227" s="245"/>
      <c r="Z1227" s="245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BP1227" s="391"/>
      <c r="BQ1227" s="393"/>
    </row>
    <row r="1228" spans="1:69" ht="14.25" customHeight="1" x14ac:dyDescent="0.35">
      <c r="A1228" s="293">
        <v>606</v>
      </c>
      <c r="B1228" s="295"/>
      <c r="C1228" s="297"/>
      <c r="D1228" s="299"/>
      <c r="E1228" s="301"/>
      <c r="F1228" s="303"/>
      <c r="G1228" s="288"/>
      <c r="H1228" s="289"/>
      <c r="I1228" s="290"/>
      <c r="J1228" s="290"/>
      <c r="K1228" s="291"/>
      <c r="L1228" s="18"/>
      <c r="M1228" s="285" t="str">
        <f t="shared" ref="M1228" si="1915">IF(COUNT(L1228:L1229)&lt;1,"",AVERAGE(L1228:L1229))</f>
        <v/>
      </c>
      <c r="N1228" s="22"/>
      <c r="O1228" s="285" t="str">
        <f t="shared" ref="O1228" si="1916">IF(COUNT(N1228:N1229)&lt;1,"",AVERAGE(N1228:N1229))</f>
        <v/>
      </c>
      <c r="P1228" s="22"/>
      <c r="Q1228" s="285" t="str">
        <f t="shared" ref="Q1228" si="1917">IF(COUNT(P1228:P1229)&lt;1,"",AVERAGE(P1228:P1229))</f>
        <v/>
      </c>
      <c r="R1228" s="278" t="str">
        <f>IF($X$13="/28",IF(COUNT(P1228:P1229)&lt;=1,"",ABS(P1228-P1229)),IF($X$13="/90",IF(COUNT(#REF!)&lt;=1,"",ABS(#REF!-#REF!))))</f>
        <v/>
      </c>
      <c r="S1228" s="278" t="str">
        <f>IF($X$13="/28",IF(Q1228="","",IF(AVERAGE(Q1224:Q1229)&gt;=$W$13,ROUND(AVERAGE(Q1224:Q1229),1)&amp;" ≥ "&amp;$W$13&amp;" OK",ROUND(AVERAGE(Q1224:Q1229),1)&amp;" &lt; "&amp;$W$13&amp;" NC")),IF($X$13="/90",IF(#REF!="","",IF(AVERAGE(#REF!)&gt;=$W$13,ROUND(AVERAGE(#REF!),1)&amp;" ≥ "&amp;$W$13&amp;" OK",ROUND(AVERAGE(#REF!),1)&amp;" &lt; "&amp;$W$13&amp;" NC"))))</f>
        <v/>
      </c>
      <c r="T1228" s="278" t="str">
        <f>IF($X$13="/28",IF(Q1228="","",IF(Q1228&gt;=$W$13-$S$12,ROUND((Q1228),1)&amp;" ≥ "&amp;$W$13-$S$12&amp;" OK",ROUND((Q1228),1)&amp;" &lt; "&amp;$W$13-$S$12&amp;" NC")),IF($X$13="/90",IF(#REF!="","",IF(#REF!&gt;=$W$13-$S$12,ROUND((#REF!),1)&amp;" ≥ "&amp;$W$13-$S$12&amp;" OK",ROUND((#REF!),1)&amp;" &lt; "&amp;$W$13-$S$12&amp;" NC"))))</f>
        <v/>
      </c>
      <c r="U1228" s="14"/>
      <c r="V1228" s="279"/>
      <c r="W1228" s="280"/>
      <c r="X1228" s="281"/>
      <c r="Y1228" s="246"/>
      <c r="Z1228" s="246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BP1228" s="390" t="str">
        <f>IF($X$13="/28",IF(Q1228="","",Q1228),IF($X$13="/90",IF(#REF!="","",#REF!),"Falso"))</f>
        <v/>
      </c>
      <c r="BQ1228" s="392" t="str">
        <f t="shared" si="1908"/>
        <v/>
      </c>
    </row>
    <row r="1229" spans="1:69" ht="14.25" customHeight="1" x14ac:dyDescent="0.35">
      <c r="A1229" s="294"/>
      <c r="B1229" s="296"/>
      <c r="C1229" s="298"/>
      <c r="D1229" s="300"/>
      <c r="E1229" s="302"/>
      <c r="F1229" s="304"/>
      <c r="G1229" s="276"/>
      <c r="H1229" s="277"/>
      <c r="I1229" s="290"/>
      <c r="J1229" s="290"/>
      <c r="K1229" s="291"/>
      <c r="L1229" s="17"/>
      <c r="M1229" s="286"/>
      <c r="N1229" s="21"/>
      <c r="O1229" s="286"/>
      <c r="P1229" s="21"/>
      <c r="Q1229" s="286"/>
      <c r="R1229" s="248"/>
      <c r="S1229" s="287"/>
      <c r="T1229" s="248"/>
      <c r="U1229" s="13"/>
      <c r="V1229" s="282"/>
      <c r="W1229" s="283"/>
      <c r="X1229" s="284"/>
      <c r="Y1229" s="245"/>
      <c r="Z1229" s="245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BP1229" s="391"/>
      <c r="BQ1229" s="393"/>
    </row>
    <row r="1230" spans="1:69" ht="14.25" customHeight="1" x14ac:dyDescent="0.35">
      <c r="A1230" s="293">
        <v>607</v>
      </c>
      <c r="B1230" s="295"/>
      <c r="C1230" s="297"/>
      <c r="D1230" s="299"/>
      <c r="E1230" s="301"/>
      <c r="F1230" s="303"/>
      <c r="G1230" s="288"/>
      <c r="H1230" s="289"/>
      <c r="I1230" s="290"/>
      <c r="J1230" s="290"/>
      <c r="K1230" s="291"/>
      <c r="L1230" s="18"/>
      <c r="M1230" s="285" t="str">
        <f t="shared" ref="M1230" si="1918">IF(COUNT(L1230:L1231)&lt;1,"",AVERAGE(L1230:L1231))</f>
        <v/>
      </c>
      <c r="N1230" s="22"/>
      <c r="O1230" s="285" t="str">
        <f t="shared" ref="O1230" si="1919">IF(COUNT(N1230:N1231)&lt;1,"",AVERAGE(N1230:N1231))</f>
        <v/>
      </c>
      <c r="P1230" s="22"/>
      <c r="Q1230" s="285" t="str">
        <f t="shared" ref="Q1230" si="1920">IF(COUNT(P1230:P1231)&lt;1,"",AVERAGE(P1230:P1231))</f>
        <v/>
      </c>
      <c r="R1230" s="278" t="str">
        <f>IF($X$13="/28",IF(COUNT(P1230:P1231)&lt;=1,"",ABS(P1230-P1231)),IF($X$13="/90",IF(COUNT(#REF!)&lt;=1,"",ABS(#REF!-#REF!))))</f>
        <v/>
      </c>
      <c r="S1230" s="278" t="str">
        <f>IF($X$13="/28",IF(Q1230="","",IF(AVERAGE(Q1226:Q1231)&gt;=$W$13,ROUND(AVERAGE(Q1226:Q1231),1)&amp;" ≥ "&amp;$W$13&amp;" OK",ROUND(AVERAGE(Q1226:Q1231),1)&amp;" &lt; "&amp;$W$13&amp;" NC")),IF($X$13="/90",IF(#REF!="","",IF(AVERAGE(#REF!)&gt;=$W$13,ROUND(AVERAGE(#REF!),1)&amp;" ≥ "&amp;$W$13&amp;" OK",ROUND(AVERAGE(#REF!),1)&amp;" &lt; "&amp;$W$13&amp;" NC"))))</f>
        <v/>
      </c>
      <c r="T1230" s="278" t="str">
        <f>IF($X$13="/28",IF(Q1230="","",IF(Q1230&gt;=$W$13-$S$12,ROUND((Q1230),1)&amp;" ≥ "&amp;$W$13-$S$12&amp;" OK",ROUND((Q1230),1)&amp;" &lt; "&amp;$W$13-$S$12&amp;" NC")),IF($X$13="/90",IF(#REF!="","",IF(#REF!&gt;=$W$13-$S$12,ROUND((#REF!),1)&amp;" ≥ "&amp;$W$13-$S$12&amp;" OK",ROUND((#REF!),1)&amp;" &lt; "&amp;$W$13-$S$12&amp;" NC"))))</f>
        <v/>
      </c>
      <c r="U1230" s="14"/>
      <c r="V1230" s="279"/>
      <c r="W1230" s="280"/>
      <c r="X1230" s="281"/>
      <c r="Y1230" s="246"/>
      <c r="Z1230" s="246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BP1230" s="390" t="str">
        <f>IF($X$13="/28",IF(Q1230="","",Q1230),IF($X$13="/90",IF(#REF!="","",#REF!),"Falso"))</f>
        <v/>
      </c>
      <c r="BQ1230" s="392" t="str">
        <f t="shared" si="1900"/>
        <v/>
      </c>
    </row>
    <row r="1231" spans="1:69" ht="14.25" customHeight="1" x14ac:dyDescent="0.35">
      <c r="A1231" s="294"/>
      <c r="B1231" s="296"/>
      <c r="C1231" s="298"/>
      <c r="D1231" s="300"/>
      <c r="E1231" s="302"/>
      <c r="F1231" s="304"/>
      <c r="G1231" s="276"/>
      <c r="H1231" s="277"/>
      <c r="I1231" s="290"/>
      <c r="J1231" s="290"/>
      <c r="K1231" s="291"/>
      <c r="L1231" s="17"/>
      <c r="M1231" s="286"/>
      <c r="N1231" s="21"/>
      <c r="O1231" s="286"/>
      <c r="P1231" s="21"/>
      <c r="Q1231" s="286"/>
      <c r="R1231" s="248"/>
      <c r="S1231" s="287"/>
      <c r="T1231" s="248"/>
      <c r="U1231" s="13"/>
      <c r="V1231" s="282"/>
      <c r="W1231" s="283"/>
      <c r="X1231" s="284"/>
      <c r="Y1231" s="245"/>
      <c r="Z1231" s="245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BP1231" s="391"/>
      <c r="BQ1231" s="393"/>
    </row>
    <row r="1232" spans="1:69" ht="14.25" customHeight="1" x14ac:dyDescent="0.35">
      <c r="A1232" s="293">
        <v>608</v>
      </c>
      <c r="B1232" s="295"/>
      <c r="C1232" s="297"/>
      <c r="D1232" s="299"/>
      <c r="E1232" s="301"/>
      <c r="F1232" s="303"/>
      <c r="G1232" s="288"/>
      <c r="H1232" s="289"/>
      <c r="I1232" s="290"/>
      <c r="J1232" s="290"/>
      <c r="K1232" s="291"/>
      <c r="L1232" s="18"/>
      <c r="M1232" s="285" t="str">
        <f t="shared" ref="M1232" si="1921">IF(COUNT(L1232:L1233)&lt;1,"",AVERAGE(L1232:L1233))</f>
        <v/>
      </c>
      <c r="N1232" s="22"/>
      <c r="O1232" s="285" t="str">
        <f t="shared" ref="O1232" si="1922">IF(COUNT(N1232:N1233)&lt;1,"",AVERAGE(N1232:N1233))</f>
        <v/>
      </c>
      <c r="P1232" s="22"/>
      <c r="Q1232" s="285" t="str">
        <f t="shared" ref="Q1232" si="1923">IF(COUNT(P1232:P1233)&lt;1,"",AVERAGE(P1232:P1233))</f>
        <v/>
      </c>
      <c r="R1232" s="278" t="str">
        <f>IF($X$13="/28",IF(COUNT(P1232:P1233)&lt;=1,"",ABS(P1232-P1233)),IF($X$13="/90",IF(COUNT(#REF!)&lt;=1,"",ABS(#REF!-#REF!))))</f>
        <v/>
      </c>
      <c r="S1232" s="278" t="str">
        <f>IF($X$13="/28",IF(Q1232="","",IF(AVERAGE(Q1228:Q1233)&gt;=$W$13,ROUND(AVERAGE(Q1228:Q1233),1)&amp;" ≥ "&amp;$W$13&amp;" OK",ROUND(AVERAGE(Q1228:Q1233),1)&amp;" &lt; "&amp;$W$13&amp;" NC")),IF($X$13="/90",IF(#REF!="","",IF(AVERAGE(#REF!)&gt;=$W$13,ROUND(AVERAGE(#REF!),1)&amp;" ≥ "&amp;$W$13&amp;" OK",ROUND(AVERAGE(#REF!),1)&amp;" &lt; "&amp;$W$13&amp;" NC"))))</f>
        <v/>
      </c>
      <c r="T1232" s="278" t="str">
        <f>IF($X$13="/28",IF(Q1232="","",IF(Q1232&gt;=$W$13-$S$12,ROUND((Q1232),1)&amp;" ≥ "&amp;$W$13-$S$12&amp;" OK",ROUND((Q1232),1)&amp;" &lt; "&amp;$W$13-$S$12&amp;" NC")),IF($X$13="/90",IF(#REF!="","",IF(#REF!&gt;=$W$13-$S$12,ROUND((#REF!),1)&amp;" ≥ "&amp;$W$13-$S$12&amp;" OK",ROUND((#REF!),1)&amp;" &lt; "&amp;$W$13-$S$12&amp;" NC"))))</f>
        <v/>
      </c>
      <c r="U1232" s="14"/>
      <c r="V1232" s="279"/>
      <c r="W1232" s="280"/>
      <c r="X1232" s="281"/>
      <c r="Y1232" s="246"/>
      <c r="Z1232" s="246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BP1232" s="390" t="str">
        <f>IF($X$13="/28",IF(Q1232="","",Q1232),IF($X$13="/90",IF(#REF!="","",#REF!),"Falso"))</f>
        <v/>
      </c>
      <c r="BQ1232" s="392" t="str">
        <f t="shared" si="1904"/>
        <v/>
      </c>
    </row>
    <row r="1233" spans="1:69" ht="14.25" customHeight="1" x14ac:dyDescent="0.35">
      <c r="A1233" s="294"/>
      <c r="B1233" s="296"/>
      <c r="C1233" s="298"/>
      <c r="D1233" s="300"/>
      <c r="E1233" s="302"/>
      <c r="F1233" s="304"/>
      <c r="G1233" s="276"/>
      <c r="H1233" s="277"/>
      <c r="I1233" s="290"/>
      <c r="J1233" s="290"/>
      <c r="K1233" s="291"/>
      <c r="L1233" s="17"/>
      <c r="M1233" s="286"/>
      <c r="N1233" s="21"/>
      <c r="O1233" s="286"/>
      <c r="P1233" s="21"/>
      <c r="Q1233" s="286"/>
      <c r="R1233" s="248"/>
      <c r="S1233" s="287"/>
      <c r="T1233" s="248"/>
      <c r="U1233" s="13"/>
      <c r="V1233" s="282"/>
      <c r="W1233" s="283"/>
      <c r="X1233" s="284"/>
      <c r="Y1233" s="245"/>
      <c r="Z1233" s="245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BP1233" s="391"/>
      <c r="BQ1233" s="393"/>
    </row>
    <row r="1234" spans="1:69" ht="14.25" customHeight="1" x14ac:dyDescent="0.35">
      <c r="A1234" s="293">
        <v>609</v>
      </c>
      <c r="B1234" s="295"/>
      <c r="C1234" s="297"/>
      <c r="D1234" s="299"/>
      <c r="E1234" s="301"/>
      <c r="F1234" s="303"/>
      <c r="G1234" s="288"/>
      <c r="H1234" s="289"/>
      <c r="I1234" s="290"/>
      <c r="J1234" s="290"/>
      <c r="K1234" s="291"/>
      <c r="L1234" s="18"/>
      <c r="M1234" s="285" t="str">
        <f t="shared" ref="M1234" si="1924">IF(COUNT(L1234:L1235)&lt;1,"",AVERAGE(L1234:L1235))</f>
        <v/>
      </c>
      <c r="N1234" s="22"/>
      <c r="O1234" s="285" t="str">
        <f t="shared" ref="O1234" si="1925">IF(COUNT(N1234:N1235)&lt;1,"",AVERAGE(N1234:N1235))</f>
        <v/>
      </c>
      <c r="P1234" s="22"/>
      <c r="Q1234" s="285" t="str">
        <f t="shared" ref="Q1234" si="1926">IF(COUNT(P1234:P1235)&lt;1,"",AVERAGE(P1234:P1235))</f>
        <v/>
      </c>
      <c r="R1234" s="278" t="str">
        <f>IF($X$13="/28",IF(COUNT(P1234:P1235)&lt;=1,"",ABS(P1234-P1235)),IF($X$13="/90",IF(COUNT(#REF!)&lt;=1,"",ABS(#REF!-#REF!))))</f>
        <v/>
      </c>
      <c r="S1234" s="278" t="str">
        <f>IF($X$13="/28",IF(Q1234="","",IF(AVERAGE(Q1230:Q1235)&gt;=$W$13,ROUND(AVERAGE(Q1230:Q1235),1)&amp;" ≥ "&amp;$W$13&amp;" OK",ROUND(AVERAGE(Q1230:Q1235),1)&amp;" &lt; "&amp;$W$13&amp;" NC")),IF($X$13="/90",IF(#REF!="","",IF(AVERAGE(#REF!)&gt;=$W$13,ROUND(AVERAGE(#REF!),1)&amp;" ≥ "&amp;$W$13&amp;" OK",ROUND(AVERAGE(#REF!),1)&amp;" &lt; "&amp;$W$13&amp;" NC"))))</f>
        <v/>
      </c>
      <c r="T1234" s="278" t="str">
        <f>IF($X$13="/28",IF(Q1234="","",IF(Q1234&gt;=$W$13-$S$12,ROUND((Q1234),1)&amp;" ≥ "&amp;$W$13-$S$12&amp;" OK",ROUND((Q1234),1)&amp;" &lt; "&amp;$W$13-$S$12&amp;" NC")),IF($X$13="/90",IF(#REF!="","",IF(#REF!&gt;=$W$13-$S$12,ROUND((#REF!),1)&amp;" ≥ "&amp;$W$13-$S$12&amp;" OK",ROUND((#REF!),1)&amp;" &lt; "&amp;$W$13-$S$12&amp;" NC"))))</f>
        <v/>
      </c>
      <c r="U1234" s="14"/>
      <c r="V1234" s="279"/>
      <c r="W1234" s="280"/>
      <c r="X1234" s="281"/>
      <c r="Y1234" s="246"/>
      <c r="Z1234" s="246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BP1234" s="390" t="str">
        <f>IF($X$13="/28",IF(Q1234="","",Q1234),IF($X$13="/90",IF(#REF!="","",#REF!),"Falso"))</f>
        <v/>
      </c>
      <c r="BQ1234" s="392" t="str">
        <f t="shared" si="1908"/>
        <v/>
      </c>
    </row>
    <row r="1235" spans="1:69" ht="14.25" customHeight="1" x14ac:dyDescent="0.35">
      <c r="A1235" s="294"/>
      <c r="B1235" s="296"/>
      <c r="C1235" s="298"/>
      <c r="D1235" s="300"/>
      <c r="E1235" s="302"/>
      <c r="F1235" s="304"/>
      <c r="G1235" s="276"/>
      <c r="H1235" s="277"/>
      <c r="I1235" s="290"/>
      <c r="J1235" s="290"/>
      <c r="K1235" s="291"/>
      <c r="L1235" s="17"/>
      <c r="M1235" s="286"/>
      <c r="N1235" s="21"/>
      <c r="O1235" s="286"/>
      <c r="P1235" s="21"/>
      <c r="Q1235" s="286"/>
      <c r="R1235" s="248"/>
      <c r="S1235" s="287"/>
      <c r="T1235" s="248"/>
      <c r="U1235" s="13"/>
      <c r="V1235" s="282"/>
      <c r="W1235" s="283"/>
      <c r="X1235" s="284"/>
      <c r="Y1235" s="245"/>
      <c r="Z1235" s="245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BP1235" s="391"/>
      <c r="BQ1235" s="393"/>
    </row>
    <row r="1236" spans="1:69" ht="14.25" customHeight="1" x14ac:dyDescent="0.35">
      <c r="A1236" s="293">
        <v>610</v>
      </c>
      <c r="B1236" s="295"/>
      <c r="C1236" s="297"/>
      <c r="D1236" s="299"/>
      <c r="E1236" s="301"/>
      <c r="F1236" s="303"/>
      <c r="G1236" s="288"/>
      <c r="H1236" s="289"/>
      <c r="I1236" s="290"/>
      <c r="J1236" s="290"/>
      <c r="K1236" s="291"/>
      <c r="L1236" s="18"/>
      <c r="M1236" s="285" t="str">
        <f t="shared" ref="M1236" si="1927">IF(COUNT(L1236:L1237)&lt;1,"",AVERAGE(L1236:L1237))</f>
        <v/>
      </c>
      <c r="N1236" s="22"/>
      <c r="O1236" s="285" t="str">
        <f t="shared" ref="O1236" si="1928">IF(COUNT(N1236:N1237)&lt;1,"",AVERAGE(N1236:N1237))</f>
        <v/>
      </c>
      <c r="P1236" s="22"/>
      <c r="Q1236" s="285" t="str">
        <f t="shared" ref="Q1236" si="1929">IF(COUNT(P1236:P1237)&lt;1,"",AVERAGE(P1236:P1237))</f>
        <v/>
      </c>
      <c r="R1236" s="278" t="str">
        <f>IF($X$13="/28",IF(COUNT(P1236:P1237)&lt;=1,"",ABS(P1236-P1237)),IF($X$13="/90",IF(COUNT(#REF!)&lt;=1,"",ABS(#REF!-#REF!))))</f>
        <v/>
      </c>
      <c r="S1236" s="278" t="str">
        <f>IF($X$13="/28",IF(Q1236="","",IF(AVERAGE(Q1232:Q1237)&gt;=$W$13,ROUND(AVERAGE(Q1232:Q1237),1)&amp;" ≥ "&amp;$W$13&amp;" OK",ROUND(AVERAGE(Q1232:Q1237),1)&amp;" &lt; "&amp;$W$13&amp;" NC")),IF($X$13="/90",IF(#REF!="","",IF(AVERAGE(#REF!)&gt;=$W$13,ROUND(AVERAGE(#REF!),1)&amp;" ≥ "&amp;$W$13&amp;" OK",ROUND(AVERAGE(#REF!),1)&amp;" &lt; "&amp;$W$13&amp;" NC"))))</f>
        <v/>
      </c>
      <c r="T1236" s="278" t="str">
        <f>IF($X$13="/28",IF(Q1236="","",IF(Q1236&gt;=$W$13-$S$12,ROUND((Q1236),1)&amp;" ≥ "&amp;$W$13-$S$12&amp;" OK",ROUND((Q1236),1)&amp;" &lt; "&amp;$W$13-$S$12&amp;" NC")),IF($X$13="/90",IF(#REF!="","",IF(#REF!&gt;=$W$13-$S$12,ROUND((#REF!),1)&amp;" ≥ "&amp;$W$13-$S$12&amp;" OK",ROUND((#REF!),1)&amp;" &lt; "&amp;$W$13-$S$12&amp;" NC"))))</f>
        <v/>
      </c>
      <c r="U1236" s="14"/>
      <c r="V1236" s="279"/>
      <c r="W1236" s="280"/>
      <c r="X1236" s="281"/>
      <c r="Y1236" s="246"/>
      <c r="Z1236" s="246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BP1236" s="390" t="str">
        <f>IF($X$13="/28",IF(Q1236="","",Q1236),IF($X$13="/90",IF(#REF!="","",#REF!),"Falso"))</f>
        <v/>
      </c>
      <c r="BQ1236" s="392" t="str">
        <f t="shared" si="1900"/>
        <v/>
      </c>
    </row>
    <row r="1237" spans="1:69" ht="14.25" customHeight="1" x14ac:dyDescent="0.35">
      <c r="A1237" s="294"/>
      <c r="B1237" s="296"/>
      <c r="C1237" s="298"/>
      <c r="D1237" s="300"/>
      <c r="E1237" s="302"/>
      <c r="F1237" s="304"/>
      <c r="G1237" s="276"/>
      <c r="H1237" s="277"/>
      <c r="I1237" s="290"/>
      <c r="J1237" s="290"/>
      <c r="K1237" s="291"/>
      <c r="L1237" s="17"/>
      <c r="M1237" s="286"/>
      <c r="N1237" s="21"/>
      <c r="O1237" s="286"/>
      <c r="P1237" s="21"/>
      <c r="Q1237" s="286"/>
      <c r="R1237" s="248"/>
      <c r="S1237" s="287"/>
      <c r="T1237" s="248"/>
      <c r="U1237" s="13"/>
      <c r="V1237" s="282"/>
      <c r="W1237" s="283"/>
      <c r="X1237" s="284"/>
      <c r="Y1237" s="245"/>
      <c r="Z1237" s="245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BP1237" s="391"/>
      <c r="BQ1237" s="393"/>
    </row>
    <row r="1238" spans="1:69" ht="14.25" customHeight="1" x14ac:dyDescent="0.35">
      <c r="A1238" s="293">
        <v>611</v>
      </c>
      <c r="B1238" s="295"/>
      <c r="C1238" s="297"/>
      <c r="D1238" s="299"/>
      <c r="E1238" s="301"/>
      <c r="F1238" s="303"/>
      <c r="G1238" s="288"/>
      <c r="H1238" s="289"/>
      <c r="I1238" s="290"/>
      <c r="J1238" s="290"/>
      <c r="K1238" s="291"/>
      <c r="L1238" s="18"/>
      <c r="M1238" s="285" t="str">
        <f t="shared" ref="M1238" si="1930">IF(COUNT(L1238:L1239)&lt;1,"",AVERAGE(L1238:L1239))</f>
        <v/>
      </c>
      <c r="N1238" s="22"/>
      <c r="O1238" s="285" t="str">
        <f t="shared" ref="O1238" si="1931">IF(COUNT(N1238:N1239)&lt;1,"",AVERAGE(N1238:N1239))</f>
        <v/>
      </c>
      <c r="P1238" s="22"/>
      <c r="Q1238" s="285" t="str">
        <f t="shared" ref="Q1238" si="1932">IF(COUNT(P1238:P1239)&lt;1,"",AVERAGE(P1238:P1239))</f>
        <v/>
      </c>
      <c r="R1238" s="278" t="str">
        <f>IF($X$13="/28",IF(COUNT(P1238:P1239)&lt;=1,"",ABS(P1238-P1239)),IF($X$13="/90",IF(COUNT(#REF!)&lt;=1,"",ABS(#REF!-#REF!))))</f>
        <v/>
      </c>
      <c r="S1238" s="278" t="str">
        <f>IF($X$13="/28",IF(Q1238="","",IF(AVERAGE(Q1234:Q1239)&gt;=$W$13,ROUND(AVERAGE(Q1234:Q1239),1)&amp;" ≥ "&amp;$W$13&amp;" OK",ROUND(AVERAGE(Q1234:Q1239),1)&amp;" &lt; "&amp;$W$13&amp;" NC")),IF($X$13="/90",IF(#REF!="","",IF(AVERAGE(#REF!)&gt;=$W$13,ROUND(AVERAGE(#REF!),1)&amp;" ≥ "&amp;$W$13&amp;" OK",ROUND(AVERAGE(#REF!),1)&amp;" &lt; "&amp;$W$13&amp;" NC"))))</f>
        <v/>
      </c>
      <c r="T1238" s="278" t="str">
        <f>IF($X$13="/28",IF(Q1238="","",IF(Q1238&gt;=$W$13-$S$12,ROUND((Q1238),1)&amp;" ≥ "&amp;$W$13-$S$12&amp;" OK",ROUND((Q1238),1)&amp;" &lt; "&amp;$W$13-$S$12&amp;" NC")),IF($X$13="/90",IF(#REF!="","",IF(#REF!&gt;=$W$13-$S$12,ROUND((#REF!),1)&amp;" ≥ "&amp;$W$13-$S$12&amp;" OK",ROUND((#REF!),1)&amp;" &lt; "&amp;$W$13-$S$12&amp;" NC"))))</f>
        <v/>
      </c>
      <c r="U1238" s="14"/>
      <c r="V1238" s="279"/>
      <c r="W1238" s="280"/>
      <c r="X1238" s="281"/>
      <c r="Y1238" s="246"/>
      <c r="Z1238" s="246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BP1238" s="390" t="str">
        <f>IF($X$13="/28",IF(Q1238="","",Q1238),IF($X$13="/90",IF(#REF!="","",#REF!),"Falso"))</f>
        <v/>
      </c>
      <c r="BQ1238" s="392" t="str">
        <f t="shared" si="1904"/>
        <v/>
      </c>
    </row>
    <row r="1239" spans="1:69" ht="14.25" customHeight="1" x14ac:dyDescent="0.35">
      <c r="A1239" s="294"/>
      <c r="B1239" s="296"/>
      <c r="C1239" s="298"/>
      <c r="D1239" s="300"/>
      <c r="E1239" s="302"/>
      <c r="F1239" s="304"/>
      <c r="G1239" s="276"/>
      <c r="H1239" s="277"/>
      <c r="I1239" s="290"/>
      <c r="J1239" s="290"/>
      <c r="K1239" s="291"/>
      <c r="L1239" s="17"/>
      <c r="M1239" s="286"/>
      <c r="N1239" s="21"/>
      <c r="O1239" s="286"/>
      <c r="P1239" s="21"/>
      <c r="Q1239" s="286"/>
      <c r="R1239" s="248"/>
      <c r="S1239" s="287"/>
      <c r="T1239" s="248"/>
      <c r="U1239" s="13"/>
      <c r="V1239" s="282"/>
      <c r="W1239" s="283"/>
      <c r="X1239" s="284"/>
      <c r="Y1239" s="245"/>
      <c r="Z1239" s="245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BP1239" s="391"/>
      <c r="BQ1239" s="393"/>
    </row>
    <row r="1240" spans="1:69" ht="14.25" customHeight="1" x14ac:dyDescent="0.35">
      <c r="A1240" s="293">
        <v>612</v>
      </c>
      <c r="B1240" s="295"/>
      <c r="C1240" s="297"/>
      <c r="D1240" s="299"/>
      <c r="E1240" s="301"/>
      <c r="F1240" s="303"/>
      <c r="G1240" s="288"/>
      <c r="H1240" s="289"/>
      <c r="I1240" s="290"/>
      <c r="J1240" s="290"/>
      <c r="K1240" s="291"/>
      <c r="L1240" s="18"/>
      <c r="M1240" s="285" t="str">
        <f t="shared" ref="M1240" si="1933">IF(COUNT(L1240:L1241)&lt;1,"",AVERAGE(L1240:L1241))</f>
        <v/>
      </c>
      <c r="N1240" s="22"/>
      <c r="O1240" s="285" t="str">
        <f t="shared" ref="O1240" si="1934">IF(COUNT(N1240:N1241)&lt;1,"",AVERAGE(N1240:N1241))</f>
        <v/>
      </c>
      <c r="P1240" s="22"/>
      <c r="Q1240" s="285" t="str">
        <f t="shared" ref="Q1240" si="1935">IF(COUNT(P1240:P1241)&lt;1,"",AVERAGE(P1240:P1241))</f>
        <v/>
      </c>
      <c r="R1240" s="278" t="str">
        <f>IF($X$13="/28",IF(COUNT(P1240:P1241)&lt;=1,"",ABS(P1240-P1241)),IF($X$13="/90",IF(COUNT(#REF!)&lt;=1,"",ABS(#REF!-#REF!))))</f>
        <v/>
      </c>
      <c r="S1240" s="278" t="str">
        <f>IF($X$13="/28",IF(Q1240="","",IF(AVERAGE(Q1236:Q1241)&gt;=$W$13,ROUND(AVERAGE(Q1236:Q1241),1)&amp;" ≥ "&amp;$W$13&amp;" OK",ROUND(AVERAGE(Q1236:Q1241),1)&amp;" &lt; "&amp;$W$13&amp;" NC")),IF($X$13="/90",IF(#REF!="","",IF(AVERAGE(#REF!)&gt;=$W$13,ROUND(AVERAGE(#REF!),1)&amp;" ≥ "&amp;$W$13&amp;" OK",ROUND(AVERAGE(#REF!),1)&amp;" &lt; "&amp;$W$13&amp;" NC"))))</f>
        <v/>
      </c>
      <c r="T1240" s="278" t="str">
        <f>IF($X$13="/28",IF(Q1240="","",IF(Q1240&gt;=$W$13-$S$12,ROUND((Q1240),1)&amp;" ≥ "&amp;$W$13-$S$12&amp;" OK",ROUND((Q1240),1)&amp;" &lt; "&amp;$W$13-$S$12&amp;" NC")),IF($X$13="/90",IF(#REF!="","",IF(#REF!&gt;=$W$13-$S$12,ROUND((#REF!),1)&amp;" ≥ "&amp;$W$13-$S$12&amp;" OK",ROUND((#REF!),1)&amp;" &lt; "&amp;$W$13-$S$12&amp;" NC"))))</f>
        <v/>
      </c>
      <c r="U1240" s="14"/>
      <c r="V1240" s="279"/>
      <c r="W1240" s="280"/>
      <c r="X1240" s="281"/>
      <c r="Y1240" s="246"/>
      <c r="Z1240" s="246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BP1240" s="390" t="str">
        <f>IF($X$13="/28",IF(Q1240="","",Q1240),IF($X$13="/90",IF(#REF!="","",#REF!),"Falso"))</f>
        <v/>
      </c>
      <c r="BQ1240" s="392" t="str">
        <f t="shared" si="1908"/>
        <v/>
      </c>
    </row>
    <row r="1241" spans="1:69" ht="14.25" customHeight="1" x14ac:dyDescent="0.35">
      <c r="A1241" s="294"/>
      <c r="B1241" s="296"/>
      <c r="C1241" s="298"/>
      <c r="D1241" s="300"/>
      <c r="E1241" s="302"/>
      <c r="F1241" s="304"/>
      <c r="G1241" s="276"/>
      <c r="H1241" s="277"/>
      <c r="I1241" s="290"/>
      <c r="J1241" s="290"/>
      <c r="K1241" s="291"/>
      <c r="L1241" s="17"/>
      <c r="M1241" s="286"/>
      <c r="N1241" s="21"/>
      <c r="O1241" s="286"/>
      <c r="P1241" s="21"/>
      <c r="Q1241" s="286"/>
      <c r="R1241" s="248"/>
      <c r="S1241" s="287"/>
      <c r="T1241" s="248"/>
      <c r="U1241" s="13"/>
      <c r="V1241" s="282"/>
      <c r="W1241" s="283"/>
      <c r="X1241" s="284"/>
      <c r="Y1241" s="245"/>
      <c r="Z1241" s="245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BP1241" s="391"/>
      <c r="BQ1241" s="393"/>
    </row>
    <row r="1242" spans="1:69" ht="14.25" customHeight="1" x14ac:dyDescent="0.35">
      <c r="A1242" s="293">
        <v>613</v>
      </c>
      <c r="B1242" s="295"/>
      <c r="C1242" s="297"/>
      <c r="D1242" s="299"/>
      <c r="E1242" s="301"/>
      <c r="F1242" s="303"/>
      <c r="G1242" s="288"/>
      <c r="H1242" s="289"/>
      <c r="I1242" s="290"/>
      <c r="J1242" s="290"/>
      <c r="K1242" s="291"/>
      <c r="L1242" s="18"/>
      <c r="M1242" s="285" t="str">
        <f t="shared" ref="M1242" si="1936">IF(COUNT(L1242:L1243)&lt;1,"",AVERAGE(L1242:L1243))</f>
        <v/>
      </c>
      <c r="N1242" s="22"/>
      <c r="O1242" s="285" t="str">
        <f t="shared" ref="O1242" si="1937">IF(COUNT(N1242:N1243)&lt;1,"",AVERAGE(N1242:N1243))</f>
        <v/>
      </c>
      <c r="P1242" s="22"/>
      <c r="Q1242" s="285" t="str">
        <f t="shared" ref="Q1242" si="1938">IF(COUNT(P1242:P1243)&lt;1,"",AVERAGE(P1242:P1243))</f>
        <v/>
      </c>
      <c r="R1242" s="278" t="str">
        <f>IF($X$13="/28",IF(COUNT(P1242:P1243)&lt;=1,"",ABS(P1242-P1243)),IF($X$13="/90",IF(COUNT(#REF!)&lt;=1,"",ABS(#REF!-#REF!))))</f>
        <v/>
      </c>
      <c r="S1242" s="278" t="str">
        <f>IF($X$13="/28",IF(Q1242="","",IF(AVERAGE(Q1238:Q1243)&gt;=$W$13,ROUND(AVERAGE(Q1238:Q1243),1)&amp;" ≥ "&amp;$W$13&amp;" OK",ROUND(AVERAGE(Q1238:Q1243),1)&amp;" &lt; "&amp;$W$13&amp;" NC")),IF($X$13="/90",IF(#REF!="","",IF(AVERAGE(#REF!)&gt;=$W$13,ROUND(AVERAGE(#REF!),1)&amp;" ≥ "&amp;$W$13&amp;" OK",ROUND(AVERAGE(#REF!),1)&amp;" &lt; "&amp;$W$13&amp;" NC"))))</f>
        <v/>
      </c>
      <c r="T1242" s="278" t="str">
        <f>IF($X$13="/28",IF(Q1242="","",IF(Q1242&gt;=$W$13-$S$12,ROUND((Q1242),1)&amp;" ≥ "&amp;$W$13-$S$12&amp;" OK",ROUND((Q1242),1)&amp;" &lt; "&amp;$W$13-$S$12&amp;" NC")),IF($X$13="/90",IF(#REF!="","",IF(#REF!&gt;=$W$13-$S$12,ROUND((#REF!),1)&amp;" ≥ "&amp;$W$13-$S$12&amp;" OK",ROUND((#REF!),1)&amp;" &lt; "&amp;$W$13-$S$12&amp;" NC"))))</f>
        <v/>
      </c>
      <c r="U1242" s="14"/>
      <c r="V1242" s="279"/>
      <c r="W1242" s="280"/>
      <c r="X1242" s="281"/>
      <c r="Y1242" s="246"/>
      <c r="Z1242" s="246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BP1242" s="390" t="str">
        <f>IF($X$13="/28",IF(Q1242="","",Q1242),IF($X$13="/90",IF(#REF!="","",#REF!),"Falso"))</f>
        <v/>
      </c>
      <c r="BQ1242" s="392" t="str">
        <f t="shared" si="1900"/>
        <v/>
      </c>
    </row>
    <row r="1243" spans="1:69" ht="14.25" customHeight="1" x14ac:dyDescent="0.35">
      <c r="A1243" s="294"/>
      <c r="B1243" s="296"/>
      <c r="C1243" s="298"/>
      <c r="D1243" s="300"/>
      <c r="E1243" s="302"/>
      <c r="F1243" s="304"/>
      <c r="G1243" s="276"/>
      <c r="H1243" s="277"/>
      <c r="I1243" s="290"/>
      <c r="J1243" s="290"/>
      <c r="K1243" s="291"/>
      <c r="L1243" s="17"/>
      <c r="M1243" s="286"/>
      <c r="N1243" s="21"/>
      <c r="O1243" s="286"/>
      <c r="P1243" s="21"/>
      <c r="Q1243" s="286"/>
      <c r="R1243" s="248"/>
      <c r="S1243" s="287"/>
      <c r="T1243" s="248"/>
      <c r="U1243" s="13"/>
      <c r="V1243" s="282"/>
      <c r="W1243" s="283"/>
      <c r="X1243" s="284"/>
      <c r="Y1243" s="245"/>
      <c r="Z1243" s="245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BP1243" s="391"/>
      <c r="BQ1243" s="393"/>
    </row>
    <row r="1244" spans="1:69" ht="14.25" customHeight="1" x14ac:dyDescent="0.35">
      <c r="A1244" s="293">
        <v>614</v>
      </c>
      <c r="B1244" s="295"/>
      <c r="C1244" s="297"/>
      <c r="D1244" s="299"/>
      <c r="E1244" s="301"/>
      <c r="F1244" s="303"/>
      <c r="G1244" s="288"/>
      <c r="H1244" s="289"/>
      <c r="I1244" s="290"/>
      <c r="J1244" s="290"/>
      <c r="K1244" s="291"/>
      <c r="L1244" s="18"/>
      <c r="M1244" s="285" t="str">
        <f t="shared" ref="M1244" si="1939">IF(COUNT(L1244:L1245)&lt;1,"",AVERAGE(L1244:L1245))</f>
        <v/>
      </c>
      <c r="N1244" s="22"/>
      <c r="O1244" s="285" t="str">
        <f t="shared" ref="O1244" si="1940">IF(COUNT(N1244:N1245)&lt;1,"",AVERAGE(N1244:N1245))</f>
        <v/>
      </c>
      <c r="P1244" s="22"/>
      <c r="Q1244" s="285" t="str">
        <f t="shared" ref="Q1244" si="1941">IF(COUNT(P1244:P1245)&lt;1,"",AVERAGE(P1244:P1245))</f>
        <v/>
      </c>
      <c r="R1244" s="278" t="str">
        <f>IF($X$13="/28",IF(COUNT(P1244:P1245)&lt;=1,"",ABS(P1244-P1245)),IF($X$13="/90",IF(COUNT(#REF!)&lt;=1,"",ABS(#REF!-#REF!))))</f>
        <v/>
      </c>
      <c r="S1244" s="278" t="str">
        <f>IF($X$13="/28",IF(Q1244="","",IF(AVERAGE(Q1240:Q1245)&gt;=$W$13,ROUND(AVERAGE(Q1240:Q1245),1)&amp;" ≥ "&amp;$W$13&amp;" OK",ROUND(AVERAGE(Q1240:Q1245),1)&amp;" &lt; "&amp;$W$13&amp;" NC")),IF($X$13="/90",IF(#REF!="","",IF(AVERAGE(#REF!)&gt;=$W$13,ROUND(AVERAGE(#REF!),1)&amp;" ≥ "&amp;$W$13&amp;" OK",ROUND(AVERAGE(#REF!),1)&amp;" &lt; "&amp;$W$13&amp;" NC"))))</f>
        <v/>
      </c>
      <c r="T1244" s="278" t="str">
        <f>IF($X$13="/28",IF(Q1244="","",IF(Q1244&gt;=$W$13-$S$12,ROUND((Q1244),1)&amp;" ≥ "&amp;$W$13-$S$12&amp;" OK",ROUND((Q1244),1)&amp;" &lt; "&amp;$W$13-$S$12&amp;" NC")),IF($X$13="/90",IF(#REF!="","",IF(#REF!&gt;=$W$13-$S$12,ROUND((#REF!),1)&amp;" ≥ "&amp;$W$13-$S$12&amp;" OK",ROUND((#REF!),1)&amp;" &lt; "&amp;$W$13-$S$12&amp;" NC"))))</f>
        <v/>
      </c>
      <c r="U1244" s="14"/>
      <c r="V1244" s="279"/>
      <c r="W1244" s="280"/>
      <c r="X1244" s="281"/>
      <c r="Y1244" s="246"/>
      <c r="Z1244" s="246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BP1244" s="390" t="str">
        <f>IF($X$13="/28",IF(Q1244="","",Q1244),IF($X$13="/90",IF(#REF!="","",#REF!),"Falso"))</f>
        <v/>
      </c>
      <c r="BQ1244" s="392" t="str">
        <f t="shared" si="1904"/>
        <v/>
      </c>
    </row>
    <row r="1245" spans="1:69" ht="14.25" customHeight="1" x14ac:dyDescent="0.35">
      <c r="A1245" s="294"/>
      <c r="B1245" s="296"/>
      <c r="C1245" s="298"/>
      <c r="D1245" s="300"/>
      <c r="E1245" s="302"/>
      <c r="F1245" s="304"/>
      <c r="G1245" s="276"/>
      <c r="H1245" s="277"/>
      <c r="I1245" s="290"/>
      <c r="J1245" s="290"/>
      <c r="K1245" s="291"/>
      <c r="L1245" s="17"/>
      <c r="M1245" s="286"/>
      <c r="N1245" s="21"/>
      <c r="O1245" s="286"/>
      <c r="P1245" s="21"/>
      <c r="Q1245" s="286"/>
      <c r="R1245" s="248"/>
      <c r="S1245" s="287"/>
      <c r="T1245" s="248"/>
      <c r="U1245" s="13"/>
      <c r="V1245" s="282"/>
      <c r="W1245" s="283"/>
      <c r="X1245" s="284"/>
      <c r="Y1245" s="245"/>
      <c r="Z1245" s="245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BP1245" s="391"/>
      <c r="BQ1245" s="393"/>
    </row>
    <row r="1246" spans="1:69" ht="14.25" customHeight="1" x14ac:dyDescent="0.35">
      <c r="A1246" s="293">
        <v>615</v>
      </c>
      <c r="B1246" s="295"/>
      <c r="C1246" s="297"/>
      <c r="D1246" s="299"/>
      <c r="E1246" s="301"/>
      <c r="F1246" s="303"/>
      <c r="G1246" s="288"/>
      <c r="H1246" s="289"/>
      <c r="I1246" s="290"/>
      <c r="J1246" s="290"/>
      <c r="K1246" s="291"/>
      <c r="L1246" s="18"/>
      <c r="M1246" s="285" t="str">
        <f t="shared" ref="M1246" si="1942">IF(COUNT(L1246:L1247)&lt;1,"",AVERAGE(L1246:L1247))</f>
        <v/>
      </c>
      <c r="N1246" s="22"/>
      <c r="O1246" s="285" t="str">
        <f t="shared" ref="O1246" si="1943">IF(COUNT(N1246:N1247)&lt;1,"",AVERAGE(N1246:N1247))</f>
        <v/>
      </c>
      <c r="P1246" s="22"/>
      <c r="Q1246" s="285" t="str">
        <f t="shared" ref="Q1246" si="1944">IF(COUNT(P1246:P1247)&lt;1,"",AVERAGE(P1246:P1247))</f>
        <v/>
      </c>
      <c r="R1246" s="278" t="str">
        <f>IF($X$13="/28",IF(COUNT(P1246:P1247)&lt;=1,"",ABS(P1246-P1247)),IF($X$13="/90",IF(COUNT(#REF!)&lt;=1,"",ABS(#REF!-#REF!))))</f>
        <v/>
      </c>
      <c r="S1246" s="278" t="str">
        <f>IF($X$13="/28",IF(Q1246="","",IF(AVERAGE(Q1242:Q1247)&gt;=$W$13,ROUND(AVERAGE(Q1242:Q1247),1)&amp;" ≥ "&amp;$W$13&amp;" OK",ROUND(AVERAGE(Q1242:Q1247),1)&amp;" &lt; "&amp;$W$13&amp;" NC")),IF($X$13="/90",IF(#REF!="","",IF(AVERAGE(#REF!)&gt;=$W$13,ROUND(AVERAGE(#REF!),1)&amp;" ≥ "&amp;$W$13&amp;" OK",ROUND(AVERAGE(#REF!),1)&amp;" &lt; "&amp;$W$13&amp;" NC"))))</f>
        <v/>
      </c>
      <c r="T1246" s="278" t="str">
        <f>IF($X$13="/28",IF(Q1246="","",IF(Q1246&gt;=$W$13-$S$12,ROUND((Q1246),1)&amp;" ≥ "&amp;$W$13-$S$12&amp;" OK",ROUND((Q1246),1)&amp;" &lt; "&amp;$W$13-$S$12&amp;" NC")),IF($X$13="/90",IF(#REF!="","",IF(#REF!&gt;=$W$13-$S$12,ROUND((#REF!),1)&amp;" ≥ "&amp;$W$13-$S$12&amp;" OK",ROUND((#REF!),1)&amp;" &lt; "&amp;$W$13-$S$12&amp;" NC"))))</f>
        <v/>
      </c>
      <c r="U1246" s="14"/>
      <c r="V1246" s="279"/>
      <c r="W1246" s="280"/>
      <c r="X1246" s="281"/>
      <c r="Y1246" s="246"/>
      <c r="Z1246" s="246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BP1246" s="390" t="str">
        <f>IF($X$13="/28",IF(Q1246="","",Q1246),IF($X$13="/90",IF(#REF!="","",#REF!),"Falso"))</f>
        <v/>
      </c>
      <c r="BQ1246" s="392" t="str">
        <f t="shared" si="1908"/>
        <v/>
      </c>
    </row>
    <row r="1247" spans="1:69" ht="14.25" customHeight="1" x14ac:dyDescent="0.35">
      <c r="A1247" s="294"/>
      <c r="B1247" s="296"/>
      <c r="C1247" s="298"/>
      <c r="D1247" s="300"/>
      <c r="E1247" s="302"/>
      <c r="F1247" s="304"/>
      <c r="G1247" s="276"/>
      <c r="H1247" s="277"/>
      <c r="I1247" s="290"/>
      <c r="J1247" s="290"/>
      <c r="K1247" s="291"/>
      <c r="L1247" s="17"/>
      <c r="M1247" s="286"/>
      <c r="N1247" s="21"/>
      <c r="O1247" s="286"/>
      <c r="P1247" s="21"/>
      <c r="Q1247" s="286"/>
      <c r="R1247" s="248"/>
      <c r="S1247" s="287"/>
      <c r="T1247" s="248"/>
      <c r="U1247" s="13"/>
      <c r="V1247" s="282"/>
      <c r="W1247" s="283"/>
      <c r="X1247" s="284"/>
      <c r="Y1247" s="245"/>
      <c r="Z1247" s="245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BP1247" s="391"/>
      <c r="BQ1247" s="393"/>
    </row>
    <row r="1248" spans="1:69" ht="14.25" customHeight="1" x14ac:dyDescent="0.35">
      <c r="A1248" s="293">
        <v>616</v>
      </c>
      <c r="B1248" s="295"/>
      <c r="C1248" s="297"/>
      <c r="D1248" s="299"/>
      <c r="E1248" s="301"/>
      <c r="F1248" s="303"/>
      <c r="G1248" s="288"/>
      <c r="H1248" s="289"/>
      <c r="I1248" s="290"/>
      <c r="J1248" s="290"/>
      <c r="K1248" s="291"/>
      <c r="L1248" s="18"/>
      <c r="M1248" s="285" t="str">
        <f t="shared" ref="M1248" si="1945">IF(COUNT(L1248:L1249)&lt;1,"",AVERAGE(L1248:L1249))</f>
        <v/>
      </c>
      <c r="N1248" s="22"/>
      <c r="O1248" s="285" t="str">
        <f t="shared" ref="O1248" si="1946">IF(COUNT(N1248:N1249)&lt;1,"",AVERAGE(N1248:N1249))</f>
        <v/>
      </c>
      <c r="P1248" s="22"/>
      <c r="Q1248" s="285" t="str">
        <f t="shared" ref="Q1248" si="1947">IF(COUNT(P1248:P1249)&lt;1,"",AVERAGE(P1248:P1249))</f>
        <v/>
      </c>
      <c r="R1248" s="278" t="str">
        <f>IF($X$13="/28",IF(COUNT(P1248:P1249)&lt;=1,"",ABS(P1248-P1249)),IF($X$13="/90",IF(COUNT(#REF!)&lt;=1,"",ABS(#REF!-#REF!))))</f>
        <v/>
      </c>
      <c r="S1248" s="278" t="str">
        <f>IF($X$13="/28",IF(Q1248="","",IF(AVERAGE(Q1244:Q1249)&gt;=$W$13,ROUND(AVERAGE(Q1244:Q1249),1)&amp;" ≥ "&amp;$W$13&amp;" OK",ROUND(AVERAGE(Q1244:Q1249),1)&amp;" &lt; "&amp;$W$13&amp;" NC")),IF($X$13="/90",IF(#REF!="","",IF(AVERAGE(#REF!)&gt;=$W$13,ROUND(AVERAGE(#REF!),1)&amp;" ≥ "&amp;$W$13&amp;" OK",ROUND(AVERAGE(#REF!),1)&amp;" &lt; "&amp;$W$13&amp;" NC"))))</f>
        <v/>
      </c>
      <c r="T1248" s="278" t="str">
        <f>IF($X$13="/28",IF(Q1248="","",IF(Q1248&gt;=$W$13-$S$12,ROUND((Q1248),1)&amp;" ≥ "&amp;$W$13-$S$12&amp;" OK",ROUND((Q1248),1)&amp;" &lt; "&amp;$W$13-$S$12&amp;" NC")),IF($X$13="/90",IF(#REF!="","",IF(#REF!&gt;=$W$13-$S$12,ROUND((#REF!),1)&amp;" ≥ "&amp;$W$13-$S$12&amp;" OK",ROUND((#REF!),1)&amp;" &lt; "&amp;$W$13-$S$12&amp;" NC"))))</f>
        <v/>
      </c>
      <c r="U1248" s="14"/>
      <c r="V1248" s="279"/>
      <c r="W1248" s="280"/>
      <c r="X1248" s="281"/>
      <c r="Y1248" s="246"/>
      <c r="Z1248" s="246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BP1248" s="390" t="str">
        <f>IF($X$13="/28",IF(Q1248="","",Q1248),IF($X$13="/90",IF(#REF!="","",#REF!),"Falso"))</f>
        <v/>
      </c>
      <c r="BQ1248" s="392" t="str">
        <f t="shared" si="1900"/>
        <v/>
      </c>
    </row>
    <row r="1249" spans="1:69" ht="14.25" customHeight="1" x14ac:dyDescent="0.35">
      <c r="A1249" s="294"/>
      <c r="B1249" s="296"/>
      <c r="C1249" s="298"/>
      <c r="D1249" s="300"/>
      <c r="E1249" s="302"/>
      <c r="F1249" s="304"/>
      <c r="G1249" s="276"/>
      <c r="H1249" s="277"/>
      <c r="I1249" s="290"/>
      <c r="J1249" s="290"/>
      <c r="K1249" s="291"/>
      <c r="L1249" s="17"/>
      <c r="M1249" s="286"/>
      <c r="N1249" s="21"/>
      <c r="O1249" s="286"/>
      <c r="P1249" s="21"/>
      <c r="Q1249" s="286"/>
      <c r="R1249" s="248"/>
      <c r="S1249" s="287"/>
      <c r="T1249" s="248"/>
      <c r="U1249" s="13"/>
      <c r="V1249" s="282"/>
      <c r="W1249" s="283"/>
      <c r="X1249" s="284"/>
      <c r="Y1249" s="245"/>
      <c r="Z1249" s="245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BP1249" s="391"/>
      <c r="BQ1249" s="393"/>
    </row>
    <row r="1250" spans="1:69" ht="14.25" customHeight="1" x14ac:dyDescent="0.35">
      <c r="A1250" s="293">
        <v>617</v>
      </c>
      <c r="B1250" s="295"/>
      <c r="C1250" s="297"/>
      <c r="D1250" s="299"/>
      <c r="E1250" s="301"/>
      <c r="F1250" s="303"/>
      <c r="G1250" s="288"/>
      <c r="H1250" s="289"/>
      <c r="I1250" s="290"/>
      <c r="J1250" s="290"/>
      <c r="K1250" s="291"/>
      <c r="L1250" s="18"/>
      <c r="M1250" s="285" t="str">
        <f t="shared" ref="M1250" si="1948">IF(COUNT(L1250:L1251)&lt;1,"",AVERAGE(L1250:L1251))</f>
        <v/>
      </c>
      <c r="N1250" s="22"/>
      <c r="O1250" s="285" t="str">
        <f t="shared" ref="O1250" si="1949">IF(COUNT(N1250:N1251)&lt;1,"",AVERAGE(N1250:N1251))</f>
        <v/>
      </c>
      <c r="P1250" s="22"/>
      <c r="Q1250" s="285" t="str">
        <f t="shared" ref="Q1250" si="1950">IF(COUNT(P1250:P1251)&lt;1,"",AVERAGE(P1250:P1251))</f>
        <v/>
      </c>
      <c r="R1250" s="278" t="str">
        <f>IF($X$13="/28",IF(COUNT(P1250:P1251)&lt;=1,"",ABS(P1250-P1251)),IF($X$13="/90",IF(COUNT(#REF!)&lt;=1,"",ABS(#REF!-#REF!))))</f>
        <v/>
      </c>
      <c r="S1250" s="278" t="str">
        <f>IF($X$13="/28",IF(Q1250="","",IF(AVERAGE(Q1246:Q1251)&gt;=$W$13,ROUND(AVERAGE(Q1246:Q1251),1)&amp;" ≥ "&amp;$W$13&amp;" OK",ROUND(AVERAGE(Q1246:Q1251),1)&amp;" &lt; "&amp;$W$13&amp;" NC")),IF($X$13="/90",IF(#REF!="","",IF(AVERAGE(#REF!)&gt;=$W$13,ROUND(AVERAGE(#REF!),1)&amp;" ≥ "&amp;$W$13&amp;" OK",ROUND(AVERAGE(#REF!),1)&amp;" &lt; "&amp;$W$13&amp;" NC"))))</f>
        <v/>
      </c>
      <c r="T1250" s="278" t="str">
        <f>IF($X$13="/28",IF(Q1250="","",IF(Q1250&gt;=$W$13-$S$12,ROUND((Q1250),1)&amp;" ≥ "&amp;$W$13-$S$12&amp;" OK",ROUND((Q1250),1)&amp;" &lt; "&amp;$W$13-$S$12&amp;" NC")),IF($X$13="/90",IF(#REF!="","",IF(#REF!&gt;=$W$13-$S$12,ROUND((#REF!),1)&amp;" ≥ "&amp;$W$13-$S$12&amp;" OK",ROUND((#REF!),1)&amp;" &lt; "&amp;$W$13-$S$12&amp;" NC"))))</f>
        <v/>
      </c>
      <c r="U1250" s="14"/>
      <c r="V1250" s="279"/>
      <c r="W1250" s="280"/>
      <c r="X1250" s="281"/>
      <c r="Y1250" s="246"/>
      <c r="Z1250" s="246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BP1250" s="390" t="str">
        <f>IF($X$13="/28",IF(Q1250="","",Q1250),IF($X$13="/90",IF(#REF!="","",#REF!),"Falso"))</f>
        <v/>
      </c>
      <c r="BQ1250" s="392" t="str">
        <f t="shared" si="1904"/>
        <v/>
      </c>
    </row>
    <row r="1251" spans="1:69" ht="14.25" customHeight="1" x14ac:dyDescent="0.35">
      <c r="A1251" s="294"/>
      <c r="B1251" s="296"/>
      <c r="C1251" s="298"/>
      <c r="D1251" s="300"/>
      <c r="E1251" s="302"/>
      <c r="F1251" s="304"/>
      <c r="G1251" s="276"/>
      <c r="H1251" s="277"/>
      <c r="I1251" s="290"/>
      <c r="J1251" s="290"/>
      <c r="K1251" s="291"/>
      <c r="L1251" s="17"/>
      <c r="M1251" s="286"/>
      <c r="N1251" s="21"/>
      <c r="O1251" s="286"/>
      <c r="P1251" s="21"/>
      <c r="Q1251" s="286"/>
      <c r="R1251" s="248"/>
      <c r="S1251" s="287"/>
      <c r="T1251" s="248"/>
      <c r="U1251" s="13"/>
      <c r="V1251" s="282"/>
      <c r="W1251" s="283"/>
      <c r="X1251" s="284"/>
      <c r="Y1251" s="245"/>
      <c r="Z1251" s="245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BP1251" s="391"/>
      <c r="BQ1251" s="393"/>
    </row>
    <row r="1252" spans="1:69" ht="14.25" customHeight="1" x14ac:dyDescent="0.35">
      <c r="A1252" s="293">
        <v>618</v>
      </c>
      <c r="B1252" s="295"/>
      <c r="C1252" s="297"/>
      <c r="D1252" s="299"/>
      <c r="E1252" s="301"/>
      <c r="F1252" s="303"/>
      <c r="G1252" s="288"/>
      <c r="H1252" s="289"/>
      <c r="I1252" s="290"/>
      <c r="J1252" s="290"/>
      <c r="K1252" s="291"/>
      <c r="L1252" s="18"/>
      <c r="M1252" s="285" t="str">
        <f t="shared" ref="M1252" si="1951">IF(COUNT(L1252:L1253)&lt;1,"",AVERAGE(L1252:L1253))</f>
        <v/>
      </c>
      <c r="N1252" s="22"/>
      <c r="O1252" s="285" t="str">
        <f t="shared" ref="O1252" si="1952">IF(COUNT(N1252:N1253)&lt;1,"",AVERAGE(N1252:N1253))</f>
        <v/>
      </c>
      <c r="P1252" s="22"/>
      <c r="Q1252" s="285" t="str">
        <f t="shared" ref="Q1252" si="1953">IF(COUNT(P1252:P1253)&lt;1,"",AVERAGE(P1252:P1253))</f>
        <v/>
      </c>
      <c r="R1252" s="278" t="str">
        <f>IF($X$13="/28",IF(COUNT(P1252:P1253)&lt;=1,"",ABS(P1252-P1253)),IF($X$13="/90",IF(COUNT(#REF!)&lt;=1,"",ABS(#REF!-#REF!))))</f>
        <v/>
      </c>
      <c r="S1252" s="278" t="str">
        <f>IF($X$13="/28",IF(Q1252="","",IF(AVERAGE(Q1248:Q1253)&gt;=$W$13,ROUND(AVERAGE(Q1248:Q1253),1)&amp;" ≥ "&amp;$W$13&amp;" OK",ROUND(AVERAGE(Q1248:Q1253),1)&amp;" &lt; "&amp;$W$13&amp;" NC")),IF($X$13="/90",IF(#REF!="","",IF(AVERAGE(#REF!)&gt;=$W$13,ROUND(AVERAGE(#REF!),1)&amp;" ≥ "&amp;$W$13&amp;" OK",ROUND(AVERAGE(#REF!),1)&amp;" &lt; "&amp;$W$13&amp;" NC"))))</f>
        <v/>
      </c>
      <c r="T1252" s="278" t="str">
        <f>IF($X$13="/28",IF(Q1252="","",IF(Q1252&gt;=$W$13-$S$12,ROUND((Q1252),1)&amp;" ≥ "&amp;$W$13-$S$12&amp;" OK",ROUND((Q1252),1)&amp;" &lt; "&amp;$W$13-$S$12&amp;" NC")),IF($X$13="/90",IF(#REF!="","",IF(#REF!&gt;=$W$13-$S$12,ROUND((#REF!),1)&amp;" ≥ "&amp;$W$13-$S$12&amp;" OK",ROUND((#REF!),1)&amp;" &lt; "&amp;$W$13-$S$12&amp;" NC"))))</f>
        <v/>
      </c>
      <c r="U1252" s="14"/>
      <c r="V1252" s="279"/>
      <c r="W1252" s="280"/>
      <c r="X1252" s="281"/>
      <c r="Y1252" s="246"/>
      <c r="Z1252" s="246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BP1252" s="390" t="str">
        <f>IF($X$13="/28",IF(Q1252="","",Q1252),IF($X$13="/90",IF(#REF!="","",#REF!),"Falso"))</f>
        <v/>
      </c>
      <c r="BQ1252" s="392" t="str">
        <f t="shared" si="1908"/>
        <v/>
      </c>
    </row>
    <row r="1253" spans="1:69" ht="14.25" customHeight="1" x14ac:dyDescent="0.35">
      <c r="A1253" s="294"/>
      <c r="B1253" s="296"/>
      <c r="C1253" s="298"/>
      <c r="D1253" s="300"/>
      <c r="E1253" s="302"/>
      <c r="F1253" s="304"/>
      <c r="G1253" s="276"/>
      <c r="H1253" s="277"/>
      <c r="I1253" s="290"/>
      <c r="J1253" s="290"/>
      <c r="K1253" s="291"/>
      <c r="L1253" s="17"/>
      <c r="M1253" s="286"/>
      <c r="N1253" s="21"/>
      <c r="O1253" s="286"/>
      <c r="P1253" s="21"/>
      <c r="Q1253" s="286"/>
      <c r="R1253" s="248"/>
      <c r="S1253" s="287"/>
      <c r="T1253" s="248"/>
      <c r="U1253" s="13"/>
      <c r="V1253" s="282"/>
      <c r="W1253" s="283"/>
      <c r="X1253" s="284"/>
      <c r="Y1253" s="245"/>
      <c r="Z1253" s="245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BP1253" s="391"/>
      <c r="BQ1253" s="393"/>
    </row>
    <row r="1254" spans="1:69" ht="14.25" customHeight="1" x14ac:dyDescent="0.35">
      <c r="A1254" s="293">
        <v>619</v>
      </c>
      <c r="B1254" s="295"/>
      <c r="C1254" s="297"/>
      <c r="D1254" s="299"/>
      <c r="E1254" s="301"/>
      <c r="F1254" s="303"/>
      <c r="G1254" s="288"/>
      <c r="H1254" s="289"/>
      <c r="I1254" s="290"/>
      <c r="J1254" s="290"/>
      <c r="K1254" s="291"/>
      <c r="L1254" s="18"/>
      <c r="M1254" s="285" t="str">
        <f t="shared" ref="M1254" si="1954">IF(COUNT(L1254:L1255)&lt;1,"",AVERAGE(L1254:L1255))</f>
        <v/>
      </c>
      <c r="N1254" s="22"/>
      <c r="O1254" s="285" t="str">
        <f t="shared" ref="O1254" si="1955">IF(COUNT(N1254:N1255)&lt;1,"",AVERAGE(N1254:N1255))</f>
        <v/>
      </c>
      <c r="P1254" s="22"/>
      <c r="Q1254" s="285" t="str">
        <f t="shared" ref="Q1254" si="1956">IF(COUNT(P1254:P1255)&lt;1,"",AVERAGE(P1254:P1255))</f>
        <v/>
      </c>
      <c r="R1254" s="278" t="str">
        <f>IF($X$13="/28",IF(COUNT(P1254:P1255)&lt;=1,"",ABS(P1254-P1255)),IF($X$13="/90",IF(COUNT(#REF!)&lt;=1,"",ABS(#REF!-#REF!))))</f>
        <v/>
      </c>
      <c r="S1254" s="278" t="str">
        <f>IF($X$13="/28",IF(Q1254="","",IF(AVERAGE(Q1250:Q1255)&gt;=$W$13,ROUND(AVERAGE(Q1250:Q1255),1)&amp;" ≥ "&amp;$W$13&amp;" OK",ROUND(AVERAGE(Q1250:Q1255),1)&amp;" &lt; "&amp;$W$13&amp;" NC")),IF($X$13="/90",IF(#REF!="","",IF(AVERAGE(#REF!)&gt;=$W$13,ROUND(AVERAGE(#REF!),1)&amp;" ≥ "&amp;$W$13&amp;" OK",ROUND(AVERAGE(#REF!),1)&amp;" &lt; "&amp;$W$13&amp;" NC"))))</f>
        <v/>
      </c>
      <c r="T1254" s="278" t="str">
        <f>IF($X$13="/28",IF(Q1254="","",IF(Q1254&gt;=$W$13-$S$12,ROUND((Q1254),1)&amp;" ≥ "&amp;$W$13-$S$12&amp;" OK",ROUND((Q1254),1)&amp;" &lt; "&amp;$W$13-$S$12&amp;" NC")),IF($X$13="/90",IF(#REF!="","",IF(#REF!&gt;=$W$13-$S$12,ROUND((#REF!),1)&amp;" ≥ "&amp;$W$13-$S$12&amp;" OK",ROUND((#REF!),1)&amp;" &lt; "&amp;$W$13-$S$12&amp;" NC"))))</f>
        <v/>
      </c>
      <c r="U1254" s="14"/>
      <c r="V1254" s="279"/>
      <c r="W1254" s="280"/>
      <c r="X1254" s="281"/>
      <c r="Y1254" s="246"/>
      <c r="Z1254" s="246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BP1254" s="390" t="str">
        <f>IF($X$13="/28",IF(Q1254="","",Q1254),IF($X$13="/90",IF(#REF!="","",#REF!),"Falso"))</f>
        <v/>
      </c>
      <c r="BQ1254" s="392" t="str">
        <f t="shared" si="1900"/>
        <v/>
      </c>
    </row>
    <row r="1255" spans="1:69" ht="14.25" customHeight="1" x14ac:dyDescent="0.35">
      <c r="A1255" s="294"/>
      <c r="B1255" s="296"/>
      <c r="C1255" s="298"/>
      <c r="D1255" s="300"/>
      <c r="E1255" s="302"/>
      <c r="F1255" s="304"/>
      <c r="G1255" s="276"/>
      <c r="H1255" s="277"/>
      <c r="I1255" s="290"/>
      <c r="J1255" s="290"/>
      <c r="K1255" s="291"/>
      <c r="L1255" s="17"/>
      <c r="M1255" s="286"/>
      <c r="N1255" s="21"/>
      <c r="O1255" s="286"/>
      <c r="P1255" s="21"/>
      <c r="Q1255" s="286"/>
      <c r="R1255" s="248"/>
      <c r="S1255" s="287"/>
      <c r="T1255" s="248"/>
      <c r="U1255" s="13"/>
      <c r="V1255" s="282"/>
      <c r="W1255" s="283"/>
      <c r="X1255" s="284"/>
      <c r="Y1255" s="245"/>
      <c r="Z1255" s="245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BP1255" s="391"/>
      <c r="BQ1255" s="393"/>
    </row>
    <row r="1256" spans="1:69" ht="14.25" customHeight="1" x14ac:dyDescent="0.35">
      <c r="A1256" s="293">
        <v>620</v>
      </c>
      <c r="B1256" s="295"/>
      <c r="C1256" s="297"/>
      <c r="D1256" s="299"/>
      <c r="E1256" s="301"/>
      <c r="F1256" s="303"/>
      <c r="G1256" s="288"/>
      <c r="H1256" s="289"/>
      <c r="I1256" s="290"/>
      <c r="J1256" s="290"/>
      <c r="K1256" s="291"/>
      <c r="L1256" s="18"/>
      <c r="M1256" s="285" t="str">
        <f t="shared" ref="M1256" si="1957">IF(COUNT(L1256:L1257)&lt;1,"",AVERAGE(L1256:L1257))</f>
        <v/>
      </c>
      <c r="N1256" s="22"/>
      <c r="O1256" s="285" t="str">
        <f t="shared" ref="O1256" si="1958">IF(COUNT(N1256:N1257)&lt;1,"",AVERAGE(N1256:N1257))</f>
        <v/>
      </c>
      <c r="P1256" s="22"/>
      <c r="Q1256" s="285" t="str">
        <f t="shared" ref="Q1256" si="1959">IF(COUNT(P1256:P1257)&lt;1,"",AVERAGE(P1256:P1257))</f>
        <v/>
      </c>
      <c r="R1256" s="278" t="str">
        <f>IF($X$13="/28",IF(COUNT(P1256:P1257)&lt;=1,"",ABS(P1256-P1257)),IF($X$13="/90",IF(COUNT(#REF!)&lt;=1,"",ABS(#REF!-#REF!))))</f>
        <v/>
      </c>
      <c r="S1256" s="278" t="str">
        <f>IF($X$13="/28",IF(Q1256="","",IF(AVERAGE(Q1252:Q1257)&gt;=$W$13,ROUND(AVERAGE(Q1252:Q1257),1)&amp;" ≥ "&amp;$W$13&amp;" OK",ROUND(AVERAGE(Q1252:Q1257),1)&amp;" &lt; "&amp;$W$13&amp;" NC")),IF($X$13="/90",IF(#REF!="","",IF(AVERAGE(#REF!)&gt;=$W$13,ROUND(AVERAGE(#REF!),1)&amp;" ≥ "&amp;$W$13&amp;" OK",ROUND(AVERAGE(#REF!),1)&amp;" &lt; "&amp;$W$13&amp;" NC"))))</f>
        <v/>
      </c>
      <c r="T1256" s="278" t="str">
        <f>IF($X$13="/28",IF(Q1256="","",IF(Q1256&gt;=$W$13-$S$12,ROUND((Q1256),1)&amp;" ≥ "&amp;$W$13-$S$12&amp;" OK",ROUND((Q1256),1)&amp;" &lt; "&amp;$W$13-$S$12&amp;" NC")),IF($X$13="/90",IF(#REF!="","",IF(#REF!&gt;=$W$13-$S$12,ROUND((#REF!),1)&amp;" ≥ "&amp;$W$13-$S$12&amp;" OK",ROUND((#REF!),1)&amp;" &lt; "&amp;$W$13-$S$12&amp;" NC"))))</f>
        <v/>
      </c>
      <c r="U1256" s="14"/>
      <c r="V1256" s="279"/>
      <c r="W1256" s="280"/>
      <c r="X1256" s="281"/>
      <c r="Y1256" s="246"/>
      <c r="Z1256" s="246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BP1256" s="390" t="str">
        <f>IF($X$13="/28",IF(Q1256="","",Q1256),IF($X$13="/90",IF(#REF!="","",#REF!),"Falso"))</f>
        <v/>
      </c>
      <c r="BQ1256" s="392" t="str">
        <f t="shared" si="1904"/>
        <v/>
      </c>
    </row>
    <row r="1257" spans="1:69" ht="14.25" customHeight="1" x14ac:dyDescent="0.35">
      <c r="A1257" s="294"/>
      <c r="B1257" s="296"/>
      <c r="C1257" s="298"/>
      <c r="D1257" s="300"/>
      <c r="E1257" s="302"/>
      <c r="F1257" s="304"/>
      <c r="G1257" s="276"/>
      <c r="H1257" s="277"/>
      <c r="I1257" s="290"/>
      <c r="J1257" s="290"/>
      <c r="K1257" s="291"/>
      <c r="L1257" s="17"/>
      <c r="M1257" s="286"/>
      <c r="N1257" s="21"/>
      <c r="O1257" s="286"/>
      <c r="P1257" s="21"/>
      <c r="Q1257" s="286"/>
      <c r="R1257" s="248"/>
      <c r="S1257" s="287"/>
      <c r="T1257" s="248"/>
      <c r="U1257" s="13"/>
      <c r="V1257" s="282"/>
      <c r="W1257" s="283"/>
      <c r="X1257" s="284"/>
      <c r="Y1257" s="245"/>
      <c r="Z1257" s="245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BP1257" s="391"/>
      <c r="BQ1257" s="393"/>
    </row>
    <row r="1258" spans="1:69" ht="14.25" customHeight="1" x14ac:dyDescent="0.35">
      <c r="A1258" s="293">
        <v>621</v>
      </c>
      <c r="B1258" s="295"/>
      <c r="C1258" s="297"/>
      <c r="D1258" s="299"/>
      <c r="E1258" s="301"/>
      <c r="F1258" s="303"/>
      <c r="G1258" s="288"/>
      <c r="H1258" s="289"/>
      <c r="I1258" s="290"/>
      <c r="J1258" s="290"/>
      <c r="K1258" s="291"/>
      <c r="L1258" s="18"/>
      <c r="M1258" s="285" t="str">
        <f t="shared" ref="M1258" si="1960">IF(COUNT(L1258:L1259)&lt;1,"",AVERAGE(L1258:L1259))</f>
        <v/>
      </c>
      <c r="N1258" s="22"/>
      <c r="O1258" s="285" t="str">
        <f t="shared" ref="O1258" si="1961">IF(COUNT(N1258:N1259)&lt;1,"",AVERAGE(N1258:N1259))</f>
        <v/>
      </c>
      <c r="P1258" s="22"/>
      <c r="Q1258" s="285" t="str">
        <f t="shared" ref="Q1258" si="1962">IF(COUNT(P1258:P1259)&lt;1,"",AVERAGE(P1258:P1259))</f>
        <v/>
      </c>
      <c r="R1258" s="278" t="str">
        <f>IF($X$13="/28",IF(COUNT(P1258:P1259)&lt;=1,"",ABS(P1258-P1259)),IF($X$13="/90",IF(COUNT(#REF!)&lt;=1,"",ABS(#REF!-#REF!))))</f>
        <v/>
      </c>
      <c r="S1258" s="278" t="str">
        <f>IF($X$13="/28",IF(Q1258="","",IF(AVERAGE(Q1254:Q1259)&gt;=$W$13,ROUND(AVERAGE(Q1254:Q1259),1)&amp;" ≥ "&amp;$W$13&amp;" OK",ROUND(AVERAGE(Q1254:Q1259),1)&amp;" &lt; "&amp;$W$13&amp;" NC")),IF($X$13="/90",IF(#REF!="","",IF(AVERAGE(#REF!)&gt;=$W$13,ROUND(AVERAGE(#REF!),1)&amp;" ≥ "&amp;$W$13&amp;" OK",ROUND(AVERAGE(#REF!),1)&amp;" &lt; "&amp;$W$13&amp;" NC"))))</f>
        <v/>
      </c>
      <c r="T1258" s="278" t="str">
        <f>IF($X$13="/28",IF(Q1258="","",IF(Q1258&gt;=$W$13-$S$12,ROUND((Q1258),1)&amp;" ≥ "&amp;$W$13-$S$12&amp;" OK",ROUND((Q1258),1)&amp;" &lt; "&amp;$W$13-$S$12&amp;" NC")),IF($X$13="/90",IF(#REF!="","",IF(#REF!&gt;=$W$13-$S$12,ROUND((#REF!),1)&amp;" ≥ "&amp;$W$13-$S$12&amp;" OK",ROUND((#REF!),1)&amp;" &lt; "&amp;$W$13-$S$12&amp;" NC"))))</f>
        <v/>
      </c>
      <c r="U1258" s="14"/>
      <c r="V1258" s="279"/>
      <c r="W1258" s="280"/>
      <c r="X1258" s="281"/>
      <c r="Y1258" s="246"/>
      <c r="Z1258" s="246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BP1258" s="390" t="str">
        <f>IF($X$13="/28",IF(Q1258="","",Q1258),IF($X$13="/90",IF(#REF!="","",#REF!),"Falso"))</f>
        <v/>
      </c>
      <c r="BQ1258" s="392" t="str">
        <f t="shared" si="1908"/>
        <v/>
      </c>
    </row>
    <row r="1259" spans="1:69" ht="14.25" customHeight="1" x14ac:dyDescent="0.35">
      <c r="A1259" s="294"/>
      <c r="B1259" s="296"/>
      <c r="C1259" s="298"/>
      <c r="D1259" s="300"/>
      <c r="E1259" s="302"/>
      <c r="F1259" s="304"/>
      <c r="G1259" s="276"/>
      <c r="H1259" s="277"/>
      <c r="I1259" s="290"/>
      <c r="J1259" s="290"/>
      <c r="K1259" s="291"/>
      <c r="L1259" s="17"/>
      <c r="M1259" s="286"/>
      <c r="N1259" s="21"/>
      <c r="O1259" s="286"/>
      <c r="P1259" s="21"/>
      <c r="Q1259" s="286"/>
      <c r="R1259" s="248"/>
      <c r="S1259" s="287"/>
      <c r="T1259" s="248"/>
      <c r="U1259" s="13"/>
      <c r="V1259" s="282"/>
      <c r="W1259" s="283"/>
      <c r="X1259" s="284"/>
      <c r="Y1259" s="245"/>
      <c r="Z1259" s="245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BP1259" s="391"/>
      <c r="BQ1259" s="393"/>
    </row>
    <row r="1260" spans="1:69" ht="14.25" customHeight="1" x14ac:dyDescent="0.35">
      <c r="A1260" s="293">
        <v>622</v>
      </c>
      <c r="B1260" s="295"/>
      <c r="C1260" s="297"/>
      <c r="D1260" s="299"/>
      <c r="E1260" s="301"/>
      <c r="F1260" s="303"/>
      <c r="G1260" s="288"/>
      <c r="H1260" s="289"/>
      <c r="I1260" s="290"/>
      <c r="J1260" s="290"/>
      <c r="K1260" s="291"/>
      <c r="L1260" s="18"/>
      <c r="M1260" s="285" t="str">
        <f t="shared" ref="M1260" si="1963">IF(COUNT(L1260:L1261)&lt;1,"",AVERAGE(L1260:L1261))</f>
        <v/>
      </c>
      <c r="N1260" s="22"/>
      <c r="O1260" s="285" t="str">
        <f t="shared" ref="O1260" si="1964">IF(COUNT(N1260:N1261)&lt;1,"",AVERAGE(N1260:N1261))</f>
        <v/>
      </c>
      <c r="P1260" s="22"/>
      <c r="Q1260" s="285" t="str">
        <f t="shared" ref="Q1260" si="1965">IF(COUNT(P1260:P1261)&lt;1,"",AVERAGE(P1260:P1261))</f>
        <v/>
      </c>
      <c r="R1260" s="278" t="str">
        <f>IF($X$13="/28",IF(COUNT(P1260:P1261)&lt;=1,"",ABS(P1260-P1261)),IF($X$13="/90",IF(COUNT(#REF!)&lt;=1,"",ABS(#REF!-#REF!))))</f>
        <v/>
      </c>
      <c r="S1260" s="278" t="str">
        <f>IF($X$13="/28",IF(Q1260="","",IF(AVERAGE(Q1256:Q1261)&gt;=$W$13,ROUND(AVERAGE(Q1256:Q1261),1)&amp;" ≥ "&amp;$W$13&amp;" OK",ROUND(AVERAGE(Q1256:Q1261),1)&amp;" &lt; "&amp;$W$13&amp;" NC")),IF($X$13="/90",IF(#REF!="","",IF(AVERAGE(#REF!)&gt;=$W$13,ROUND(AVERAGE(#REF!),1)&amp;" ≥ "&amp;$W$13&amp;" OK",ROUND(AVERAGE(#REF!),1)&amp;" &lt; "&amp;$W$13&amp;" NC"))))</f>
        <v/>
      </c>
      <c r="T1260" s="278" t="str">
        <f>IF($X$13="/28",IF(Q1260="","",IF(Q1260&gt;=$W$13-$S$12,ROUND((Q1260),1)&amp;" ≥ "&amp;$W$13-$S$12&amp;" OK",ROUND((Q1260),1)&amp;" &lt; "&amp;$W$13-$S$12&amp;" NC")),IF($X$13="/90",IF(#REF!="","",IF(#REF!&gt;=$W$13-$S$12,ROUND((#REF!),1)&amp;" ≥ "&amp;$W$13-$S$12&amp;" OK",ROUND((#REF!),1)&amp;" &lt; "&amp;$W$13-$S$12&amp;" NC"))))</f>
        <v/>
      </c>
      <c r="U1260" s="14"/>
      <c r="V1260" s="279"/>
      <c r="W1260" s="280"/>
      <c r="X1260" s="281"/>
      <c r="Y1260" s="246"/>
      <c r="Z1260" s="246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BP1260" s="390" t="str">
        <f>IF($X$13="/28",IF(Q1260="","",Q1260),IF($X$13="/90",IF(#REF!="","",#REF!),"Falso"))</f>
        <v/>
      </c>
      <c r="BQ1260" s="392" t="str">
        <f t="shared" si="1900"/>
        <v/>
      </c>
    </row>
    <row r="1261" spans="1:69" ht="14.25" customHeight="1" x14ac:dyDescent="0.35">
      <c r="A1261" s="294"/>
      <c r="B1261" s="296"/>
      <c r="C1261" s="298"/>
      <c r="D1261" s="300"/>
      <c r="E1261" s="302"/>
      <c r="F1261" s="304"/>
      <c r="G1261" s="276"/>
      <c r="H1261" s="277"/>
      <c r="I1261" s="290"/>
      <c r="J1261" s="290"/>
      <c r="K1261" s="291"/>
      <c r="L1261" s="17"/>
      <c r="M1261" s="286"/>
      <c r="N1261" s="21"/>
      <c r="O1261" s="286"/>
      <c r="P1261" s="21"/>
      <c r="Q1261" s="286"/>
      <c r="R1261" s="248"/>
      <c r="S1261" s="287"/>
      <c r="T1261" s="248"/>
      <c r="U1261" s="13"/>
      <c r="V1261" s="282"/>
      <c r="W1261" s="283"/>
      <c r="X1261" s="284"/>
      <c r="Y1261" s="245"/>
      <c r="Z1261" s="245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BP1261" s="391"/>
      <c r="BQ1261" s="393"/>
    </row>
    <row r="1262" spans="1:69" ht="14.25" customHeight="1" x14ac:dyDescent="0.35">
      <c r="A1262" s="293">
        <v>623</v>
      </c>
      <c r="B1262" s="295"/>
      <c r="C1262" s="297"/>
      <c r="D1262" s="299"/>
      <c r="E1262" s="301"/>
      <c r="F1262" s="303"/>
      <c r="G1262" s="288"/>
      <c r="H1262" s="289"/>
      <c r="I1262" s="290"/>
      <c r="J1262" s="290"/>
      <c r="K1262" s="291"/>
      <c r="L1262" s="18"/>
      <c r="M1262" s="285" t="str">
        <f t="shared" ref="M1262" si="1966">IF(COUNT(L1262:L1263)&lt;1,"",AVERAGE(L1262:L1263))</f>
        <v/>
      </c>
      <c r="N1262" s="22"/>
      <c r="O1262" s="285" t="str">
        <f t="shared" ref="O1262" si="1967">IF(COUNT(N1262:N1263)&lt;1,"",AVERAGE(N1262:N1263))</f>
        <v/>
      </c>
      <c r="P1262" s="22"/>
      <c r="Q1262" s="285" t="str">
        <f t="shared" ref="Q1262" si="1968">IF(COUNT(P1262:P1263)&lt;1,"",AVERAGE(P1262:P1263))</f>
        <v/>
      </c>
      <c r="R1262" s="278" t="str">
        <f>IF($X$13="/28",IF(COUNT(P1262:P1263)&lt;=1,"",ABS(P1262-P1263)),IF($X$13="/90",IF(COUNT(#REF!)&lt;=1,"",ABS(#REF!-#REF!))))</f>
        <v/>
      </c>
      <c r="S1262" s="278" t="str">
        <f>IF($X$13="/28",IF(Q1262="","",IF(AVERAGE(Q1258:Q1263)&gt;=$W$13,ROUND(AVERAGE(Q1258:Q1263),1)&amp;" ≥ "&amp;$W$13&amp;" OK",ROUND(AVERAGE(Q1258:Q1263),1)&amp;" &lt; "&amp;$W$13&amp;" NC")),IF($X$13="/90",IF(#REF!="","",IF(AVERAGE(#REF!)&gt;=$W$13,ROUND(AVERAGE(#REF!),1)&amp;" ≥ "&amp;$W$13&amp;" OK",ROUND(AVERAGE(#REF!),1)&amp;" &lt; "&amp;$W$13&amp;" NC"))))</f>
        <v/>
      </c>
      <c r="T1262" s="278" t="str">
        <f>IF($X$13="/28",IF(Q1262="","",IF(Q1262&gt;=$W$13-$S$12,ROUND((Q1262),1)&amp;" ≥ "&amp;$W$13-$S$12&amp;" OK",ROUND((Q1262),1)&amp;" &lt; "&amp;$W$13-$S$12&amp;" NC")),IF($X$13="/90",IF(#REF!="","",IF(#REF!&gt;=$W$13-$S$12,ROUND((#REF!),1)&amp;" ≥ "&amp;$W$13-$S$12&amp;" OK",ROUND((#REF!),1)&amp;" &lt; "&amp;$W$13-$S$12&amp;" NC"))))</f>
        <v/>
      </c>
      <c r="U1262" s="14"/>
      <c r="V1262" s="279"/>
      <c r="W1262" s="280"/>
      <c r="X1262" s="281"/>
      <c r="Y1262" s="246"/>
      <c r="Z1262" s="246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BP1262" s="390" t="str">
        <f>IF($X$13="/28",IF(Q1262="","",Q1262),IF($X$13="/90",IF(#REF!="","",#REF!),"Falso"))</f>
        <v/>
      </c>
      <c r="BQ1262" s="392" t="str">
        <f t="shared" si="1904"/>
        <v/>
      </c>
    </row>
    <row r="1263" spans="1:69" ht="14.25" customHeight="1" x14ac:dyDescent="0.35">
      <c r="A1263" s="294"/>
      <c r="B1263" s="296"/>
      <c r="C1263" s="298"/>
      <c r="D1263" s="300"/>
      <c r="E1263" s="302"/>
      <c r="F1263" s="304"/>
      <c r="G1263" s="276"/>
      <c r="H1263" s="277"/>
      <c r="I1263" s="290"/>
      <c r="J1263" s="290"/>
      <c r="K1263" s="291"/>
      <c r="L1263" s="17"/>
      <c r="M1263" s="286"/>
      <c r="N1263" s="21"/>
      <c r="O1263" s="286"/>
      <c r="P1263" s="21"/>
      <c r="Q1263" s="286"/>
      <c r="R1263" s="248"/>
      <c r="S1263" s="287"/>
      <c r="T1263" s="248"/>
      <c r="U1263" s="13"/>
      <c r="V1263" s="282"/>
      <c r="W1263" s="283"/>
      <c r="X1263" s="284"/>
      <c r="Y1263" s="245"/>
      <c r="Z1263" s="245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BP1263" s="391"/>
      <c r="BQ1263" s="393"/>
    </row>
    <row r="1264" spans="1:69" ht="14.25" customHeight="1" x14ac:dyDescent="0.35">
      <c r="A1264" s="293">
        <v>624</v>
      </c>
      <c r="B1264" s="295"/>
      <c r="C1264" s="297"/>
      <c r="D1264" s="299"/>
      <c r="E1264" s="301"/>
      <c r="F1264" s="303"/>
      <c r="G1264" s="288"/>
      <c r="H1264" s="289"/>
      <c r="I1264" s="290"/>
      <c r="J1264" s="290"/>
      <c r="K1264" s="291"/>
      <c r="L1264" s="18"/>
      <c r="M1264" s="285" t="str">
        <f t="shared" ref="M1264" si="1969">IF(COUNT(L1264:L1265)&lt;1,"",AVERAGE(L1264:L1265))</f>
        <v/>
      </c>
      <c r="N1264" s="22"/>
      <c r="O1264" s="285" t="str">
        <f t="shared" ref="O1264" si="1970">IF(COUNT(N1264:N1265)&lt;1,"",AVERAGE(N1264:N1265))</f>
        <v/>
      </c>
      <c r="P1264" s="22"/>
      <c r="Q1264" s="285" t="str">
        <f t="shared" ref="Q1264" si="1971">IF(COUNT(P1264:P1265)&lt;1,"",AVERAGE(P1264:P1265))</f>
        <v/>
      </c>
      <c r="R1264" s="278" t="str">
        <f>IF($X$13="/28",IF(COUNT(P1264:P1265)&lt;=1,"",ABS(P1264-P1265)),IF($X$13="/90",IF(COUNT(#REF!)&lt;=1,"",ABS(#REF!-#REF!))))</f>
        <v/>
      </c>
      <c r="S1264" s="278" t="str">
        <f>IF($X$13="/28",IF(Q1264="","",IF(AVERAGE(Q1260:Q1265)&gt;=$W$13,ROUND(AVERAGE(Q1260:Q1265),1)&amp;" ≥ "&amp;$W$13&amp;" OK",ROUND(AVERAGE(Q1260:Q1265),1)&amp;" &lt; "&amp;$W$13&amp;" NC")),IF($X$13="/90",IF(#REF!="","",IF(AVERAGE(#REF!)&gt;=$W$13,ROUND(AVERAGE(#REF!),1)&amp;" ≥ "&amp;$W$13&amp;" OK",ROUND(AVERAGE(#REF!),1)&amp;" &lt; "&amp;$W$13&amp;" NC"))))</f>
        <v/>
      </c>
      <c r="T1264" s="278" t="str">
        <f>IF($X$13="/28",IF(Q1264="","",IF(Q1264&gt;=$W$13-$S$12,ROUND((Q1264),1)&amp;" ≥ "&amp;$W$13-$S$12&amp;" OK",ROUND((Q1264),1)&amp;" &lt; "&amp;$W$13-$S$12&amp;" NC")),IF($X$13="/90",IF(#REF!="","",IF(#REF!&gt;=$W$13-$S$12,ROUND((#REF!),1)&amp;" ≥ "&amp;$W$13-$S$12&amp;" OK",ROUND((#REF!),1)&amp;" &lt; "&amp;$W$13-$S$12&amp;" NC"))))</f>
        <v/>
      </c>
      <c r="U1264" s="14"/>
      <c r="V1264" s="279"/>
      <c r="W1264" s="280"/>
      <c r="X1264" s="281"/>
      <c r="Y1264" s="246"/>
      <c r="Z1264" s="246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BP1264" s="390" t="str">
        <f>IF($X$13="/28",IF(Q1264="","",Q1264),IF($X$13="/90",IF(#REF!="","",#REF!),"Falso"))</f>
        <v/>
      </c>
      <c r="BQ1264" s="392" t="str">
        <f t="shared" si="1908"/>
        <v/>
      </c>
    </row>
    <row r="1265" spans="1:69" ht="14.25" customHeight="1" x14ac:dyDescent="0.35">
      <c r="A1265" s="294"/>
      <c r="B1265" s="296"/>
      <c r="C1265" s="298"/>
      <c r="D1265" s="300"/>
      <c r="E1265" s="302"/>
      <c r="F1265" s="304"/>
      <c r="G1265" s="276"/>
      <c r="H1265" s="277"/>
      <c r="I1265" s="290"/>
      <c r="J1265" s="290"/>
      <c r="K1265" s="291"/>
      <c r="L1265" s="17"/>
      <c r="M1265" s="286"/>
      <c r="N1265" s="21"/>
      <c r="O1265" s="286"/>
      <c r="P1265" s="21"/>
      <c r="Q1265" s="286"/>
      <c r="R1265" s="248"/>
      <c r="S1265" s="287"/>
      <c r="T1265" s="248"/>
      <c r="U1265" s="13"/>
      <c r="V1265" s="282"/>
      <c r="W1265" s="283"/>
      <c r="X1265" s="284"/>
      <c r="Y1265" s="245"/>
      <c r="Z1265" s="245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BP1265" s="391"/>
      <c r="BQ1265" s="393"/>
    </row>
    <row r="1266" spans="1:69" ht="14.25" customHeight="1" x14ac:dyDescent="0.35">
      <c r="A1266" s="293">
        <v>625</v>
      </c>
      <c r="B1266" s="295"/>
      <c r="C1266" s="297"/>
      <c r="D1266" s="299"/>
      <c r="E1266" s="301"/>
      <c r="F1266" s="303"/>
      <c r="G1266" s="288"/>
      <c r="H1266" s="289"/>
      <c r="I1266" s="290"/>
      <c r="J1266" s="290"/>
      <c r="K1266" s="291"/>
      <c r="L1266" s="18"/>
      <c r="M1266" s="285" t="str">
        <f t="shared" ref="M1266" si="1972">IF(COUNT(L1266:L1267)&lt;1,"",AVERAGE(L1266:L1267))</f>
        <v/>
      </c>
      <c r="N1266" s="22"/>
      <c r="O1266" s="285" t="str">
        <f t="shared" ref="O1266" si="1973">IF(COUNT(N1266:N1267)&lt;1,"",AVERAGE(N1266:N1267))</f>
        <v/>
      </c>
      <c r="P1266" s="22"/>
      <c r="Q1266" s="285" t="str">
        <f t="shared" ref="Q1266" si="1974">IF(COUNT(P1266:P1267)&lt;1,"",AVERAGE(P1266:P1267))</f>
        <v/>
      </c>
      <c r="R1266" s="278" t="str">
        <f>IF($X$13="/28",IF(COUNT(P1266:P1267)&lt;=1,"",ABS(P1266-P1267)),IF($X$13="/90",IF(COUNT(#REF!)&lt;=1,"",ABS(#REF!-#REF!))))</f>
        <v/>
      </c>
      <c r="S1266" s="278" t="str">
        <f>IF($X$13="/28",IF(Q1266="","",IF(AVERAGE(Q1262:Q1267)&gt;=$W$13,ROUND(AVERAGE(Q1262:Q1267),1)&amp;" ≥ "&amp;$W$13&amp;" OK",ROUND(AVERAGE(Q1262:Q1267),1)&amp;" &lt; "&amp;$W$13&amp;" NC")),IF($X$13="/90",IF(#REF!="","",IF(AVERAGE(#REF!)&gt;=$W$13,ROUND(AVERAGE(#REF!),1)&amp;" ≥ "&amp;$W$13&amp;" OK",ROUND(AVERAGE(#REF!),1)&amp;" &lt; "&amp;$W$13&amp;" NC"))))</f>
        <v/>
      </c>
      <c r="T1266" s="278" t="str">
        <f>IF($X$13="/28",IF(Q1266="","",IF(Q1266&gt;=$W$13-$S$12,ROUND((Q1266),1)&amp;" ≥ "&amp;$W$13-$S$12&amp;" OK",ROUND((Q1266),1)&amp;" &lt; "&amp;$W$13-$S$12&amp;" NC")),IF($X$13="/90",IF(#REF!="","",IF(#REF!&gt;=$W$13-$S$12,ROUND((#REF!),1)&amp;" ≥ "&amp;$W$13-$S$12&amp;" OK",ROUND((#REF!),1)&amp;" &lt; "&amp;$W$13-$S$12&amp;" NC"))))</f>
        <v/>
      </c>
      <c r="U1266" s="14"/>
      <c r="V1266" s="279"/>
      <c r="W1266" s="280"/>
      <c r="X1266" s="281"/>
      <c r="Y1266" s="246"/>
      <c r="Z1266" s="246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BP1266" s="390" t="str">
        <f>IF($X$13="/28",IF(Q1266="","",Q1266),IF($X$13="/90",IF(#REF!="","",#REF!),"Falso"))</f>
        <v/>
      </c>
      <c r="BQ1266" s="392" t="str">
        <f t="shared" si="1900"/>
        <v/>
      </c>
    </row>
    <row r="1267" spans="1:69" ht="14.25" customHeight="1" x14ac:dyDescent="0.35">
      <c r="A1267" s="294"/>
      <c r="B1267" s="296"/>
      <c r="C1267" s="298"/>
      <c r="D1267" s="300"/>
      <c r="E1267" s="302"/>
      <c r="F1267" s="304"/>
      <c r="G1267" s="276"/>
      <c r="H1267" s="277"/>
      <c r="I1267" s="290"/>
      <c r="J1267" s="290"/>
      <c r="K1267" s="291"/>
      <c r="L1267" s="17"/>
      <c r="M1267" s="286"/>
      <c r="N1267" s="21"/>
      <c r="O1267" s="286"/>
      <c r="P1267" s="21"/>
      <c r="Q1267" s="286"/>
      <c r="R1267" s="248"/>
      <c r="S1267" s="287"/>
      <c r="T1267" s="248"/>
      <c r="U1267" s="13"/>
      <c r="V1267" s="282"/>
      <c r="W1267" s="283"/>
      <c r="X1267" s="284"/>
      <c r="Y1267" s="245"/>
      <c r="Z1267" s="245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BP1267" s="391"/>
      <c r="BQ1267" s="393"/>
    </row>
    <row r="1268" spans="1:69" ht="14.25" customHeight="1" x14ac:dyDescent="0.35">
      <c r="A1268" s="293">
        <v>626</v>
      </c>
      <c r="B1268" s="295"/>
      <c r="C1268" s="297"/>
      <c r="D1268" s="299"/>
      <c r="E1268" s="301"/>
      <c r="F1268" s="303"/>
      <c r="G1268" s="288"/>
      <c r="H1268" s="289"/>
      <c r="I1268" s="290"/>
      <c r="J1268" s="290"/>
      <c r="K1268" s="291"/>
      <c r="L1268" s="18"/>
      <c r="M1268" s="285" t="str">
        <f t="shared" ref="M1268" si="1975">IF(COUNT(L1268:L1269)&lt;1,"",AVERAGE(L1268:L1269))</f>
        <v/>
      </c>
      <c r="N1268" s="22"/>
      <c r="O1268" s="285" t="str">
        <f t="shared" ref="O1268" si="1976">IF(COUNT(N1268:N1269)&lt;1,"",AVERAGE(N1268:N1269))</f>
        <v/>
      </c>
      <c r="P1268" s="22"/>
      <c r="Q1268" s="285" t="str">
        <f t="shared" ref="Q1268" si="1977">IF(COUNT(P1268:P1269)&lt;1,"",AVERAGE(P1268:P1269))</f>
        <v/>
      </c>
      <c r="R1268" s="278" t="str">
        <f>IF($X$13="/28",IF(COUNT(P1268:P1269)&lt;=1,"",ABS(P1268-P1269)),IF($X$13="/90",IF(COUNT(#REF!)&lt;=1,"",ABS(#REF!-#REF!))))</f>
        <v/>
      </c>
      <c r="S1268" s="278" t="str">
        <f>IF($X$13="/28",IF(Q1268="","",IF(AVERAGE(Q1264:Q1269)&gt;=$W$13,ROUND(AVERAGE(Q1264:Q1269),1)&amp;" ≥ "&amp;$W$13&amp;" OK",ROUND(AVERAGE(Q1264:Q1269),1)&amp;" &lt; "&amp;$W$13&amp;" NC")),IF($X$13="/90",IF(#REF!="","",IF(AVERAGE(#REF!)&gt;=$W$13,ROUND(AVERAGE(#REF!),1)&amp;" ≥ "&amp;$W$13&amp;" OK",ROUND(AVERAGE(#REF!),1)&amp;" &lt; "&amp;$W$13&amp;" NC"))))</f>
        <v/>
      </c>
      <c r="T1268" s="278" t="str">
        <f>IF($X$13="/28",IF(Q1268="","",IF(Q1268&gt;=$W$13-$S$12,ROUND((Q1268),1)&amp;" ≥ "&amp;$W$13-$S$12&amp;" OK",ROUND((Q1268),1)&amp;" &lt; "&amp;$W$13-$S$12&amp;" NC")),IF($X$13="/90",IF(#REF!="","",IF(#REF!&gt;=$W$13-$S$12,ROUND((#REF!),1)&amp;" ≥ "&amp;$W$13-$S$12&amp;" OK",ROUND((#REF!),1)&amp;" &lt; "&amp;$W$13-$S$12&amp;" NC"))))</f>
        <v/>
      </c>
      <c r="U1268" s="14"/>
      <c r="V1268" s="279"/>
      <c r="W1268" s="280"/>
      <c r="X1268" s="281"/>
      <c r="Y1268" s="246"/>
      <c r="Z1268" s="246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BP1268" s="390" t="str">
        <f>IF($X$13="/28",IF(Q1268="","",Q1268),IF($X$13="/90",IF(#REF!="","",#REF!),"Falso"))</f>
        <v/>
      </c>
      <c r="BQ1268" s="392" t="str">
        <f t="shared" si="1904"/>
        <v/>
      </c>
    </row>
    <row r="1269" spans="1:69" ht="14.25" customHeight="1" x14ac:dyDescent="0.35">
      <c r="A1269" s="294"/>
      <c r="B1269" s="296"/>
      <c r="C1269" s="298"/>
      <c r="D1269" s="300"/>
      <c r="E1269" s="302"/>
      <c r="F1269" s="304"/>
      <c r="G1269" s="276"/>
      <c r="H1269" s="277"/>
      <c r="I1269" s="290"/>
      <c r="J1269" s="290"/>
      <c r="K1269" s="291"/>
      <c r="L1269" s="17"/>
      <c r="M1269" s="286"/>
      <c r="N1269" s="21"/>
      <c r="O1269" s="286"/>
      <c r="P1269" s="21"/>
      <c r="Q1269" s="286"/>
      <c r="R1269" s="248"/>
      <c r="S1269" s="287"/>
      <c r="T1269" s="248"/>
      <c r="U1269" s="13"/>
      <c r="V1269" s="282"/>
      <c r="W1269" s="283"/>
      <c r="X1269" s="284"/>
      <c r="Y1269" s="245"/>
      <c r="Z1269" s="245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BP1269" s="391"/>
      <c r="BQ1269" s="393"/>
    </row>
    <row r="1270" spans="1:69" ht="14.25" customHeight="1" x14ac:dyDescent="0.35">
      <c r="A1270" s="293">
        <v>627</v>
      </c>
      <c r="B1270" s="295"/>
      <c r="C1270" s="297"/>
      <c r="D1270" s="299"/>
      <c r="E1270" s="301"/>
      <c r="F1270" s="303"/>
      <c r="G1270" s="288"/>
      <c r="H1270" s="289"/>
      <c r="I1270" s="290"/>
      <c r="J1270" s="290"/>
      <c r="K1270" s="291"/>
      <c r="L1270" s="18"/>
      <c r="M1270" s="285" t="str">
        <f t="shared" ref="M1270" si="1978">IF(COUNT(L1270:L1271)&lt;1,"",AVERAGE(L1270:L1271))</f>
        <v/>
      </c>
      <c r="N1270" s="22"/>
      <c r="O1270" s="285" t="str">
        <f t="shared" ref="O1270" si="1979">IF(COUNT(N1270:N1271)&lt;1,"",AVERAGE(N1270:N1271))</f>
        <v/>
      </c>
      <c r="P1270" s="22"/>
      <c r="Q1270" s="285" t="str">
        <f t="shared" ref="Q1270" si="1980">IF(COUNT(P1270:P1271)&lt;1,"",AVERAGE(P1270:P1271))</f>
        <v/>
      </c>
      <c r="R1270" s="278" t="str">
        <f>IF($X$13="/28",IF(COUNT(P1270:P1271)&lt;=1,"",ABS(P1270-P1271)),IF($X$13="/90",IF(COUNT(#REF!)&lt;=1,"",ABS(#REF!-#REF!))))</f>
        <v/>
      </c>
      <c r="S1270" s="278" t="str">
        <f>IF($X$13="/28",IF(Q1270="","",IF(AVERAGE(Q1266:Q1271)&gt;=$W$13,ROUND(AVERAGE(Q1266:Q1271),1)&amp;" ≥ "&amp;$W$13&amp;" OK",ROUND(AVERAGE(Q1266:Q1271),1)&amp;" &lt; "&amp;$W$13&amp;" NC")),IF($X$13="/90",IF(#REF!="","",IF(AVERAGE(#REF!)&gt;=$W$13,ROUND(AVERAGE(#REF!),1)&amp;" ≥ "&amp;$W$13&amp;" OK",ROUND(AVERAGE(#REF!),1)&amp;" &lt; "&amp;$W$13&amp;" NC"))))</f>
        <v/>
      </c>
      <c r="T1270" s="278" t="str">
        <f>IF($X$13="/28",IF(Q1270="","",IF(Q1270&gt;=$W$13-$S$12,ROUND((Q1270),1)&amp;" ≥ "&amp;$W$13-$S$12&amp;" OK",ROUND((Q1270),1)&amp;" &lt; "&amp;$W$13-$S$12&amp;" NC")),IF($X$13="/90",IF(#REF!="","",IF(#REF!&gt;=$W$13-$S$12,ROUND((#REF!),1)&amp;" ≥ "&amp;$W$13-$S$12&amp;" OK",ROUND((#REF!),1)&amp;" &lt; "&amp;$W$13-$S$12&amp;" NC"))))</f>
        <v/>
      </c>
      <c r="U1270" s="14"/>
      <c r="V1270" s="279"/>
      <c r="W1270" s="280"/>
      <c r="X1270" s="281"/>
      <c r="Y1270" s="246"/>
      <c r="Z1270" s="246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BP1270" s="390" t="str">
        <f>IF($X$13="/28",IF(Q1270="","",Q1270),IF($X$13="/90",IF(#REF!="","",#REF!),"Falso"))</f>
        <v/>
      </c>
      <c r="BQ1270" s="392" t="str">
        <f t="shared" si="1908"/>
        <v/>
      </c>
    </row>
    <row r="1271" spans="1:69" ht="14.25" customHeight="1" x14ac:dyDescent="0.35">
      <c r="A1271" s="294"/>
      <c r="B1271" s="296"/>
      <c r="C1271" s="298"/>
      <c r="D1271" s="300"/>
      <c r="E1271" s="302"/>
      <c r="F1271" s="304"/>
      <c r="G1271" s="276"/>
      <c r="H1271" s="277"/>
      <c r="I1271" s="290"/>
      <c r="J1271" s="290"/>
      <c r="K1271" s="291"/>
      <c r="L1271" s="17"/>
      <c r="M1271" s="286"/>
      <c r="N1271" s="21"/>
      <c r="O1271" s="286"/>
      <c r="P1271" s="21"/>
      <c r="Q1271" s="286"/>
      <c r="R1271" s="248"/>
      <c r="S1271" s="287"/>
      <c r="T1271" s="248"/>
      <c r="U1271" s="13"/>
      <c r="V1271" s="282"/>
      <c r="W1271" s="283"/>
      <c r="X1271" s="284"/>
      <c r="Y1271" s="245"/>
      <c r="Z1271" s="245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BP1271" s="391"/>
      <c r="BQ1271" s="393"/>
    </row>
    <row r="1272" spans="1:69" ht="14.25" customHeight="1" x14ac:dyDescent="0.35">
      <c r="A1272" s="293">
        <v>628</v>
      </c>
      <c r="B1272" s="295"/>
      <c r="C1272" s="297"/>
      <c r="D1272" s="299"/>
      <c r="E1272" s="301"/>
      <c r="F1272" s="303"/>
      <c r="G1272" s="288"/>
      <c r="H1272" s="289"/>
      <c r="I1272" s="290"/>
      <c r="J1272" s="290"/>
      <c r="K1272" s="291"/>
      <c r="L1272" s="18"/>
      <c r="M1272" s="285" t="str">
        <f t="shared" ref="M1272" si="1981">IF(COUNT(L1272:L1273)&lt;1,"",AVERAGE(L1272:L1273))</f>
        <v/>
      </c>
      <c r="N1272" s="22"/>
      <c r="O1272" s="285" t="str">
        <f t="shared" ref="O1272" si="1982">IF(COUNT(N1272:N1273)&lt;1,"",AVERAGE(N1272:N1273))</f>
        <v/>
      </c>
      <c r="P1272" s="22"/>
      <c r="Q1272" s="285" t="str">
        <f t="shared" ref="Q1272" si="1983">IF(COUNT(P1272:P1273)&lt;1,"",AVERAGE(P1272:P1273))</f>
        <v/>
      </c>
      <c r="R1272" s="278" t="str">
        <f>IF($X$13="/28",IF(COUNT(P1272:P1273)&lt;=1,"",ABS(P1272-P1273)),IF($X$13="/90",IF(COUNT(#REF!)&lt;=1,"",ABS(#REF!-#REF!))))</f>
        <v/>
      </c>
      <c r="S1272" s="278" t="str">
        <f>IF($X$13="/28",IF(Q1272="","",IF(AVERAGE(Q1268:Q1273)&gt;=$W$13,ROUND(AVERAGE(Q1268:Q1273),1)&amp;" ≥ "&amp;$W$13&amp;" OK",ROUND(AVERAGE(Q1268:Q1273),1)&amp;" &lt; "&amp;$W$13&amp;" NC")),IF($X$13="/90",IF(#REF!="","",IF(AVERAGE(#REF!)&gt;=$W$13,ROUND(AVERAGE(#REF!),1)&amp;" ≥ "&amp;$W$13&amp;" OK",ROUND(AVERAGE(#REF!),1)&amp;" &lt; "&amp;$W$13&amp;" NC"))))</f>
        <v/>
      </c>
      <c r="T1272" s="278" t="str">
        <f>IF($X$13="/28",IF(Q1272="","",IF(Q1272&gt;=$W$13-$S$12,ROUND((Q1272),1)&amp;" ≥ "&amp;$W$13-$S$12&amp;" OK",ROUND((Q1272),1)&amp;" &lt; "&amp;$W$13-$S$12&amp;" NC")),IF($X$13="/90",IF(#REF!="","",IF(#REF!&gt;=$W$13-$S$12,ROUND((#REF!),1)&amp;" ≥ "&amp;$W$13-$S$12&amp;" OK",ROUND((#REF!),1)&amp;" &lt; "&amp;$W$13-$S$12&amp;" NC"))))</f>
        <v/>
      </c>
      <c r="U1272" s="14"/>
      <c r="V1272" s="279"/>
      <c r="W1272" s="280"/>
      <c r="X1272" s="281"/>
      <c r="Y1272" s="246"/>
      <c r="Z1272" s="246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BP1272" s="390" t="str">
        <f>IF($X$13="/28",IF(Q1272="","",Q1272),IF($X$13="/90",IF(#REF!="","",#REF!),"Falso"))</f>
        <v/>
      </c>
      <c r="BQ1272" s="392" t="str">
        <f t="shared" si="1900"/>
        <v/>
      </c>
    </row>
    <row r="1273" spans="1:69" ht="14.25" customHeight="1" x14ac:dyDescent="0.35">
      <c r="A1273" s="294"/>
      <c r="B1273" s="296"/>
      <c r="C1273" s="298"/>
      <c r="D1273" s="300"/>
      <c r="E1273" s="302"/>
      <c r="F1273" s="304"/>
      <c r="G1273" s="276"/>
      <c r="H1273" s="277"/>
      <c r="I1273" s="290"/>
      <c r="J1273" s="290"/>
      <c r="K1273" s="291"/>
      <c r="L1273" s="17"/>
      <c r="M1273" s="286"/>
      <c r="N1273" s="21"/>
      <c r="O1273" s="286"/>
      <c r="P1273" s="21"/>
      <c r="Q1273" s="286"/>
      <c r="R1273" s="248"/>
      <c r="S1273" s="287"/>
      <c r="T1273" s="248"/>
      <c r="U1273" s="13"/>
      <c r="V1273" s="282"/>
      <c r="W1273" s="283"/>
      <c r="X1273" s="284"/>
      <c r="Y1273" s="245"/>
      <c r="Z1273" s="245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BP1273" s="391"/>
      <c r="BQ1273" s="393"/>
    </row>
    <row r="1274" spans="1:69" ht="14.25" customHeight="1" x14ac:dyDescent="0.35">
      <c r="A1274" s="293">
        <v>629</v>
      </c>
      <c r="B1274" s="295"/>
      <c r="C1274" s="297"/>
      <c r="D1274" s="299"/>
      <c r="E1274" s="301"/>
      <c r="F1274" s="303"/>
      <c r="G1274" s="288"/>
      <c r="H1274" s="289"/>
      <c r="I1274" s="290"/>
      <c r="J1274" s="290"/>
      <c r="K1274" s="291"/>
      <c r="L1274" s="18"/>
      <c r="M1274" s="285" t="str">
        <f t="shared" ref="M1274" si="1984">IF(COUNT(L1274:L1275)&lt;1,"",AVERAGE(L1274:L1275))</f>
        <v/>
      </c>
      <c r="N1274" s="22"/>
      <c r="O1274" s="285" t="str">
        <f t="shared" ref="O1274" si="1985">IF(COUNT(N1274:N1275)&lt;1,"",AVERAGE(N1274:N1275))</f>
        <v/>
      </c>
      <c r="P1274" s="22"/>
      <c r="Q1274" s="285" t="str">
        <f t="shared" ref="Q1274" si="1986">IF(COUNT(P1274:P1275)&lt;1,"",AVERAGE(P1274:P1275))</f>
        <v/>
      </c>
      <c r="R1274" s="278" t="str">
        <f>IF($X$13="/28",IF(COUNT(P1274:P1275)&lt;=1,"",ABS(P1274-P1275)),IF($X$13="/90",IF(COUNT(#REF!)&lt;=1,"",ABS(#REF!-#REF!))))</f>
        <v/>
      </c>
      <c r="S1274" s="278" t="str">
        <f>IF($X$13="/28",IF(Q1274="","",IF(AVERAGE(Q1270:Q1275)&gt;=$W$13,ROUND(AVERAGE(Q1270:Q1275),1)&amp;" ≥ "&amp;$W$13&amp;" OK",ROUND(AVERAGE(Q1270:Q1275),1)&amp;" &lt; "&amp;$W$13&amp;" NC")),IF($X$13="/90",IF(#REF!="","",IF(AVERAGE(#REF!)&gt;=$W$13,ROUND(AVERAGE(#REF!),1)&amp;" ≥ "&amp;$W$13&amp;" OK",ROUND(AVERAGE(#REF!),1)&amp;" &lt; "&amp;$W$13&amp;" NC"))))</f>
        <v/>
      </c>
      <c r="T1274" s="278" t="str">
        <f>IF($X$13="/28",IF(Q1274="","",IF(Q1274&gt;=$W$13-$S$12,ROUND((Q1274),1)&amp;" ≥ "&amp;$W$13-$S$12&amp;" OK",ROUND((Q1274),1)&amp;" &lt; "&amp;$W$13-$S$12&amp;" NC")),IF($X$13="/90",IF(#REF!="","",IF(#REF!&gt;=$W$13-$S$12,ROUND((#REF!),1)&amp;" ≥ "&amp;$W$13-$S$12&amp;" OK",ROUND((#REF!),1)&amp;" &lt; "&amp;$W$13-$S$12&amp;" NC"))))</f>
        <v/>
      </c>
      <c r="U1274" s="14"/>
      <c r="V1274" s="279"/>
      <c r="W1274" s="280"/>
      <c r="X1274" s="281"/>
      <c r="Y1274" s="246"/>
      <c r="Z1274" s="246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BP1274" s="390" t="str">
        <f>IF($X$13="/28",IF(Q1274="","",Q1274),IF($X$13="/90",IF(#REF!="","",#REF!),"Falso"))</f>
        <v/>
      </c>
      <c r="BQ1274" s="392" t="str">
        <f t="shared" si="1904"/>
        <v/>
      </c>
    </row>
    <row r="1275" spans="1:69" ht="14.25" customHeight="1" x14ac:dyDescent="0.35">
      <c r="A1275" s="294"/>
      <c r="B1275" s="296"/>
      <c r="C1275" s="298"/>
      <c r="D1275" s="300"/>
      <c r="E1275" s="302"/>
      <c r="F1275" s="304"/>
      <c r="G1275" s="276"/>
      <c r="H1275" s="277"/>
      <c r="I1275" s="290"/>
      <c r="J1275" s="290"/>
      <c r="K1275" s="291"/>
      <c r="L1275" s="17"/>
      <c r="M1275" s="286"/>
      <c r="N1275" s="21"/>
      <c r="O1275" s="286"/>
      <c r="P1275" s="21"/>
      <c r="Q1275" s="286"/>
      <c r="R1275" s="248"/>
      <c r="S1275" s="287"/>
      <c r="T1275" s="248"/>
      <c r="U1275" s="13"/>
      <c r="V1275" s="282"/>
      <c r="W1275" s="283"/>
      <c r="X1275" s="284"/>
      <c r="Y1275" s="245"/>
      <c r="Z1275" s="245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BP1275" s="391"/>
      <c r="BQ1275" s="393"/>
    </row>
    <row r="1276" spans="1:69" ht="14.25" customHeight="1" x14ac:dyDescent="0.35">
      <c r="A1276" s="293">
        <v>630</v>
      </c>
      <c r="B1276" s="295"/>
      <c r="C1276" s="297"/>
      <c r="D1276" s="299"/>
      <c r="E1276" s="301"/>
      <c r="F1276" s="303"/>
      <c r="G1276" s="288"/>
      <c r="H1276" s="289"/>
      <c r="I1276" s="290"/>
      <c r="J1276" s="290"/>
      <c r="K1276" s="291"/>
      <c r="L1276" s="18"/>
      <c r="M1276" s="285" t="str">
        <f t="shared" ref="M1276" si="1987">IF(COUNT(L1276:L1277)&lt;1,"",AVERAGE(L1276:L1277))</f>
        <v/>
      </c>
      <c r="N1276" s="22"/>
      <c r="O1276" s="285" t="str">
        <f t="shared" ref="O1276" si="1988">IF(COUNT(N1276:N1277)&lt;1,"",AVERAGE(N1276:N1277))</f>
        <v/>
      </c>
      <c r="P1276" s="22"/>
      <c r="Q1276" s="285" t="str">
        <f t="shared" ref="Q1276" si="1989">IF(COUNT(P1276:P1277)&lt;1,"",AVERAGE(P1276:P1277))</f>
        <v/>
      </c>
      <c r="R1276" s="278" t="str">
        <f>IF($X$13="/28",IF(COUNT(P1276:P1277)&lt;=1,"",ABS(P1276-P1277)),IF($X$13="/90",IF(COUNT(#REF!)&lt;=1,"",ABS(#REF!-#REF!))))</f>
        <v/>
      </c>
      <c r="S1276" s="278" t="str">
        <f>IF($X$13="/28",IF(Q1276="","",IF(AVERAGE(Q1272:Q1277)&gt;=$W$13,ROUND(AVERAGE(Q1272:Q1277),1)&amp;" ≥ "&amp;$W$13&amp;" OK",ROUND(AVERAGE(Q1272:Q1277),1)&amp;" &lt; "&amp;$W$13&amp;" NC")),IF($X$13="/90",IF(#REF!="","",IF(AVERAGE(#REF!)&gt;=$W$13,ROUND(AVERAGE(#REF!),1)&amp;" ≥ "&amp;$W$13&amp;" OK",ROUND(AVERAGE(#REF!),1)&amp;" &lt; "&amp;$W$13&amp;" NC"))))</f>
        <v/>
      </c>
      <c r="T1276" s="278" t="str">
        <f>IF($X$13="/28",IF(Q1276="","",IF(Q1276&gt;=$W$13-$S$12,ROUND((Q1276),1)&amp;" ≥ "&amp;$W$13-$S$12&amp;" OK",ROUND((Q1276),1)&amp;" &lt; "&amp;$W$13-$S$12&amp;" NC")),IF($X$13="/90",IF(#REF!="","",IF(#REF!&gt;=$W$13-$S$12,ROUND((#REF!),1)&amp;" ≥ "&amp;$W$13-$S$12&amp;" OK",ROUND((#REF!),1)&amp;" &lt; "&amp;$W$13-$S$12&amp;" NC"))))</f>
        <v/>
      </c>
      <c r="U1276" s="14"/>
      <c r="V1276" s="279"/>
      <c r="W1276" s="280"/>
      <c r="X1276" s="281"/>
      <c r="Y1276" s="246"/>
      <c r="Z1276" s="246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BP1276" s="390" t="str">
        <f>IF($X$13="/28",IF(Q1276="","",Q1276),IF($X$13="/90",IF(#REF!="","",#REF!),"Falso"))</f>
        <v/>
      </c>
      <c r="BQ1276" s="392" t="str">
        <f t="shared" si="1908"/>
        <v/>
      </c>
    </row>
    <row r="1277" spans="1:69" ht="14.25" customHeight="1" thickBot="1" x14ac:dyDescent="0.4">
      <c r="A1277" s="384"/>
      <c r="B1277" s="385"/>
      <c r="C1277" s="386"/>
      <c r="D1277" s="387"/>
      <c r="E1277" s="388"/>
      <c r="F1277" s="389"/>
      <c r="G1277" s="377"/>
      <c r="H1277" s="378"/>
      <c r="I1277" s="382"/>
      <c r="J1277" s="382"/>
      <c r="K1277" s="383"/>
      <c r="L1277" s="19"/>
      <c r="M1277" s="379"/>
      <c r="N1277" s="23"/>
      <c r="O1277" s="379"/>
      <c r="P1277" s="23"/>
      <c r="Q1277" s="379"/>
      <c r="R1277" s="380"/>
      <c r="S1277" s="381"/>
      <c r="T1277" s="380"/>
      <c r="U1277" s="15"/>
      <c r="V1277" s="373"/>
      <c r="W1277" s="374"/>
      <c r="X1277" s="375"/>
      <c r="Y1277" s="376"/>
      <c r="Z1277" s="376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BP1277" s="391"/>
      <c r="BQ1277" s="393"/>
    </row>
    <row r="1278" spans="1:69" ht="14.25" customHeight="1" x14ac:dyDescent="0.35">
      <c r="A1278" s="311">
        <v>631</v>
      </c>
      <c r="B1278" s="312"/>
      <c r="C1278" s="313"/>
      <c r="D1278" s="314"/>
      <c r="E1278" s="315"/>
      <c r="F1278" s="353"/>
      <c r="G1278" s="354"/>
      <c r="H1278" s="355"/>
      <c r="I1278" s="356"/>
      <c r="J1278" s="356"/>
      <c r="K1278" s="357"/>
      <c r="L1278" s="16"/>
      <c r="M1278" s="352" t="str">
        <f t="shared" ref="M1278" si="1990">IF(COUNT(L1278:L1279)&lt;1,"",AVERAGE(L1278:L1279))</f>
        <v/>
      </c>
      <c r="N1278" s="20"/>
      <c r="O1278" s="352" t="str">
        <f t="shared" ref="O1278" si="1991">IF(COUNT(N1278:N1279)&lt;1,"",AVERAGE(N1278:N1279))</f>
        <v/>
      </c>
      <c r="P1278" s="20"/>
      <c r="Q1278" s="352" t="str">
        <f t="shared" ref="Q1278" si="1992">IF(COUNT(P1278:P1279)&lt;1,"",AVERAGE(P1278:P1279))</f>
        <v/>
      </c>
      <c r="R1278" s="247" t="str">
        <f>IF($X$13="/28",IF(COUNT(P1278:P1279)&lt;=1,"",ABS(P1278-P1279)),IF($X$13="/90",IF(COUNT(#REF!)&lt;=1,"",ABS(#REF!-#REF!))))</f>
        <v/>
      </c>
      <c r="S1278" s="247" t="str">
        <f>IF($X$13="/28",IF(Q1278="","",IF(AVERAGE(Q1274:Q1279)&gt;=$W$13,ROUND(AVERAGE(Q1274:Q1279),1)&amp;" ≥ "&amp;$W$13&amp;" OK",ROUND(AVERAGE(Q1274:Q1279),1)&amp;" &lt; "&amp;$W$13&amp;" NC")),IF($X$13="/90",IF(#REF!="","",IF(AVERAGE(#REF!)&gt;=$W$13,ROUND(AVERAGE(#REF!),1)&amp;" ≥ "&amp;$W$13&amp;" OK",ROUND(AVERAGE(#REF!),1)&amp;" &lt; "&amp;$W$13&amp;" NC"))))</f>
        <v/>
      </c>
      <c r="T1278" s="247" t="str">
        <f>IF($X$13="/28",IF(Q1278="","",IF(Q1278&gt;=$W$13-$S$12,ROUND((Q1278),1)&amp;" ≥ "&amp;$W$13-$S$12&amp;" OK",ROUND((Q1278),1)&amp;" &lt; "&amp;$W$13-$S$12&amp;" NC")),IF($X$13="/90",IF(#REF!="","",IF(#REF!&gt;=$W$13-$S$12,ROUND((#REF!),1)&amp;" ≥ "&amp;$W$13-$S$12&amp;" OK",ROUND((#REF!),1)&amp;" &lt; "&amp;$W$13-$S$12&amp;" NC"))))</f>
        <v/>
      </c>
      <c r="U1278" s="12"/>
      <c r="V1278" s="349"/>
      <c r="W1278" s="350"/>
      <c r="X1278" s="351"/>
      <c r="Y1278" s="244"/>
      <c r="Z1278" s="244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BP1278" s="390" t="str">
        <f>IF($X$13="/28",IF(Q1278="","",Q1278),IF($X$13="/90",IF(#REF!="","",#REF!),"Falso"))</f>
        <v/>
      </c>
      <c r="BQ1278" s="392" t="str">
        <f t="shared" si="1900"/>
        <v/>
      </c>
    </row>
    <row r="1279" spans="1:69" ht="14.25" customHeight="1" x14ac:dyDescent="0.35">
      <c r="A1279" s="294"/>
      <c r="B1279" s="296"/>
      <c r="C1279" s="298"/>
      <c r="D1279" s="300"/>
      <c r="E1279" s="302"/>
      <c r="F1279" s="304"/>
      <c r="G1279" s="276"/>
      <c r="H1279" s="277"/>
      <c r="I1279" s="290"/>
      <c r="J1279" s="290"/>
      <c r="K1279" s="291"/>
      <c r="L1279" s="17"/>
      <c r="M1279" s="286"/>
      <c r="N1279" s="21"/>
      <c r="O1279" s="286"/>
      <c r="P1279" s="21"/>
      <c r="Q1279" s="286"/>
      <c r="R1279" s="248"/>
      <c r="S1279" s="248"/>
      <c r="T1279" s="248"/>
      <c r="U1279" s="13"/>
      <c r="V1279" s="282"/>
      <c r="W1279" s="283"/>
      <c r="X1279" s="284"/>
      <c r="Y1279" s="245"/>
      <c r="Z1279" s="245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BP1279" s="391"/>
      <c r="BQ1279" s="393"/>
    </row>
    <row r="1280" spans="1:69" ht="14.25" customHeight="1" x14ac:dyDescent="0.35">
      <c r="A1280" s="293">
        <v>632</v>
      </c>
      <c r="B1280" s="295"/>
      <c r="C1280" s="297"/>
      <c r="D1280" s="299"/>
      <c r="E1280" s="301"/>
      <c r="F1280" s="303"/>
      <c r="G1280" s="288"/>
      <c r="H1280" s="289"/>
      <c r="I1280" s="290"/>
      <c r="J1280" s="290"/>
      <c r="K1280" s="291"/>
      <c r="L1280" s="18"/>
      <c r="M1280" s="285" t="str">
        <f t="shared" ref="M1280" si="1993">IF(COUNT(L1280:L1281)&lt;1,"",AVERAGE(L1280:L1281))</f>
        <v/>
      </c>
      <c r="N1280" s="22"/>
      <c r="O1280" s="285" t="str">
        <f t="shared" ref="O1280" si="1994">IF(COUNT(N1280:N1281)&lt;1,"",AVERAGE(N1280:N1281))</f>
        <v/>
      </c>
      <c r="P1280" s="22"/>
      <c r="Q1280" s="285" t="str">
        <f t="shared" ref="Q1280" si="1995">IF(COUNT(P1280:P1281)&lt;1,"",AVERAGE(P1280:P1281))</f>
        <v/>
      </c>
      <c r="R1280" s="278" t="str">
        <f>IF($X$13="/28",IF(COUNT(P1280:P1281)&lt;=1,"",ABS(P1280-P1281)),IF($X$13="/90",IF(COUNT(#REF!)&lt;=1,"",ABS(#REF!-#REF!))))</f>
        <v/>
      </c>
      <c r="S1280" s="278" t="str">
        <f>IF($X$13="/28",IF(Q1280="","",IF(AVERAGE(Q1276:Q1281)&gt;=$W$13,ROUND(AVERAGE(Q1276:Q1281),1)&amp;" ≥ "&amp;$W$13&amp;" OK",ROUND(AVERAGE(Q1276:Q1281),1)&amp;" &lt; "&amp;$W$13&amp;" NC")),IF($X$13="/90",IF(#REF!="","",IF(AVERAGE(#REF!)&gt;=$W$13,ROUND(AVERAGE(#REF!),1)&amp;" ≥ "&amp;$W$13&amp;" OK",ROUND(AVERAGE(#REF!),1)&amp;" &lt; "&amp;$W$13&amp;" NC"))))</f>
        <v/>
      </c>
      <c r="T1280" s="278" t="str">
        <f>IF($X$13="/28",IF(Q1280="","",IF(Q1280&gt;=$W$13-$S$12,ROUND((Q1280),1)&amp;" ≥ "&amp;$W$13-$S$12&amp;" OK",ROUND((Q1280),1)&amp;" &lt; "&amp;$W$13-$S$12&amp;" NC")),IF($X$13="/90",IF(#REF!="","",IF(#REF!&gt;=$W$13-$S$12,ROUND((#REF!),1)&amp;" ≥ "&amp;$W$13-$S$12&amp;" OK",ROUND((#REF!),1)&amp;" &lt; "&amp;$W$13-$S$12&amp;" NC"))))</f>
        <v/>
      </c>
      <c r="U1280" s="14"/>
      <c r="V1280" s="279"/>
      <c r="W1280" s="280"/>
      <c r="X1280" s="281"/>
      <c r="Y1280" s="246"/>
      <c r="Z1280" s="246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BP1280" s="390" t="str">
        <f>IF($X$13="/28",IF(Q1280="","",Q1280),IF($X$13="/90",IF(#REF!="","",#REF!),"Falso"))</f>
        <v/>
      </c>
      <c r="BQ1280" s="392" t="str">
        <f t="shared" si="1904"/>
        <v/>
      </c>
    </row>
    <row r="1281" spans="1:69" ht="14.25" customHeight="1" x14ac:dyDescent="0.35">
      <c r="A1281" s="294"/>
      <c r="B1281" s="296"/>
      <c r="C1281" s="298"/>
      <c r="D1281" s="300"/>
      <c r="E1281" s="302"/>
      <c r="F1281" s="304"/>
      <c r="G1281" s="276"/>
      <c r="H1281" s="277"/>
      <c r="I1281" s="290"/>
      <c r="J1281" s="290"/>
      <c r="K1281" s="291"/>
      <c r="L1281" s="17"/>
      <c r="M1281" s="286"/>
      <c r="N1281" s="21"/>
      <c r="O1281" s="286"/>
      <c r="P1281" s="21"/>
      <c r="Q1281" s="286"/>
      <c r="R1281" s="248"/>
      <c r="S1281" s="248"/>
      <c r="T1281" s="248"/>
      <c r="U1281" s="13"/>
      <c r="V1281" s="282"/>
      <c r="W1281" s="283"/>
      <c r="X1281" s="284"/>
      <c r="Y1281" s="245"/>
      <c r="Z1281" s="245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BP1281" s="391"/>
      <c r="BQ1281" s="393"/>
    </row>
    <row r="1282" spans="1:69" ht="14.25" customHeight="1" x14ac:dyDescent="0.35">
      <c r="A1282" s="293">
        <v>633</v>
      </c>
      <c r="B1282" s="295"/>
      <c r="C1282" s="297"/>
      <c r="D1282" s="299"/>
      <c r="E1282" s="301"/>
      <c r="F1282" s="303"/>
      <c r="G1282" s="288"/>
      <c r="H1282" s="289"/>
      <c r="I1282" s="290"/>
      <c r="J1282" s="290"/>
      <c r="K1282" s="291"/>
      <c r="L1282" s="18"/>
      <c r="M1282" s="285" t="str">
        <f t="shared" ref="M1282" si="1996">IF(COUNT(L1282:L1283)&lt;1,"",AVERAGE(L1282:L1283))</f>
        <v/>
      </c>
      <c r="N1282" s="22"/>
      <c r="O1282" s="285" t="str">
        <f t="shared" ref="O1282" si="1997">IF(COUNT(N1282:N1283)&lt;1,"",AVERAGE(N1282:N1283))</f>
        <v/>
      </c>
      <c r="P1282" s="22"/>
      <c r="Q1282" s="285" t="str">
        <f t="shared" ref="Q1282" si="1998">IF(COUNT(P1282:P1283)&lt;1,"",AVERAGE(P1282:P1283))</f>
        <v/>
      </c>
      <c r="R1282" s="278" t="str">
        <f>IF($X$13="/28",IF(COUNT(P1282:P1283)&lt;=1,"",ABS(P1282-P1283)),IF($X$13="/90",IF(COUNT(#REF!)&lt;=1,"",ABS(#REF!-#REF!))))</f>
        <v/>
      </c>
      <c r="S1282" s="278" t="str">
        <f>IF($X$13="/28",IF(Q1282="","",IF(AVERAGE(Q1278:Q1283)&gt;=$W$13,ROUND(AVERAGE(Q1278:Q1283),1)&amp;" ≥ "&amp;$W$13&amp;" OK",ROUND(AVERAGE(Q1278:Q1283),1)&amp;" &lt; "&amp;$W$13&amp;" NC")),IF($X$13="/90",IF(#REF!="","",IF(AVERAGE(#REF!)&gt;=$W$13,ROUND(AVERAGE(#REF!),1)&amp;" ≥ "&amp;$W$13&amp;" OK",ROUND(AVERAGE(#REF!),1)&amp;" &lt; "&amp;$W$13&amp;" NC"))))</f>
        <v/>
      </c>
      <c r="T1282" s="278" t="str">
        <f>IF($X$13="/28",IF(Q1282="","",IF(Q1282&gt;=$W$13-$S$12,ROUND((Q1282),1)&amp;" ≥ "&amp;$W$13-$S$12&amp;" OK",ROUND((Q1282),1)&amp;" &lt; "&amp;$W$13-$S$12&amp;" NC")),IF($X$13="/90",IF(#REF!="","",IF(#REF!&gt;=$W$13-$S$12,ROUND((#REF!),1)&amp;" ≥ "&amp;$W$13-$S$12&amp;" OK",ROUND((#REF!),1)&amp;" &lt; "&amp;$W$13-$S$12&amp;" NC"))))</f>
        <v/>
      </c>
      <c r="U1282" s="14"/>
      <c r="V1282" s="279"/>
      <c r="W1282" s="280"/>
      <c r="X1282" s="281"/>
      <c r="Y1282" s="246"/>
      <c r="Z1282" s="246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BP1282" s="390" t="str">
        <f>IF($X$13="/28",IF(Q1282="","",Q1282),IF($X$13="/90",IF(#REF!="","",#REF!),"Falso"))</f>
        <v/>
      </c>
      <c r="BQ1282" s="392" t="str">
        <f t="shared" si="1908"/>
        <v/>
      </c>
    </row>
    <row r="1283" spans="1:69" ht="14.25" customHeight="1" x14ac:dyDescent="0.35">
      <c r="A1283" s="294"/>
      <c r="B1283" s="296"/>
      <c r="C1283" s="298"/>
      <c r="D1283" s="300"/>
      <c r="E1283" s="302"/>
      <c r="F1283" s="304"/>
      <c r="G1283" s="276"/>
      <c r="H1283" s="277"/>
      <c r="I1283" s="290"/>
      <c r="J1283" s="290"/>
      <c r="K1283" s="291"/>
      <c r="L1283" s="17"/>
      <c r="M1283" s="286"/>
      <c r="N1283" s="21"/>
      <c r="O1283" s="286"/>
      <c r="P1283" s="21"/>
      <c r="Q1283" s="286"/>
      <c r="R1283" s="248"/>
      <c r="S1283" s="287"/>
      <c r="T1283" s="248"/>
      <c r="U1283" s="13"/>
      <c r="V1283" s="282"/>
      <c r="W1283" s="283"/>
      <c r="X1283" s="284"/>
      <c r="Y1283" s="245"/>
      <c r="Z1283" s="245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BP1283" s="391"/>
      <c r="BQ1283" s="393"/>
    </row>
    <row r="1284" spans="1:69" ht="14.25" customHeight="1" x14ac:dyDescent="0.35">
      <c r="A1284" s="293">
        <v>634</v>
      </c>
      <c r="B1284" s="295"/>
      <c r="C1284" s="297"/>
      <c r="D1284" s="299"/>
      <c r="E1284" s="301"/>
      <c r="F1284" s="303"/>
      <c r="G1284" s="288"/>
      <c r="H1284" s="289"/>
      <c r="I1284" s="290"/>
      <c r="J1284" s="290"/>
      <c r="K1284" s="291"/>
      <c r="L1284" s="18"/>
      <c r="M1284" s="285" t="str">
        <f t="shared" ref="M1284" si="1999">IF(COUNT(L1284:L1285)&lt;1,"",AVERAGE(L1284:L1285))</f>
        <v/>
      </c>
      <c r="N1284" s="22"/>
      <c r="O1284" s="285" t="str">
        <f t="shared" ref="O1284" si="2000">IF(COUNT(N1284:N1285)&lt;1,"",AVERAGE(N1284:N1285))</f>
        <v/>
      </c>
      <c r="P1284" s="22"/>
      <c r="Q1284" s="285" t="str">
        <f t="shared" ref="Q1284" si="2001">IF(COUNT(P1284:P1285)&lt;1,"",AVERAGE(P1284:P1285))</f>
        <v/>
      </c>
      <c r="R1284" s="278" t="str">
        <f>IF($X$13="/28",IF(COUNT(P1284:P1285)&lt;=1,"",ABS(P1284-P1285)),IF($X$13="/90",IF(COUNT(#REF!)&lt;=1,"",ABS(#REF!-#REF!))))</f>
        <v/>
      </c>
      <c r="S1284" s="278" t="str">
        <f>IF($X$13="/28",IF(Q1284="","",IF(AVERAGE(Q1280:Q1285)&gt;=$W$13,ROUND(AVERAGE(Q1280:Q1285),1)&amp;" ≥ "&amp;$W$13&amp;" OK",ROUND(AVERAGE(Q1280:Q1285),1)&amp;" &lt; "&amp;$W$13&amp;" NC")),IF($X$13="/90",IF(#REF!="","",IF(AVERAGE(#REF!)&gt;=$W$13,ROUND(AVERAGE(#REF!),1)&amp;" ≥ "&amp;$W$13&amp;" OK",ROUND(AVERAGE(#REF!),1)&amp;" &lt; "&amp;$W$13&amp;" NC"))))</f>
        <v/>
      </c>
      <c r="T1284" s="278" t="str">
        <f>IF($X$13="/28",IF(Q1284="","",IF(Q1284&gt;=$W$13-$S$12,ROUND((Q1284),1)&amp;" ≥ "&amp;$W$13-$S$12&amp;" OK",ROUND((Q1284),1)&amp;" &lt; "&amp;$W$13-$S$12&amp;" NC")),IF($X$13="/90",IF(#REF!="","",IF(#REF!&gt;=$W$13-$S$12,ROUND((#REF!),1)&amp;" ≥ "&amp;$W$13-$S$12&amp;" OK",ROUND((#REF!),1)&amp;" &lt; "&amp;$W$13-$S$12&amp;" NC"))))</f>
        <v/>
      </c>
      <c r="U1284" s="14"/>
      <c r="V1284" s="279"/>
      <c r="W1284" s="280"/>
      <c r="X1284" s="281"/>
      <c r="Y1284" s="246"/>
      <c r="Z1284" s="246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BP1284" s="390" t="str">
        <f>IF($X$13="/28",IF(Q1284="","",Q1284),IF($X$13="/90",IF(#REF!="","",#REF!),"Falso"))</f>
        <v/>
      </c>
      <c r="BQ1284" s="392" t="str">
        <f t="shared" ref="BQ1284:BQ1344" si="2002">IF(BP1284="","",BQ1282+1)</f>
        <v/>
      </c>
    </row>
    <row r="1285" spans="1:69" ht="14.25" customHeight="1" x14ac:dyDescent="0.35">
      <c r="A1285" s="294"/>
      <c r="B1285" s="296"/>
      <c r="C1285" s="298"/>
      <c r="D1285" s="300"/>
      <c r="E1285" s="302"/>
      <c r="F1285" s="304"/>
      <c r="G1285" s="276"/>
      <c r="H1285" s="277"/>
      <c r="I1285" s="290"/>
      <c r="J1285" s="290"/>
      <c r="K1285" s="291"/>
      <c r="L1285" s="17"/>
      <c r="M1285" s="286"/>
      <c r="N1285" s="21"/>
      <c r="O1285" s="286"/>
      <c r="P1285" s="21"/>
      <c r="Q1285" s="286"/>
      <c r="R1285" s="248"/>
      <c r="S1285" s="287"/>
      <c r="T1285" s="248"/>
      <c r="U1285" s="13"/>
      <c r="V1285" s="282"/>
      <c r="W1285" s="283"/>
      <c r="X1285" s="284"/>
      <c r="Y1285" s="245"/>
      <c r="Z1285" s="245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BP1285" s="391"/>
      <c r="BQ1285" s="393"/>
    </row>
    <row r="1286" spans="1:69" ht="14.25" customHeight="1" x14ac:dyDescent="0.35">
      <c r="A1286" s="293">
        <v>635</v>
      </c>
      <c r="B1286" s="295"/>
      <c r="C1286" s="297"/>
      <c r="D1286" s="299"/>
      <c r="E1286" s="301"/>
      <c r="F1286" s="303"/>
      <c r="G1286" s="288"/>
      <c r="H1286" s="289"/>
      <c r="I1286" s="290"/>
      <c r="J1286" s="290"/>
      <c r="K1286" s="291"/>
      <c r="L1286" s="18"/>
      <c r="M1286" s="285" t="str">
        <f t="shared" ref="M1286" si="2003">IF(COUNT(L1286:L1287)&lt;1,"",AVERAGE(L1286:L1287))</f>
        <v/>
      </c>
      <c r="N1286" s="22"/>
      <c r="O1286" s="285" t="str">
        <f t="shared" ref="O1286" si="2004">IF(COUNT(N1286:N1287)&lt;1,"",AVERAGE(N1286:N1287))</f>
        <v/>
      </c>
      <c r="P1286" s="22"/>
      <c r="Q1286" s="285" t="str">
        <f t="shared" ref="Q1286" si="2005">IF(COUNT(P1286:P1287)&lt;1,"",AVERAGE(P1286:P1287))</f>
        <v/>
      </c>
      <c r="R1286" s="278" t="str">
        <f>IF($X$13="/28",IF(COUNT(P1286:P1287)&lt;=1,"",ABS(P1286-P1287)),IF($X$13="/90",IF(COUNT(#REF!)&lt;=1,"",ABS(#REF!-#REF!))))</f>
        <v/>
      </c>
      <c r="S1286" s="278" t="str">
        <f>IF($X$13="/28",IF(Q1286="","",IF(AVERAGE(Q1282:Q1287)&gt;=$W$13,ROUND(AVERAGE(Q1282:Q1287),1)&amp;" ≥ "&amp;$W$13&amp;" OK",ROUND(AVERAGE(Q1282:Q1287),1)&amp;" &lt; "&amp;$W$13&amp;" NC")),IF($X$13="/90",IF(#REF!="","",IF(AVERAGE(#REF!)&gt;=$W$13,ROUND(AVERAGE(#REF!),1)&amp;" ≥ "&amp;$W$13&amp;" OK",ROUND(AVERAGE(#REF!),1)&amp;" &lt; "&amp;$W$13&amp;" NC"))))</f>
        <v/>
      </c>
      <c r="T1286" s="278" t="str">
        <f>IF($X$13="/28",IF(Q1286="","",IF(Q1286&gt;=$W$13-$S$12,ROUND((Q1286),1)&amp;" ≥ "&amp;$W$13-$S$12&amp;" OK",ROUND((Q1286),1)&amp;" &lt; "&amp;$W$13-$S$12&amp;" NC")),IF($X$13="/90",IF(#REF!="","",IF(#REF!&gt;=$W$13-$S$12,ROUND((#REF!),1)&amp;" ≥ "&amp;$W$13-$S$12&amp;" OK",ROUND((#REF!),1)&amp;" &lt; "&amp;$W$13-$S$12&amp;" NC"))))</f>
        <v/>
      </c>
      <c r="U1286" s="14"/>
      <c r="V1286" s="279"/>
      <c r="W1286" s="280"/>
      <c r="X1286" s="281"/>
      <c r="Y1286" s="246"/>
      <c r="Z1286" s="246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BP1286" s="390" t="str">
        <f>IF($X$13="/28",IF(Q1286="","",Q1286),IF($X$13="/90",IF(#REF!="","",#REF!),"Falso"))</f>
        <v/>
      </c>
      <c r="BQ1286" s="392" t="str">
        <f t="shared" ref="BQ1286:BQ1346" si="2006">IF(BP1286="","",BQ1284+1)</f>
        <v/>
      </c>
    </row>
    <row r="1287" spans="1:69" ht="14.25" customHeight="1" x14ac:dyDescent="0.35">
      <c r="A1287" s="294"/>
      <c r="B1287" s="296"/>
      <c r="C1287" s="298"/>
      <c r="D1287" s="300"/>
      <c r="E1287" s="302"/>
      <c r="F1287" s="304"/>
      <c r="G1287" s="276"/>
      <c r="H1287" s="277"/>
      <c r="I1287" s="290"/>
      <c r="J1287" s="290"/>
      <c r="K1287" s="291"/>
      <c r="L1287" s="17"/>
      <c r="M1287" s="286"/>
      <c r="N1287" s="21"/>
      <c r="O1287" s="286"/>
      <c r="P1287" s="21"/>
      <c r="Q1287" s="286"/>
      <c r="R1287" s="248"/>
      <c r="S1287" s="287"/>
      <c r="T1287" s="248"/>
      <c r="U1287" s="13"/>
      <c r="V1287" s="282"/>
      <c r="W1287" s="283"/>
      <c r="X1287" s="284"/>
      <c r="Y1287" s="245"/>
      <c r="Z1287" s="245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BP1287" s="391"/>
      <c r="BQ1287" s="393"/>
    </row>
    <row r="1288" spans="1:69" ht="14.25" customHeight="1" x14ac:dyDescent="0.35">
      <c r="A1288" s="293">
        <v>636</v>
      </c>
      <c r="B1288" s="295"/>
      <c r="C1288" s="297"/>
      <c r="D1288" s="299"/>
      <c r="E1288" s="301"/>
      <c r="F1288" s="303"/>
      <c r="G1288" s="288"/>
      <c r="H1288" s="289"/>
      <c r="I1288" s="290"/>
      <c r="J1288" s="290"/>
      <c r="K1288" s="291"/>
      <c r="L1288" s="18"/>
      <c r="M1288" s="285" t="str">
        <f t="shared" ref="M1288" si="2007">IF(COUNT(L1288:L1289)&lt;1,"",AVERAGE(L1288:L1289))</f>
        <v/>
      </c>
      <c r="N1288" s="22"/>
      <c r="O1288" s="285" t="str">
        <f t="shared" ref="O1288" si="2008">IF(COUNT(N1288:N1289)&lt;1,"",AVERAGE(N1288:N1289))</f>
        <v/>
      </c>
      <c r="P1288" s="22"/>
      <c r="Q1288" s="285" t="str">
        <f t="shared" ref="Q1288" si="2009">IF(COUNT(P1288:P1289)&lt;1,"",AVERAGE(P1288:P1289))</f>
        <v/>
      </c>
      <c r="R1288" s="278" t="str">
        <f>IF($X$13="/28",IF(COUNT(P1288:P1289)&lt;=1,"",ABS(P1288-P1289)),IF($X$13="/90",IF(COUNT(#REF!)&lt;=1,"",ABS(#REF!-#REF!))))</f>
        <v/>
      </c>
      <c r="S1288" s="278" t="str">
        <f>IF($X$13="/28",IF(Q1288="","",IF(AVERAGE(Q1284:Q1289)&gt;=$W$13,ROUND(AVERAGE(Q1284:Q1289),1)&amp;" ≥ "&amp;$W$13&amp;" OK",ROUND(AVERAGE(Q1284:Q1289),1)&amp;" &lt; "&amp;$W$13&amp;" NC")),IF($X$13="/90",IF(#REF!="","",IF(AVERAGE(#REF!)&gt;=$W$13,ROUND(AVERAGE(#REF!),1)&amp;" ≥ "&amp;$W$13&amp;" OK",ROUND(AVERAGE(#REF!),1)&amp;" &lt; "&amp;$W$13&amp;" NC"))))</f>
        <v/>
      </c>
      <c r="T1288" s="278" t="str">
        <f>IF($X$13="/28",IF(Q1288="","",IF(Q1288&gt;=$W$13-$S$12,ROUND((Q1288),1)&amp;" ≥ "&amp;$W$13-$S$12&amp;" OK",ROUND((Q1288),1)&amp;" &lt; "&amp;$W$13-$S$12&amp;" NC")),IF($X$13="/90",IF(#REF!="","",IF(#REF!&gt;=$W$13-$S$12,ROUND((#REF!),1)&amp;" ≥ "&amp;$W$13-$S$12&amp;" OK",ROUND((#REF!),1)&amp;" &lt; "&amp;$W$13-$S$12&amp;" NC"))))</f>
        <v/>
      </c>
      <c r="U1288" s="14"/>
      <c r="V1288" s="279"/>
      <c r="W1288" s="280"/>
      <c r="X1288" s="281"/>
      <c r="Y1288" s="246"/>
      <c r="Z1288" s="246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BP1288" s="390" t="str">
        <f>IF($X$13="/28",IF(Q1288="","",Q1288),IF($X$13="/90",IF(#REF!="","",#REF!),"Falso"))</f>
        <v/>
      </c>
      <c r="BQ1288" s="392" t="str">
        <f t="shared" ref="BQ1288:BQ1348" si="2010">IF(BP1288="","",BQ1286+1)</f>
        <v/>
      </c>
    </row>
    <row r="1289" spans="1:69" ht="14.25" customHeight="1" x14ac:dyDescent="0.35">
      <c r="A1289" s="294"/>
      <c r="B1289" s="296"/>
      <c r="C1289" s="298"/>
      <c r="D1289" s="300"/>
      <c r="E1289" s="302"/>
      <c r="F1289" s="304"/>
      <c r="G1289" s="276"/>
      <c r="H1289" s="277"/>
      <c r="I1289" s="290"/>
      <c r="J1289" s="290"/>
      <c r="K1289" s="291"/>
      <c r="L1289" s="17"/>
      <c r="M1289" s="286"/>
      <c r="N1289" s="21"/>
      <c r="O1289" s="286"/>
      <c r="P1289" s="21"/>
      <c r="Q1289" s="286"/>
      <c r="R1289" s="248"/>
      <c r="S1289" s="287"/>
      <c r="T1289" s="248"/>
      <c r="U1289" s="13"/>
      <c r="V1289" s="282"/>
      <c r="W1289" s="283"/>
      <c r="X1289" s="284"/>
      <c r="Y1289" s="245"/>
      <c r="Z1289" s="245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BP1289" s="391"/>
      <c r="BQ1289" s="393"/>
    </row>
    <row r="1290" spans="1:69" ht="14.25" customHeight="1" x14ac:dyDescent="0.35">
      <c r="A1290" s="293">
        <v>637</v>
      </c>
      <c r="B1290" s="295"/>
      <c r="C1290" s="297"/>
      <c r="D1290" s="299"/>
      <c r="E1290" s="301"/>
      <c r="F1290" s="303"/>
      <c r="G1290" s="288"/>
      <c r="H1290" s="289"/>
      <c r="I1290" s="290"/>
      <c r="J1290" s="290"/>
      <c r="K1290" s="291"/>
      <c r="L1290" s="18"/>
      <c r="M1290" s="285" t="str">
        <f t="shared" ref="M1290" si="2011">IF(COUNT(L1290:L1291)&lt;1,"",AVERAGE(L1290:L1291))</f>
        <v/>
      </c>
      <c r="N1290" s="22"/>
      <c r="O1290" s="285" t="str">
        <f t="shared" ref="O1290" si="2012">IF(COUNT(N1290:N1291)&lt;1,"",AVERAGE(N1290:N1291))</f>
        <v/>
      </c>
      <c r="P1290" s="22"/>
      <c r="Q1290" s="285" t="str">
        <f t="shared" ref="Q1290" si="2013">IF(COUNT(P1290:P1291)&lt;1,"",AVERAGE(P1290:P1291))</f>
        <v/>
      </c>
      <c r="R1290" s="278" t="str">
        <f>IF($X$13="/28",IF(COUNT(P1290:P1291)&lt;=1,"",ABS(P1290-P1291)),IF($X$13="/90",IF(COUNT(#REF!)&lt;=1,"",ABS(#REF!-#REF!))))</f>
        <v/>
      </c>
      <c r="S1290" s="278" t="str">
        <f>IF($X$13="/28",IF(Q1290="","",IF(AVERAGE(Q1286:Q1291)&gt;=$W$13,ROUND(AVERAGE(Q1286:Q1291),1)&amp;" ≥ "&amp;$W$13&amp;" OK",ROUND(AVERAGE(Q1286:Q1291),1)&amp;" &lt; "&amp;$W$13&amp;" NC")),IF($X$13="/90",IF(#REF!="","",IF(AVERAGE(#REF!)&gt;=$W$13,ROUND(AVERAGE(#REF!),1)&amp;" ≥ "&amp;$W$13&amp;" OK",ROUND(AVERAGE(#REF!),1)&amp;" &lt; "&amp;$W$13&amp;" NC"))))</f>
        <v/>
      </c>
      <c r="T1290" s="278" t="str">
        <f>IF($X$13="/28",IF(Q1290="","",IF(Q1290&gt;=$W$13-$S$12,ROUND((Q1290),1)&amp;" ≥ "&amp;$W$13-$S$12&amp;" OK",ROUND((Q1290),1)&amp;" &lt; "&amp;$W$13-$S$12&amp;" NC")),IF($X$13="/90",IF(#REF!="","",IF(#REF!&gt;=$W$13-$S$12,ROUND((#REF!),1)&amp;" ≥ "&amp;$W$13-$S$12&amp;" OK",ROUND((#REF!),1)&amp;" &lt; "&amp;$W$13-$S$12&amp;" NC"))))</f>
        <v/>
      </c>
      <c r="U1290" s="14"/>
      <c r="V1290" s="279"/>
      <c r="W1290" s="280"/>
      <c r="X1290" s="281"/>
      <c r="Y1290" s="246"/>
      <c r="Z1290" s="246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BP1290" s="390" t="str">
        <f>IF($X$13="/28",IF(Q1290="","",Q1290),IF($X$13="/90",IF(#REF!="","",#REF!),"Falso"))</f>
        <v/>
      </c>
      <c r="BQ1290" s="392" t="str">
        <f t="shared" si="2002"/>
        <v/>
      </c>
    </row>
    <row r="1291" spans="1:69" ht="14.25" customHeight="1" x14ac:dyDescent="0.35">
      <c r="A1291" s="294"/>
      <c r="B1291" s="296"/>
      <c r="C1291" s="298"/>
      <c r="D1291" s="300"/>
      <c r="E1291" s="302"/>
      <c r="F1291" s="304"/>
      <c r="G1291" s="276"/>
      <c r="H1291" s="277"/>
      <c r="I1291" s="290"/>
      <c r="J1291" s="290"/>
      <c r="K1291" s="291"/>
      <c r="L1291" s="17"/>
      <c r="M1291" s="286"/>
      <c r="N1291" s="21"/>
      <c r="O1291" s="286"/>
      <c r="P1291" s="21"/>
      <c r="Q1291" s="286"/>
      <c r="R1291" s="248"/>
      <c r="S1291" s="287"/>
      <c r="T1291" s="248"/>
      <c r="U1291" s="13"/>
      <c r="V1291" s="282"/>
      <c r="W1291" s="283"/>
      <c r="X1291" s="284"/>
      <c r="Y1291" s="245"/>
      <c r="Z1291" s="245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BP1291" s="391"/>
      <c r="BQ1291" s="393"/>
    </row>
    <row r="1292" spans="1:69" ht="14.25" customHeight="1" x14ac:dyDescent="0.35">
      <c r="A1292" s="293">
        <v>638</v>
      </c>
      <c r="B1292" s="295"/>
      <c r="C1292" s="297"/>
      <c r="D1292" s="299"/>
      <c r="E1292" s="301"/>
      <c r="F1292" s="303"/>
      <c r="G1292" s="288"/>
      <c r="H1292" s="289"/>
      <c r="I1292" s="290"/>
      <c r="J1292" s="290"/>
      <c r="K1292" s="291"/>
      <c r="L1292" s="18"/>
      <c r="M1292" s="285" t="str">
        <f t="shared" ref="M1292" si="2014">IF(COUNT(L1292:L1293)&lt;1,"",AVERAGE(L1292:L1293))</f>
        <v/>
      </c>
      <c r="N1292" s="22"/>
      <c r="O1292" s="285" t="str">
        <f t="shared" ref="O1292" si="2015">IF(COUNT(N1292:N1293)&lt;1,"",AVERAGE(N1292:N1293))</f>
        <v/>
      </c>
      <c r="P1292" s="22"/>
      <c r="Q1292" s="285" t="str">
        <f t="shared" ref="Q1292" si="2016">IF(COUNT(P1292:P1293)&lt;1,"",AVERAGE(P1292:P1293))</f>
        <v/>
      </c>
      <c r="R1292" s="278" t="str">
        <f>IF($X$13="/28",IF(COUNT(P1292:P1293)&lt;=1,"",ABS(P1292-P1293)),IF($X$13="/90",IF(COUNT(#REF!)&lt;=1,"",ABS(#REF!-#REF!))))</f>
        <v/>
      </c>
      <c r="S1292" s="278" t="str">
        <f>IF($X$13="/28",IF(Q1292="","",IF(AVERAGE(Q1288:Q1293)&gt;=$W$13,ROUND(AVERAGE(Q1288:Q1293),1)&amp;" ≥ "&amp;$W$13&amp;" OK",ROUND(AVERAGE(Q1288:Q1293),1)&amp;" &lt; "&amp;$W$13&amp;" NC")),IF($X$13="/90",IF(#REF!="","",IF(AVERAGE(#REF!)&gt;=$W$13,ROUND(AVERAGE(#REF!),1)&amp;" ≥ "&amp;$W$13&amp;" OK",ROUND(AVERAGE(#REF!),1)&amp;" &lt; "&amp;$W$13&amp;" NC"))))</f>
        <v/>
      </c>
      <c r="T1292" s="278" t="str">
        <f>IF($X$13="/28",IF(Q1292="","",IF(Q1292&gt;=$W$13-$S$12,ROUND((Q1292),1)&amp;" ≥ "&amp;$W$13-$S$12&amp;" OK",ROUND((Q1292),1)&amp;" &lt; "&amp;$W$13-$S$12&amp;" NC")),IF($X$13="/90",IF(#REF!="","",IF(#REF!&gt;=$W$13-$S$12,ROUND((#REF!),1)&amp;" ≥ "&amp;$W$13-$S$12&amp;" OK",ROUND((#REF!),1)&amp;" &lt; "&amp;$W$13-$S$12&amp;" NC"))))</f>
        <v/>
      </c>
      <c r="U1292" s="14"/>
      <c r="V1292" s="279"/>
      <c r="W1292" s="280"/>
      <c r="X1292" s="281"/>
      <c r="Y1292" s="246"/>
      <c r="Z1292" s="246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BP1292" s="390" t="str">
        <f>IF($X$13="/28",IF(Q1292="","",Q1292),IF($X$13="/90",IF(#REF!="","",#REF!),"Falso"))</f>
        <v/>
      </c>
      <c r="BQ1292" s="392" t="str">
        <f t="shared" si="2006"/>
        <v/>
      </c>
    </row>
    <row r="1293" spans="1:69" ht="14.25" customHeight="1" x14ac:dyDescent="0.35">
      <c r="A1293" s="294"/>
      <c r="B1293" s="296"/>
      <c r="C1293" s="298"/>
      <c r="D1293" s="300"/>
      <c r="E1293" s="302"/>
      <c r="F1293" s="304"/>
      <c r="G1293" s="276"/>
      <c r="H1293" s="277"/>
      <c r="I1293" s="290"/>
      <c r="J1293" s="290"/>
      <c r="K1293" s="291"/>
      <c r="L1293" s="17"/>
      <c r="M1293" s="286"/>
      <c r="N1293" s="21"/>
      <c r="O1293" s="286"/>
      <c r="P1293" s="21"/>
      <c r="Q1293" s="286"/>
      <c r="R1293" s="248"/>
      <c r="S1293" s="287"/>
      <c r="T1293" s="248"/>
      <c r="U1293" s="13"/>
      <c r="V1293" s="282"/>
      <c r="W1293" s="283"/>
      <c r="X1293" s="284"/>
      <c r="Y1293" s="245"/>
      <c r="Z1293" s="245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BP1293" s="391"/>
      <c r="BQ1293" s="393"/>
    </row>
    <row r="1294" spans="1:69" ht="14.25" customHeight="1" x14ac:dyDescent="0.35">
      <c r="A1294" s="293">
        <v>639</v>
      </c>
      <c r="B1294" s="295"/>
      <c r="C1294" s="297"/>
      <c r="D1294" s="299"/>
      <c r="E1294" s="301"/>
      <c r="F1294" s="303"/>
      <c r="G1294" s="288"/>
      <c r="H1294" s="289"/>
      <c r="I1294" s="290"/>
      <c r="J1294" s="290"/>
      <c r="K1294" s="291"/>
      <c r="L1294" s="18"/>
      <c r="M1294" s="285" t="str">
        <f t="shared" ref="M1294" si="2017">IF(COUNT(L1294:L1295)&lt;1,"",AVERAGE(L1294:L1295))</f>
        <v/>
      </c>
      <c r="N1294" s="22"/>
      <c r="O1294" s="285" t="str">
        <f t="shared" ref="O1294" si="2018">IF(COUNT(N1294:N1295)&lt;1,"",AVERAGE(N1294:N1295))</f>
        <v/>
      </c>
      <c r="P1294" s="22"/>
      <c r="Q1294" s="285" t="str">
        <f t="shared" ref="Q1294" si="2019">IF(COUNT(P1294:P1295)&lt;1,"",AVERAGE(P1294:P1295))</f>
        <v/>
      </c>
      <c r="R1294" s="278" t="str">
        <f>IF($X$13="/28",IF(COUNT(P1294:P1295)&lt;=1,"",ABS(P1294-P1295)),IF($X$13="/90",IF(COUNT(#REF!)&lt;=1,"",ABS(#REF!-#REF!))))</f>
        <v/>
      </c>
      <c r="S1294" s="278" t="str">
        <f>IF($X$13="/28",IF(Q1294="","",IF(AVERAGE(Q1290:Q1295)&gt;=$W$13,ROUND(AVERAGE(Q1290:Q1295),1)&amp;" ≥ "&amp;$W$13&amp;" OK",ROUND(AVERAGE(Q1290:Q1295),1)&amp;" &lt; "&amp;$W$13&amp;" NC")),IF($X$13="/90",IF(#REF!="","",IF(AVERAGE(#REF!)&gt;=$W$13,ROUND(AVERAGE(#REF!),1)&amp;" ≥ "&amp;$W$13&amp;" OK",ROUND(AVERAGE(#REF!),1)&amp;" &lt; "&amp;$W$13&amp;" NC"))))</f>
        <v/>
      </c>
      <c r="T1294" s="278" t="str">
        <f>IF($X$13="/28",IF(Q1294="","",IF(Q1294&gt;=$W$13-$S$12,ROUND((Q1294),1)&amp;" ≥ "&amp;$W$13-$S$12&amp;" OK",ROUND((Q1294),1)&amp;" &lt; "&amp;$W$13-$S$12&amp;" NC")),IF($X$13="/90",IF(#REF!="","",IF(#REF!&gt;=$W$13-$S$12,ROUND((#REF!),1)&amp;" ≥ "&amp;$W$13-$S$12&amp;" OK",ROUND((#REF!),1)&amp;" &lt; "&amp;$W$13-$S$12&amp;" NC"))))</f>
        <v/>
      </c>
      <c r="U1294" s="14"/>
      <c r="V1294" s="279"/>
      <c r="W1294" s="280"/>
      <c r="X1294" s="281"/>
      <c r="Y1294" s="246"/>
      <c r="Z1294" s="246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BP1294" s="390" t="str">
        <f>IF($X$13="/28",IF(Q1294="","",Q1294),IF($X$13="/90",IF(#REF!="","",#REF!),"Falso"))</f>
        <v/>
      </c>
      <c r="BQ1294" s="392" t="str">
        <f t="shared" si="2010"/>
        <v/>
      </c>
    </row>
    <row r="1295" spans="1:69" ht="14.25" customHeight="1" x14ac:dyDescent="0.35">
      <c r="A1295" s="294"/>
      <c r="B1295" s="296"/>
      <c r="C1295" s="298"/>
      <c r="D1295" s="300"/>
      <c r="E1295" s="302"/>
      <c r="F1295" s="304"/>
      <c r="G1295" s="276"/>
      <c r="H1295" s="277"/>
      <c r="I1295" s="290"/>
      <c r="J1295" s="290"/>
      <c r="K1295" s="291"/>
      <c r="L1295" s="17"/>
      <c r="M1295" s="286"/>
      <c r="N1295" s="21"/>
      <c r="O1295" s="286"/>
      <c r="P1295" s="21"/>
      <c r="Q1295" s="286"/>
      <c r="R1295" s="248"/>
      <c r="S1295" s="287"/>
      <c r="T1295" s="248"/>
      <c r="U1295" s="13"/>
      <c r="V1295" s="282"/>
      <c r="W1295" s="283"/>
      <c r="X1295" s="284"/>
      <c r="Y1295" s="245"/>
      <c r="Z1295" s="245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BP1295" s="391"/>
      <c r="BQ1295" s="393"/>
    </row>
    <row r="1296" spans="1:69" ht="14.25" customHeight="1" x14ac:dyDescent="0.35">
      <c r="A1296" s="293">
        <v>640</v>
      </c>
      <c r="B1296" s="295"/>
      <c r="C1296" s="297"/>
      <c r="D1296" s="299"/>
      <c r="E1296" s="301"/>
      <c r="F1296" s="303"/>
      <c r="G1296" s="288"/>
      <c r="H1296" s="289"/>
      <c r="I1296" s="290"/>
      <c r="J1296" s="290"/>
      <c r="K1296" s="291"/>
      <c r="L1296" s="18"/>
      <c r="M1296" s="285" t="str">
        <f t="shared" ref="M1296" si="2020">IF(COUNT(L1296:L1297)&lt;1,"",AVERAGE(L1296:L1297))</f>
        <v/>
      </c>
      <c r="N1296" s="22"/>
      <c r="O1296" s="285" t="str">
        <f t="shared" ref="O1296" si="2021">IF(COUNT(N1296:N1297)&lt;1,"",AVERAGE(N1296:N1297))</f>
        <v/>
      </c>
      <c r="P1296" s="22"/>
      <c r="Q1296" s="285" t="str">
        <f t="shared" ref="Q1296" si="2022">IF(COUNT(P1296:P1297)&lt;1,"",AVERAGE(P1296:P1297))</f>
        <v/>
      </c>
      <c r="R1296" s="278" t="str">
        <f>IF($X$13="/28",IF(COUNT(P1296:P1297)&lt;=1,"",ABS(P1296-P1297)),IF($X$13="/90",IF(COUNT(#REF!)&lt;=1,"",ABS(#REF!-#REF!))))</f>
        <v/>
      </c>
      <c r="S1296" s="278" t="str">
        <f>IF($X$13="/28",IF(Q1296="","",IF(AVERAGE(Q1292:Q1297)&gt;=$W$13,ROUND(AVERAGE(Q1292:Q1297),1)&amp;" ≥ "&amp;$W$13&amp;" OK",ROUND(AVERAGE(Q1292:Q1297),1)&amp;" &lt; "&amp;$W$13&amp;" NC")),IF($X$13="/90",IF(#REF!="","",IF(AVERAGE(#REF!)&gt;=$W$13,ROUND(AVERAGE(#REF!),1)&amp;" ≥ "&amp;$W$13&amp;" OK",ROUND(AVERAGE(#REF!),1)&amp;" &lt; "&amp;$W$13&amp;" NC"))))</f>
        <v/>
      </c>
      <c r="T1296" s="278" t="str">
        <f>IF($X$13="/28",IF(Q1296="","",IF(Q1296&gt;=$W$13-$S$12,ROUND((Q1296),1)&amp;" ≥ "&amp;$W$13-$S$12&amp;" OK",ROUND((Q1296),1)&amp;" &lt; "&amp;$W$13-$S$12&amp;" NC")),IF($X$13="/90",IF(#REF!="","",IF(#REF!&gt;=$W$13-$S$12,ROUND((#REF!),1)&amp;" ≥ "&amp;$W$13-$S$12&amp;" OK",ROUND((#REF!),1)&amp;" &lt; "&amp;$W$13-$S$12&amp;" NC"))))</f>
        <v/>
      </c>
      <c r="U1296" s="14"/>
      <c r="V1296" s="279"/>
      <c r="W1296" s="280"/>
      <c r="X1296" s="281"/>
      <c r="Y1296" s="246"/>
      <c r="Z1296" s="246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BP1296" s="390" t="str">
        <f>IF($X$13="/28",IF(Q1296="","",Q1296),IF($X$13="/90",IF(#REF!="","",#REF!),"Falso"))</f>
        <v/>
      </c>
      <c r="BQ1296" s="392" t="str">
        <f t="shared" si="2002"/>
        <v/>
      </c>
    </row>
    <row r="1297" spans="1:69" ht="14.25" customHeight="1" x14ac:dyDescent="0.35">
      <c r="A1297" s="294"/>
      <c r="B1297" s="296"/>
      <c r="C1297" s="298"/>
      <c r="D1297" s="300"/>
      <c r="E1297" s="302"/>
      <c r="F1297" s="304"/>
      <c r="G1297" s="276"/>
      <c r="H1297" s="277"/>
      <c r="I1297" s="290"/>
      <c r="J1297" s="290"/>
      <c r="K1297" s="291"/>
      <c r="L1297" s="17"/>
      <c r="M1297" s="286"/>
      <c r="N1297" s="21"/>
      <c r="O1297" s="286"/>
      <c r="P1297" s="21"/>
      <c r="Q1297" s="286"/>
      <c r="R1297" s="248"/>
      <c r="S1297" s="287"/>
      <c r="T1297" s="248"/>
      <c r="U1297" s="13"/>
      <c r="V1297" s="282"/>
      <c r="W1297" s="283"/>
      <c r="X1297" s="284"/>
      <c r="Y1297" s="245"/>
      <c r="Z1297" s="245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BP1297" s="391"/>
      <c r="BQ1297" s="393"/>
    </row>
    <row r="1298" spans="1:69" ht="14.25" customHeight="1" x14ac:dyDescent="0.35">
      <c r="A1298" s="293">
        <v>641</v>
      </c>
      <c r="B1298" s="295"/>
      <c r="C1298" s="297"/>
      <c r="D1298" s="299"/>
      <c r="E1298" s="301"/>
      <c r="F1298" s="303"/>
      <c r="G1298" s="288"/>
      <c r="H1298" s="289"/>
      <c r="I1298" s="290"/>
      <c r="J1298" s="290"/>
      <c r="K1298" s="291"/>
      <c r="L1298" s="18"/>
      <c r="M1298" s="285" t="str">
        <f t="shared" ref="M1298" si="2023">IF(COUNT(L1298:L1299)&lt;1,"",AVERAGE(L1298:L1299))</f>
        <v/>
      </c>
      <c r="N1298" s="22"/>
      <c r="O1298" s="285" t="str">
        <f t="shared" ref="O1298" si="2024">IF(COUNT(N1298:N1299)&lt;1,"",AVERAGE(N1298:N1299))</f>
        <v/>
      </c>
      <c r="P1298" s="22"/>
      <c r="Q1298" s="285" t="str">
        <f t="shared" ref="Q1298" si="2025">IF(COUNT(P1298:P1299)&lt;1,"",AVERAGE(P1298:P1299))</f>
        <v/>
      </c>
      <c r="R1298" s="278" t="str">
        <f>IF($X$13="/28",IF(COUNT(P1298:P1299)&lt;=1,"",ABS(P1298-P1299)),IF($X$13="/90",IF(COUNT(#REF!)&lt;=1,"",ABS(#REF!-#REF!))))</f>
        <v/>
      </c>
      <c r="S1298" s="278" t="str">
        <f>IF($X$13="/28",IF(Q1298="","",IF(AVERAGE(Q1294:Q1299)&gt;=$W$13,ROUND(AVERAGE(Q1294:Q1299),1)&amp;" ≥ "&amp;$W$13&amp;" OK",ROUND(AVERAGE(Q1294:Q1299),1)&amp;" &lt; "&amp;$W$13&amp;" NC")),IF($X$13="/90",IF(#REF!="","",IF(AVERAGE(#REF!)&gt;=$W$13,ROUND(AVERAGE(#REF!),1)&amp;" ≥ "&amp;$W$13&amp;" OK",ROUND(AVERAGE(#REF!),1)&amp;" &lt; "&amp;$W$13&amp;" NC"))))</f>
        <v/>
      </c>
      <c r="T1298" s="278" t="str">
        <f>IF($X$13="/28",IF(Q1298="","",IF(Q1298&gt;=$W$13-$S$12,ROUND((Q1298),1)&amp;" ≥ "&amp;$W$13-$S$12&amp;" OK",ROUND((Q1298),1)&amp;" &lt; "&amp;$W$13-$S$12&amp;" NC")),IF($X$13="/90",IF(#REF!="","",IF(#REF!&gt;=$W$13-$S$12,ROUND((#REF!),1)&amp;" ≥ "&amp;$W$13-$S$12&amp;" OK",ROUND((#REF!),1)&amp;" &lt; "&amp;$W$13-$S$12&amp;" NC"))))</f>
        <v/>
      </c>
      <c r="U1298" s="14"/>
      <c r="V1298" s="279"/>
      <c r="W1298" s="280"/>
      <c r="X1298" s="281"/>
      <c r="Y1298" s="246"/>
      <c r="Z1298" s="246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BP1298" s="390" t="str">
        <f>IF($X$13="/28",IF(Q1298="","",Q1298),IF($X$13="/90",IF(#REF!="","",#REF!),"Falso"))</f>
        <v/>
      </c>
      <c r="BQ1298" s="392" t="str">
        <f t="shared" si="2006"/>
        <v/>
      </c>
    </row>
    <row r="1299" spans="1:69" ht="14.25" customHeight="1" x14ac:dyDescent="0.35">
      <c r="A1299" s="294"/>
      <c r="B1299" s="296"/>
      <c r="C1299" s="298"/>
      <c r="D1299" s="300"/>
      <c r="E1299" s="302"/>
      <c r="F1299" s="304"/>
      <c r="G1299" s="276"/>
      <c r="H1299" s="277"/>
      <c r="I1299" s="290"/>
      <c r="J1299" s="290"/>
      <c r="K1299" s="291"/>
      <c r="L1299" s="17"/>
      <c r="M1299" s="286"/>
      <c r="N1299" s="21"/>
      <c r="O1299" s="286"/>
      <c r="P1299" s="21"/>
      <c r="Q1299" s="286"/>
      <c r="R1299" s="248"/>
      <c r="S1299" s="287"/>
      <c r="T1299" s="248"/>
      <c r="U1299" s="13"/>
      <c r="V1299" s="282"/>
      <c r="W1299" s="283"/>
      <c r="X1299" s="284"/>
      <c r="Y1299" s="245"/>
      <c r="Z1299" s="245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BP1299" s="391"/>
      <c r="BQ1299" s="393"/>
    </row>
    <row r="1300" spans="1:69" ht="14.25" customHeight="1" x14ac:dyDescent="0.35">
      <c r="A1300" s="293">
        <v>642</v>
      </c>
      <c r="B1300" s="295"/>
      <c r="C1300" s="297"/>
      <c r="D1300" s="299"/>
      <c r="E1300" s="301"/>
      <c r="F1300" s="303"/>
      <c r="G1300" s="288"/>
      <c r="H1300" s="289"/>
      <c r="I1300" s="290"/>
      <c r="J1300" s="290"/>
      <c r="K1300" s="291"/>
      <c r="L1300" s="18"/>
      <c r="M1300" s="285" t="str">
        <f t="shared" ref="M1300" si="2026">IF(COUNT(L1300:L1301)&lt;1,"",AVERAGE(L1300:L1301))</f>
        <v/>
      </c>
      <c r="N1300" s="22"/>
      <c r="O1300" s="285" t="str">
        <f t="shared" ref="O1300" si="2027">IF(COUNT(N1300:N1301)&lt;1,"",AVERAGE(N1300:N1301))</f>
        <v/>
      </c>
      <c r="P1300" s="22"/>
      <c r="Q1300" s="285" t="str">
        <f t="shared" ref="Q1300" si="2028">IF(COUNT(P1300:P1301)&lt;1,"",AVERAGE(P1300:P1301))</f>
        <v/>
      </c>
      <c r="R1300" s="278" t="str">
        <f>IF($X$13="/28",IF(COUNT(P1300:P1301)&lt;=1,"",ABS(P1300-P1301)),IF($X$13="/90",IF(COUNT(#REF!)&lt;=1,"",ABS(#REF!-#REF!))))</f>
        <v/>
      </c>
      <c r="S1300" s="278" t="str">
        <f>IF($X$13="/28",IF(Q1300="","",IF(AVERAGE(Q1296:Q1301)&gt;=$W$13,ROUND(AVERAGE(Q1296:Q1301),1)&amp;" ≥ "&amp;$W$13&amp;" OK",ROUND(AVERAGE(Q1296:Q1301),1)&amp;" &lt; "&amp;$W$13&amp;" NC")),IF($X$13="/90",IF(#REF!="","",IF(AVERAGE(#REF!)&gt;=$W$13,ROUND(AVERAGE(#REF!),1)&amp;" ≥ "&amp;$W$13&amp;" OK",ROUND(AVERAGE(#REF!),1)&amp;" &lt; "&amp;$W$13&amp;" NC"))))</f>
        <v/>
      </c>
      <c r="T1300" s="278" t="str">
        <f>IF($X$13="/28",IF(Q1300="","",IF(Q1300&gt;=$W$13-$S$12,ROUND((Q1300),1)&amp;" ≥ "&amp;$W$13-$S$12&amp;" OK",ROUND((Q1300),1)&amp;" &lt; "&amp;$W$13-$S$12&amp;" NC")),IF($X$13="/90",IF(#REF!="","",IF(#REF!&gt;=$W$13-$S$12,ROUND((#REF!),1)&amp;" ≥ "&amp;$W$13-$S$12&amp;" OK",ROUND((#REF!),1)&amp;" &lt; "&amp;$W$13-$S$12&amp;" NC"))))</f>
        <v/>
      </c>
      <c r="U1300" s="14"/>
      <c r="V1300" s="279"/>
      <c r="W1300" s="280"/>
      <c r="X1300" s="281"/>
      <c r="Y1300" s="246"/>
      <c r="Z1300" s="246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BP1300" s="390" t="str">
        <f>IF($X$13="/28",IF(Q1300="","",Q1300),IF($X$13="/90",IF(#REF!="","",#REF!),"Falso"))</f>
        <v/>
      </c>
      <c r="BQ1300" s="392" t="str">
        <f t="shared" si="2010"/>
        <v/>
      </c>
    </row>
    <row r="1301" spans="1:69" ht="14.25" customHeight="1" x14ac:dyDescent="0.35">
      <c r="A1301" s="294"/>
      <c r="B1301" s="296"/>
      <c r="C1301" s="298"/>
      <c r="D1301" s="300"/>
      <c r="E1301" s="302"/>
      <c r="F1301" s="304"/>
      <c r="G1301" s="276"/>
      <c r="H1301" s="277"/>
      <c r="I1301" s="290"/>
      <c r="J1301" s="290"/>
      <c r="K1301" s="291"/>
      <c r="L1301" s="17"/>
      <c r="M1301" s="286"/>
      <c r="N1301" s="21"/>
      <c r="O1301" s="286"/>
      <c r="P1301" s="21"/>
      <c r="Q1301" s="286"/>
      <c r="R1301" s="248"/>
      <c r="S1301" s="287"/>
      <c r="T1301" s="248"/>
      <c r="U1301" s="13"/>
      <c r="V1301" s="282"/>
      <c r="W1301" s="283"/>
      <c r="X1301" s="284"/>
      <c r="Y1301" s="245"/>
      <c r="Z1301" s="245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BP1301" s="391"/>
      <c r="BQ1301" s="393"/>
    </row>
    <row r="1302" spans="1:69" ht="14.25" customHeight="1" x14ac:dyDescent="0.35">
      <c r="A1302" s="293">
        <v>643</v>
      </c>
      <c r="B1302" s="295"/>
      <c r="C1302" s="297"/>
      <c r="D1302" s="299"/>
      <c r="E1302" s="301"/>
      <c r="F1302" s="303"/>
      <c r="G1302" s="288"/>
      <c r="H1302" s="289"/>
      <c r="I1302" s="290"/>
      <c r="J1302" s="290"/>
      <c r="K1302" s="291"/>
      <c r="L1302" s="18"/>
      <c r="M1302" s="285" t="str">
        <f t="shared" ref="M1302" si="2029">IF(COUNT(L1302:L1303)&lt;1,"",AVERAGE(L1302:L1303))</f>
        <v/>
      </c>
      <c r="N1302" s="22"/>
      <c r="O1302" s="285" t="str">
        <f t="shared" ref="O1302" si="2030">IF(COUNT(N1302:N1303)&lt;1,"",AVERAGE(N1302:N1303))</f>
        <v/>
      </c>
      <c r="P1302" s="22"/>
      <c r="Q1302" s="285" t="str">
        <f t="shared" ref="Q1302" si="2031">IF(COUNT(P1302:P1303)&lt;1,"",AVERAGE(P1302:P1303))</f>
        <v/>
      </c>
      <c r="R1302" s="278" t="str">
        <f>IF($X$13="/28",IF(COUNT(P1302:P1303)&lt;=1,"",ABS(P1302-P1303)),IF($X$13="/90",IF(COUNT(#REF!)&lt;=1,"",ABS(#REF!-#REF!))))</f>
        <v/>
      </c>
      <c r="S1302" s="278" t="str">
        <f>IF($X$13="/28",IF(Q1302="","",IF(AVERAGE(Q1298:Q1303)&gt;=$W$13,ROUND(AVERAGE(Q1298:Q1303),1)&amp;" ≥ "&amp;$W$13&amp;" OK",ROUND(AVERAGE(Q1298:Q1303),1)&amp;" &lt; "&amp;$W$13&amp;" NC")),IF($X$13="/90",IF(#REF!="","",IF(AVERAGE(#REF!)&gt;=$W$13,ROUND(AVERAGE(#REF!),1)&amp;" ≥ "&amp;$W$13&amp;" OK",ROUND(AVERAGE(#REF!),1)&amp;" &lt; "&amp;$W$13&amp;" NC"))))</f>
        <v/>
      </c>
      <c r="T1302" s="278" t="str">
        <f>IF($X$13="/28",IF(Q1302="","",IF(Q1302&gt;=$W$13-$S$12,ROUND((Q1302),1)&amp;" ≥ "&amp;$W$13-$S$12&amp;" OK",ROUND((Q1302),1)&amp;" &lt; "&amp;$W$13-$S$12&amp;" NC")),IF($X$13="/90",IF(#REF!="","",IF(#REF!&gt;=$W$13-$S$12,ROUND((#REF!),1)&amp;" ≥ "&amp;$W$13-$S$12&amp;" OK",ROUND((#REF!),1)&amp;" &lt; "&amp;$W$13-$S$12&amp;" NC"))))</f>
        <v/>
      </c>
      <c r="U1302" s="14"/>
      <c r="V1302" s="279"/>
      <c r="W1302" s="280"/>
      <c r="X1302" s="281"/>
      <c r="Y1302" s="246"/>
      <c r="Z1302" s="246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BP1302" s="390" t="str">
        <f>IF($X$13="/28",IF(Q1302="","",Q1302),IF($X$13="/90",IF(#REF!="","",#REF!),"Falso"))</f>
        <v/>
      </c>
      <c r="BQ1302" s="392" t="str">
        <f t="shared" si="2002"/>
        <v/>
      </c>
    </row>
    <row r="1303" spans="1:69" ht="14.25" customHeight="1" x14ac:dyDescent="0.35">
      <c r="A1303" s="294"/>
      <c r="B1303" s="296"/>
      <c r="C1303" s="298"/>
      <c r="D1303" s="300"/>
      <c r="E1303" s="302"/>
      <c r="F1303" s="304"/>
      <c r="G1303" s="276"/>
      <c r="H1303" s="277"/>
      <c r="I1303" s="290"/>
      <c r="J1303" s="290"/>
      <c r="K1303" s="291"/>
      <c r="L1303" s="17"/>
      <c r="M1303" s="286"/>
      <c r="N1303" s="21"/>
      <c r="O1303" s="286"/>
      <c r="P1303" s="21"/>
      <c r="Q1303" s="286"/>
      <c r="R1303" s="248"/>
      <c r="S1303" s="287"/>
      <c r="T1303" s="248"/>
      <c r="U1303" s="13"/>
      <c r="V1303" s="282"/>
      <c r="W1303" s="283"/>
      <c r="X1303" s="284"/>
      <c r="Y1303" s="245"/>
      <c r="Z1303" s="245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BP1303" s="391"/>
      <c r="BQ1303" s="393"/>
    </row>
    <row r="1304" spans="1:69" ht="14.25" customHeight="1" x14ac:dyDescent="0.35">
      <c r="A1304" s="293">
        <v>644</v>
      </c>
      <c r="B1304" s="295"/>
      <c r="C1304" s="297"/>
      <c r="D1304" s="299"/>
      <c r="E1304" s="301"/>
      <c r="F1304" s="303"/>
      <c r="G1304" s="288"/>
      <c r="H1304" s="289"/>
      <c r="I1304" s="290"/>
      <c r="J1304" s="290"/>
      <c r="K1304" s="291"/>
      <c r="L1304" s="18"/>
      <c r="M1304" s="285" t="str">
        <f t="shared" ref="M1304" si="2032">IF(COUNT(L1304:L1305)&lt;1,"",AVERAGE(L1304:L1305))</f>
        <v/>
      </c>
      <c r="N1304" s="22"/>
      <c r="O1304" s="285" t="str">
        <f t="shared" ref="O1304" si="2033">IF(COUNT(N1304:N1305)&lt;1,"",AVERAGE(N1304:N1305))</f>
        <v/>
      </c>
      <c r="P1304" s="22"/>
      <c r="Q1304" s="285" t="str">
        <f t="shared" ref="Q1304" si="2034">IF(COUNT(P1304:P1305)&lt;1,"",AVERAGE(P1304:P1305))</f>
        <v/>
      </c>
      <c r="R1304" s="278" t="str">
        <f>IF($X$13="/28",IF(COUNT(P1304:P1305)&lt;=1,"",ABS(P1304-P1305)),IF($X$13="/90",IF(COUNT(#REF!)&lt;=1,"",ABS(#REF!-#REF!))))</f>
        <v/>
      </c>
      <c r="S1304" s="278" t="str">
        <f>IF($X$13="/28",IF(Q1304="","",IF(AVERAGE(Q1300:Q1305)&gt;=$W$13,ROUND(AVERAGE(Q1300:Q1305),1)&amp;" ≥ "&amp;$W$13&amp;" OK",ROUND(AVERAGE(Q1300:Q1305),1)&amp;" &lt; "&amp;$W$13&amp;" NC")),IF($X$13="/90",IF(#REF!="","",IF(AVERAGE(#REF!)&gt;=$W$13,ROUND(AVERAGE(#REF!),1)&amp;" ≥ "&amp;$W$13&amp;" OK",ROUND(AVERAGE(#REF!),1)&amp;" &lt; "&amp;$W$13&amp;" NC"))))</f>
        <v/>
      </c>
      <c r="T1304" s="278" t="str">
        <f>IF($X$13="/28",IF(Q1304="","",IF(Q1304&gt;=$W$13-$S$12,ROUND((Q1304),1)&amp;" ≥ "&amp;$W$13-$S$12&amp;" OK",ROUND((Q1304),1)&amp;" &lt; "&amp;$W$13-$S$12&amp;" NC")),IF($X$13="/90",IF(#REF!="","",IF(#REF!&gt;=$W$13-$S$12,ROUND((#REF!),1)&amp;" ≥ "&amp;$W$13-$S$12&amp;" OK",ROUND((#REF!),1)&amp;" &lt; "&amp;$W$13-$S$12&amp;" NC"))))</f>
        <v/>
      </c>
      <c r="U1304" s="14"/>
      <c r="V1304" s="279"/>
      <c r="W1304" s="280"/>
      <c r="X1304" s="281"/>
      <c r="Y1304" s="246"/>
      <c r="Z1304" s="246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BP1304" s="390" t="str">
        <f>IF($X$13="/28",IF(Q1304="","",Q1304),IF($X$13="/90",IF(#REF!="","",#REF!),"Falso"))</f>
        <v/>
      </c>
      <c r="BQ1304" s="392" t="str">
        <f t="shared" si="2006"/>
        <v/>
      </c>
    </row>
    <row r="1305" spans="1:69" ht="14.25" customHeight="1" x14ac:dyDescent="0.35">
      <c r="A1305" s="294"/>
      <c r="B1305" s="296"/>
      <c r="C1305" s="298"/>
      <c r="D1305" s="300"/>
      <c r="E1305" s="302"/>
      <c r="F1305" s="304"/>
      <c r="G1305" s="276"/>
      <c r="H1305" s="277"/>
      <c r="I1305" s="290"/>
      <c r="J1305" s="290"/>
      <c r="K1305" s="291"/>
      <c r="L1305" s="17"/>
      <c r="M1305" s="286"/>
      <c r="N1305" s="21"/>
      <c r="O1305" s="286"/>
      <c r="P1305" s="21"/>
      <c r="Q1305" s="286"/>
      <c r="R1305" s="248"/>
      <c r="S1305" s="287"/>
      <c r="T1305" s="248"/>
      <c r="U1305" s="13"/>
      <c r="V1305" s="282"/>
      <c r="W1305" s="283"/>
      <c r="X1305" s="284"/>
      <c r="Y1305" s="245"/>
      <c r="Z1305" s="245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BP1305" s="391"/>
      <c r="BQ1305" s="393"/>
    </row>
    <row r="1306" spans="1:69" ht="14.25" customHeight="1" x14ac:dyDescent="0.35">
      <c r="A1306" s="293">
        <v>645</v>
      </c>
      <c r="B1306" s="295"/>
      <c r="C1306" s="297"/>
      <c r="D1306" s="299"/>
      <c r="E1306" s="301"/>
      <c r="F1306" s="303"/>
      <c r="G1306" s="288"/>
      <c r="H1306" s="289"/>
      <c r="I1306" s="290"/>
      <c r="J1306" s="290"/>
      <c r="K1306" s="291"/>
      <c r="L1306" s="18"/>
      <c r="M1306" s="285" t="str">
        <f t="shared" ref="M1306" si="2035">IF(COUNT(L1306:L1307)&lt;1,"",AVERAGE(L1306:L1307))</f>
        <v/>
      </c>
      <c r="N1306" s="22"/>
      <c r="O1306" s="285" t="str">
        <f t="shared" ref="O1306" si="2036">IF(COUNT(N1306:N1307)&lt;1,"",AVERAGE(N1306:N1307))</f>
        <v/>
      </c>
      <c r="P1306" s="22"/>
      <c r="Q1306" s="285" t="str">
        <f t="shared" ref="Q1306" si="2037">IF(COUNT(P1306:P1307)&lt;1,"",AVERAGE(P1306:P1307))</f>
        <v/>
      </c>
      <c r="R1306" s="278" t="str">
        <f>IF($X$13="/28",IF(COUNT(P1306:P1307)&lt;=1,"",ABS(P1306-P1307)),IF($X$13="/90",IF(COUNT(#REF!)&lt;=1,"",ABS(#REF!-#REF!))))</f>
        <v/>
      </c>
      <c r="S1306" s="278" t="str">
        <f>IF($X$13="/28",IF(Q1306="","",IF(AVERAGE(Q1302:Q1307)&gt;=$W$13,ROUND(AVERAGE(Q1302:Q1307),1)&amp;" ≥ "&amp;$W$13&amp;" OK",ROUND(AVERAGE(Q1302:Q1307),1)&amp;" &lt; "&amp;$W$13&amp;" NC")),IF($X$13="/90",IF(#REF!="","",IF(AVERAGE(#REF!)&gt;=$W$13,ROUND(AVERAGE(#REF!),1)&amp;" ≥ "&amp;$W$13&amp;" OK",ROUND(AVERAGE(#REF!),1)&amp;" &lt; "&amp;$W$13&amp;" NC"))))</f>
        <v/>
      </c>
      <c r="T1306" s="278" t="str">
        <f>IF($X$13="/28",IF(Q1306="","",IF(Q1306&gt;=$W$13-$S$12,ROUND((Q1306),1)&amp;" ≥ "&amp;$W$13-$S$12&amp;" OK",ROUND((Q1306),1)&amp;" &lt; "&amp;$W$13-$S$12&amp;" NC")),IF($X$13="/90",IF(#REF!="","",IF(#REF!&gt;=$W$13-$S$12,ROUND((#REF!),1)&amp;" ≥ "&amp;$W$13-$S$12&amp;" OK",ROUND((#REF!),1)&amp;" &lt; "&amp;$W$13-$S$12&amp;" NC"))))</f>
        <v/>
      </c>
      <c r="U1306" s="14"/>
      <c r="V1306" s="279"/>
      <c r="W1306" s="280"/>
      <c r="X1306" s="281"/>
      <c r="Y1306" s="246"/>
      <c r="Z1306" s="246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BP1306" s="390" t="str">
        <f>IF($X$13="/28",IF(Q1306="","",Q1306),IF($X$13="/90",IF(#REF!="","",#REF!),"Falso"))</f>
        <v/>
      </c>
      <c r="BQ1306" s="392" t="str">
        <f t="shared" si="2010"/>
        <v/>
      </c>
    </row>
    <row r="1307" spans="1:69" ht="14.25" customHeight="1" x14ac:dyDescent="0.35">
      <c r="A1307" s="294"/>
      <c r="B1307" s="296"/>
      <c r="C1307" s="298"/>
      <c r="D1307" s="300"/>
      <c r="E1307" s="302"/>
      <c r="F1307" s="304"/>
      <c r="G1307" s="276"/>
      <c r="H1307" s="277"/>
      <c r="I1307" s="290"/>
      <c r="J1307" s="290"/>
      <c r="K1307" s="291"/>
      <c r="L1307" s="17"/>
      <c r="M1307" s="286"/>
      <c r="N1307" s="21"/>
      <c r="O1307" s="286"/>
      <c r="P1307" s="21"/>
      <c r="Q1307" s="286"/>
      <c r="R1307" s="248"/>
      <c r="S1307" s="287"/>
      <c r="T1307" s="248"/>
      <c r="U1307" s="13"/>
      <c r="V1307" s="282"/>
      <c r="W1307" s="283"/>
      <c r="X1307" s="284"/>
      <c r="Y1307" s="245"/>
      <c r="Z1307" s="245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BP1307" s="391"/>
      <c r="BQ1307" s="393"/>
    </row>
    <row r="1308" spans="1:69" ht="14.25" customHeight="1" x14ac:dyDescent="0.35">
      <c r="A1308" s="293">
        <v>646</v>
      </c>
      <c r="B1308" s="295"/>
      <c r="C1308" s="297"/>
      <c r="D1308" s="299"/>
      <c r="E1308" s="301"/>
      <c r="F1308" s="303"/>
      <c r="G1308" s="288"/>
      <c r="H1308" s="289"/>
      <c r="I1308" s="290"/>
      <c r="J1308" s="290"/>
      <c r="K1308" s="291"/>
      <c r="L1308" s="18"/>
      <c r="M1308" s="285" t="str">
        <f t="shared" ref="M1308" si="2038">IF(COUNT(L1308:L1309)&lt;1,"",AVERAGE(L1308:L1309))</f>
        <v/>
      </c>
      <c r="N1308" s="22"/>
      <c r="O1308" s="285" t="str">
        <f t="shared" ref="O1308" si="2039">IF(COUNT(N1308:N1309)&lt;1,"",AVERAGE(N1308:N1309))</f>
        <v/>
      </c>
      <c r="P1308" s="22"/>
      <c r="Q1308" s="285" t="str">
        <f t="shared" ref="Q1308" si="2040">IF(COUNT(P1308:P1309)&lt;1,"",AVERAGE(P1308:P1309))</f>
        <v/>
      </c>
      <c r="R1308" s="278" t="str">
        <f>IF($X$13="/28",IF(COUNT(P1308:P1309)&lt;=1,"",ABS(P1308-P1309)),IF($X$13="/90",IF(COUNT(#REF!)&lt;=1,"",ABS(#REF!-#REF!))))</f>
        <v/>
      </c>
      <c r="S1308" s="278" t="str">
        <f>IF($X$13="/28",IF(Q1308="","",IF(AVERAGE(Q1304:Q1309)&gt;=$W$13,ROUND(AVERAGE(Q1304:Q1309),1)&amp;" ≥ "&amp;$W$13&amp;" OK",ROUND(AVERAGE(Q1304:Q1309),1)&amp;" &lt; "&amp;$W$13&amp;" NC")),IF($X$13="/90",IF(#REF!="","",IF(AVERAGE(#REF!)&gt;=$W$13,ROUND(AVERAGE(#REF!),1)&amp;" ≥ "&amp;$W$13&amp;" OK",ROUND(AVERAGE(#REF!),1)&amp;" &lt; "&amp;$W$13&amp;" NC"))))</f>
        <v/>
      </c>
      <c r="T1308" s="278" t="str">
        <f>IF($X$13="/28",IF(Q1308="","",IF(Q1308&gt;=$W$13-$S$12,ROUND((Q1308),1)&amp;" ≥ "&amp;$W$13-$S$12&amp;" OK",ROUND((Q1308),1)&amp;" &lt; "&amp;$W$13-$S$12&amp;" NC")),IF($X$13="/90",IF(#REF!="","",IF(#REF!&gt;=$W$13-$S$12,ROUND((#REF!),1)&amp;" ≥ "&amp;$W$13-$S$12&amp;" OK",ROUND((#REF!),1)&amp;" &lt; "&amp;$W$13-$S$12&amp;" NC"))))</f>
        <v/>
      </c>
      <c r="U1308" s="14"/>
      <c r="V1308" s="279"/>
      <c r="W1308" s="280"/>
      <c r="X1308" s="281"/>
      <c r="Y1308" s="246"/>
      <c r="Z1308" s="246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BP1308" s="390" t="str">
        <f>IF($X$13="/28",IF(Q1308="","",Q1308),IF($X$13="/90",IF(#REF!="","",#REF!),"Falso"))</f>
        <v/>
      </c>
      <c r="BQ1308" s="392" t="str">
        <f t="shared" si="2002"/>
        <v/>
      </c>
    </row>
    <row r="1309" spans="1:69" ht="14.25" customHeight="1" x14ac:dyDescent="0.35">
      <c r="A1309" s="294"/>
      <c r="B1309" s="296"/>
      <c r="C1309" s="298"/>
      <c r="D1309" s="300"/>
      <c r="E1309" s="302"/>
      <c r="F1309" s="304"/>
      <c r="G1309" s="276"/>
      <c r="H1309" s="277"/>
      <c r="I1309" s="290"/>
      <c r="J1309" s="290"/>
      <c r="K1309" s="291"/>
      <c r="L1309" s="17"/>
      <c r="M1309" s="286"/>
      <c r="N1309" s="21"/>
      <c r="O1309" s="286"/>
      <c r="P1309" s="21"/>
      <c r="Q1309" s="286"/>
      <c r="R1309" s="248"/>
      <c r="S1309" s="287"/>
      <c r="T1309" s="248"/>
      <c r="U1309" s="13"/>
      <c r="V1309" s="282"/>
      <c r="W1309" s="283"/>
      <c r="X1309" s="284"/>
      <c r="Y1309" s="245"/>
      <c r="Z1309" s="245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BP1309" s="391"/>
      <c r="BQ1309" s="393"/>
    </row>
    <row r="1310" spans="1:69" ht="14.25" customHeight="1" x14ac:dyDescent="0.35">
      <c r="A1310" s="293">
        <v>647</v>
      </c>
      <c r="B1310" s="295"/>
      <c r="C1310" s="297"/>
      <c r="D1310" s="299"/>
      <c r="E1310" s="301"/>
      <c r="F1310" s="303"/>
      <c r="G1310" s="288"/>
      <c r="H1310" s="289"/>
      <c r="I1310" s="290"/>
      <c r="J1310" s="290"/>
      <c r="K1310" s="291"/>
      <c r="L1310" s="18"/>
      <c r="M1310" s="285" t="str">
        <f t="shared" ref="M1310" si="2041">IF(COUNT(L1310:L1311)&lt;1,"",AVERAGE(L1310:L1311))</f>
        <v/>
      </c>
      <c r="N1310" s="22"/>
      <c r="O1310" s="285" t="str">
        <f t="shared" ref="O1310" si="2042">IF(COUNT(N1310:N1311)&lt;1,"",AVERAGE(N1310:N1311))</f>
        <v/>
      </c>
      <c r="P1310" s="22"/>
      <c r="Q1310" s="285" t="str">
        <f t="shared" ref="Q1310" si="2043">IF(COUNT(P1310:P1311)&lt;1,"",AVERAGE(P1310:P1311))</f>
        <v/>
      </c>
      <c r="R1310" s="278" t="str">
        <f>IF($X$13="/28",IF(COUNT(P1310:P1311)&lt;=1,"",ABS(P1310-P1311)),IF($X$13="/90",IF(COUNT(#REF!)&lt;=1,"",ABS(#REF!-#REF!))))</f>
        <v/>
      </c>
      <c r="S1310" s="278" t="str">
        <f>IF($X$13="/28",IF(Q1310="","",IF(AVERAGE(Q1306:Q1311)&gt;=$W$13,ROUND(AVERAGE(Q1306:Q1311),1)&amp;" ≥ "&amp;$W$13&amp;" OK",ROUND(AVERAGE(Q1306:Q1311),1)&amp;" &lt; "&amp;$W$13&amp;" NC")),IF($X$13="/90",IF(#REF!="","",IF(AVERAGE(#REF!)&gt;=$W$13,ROUND(AVERAGE(#REF!),1)&amp;" ≥ "&amp;$W$13&amp;" OK",ROUND(AVERAGE(#REF!),1)&amp;" &lt; "&amp;$W$13&amp;" NC"))))</f>
        <v/>
      </c>
      <c r="T1310" s="278" t="str">
        <f>IF($X$13="/28",IF(Q1310="","",IF(Q1310&gt;=$W$13-$S$12,ROUND((Q1310),1)&amp;" ≥ "&amp;$W$13-$S$12&amp;" OK",ROUND((Q1310),1)&amp;" &lt; "&amp;$W$13-$S$12&amp;" NC")),IF($X$13="/90",IF(#REF!="","",IF(#REF!&gt;=$W$13-$S$12,ROUND((#REF!),1)&amp;" ≥ "&amp;$W$13-$S$12&amp;" OK",ROUND((#REF!),1)&amp;" &lt; "&amp;$W$13-$S$12&amp;" NC"))))</f>
        <v/>
      </c>
      <c r="U1310" s="14"/>
      <c r="V1310" s="279"/>
      <c r="W1310" s="280"/>
      <c r="X1310" s="281"/>
      <c r="Y1310" s="246"/>
      <c r="Z1310" s="246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BP1310" s="390" t="str">
        <f>IF($X$13="/28",IF(Q1310="","",Q1310),IF($X$13="/90",IF(#REF!="","",#REF!),"Falso"))</f>
        <v/>
      </c>
      <c r="BQ1310" s="392" t="str">
        <f t="shared" si="2006"/>
        <v/>
      </c>
    </row>
    <row r="1311" spans="1:69" ht="14.25" customHeight="1" x14ac:dyDescent="0.35">
      <c r="A1311" s="294"/>
      <c r="B1311" s="296"/>
      <c r="C1311" s="298"/>
      <c r="D1311" s="300"/>
      <c r="E1311" s="302"/>
      <c r="F1311" s="304"/>
      <c r="G1311" s="276"/>
      <c r="H1311" s="277"/>
      <c r="I1311" s="290"/>
      <c r="J1311" s="290"/>
      <c r="K1311" s="291"/>
      <c r="L1311" s="17"/>
      <c r="M1311" s="286"/>
      <c r="N1311" s="21"/>
      <c r="O1311" s="286"/>
      <c r="P1311" s="21"/>
      <c r="Q1311" s="286"/>
      <c r="R1311" s="248"/>
      <c r="S1311" s="287"/>
      <c r="T1311" s="248"/>
      <c r="U1311" s="13"/>
      <c r="V1311" s="282"/>
      <c r="W1311" s="283"/>
      <c r="X1311" s="284"/>
      <c r="Y1311" s="245"/>
      <c r="Z1311" s="245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BP1311" s="391"/>
      <c r="BQ1311" s="393"/>
    </row>
    <row r="1312" spans="1:69" ht="14.25" customHeight="1" x14ac:dyDescent="0.35">
      <c r="A1312" s="293">
        <v>648</v>
      </c>
      <c r="B1312" s="295"/>
      <c r="C1312" s="297"/>
      <c r="D1312" s="299"/>
      <c r="E1312" s="301"/>
      <c r="F1312" s="303"/>
      <c r="G1312" s="288"/>
      <c r="H1312" s="289"/>
      <c r="I1312" s="290"/>
      <c r="J1312" s="290"/>
      <c r="K1312" s="291"/>
      <c r="L1312" s="18"/>
      <c r="M1312" s="285" t="str">
        <f t="shared" ref="M1312" si="2044">IF(COUNT(L1312:L1313)&lt;1,"",AVERAGE(L1312:L1313))</f>
        <v/>
      </c>
      <c r="N1312" s="22"/>
      <c r="O1312" s="285" t="str">
        <f t="shared" ref="O1312" si="2045">IF(COUNT(N1312:N1313)&lt;1,"",AVERAGE(N1312:N1313))</f>
        <v/>
      </c>
      <c r="P1312" s="22"/>
      <c r="Q1312" s="285" t="str">
        <f t="shared" ref="Q1312" si="2046">IF(COUNT(P1312:P1313)&lt;1,"",AVERAGE(P1312:P1313))</f>
        <v/>
      </c>
      <c r="R1312" s="278" t="str">
        <f>IF($X$13="/28",IF(COUNT(P1312:P1313)&lt;=1,"",ABS(P1312-P1313)),IF($X$13="/90",IF(COUNT(#REF!)&lt;=1,"",ABS(#REF!-#REF!))))</f>
        <v/>
      </c>
      <c r="S1312" s="278" t="str">
        <f>IF($X$13="/28",IF(Q1312="","",IF(AVERAGE(Q1308:Q1313)&gt;=$W$13,ROUND(AVERAGE(Q1308:Q1313),1)&amp;" ≥ "&amp;$W$13&amp;" OK",ROUND(AVERAGE(Q1308:Q1313),1)&amp;" &lt; "&amp;$W$13&amp;" NC")),IF($X$13="/90",IF(#REF!="","",IF(AVERAGE(#REF!)&gt;=$W$13,ROUND(AVERAGE(#REF!),1)&amp;" ≥ "&amp;$W$13&amp;" OK",ROUND(AVERAGE(#REF!),1)&amp;" &lt; "&amp;$W$13&amp;" NC"))))</f>
        <v/>
      </c>
      <c r="T1312" s="278" t="str">
        <f>IF($X$13="/28",IF(Q1312="","",IF(Q1312&gt;=$W$13-$S$12,ROUND((Q1312),1)&amp;" ≥ "&amp;$W$13-$S$12&amp;" OK",ROUND((Q1312),1)&amp;" &lt; "&amp;$W$13-$S$12&amp;" NC")),IF($X$13="/90",IF(#REF!="","",IF(#REF!&gt;=$W$13-$S$12,ROUND((#REF!),1)&amp;" ≥ "&amp;$W$13-$S$12&amp;" OK",ROUND((#REF!),1)&amp;" &lt; "&amp;$W$13-$S$12&amp;" NC"))))</f>
        <v/>
      </c>
      <c r="U1312" s="14"/>
      <c r="V1312" s="279"/>
      <c r="W1312" s="280"/>
      <c r="X1312" s="281"/>
      <c r="Y1312" s="246"/>
      <c r="Z1312" s="246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BP1312" s="390" t="str">
        <f>IF($X$13="/28",IF(Q1312="","",Q1312),IF($X$13="/90",IF(#REF!="","",#REF!),"Falso"))</f>
        <v/>
      </c>
      <c r="BQ1312" s="392" t="str">
        <f t="shared" si="2010"/>
        <v/>
      </c>
    </row>
    <row r="1313" spans="1:69" ht="14.25" customHeight="1" x14ac:dyDescent="0.35">
      <c r="A1313" s="294"/>
      <c r="B1313" s="296"/>
      <c r="C1313" s="298"/>
      <c r="D1313" s="300"/>
      <c r="E1313" s="302"/>
      <c r="F1313" s="304"/>
      <c r="G1313" s="276"/>
      <c r="H1313" s="277"/>
      <c r="I1313" s="290"/>
      <c r="J1313" s="290"/>
      <c r="K1313" s="291"/>
      <c r="L1313" s="17"/>
      <c r="M1313" s="286"/>
      <c r="N1313" s="21"/>
      <c r="O1313" s="286"/>
      <c r="P1313" s="21"/>
      <c r="Q1313" s="286"/>
      <c r="R1313" s="248"/>
      <c r="S1313" s="287"/>
      <c r="T1313" s="248"/>
      <c r="U1313" s="13"/>
      <c r="V1313" s="282"/>
      <c r="W1313" s="283"/>
      <c r="X1313" s="284"/>
      <c r="Y1313" s="245"/>
      <c r="Z1313" s="245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BP1313" s="391"/>
      <c r="BQ1313" s="393"/>
    </row>
    <row r="1314" spans="1:69" ht="14.25" customHeight="1" x14ac:dyDescent="0.35">
      <c r="A1314" s="293">
        <v>649</v>
      </c>
      <c r="B1314" s="295"/>
      <c r="C1314" s="297"/>
      <c r="D1314" s="299"/>
      <c r="E1314" s="301"/>
      <c r="F1314" s="303"/>
      <c r="G1314" s="288"/>
      <c r="H1314" s="289"/>
      <c r="I1314" s="290"/>
      <c r="J1314" s="290"/>
      <c r="K1314" s="291"/>
      <c r="L1314" s="18"/>
      <c r="M1314" s="285" t="str">
        <f t="shared" ref="M1314" si="2047">IF(COUNT(L1314:L1315)&lt;1,"",AVERAGE(L1314:L1315))</f>
        <v/>
      </c>
      <c r="N1314" s="22"/>
      <c r="O1314" s="285" t="str">
        <f t="shared" ref="O1314" si="2048">IF(COUNT(N1314:N1315)&lt;1,"",AVERAGE(N1314:N1315))</f>
        <v/>
      </c>
      <c r="P1314" s="22"/>
      <c r="Q1314" s="285" t="str">
        <f t="shared" ref="Q1314" si="2049">IF(COUNT(P1314:P1315)&lt;1,"",AVERAGE(P1314:P1315))</f>
        <v/>
      </c>
      <c r="R1314" s="278" t="str">
        <f>IF($X$13="/28",IF(COUNT(P1314:P1315)&lt;=1,"",ABS(P1314-P1315)),IF($X$13="/90",IF(COUNT(#REF!)&lt;=1,"",ABS(#REF!-#REF!))))</f>
        <v/>
      </c>
      <c r="S1314" s="278" t="str">
        <f>IF($X$13="/28",IF(Q1314="","",IF(AVERAGE(Q1310:Q1315)&gt;=$W$13,ROUND(AVERAGE(Q1310:Q1315),1)&amp;" ≥ "&amp;$W$13&amp;" OK",ROUND(AVERAGE(Q1310:Q1315),1)&amp;" &lt; "&amp;$W$13&amp;" NC")),IF($X$13="/90",IF(#REF!="","",IF(AVERAGE(#REF!)&gt;=$W$13,ROUND(AVERAGE(#REF!),1)&amp;" ≥ "&amp;$W$13&amp;" OK",ROUND(AVERAGE(#REF!),1)&amp;" &lt; "&amp;$W$13&amp;" NC"))))</f>
        <v/>
      </c>
      <c r="T1314" s="278" t="str">
        <f>IF($X$13="/28",IF(Q1314="","",IF(Q1314&gt;=$W$13-$S$12,ROUND((Q1314),1)&amp;" ≥ "&amp;$W$13-$S$12&amp;" OK",ROUND((Q1314),1)&amp;" &lt; "&amp;$W$13-$S$12&amp;" NC")),IF($X$13="/90",IF(#REF!="","",IF(#REF!&gt;=$W$13-$S$12,ROUND((#REF!),1)&amp;" ≥ "&amp;$W$13-$S$12&amp;" OK",ROUND((#REF!),1)&amp;" &lt; "&amp;$W$13-$S$12&amp;" NC"))))</f>
        <v/>
      </c>
      <c r="U1314" s="14"/>
      <c r="V1314" s="279"/>
      <c r="W1314" s="280"/>
      <c r="X1314" s="281"/>
      <c r="Y1314" s="246"/>
      <c r="Z1314" s="246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BP1314" s="390" t="str">
        <f>IF($X$13="/28",IF(Q1314="","",Q1314),IF($X$13="/90",IF(#REF!="","",#REF!),"Falso"))</f>
        <v/>
      </c>
      <c r="BQ1314" s="392" t="str">
        <f t="shared" si="2002"/>
        <v/>
      </c>
    </row>
    <row r="1315" spans="1:69" ht="14.25" customHeight="1" x14ac:dyDescent="0.35">
      <c r="A1315" s="294"/>
      <c r="B1315" s="296"/>
      <c r="C1315" s="298"/>
      <c r="D1315" s="300"/>
      <c r="E1315" s="302"/>
      <c r="F1315" s="304"/>
      <c r="G1315" s="276"/>
      <c r="H1315" s="277"/>
      <c r="I1315" s="290"/>
      <c r="J1315" s="290"/>
      <c r="K1315" s="291"/>
      <c r="L1315" s="17"/>
      <c r="M1315" s="286"/>
      <c r="N1315" s="21"/>
      <c r="O1315" s="286"/>
      <c r="P1315" s="21"/>
      <c r="Q1315" s="286"/>
      <c r="R1315" s="248"/>
      <c r="S1315" s="287"/>
      <c r="T1315" s="248"/>
      <c r="U1315" s="13"/>
      <c r="V1315" s="282"/>
      <c r="W1315" s="283"/>
      <c r="X1315" s="284"/>
      <c r="Y1315" s="245"/>
      <c r="Z1315" s="245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BP1315" s="391"/>
      <c r="BQ1315" s="393"/>
    </row>
    <row r="1316" spans="1:69" ht="14.25" customHeight="1" x14ac:dyDescent="0.35">
      <c r="A1316" s="293">
        <v>650</v>
      </c>
      <c r="B1316" s="295"/>
      <c r="C1316" s="297"/>
      <c r="D1316" s="299"/>
      <c r="E1316" s="301"/>
      <c r="F1316" s="303"/>
      <c r="G1316" s="288"/>
      <c r="H1316" s="289"/>
      <c r="I1316" s="290"/>
      <c r="J1316" s="290"/>
      <c r="K1316" s="291"/>
      <c r="L1316" s="18"/>
      <c r="M1316" s="285" t="str">
        <f t="shared" ref="M1316" si="2050">IF(COUNT(L1316:L1317)&lt;1,"",AVERAGE(L1316:L1317))</f>
        <v/>
      </c>
      <c r="N1316" s="22"/>
      <c r="O1316" s="285" t="str">
        <f t="shared" ref="O1316" si="2051">IF(COUNT(N1316:N1317)&lt;1,"",AVERAGE(N1316:N1317))</f>
        <v/>
      </c>
      <c r="P1316" s="22"/>
      <c r="Q1316" s="285" t="str">
        <f t="shared" ref="Q1316" si="2052">IF(COUNT(P1316:P1317)&lt;1,"",AVERAGE(P1316:P1317))</f>
        <v/>
      </c>
      <c r="R1316" s="278" t="str">
        <f>IF($X$13="/28",IF(COUNT(P1316:P1317)&lt;=1,"",ABS(P1316-P1317)),IF($X$13="/90",IF(COUNT(#REF!)&lt;=1,"",ABS(#REF!-#REF!))))</f>
        <v/>
      </c>
      <c r="S1316" s="278" t="str">
        <f>IF($X$13="/28",IF(Q1316="","",IF(AVERAGE(Q1312:Q1317)&gt;=$W$13,ROUND(AVERAGE(Q1312:Q1317),1)&amp;" ≥ "&amp;$W$13&amp;" OK",ROUND(AVERAGE(Q1312:Q1317),1)&amp;" &lt; "&amp;$W$13&amp;" NC")),IF($X$13="/90",IF(#REF!="","",IF(AVERAGE(#REF!)&gt;=$W$13,ROUND(AVERAGE(#REF!),1)&amp;" ≥ "&amp;$W$13&amp;" OK",ROUND(AVERAGE(#REF!),1)&amp;" &lt; "&amp;$W$13&amp;" NC"))))</f>
        <v/>
      </c>
      <c r="T1316" s="278" t="str">
        <f>IF($X$13="/28",IF(Q1316="","",IF(Q1316&gt;=$W$13-$S$12,ROUND((Q1316),1)&amp;" ≥ "&amp;$W$13-$S$12&amp;" OK",ROUND((Q1316),1)&amp;" &lt; "&amp;$W$13-$S$12&amp;" NC")),IF($X$13="/90",IF(#REF!="","",IF(#REF!&gt;=$W$13-$S$12,ROUND((#REF!),1)&amp;" ≥ "&amp;$W$13-$S$12&amp;" OK",ROUND((#REF!),1)&amp;" &lt; "&amp;$W$13-$S$12&amp;" NC"))))</f>
        <v/>
      </c>
      <c r="U1316" s="14"/>
      <c r="V1316" s="279"/>
      <c r="W1316" s="280"/>
      <c r="X1316" s="281"/>
      <c r="Y1316" s="246"/>
      <c r="Z1316" s="246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BP1316" s="390" t="str">
        <f>IF($X$13="/28",IF(Q1316="","",Q1316),IF($X$13="/90",IF(#REF!="","",#REF!),"Falso"))</f>
        <v/>
      </c>
      <c r="BQ1316" s="392" t="str">
        <f t="shared" si="2006"/>
        <v/>
      </c>
    </row>
    <row r="1317" spans="1:69" ht="14.25" customHeight="1" x14ac:dyDescent="0.35">
      <c r="A1317" s="294"/>
      <c r="B1317" s="296"/>
      <c r="C1317" s="298"/>
      <c r="D1317" s="300"/>
      <c r="E1317" s="302"/>
      <c r="F1317" s="304"/>
      <c r="G1317" s="276"/>
      <c r="H1317" s="277"/>
      <c r="I1317" s="290"/>
      <c r="J1317" s="290"/>
      <c r="K1317" s="291"/>
      <c r="L1317" s="17"/>
      <c r="M1317" s="286"/>
      <c r="N1317" s="21"/>
      <c r="O1317" s="286"/>
      <c r="P1317" s="21"/>
      <c r="Q1317" s="286"/>
      <c r="R1317" s="248"/>
      <c r="S1317" s="287"/>
      <c r="T1317" s="248"/>
      <c r="U1317" s="13"/>
      <c r="V1317" s="282"/>
      <c r="W1317" s="283"/>
      <c r="X1317" s="284"/>
      <c r="Y1317" s="245"/>
      <c r="Z1317" s="245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BP1317" s="391"/>
      <c r="BQ1317" s="393"/>
    </row>
    <row r="1318" spans="1:69" ht="14.25" customHeight="1" x14ac:dyDescent="0.35">
      <c r="A1318" s="293">
        <v>651</v>
      </c>
      <c r="B1318" s="295"/>
      <c r="C1318" s="297"/>
      <c r="D1318" s="299"/>
      <c r="E1318" s="301"/>
      <c r="F1318" s="303"/>
      <c r="G1318" s="288"/>
      <c r="H1318" s="289"/>
      <c r="I1318" s="290"/>
      <c r="J1318" s="290"/>
      <c r="K1318" s="291"/>
      <c r="L1318" s="18"/>
      <c r="M1318" s="285" t="str">
        <f t="shared" ref="M1318" si="2053">IF(COUNT(L1318:L1319)&lt;1,"",AVERAGE(L1318:L1319))</f>
        <v/>
      </c>
      <c r="N1318" s="22"/>
      <c r="O1318" s="285" t="str">
        <f t="shared" ref="O1318" si="2054">IF(COUNT(N1318:N1319)&lt;1,"",AVERAGE(N1318:N1319))</f>
        <v/>
      </c>
      <c r="P1318" s="22"/>
      <c r="Q1318" s="285" t="str">
        <f t="shared" ref="Q1318" si="2055">IF(COUNT(P1318:P1319)&lt;1,"",AVERAGE(P1318:P1319))</f>
        <v/>
      </c>
      <c r="R1318" s="278" t="str">
        <f>IF($X$13="/28",IF(COUNT(P1318:P1319)&lt;=1,"",ABS(P1318-P1319)),IF($X$13="/90",IF(COUNT(#REF!)&lt;=1,"",ABS(#REF!-#REF!))))</f>
        <v/>
      </c>
      <c r="S1318" s="278" t="str">
        <f>IF($X$13="/28",IF(Q1318="","",IF(AVERAGE(Q1314:Q1319)&gt;=$W$13,ROUND(AVERAGE(Q1314:Q1319),1)&amp;" ≥ "&amp;$W$13&amp;" OK",ROUND(AVERAGE(Q1314:Q1319),1)&amp;" &lt; "&amp;$W$13&amp;" NC")),IF($X$13="/90",IF(#REF!="","",IF(AVERAGE(#REF!)&gt;=$W$13,ROUND(AVERAGE(#REF!),1)&amp;" ≥ "&amp;$W$13&amp;" OK",ROUND(AVERAGE(#REF!),1)&amp;" &lt; "&amp;$W$13&amp;" NC"))))</f>
        <v/>
      </c>
      <c r="T1318" s="278" t="str">
        <f>IF($X$13="/28",IF(Q1318="","",IF(Q1318&gt;=$W$13-$S$12,ROUND((Q1318),1)&amp;" ≥ "&amp;$W$13-$S$12&amp;" OK",ROUND((Q1318),1)&amp;" &lt; "&amp;$W$13-$S$12&amp;" NC")),IF($X$13="/90",IF(#REF!="","",IF(#REF!&gt;=$W$13-$S$12,ROUND((#REF!),1)&amp;" ≥ "&amp;$W$13-$S$12&amp;" OK",ROUND((#REF!),1)&amp;" &lt; "&amp;$W$13-$S$12&amp;" NC"))))</f>
        <v/>
      </c>
      <c r="U1318" s="14"/>
      <c r="V1318" s="279"/>
      <c r="W1318" s="280"/>
      <c r="X1318" s="281"/>
      <c r="Y1318" s="246"/>
      <c r="Z1318" s="246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BP1318" s="390" t="str">
        <f>IF($X$13="/28",IF(Q1318="","",Q1318),IF($X$13="/90",IF(#REF!="","",#REF!),"Falso"))</f>
        <v/>
      </c>
      <c r="BQ1318" s="392" t="str">
        <f t="shared" si="2010"/>
        <v/>
      </c>
    </row>
    <row r="1319" spans="1:69" ht="14.25" customHeight="1" x14ac:dyDescent="0.35">
      <c r="A1319" s="294"/>
      <c r="B1319" s="296"/>
      <c r="C1319" s="298"/>
      <c r="D1319" s="300"/>
      <c r="E1319" s="302"/>
      <c r="F1319" s="304"/>
      <c r="G1319" s="276"/>
      <c r="H1319" s="277"/>
      <c r="I1319" s="290"/>
      <c r="J1319" s="290"/>
      <c r="K1319" s="291"/>
      <c r="L1319" s="17"/>
      <c r="M1319" s="286"/>
      <c r="N1319" s="21"/>
      <c r="O1319" s="286"/>
      <c r="P1319" s="21"/>
      <c r="Q1319" s="286"/>
      <c r="R1319" s="248"/>
      <c r="S1319" s="287"/>
      <c r="T1319" s="248"/>
      <c r="U1319" s="13"/>
      <c r="V1319" s="282"/>
      <c r="W1319" s="283"/>
      <c r="X1319" s="284"/>
      <c r="Y1319" s="245"/>
      <c r="Z1319" s="245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BP1319" s="391"/>
      <c r="BQ1319" s="393"/>
    </row>
    <row r="1320" spans="1:69" ht="14.25" customHeight="1" x14ac:dyDescent="0.35">
      <c r="A1320" s="293">
        <v>652</v>
      </c>
      <c r="B1320" s="295"/>
      <c r="C1320" s="297"/>
      <c r="D1320" s="299"/>
      <c r="E1320" s="301"/>
      <c r="F1320" s="303"/>
      <c r="G1320" s="288"/>
      <c r="H1320" s="289"/>
      <c r="I1320" s="290"/>
      <c r="J1320" s="290"/>
      <c r="K1320" s="291"/>
      <c r="L1320" s="18"/>
      <c r="M1320" s="285" t="str">
        <f t="shared" ref="M1320" si="2056">IF(COUNT(L1320:L1321)&lt;1,"",AVERAGE(L1320:L1321))</f>
        <v/>
      </c>
      <c r="N1320" s="22"/>
      <c r="O1320" s="285" t="str">
        <f t="shared" ref="O1320" si="2057">IF(COUNT(N1320:N1321)&lt;1,"",AVERAGE(N1320:N1321))</f>
        <v/>
      </c>
      <c r="P1320" s="22"/>
      <c r="Q1320" s="285" t="str">
        <f t="shared" ref="Q1320" si="2058">IF(COUNT(P1320:P1321)&lt;1,"",AVERAGE(P1320:P1321))</f>
        <v/>
      </c>
      <c r="R1320" s="278" t="str">
        <f>IF($X$13="/28",IF(COUNT(P1320:P1321)&lt;=1,"",ABS(P1320-P1321)),IF($X$13="/90",IF(COUNT(#REF!)&lt;=1,"",ABS(#REF!-#REF!))))</f>
        <v/>
      </c>
      <c r="S1320" s="278" t="str">
        <f>IF($X$13="/28",IF(Q1320="","",IF(AVERAGE(Q1316:Q1321)&gt;=$W$13,ROUND(AVERAGE(Q1316:Q1321),1)&amp;" ≥ "&amp;$W$13&amp;" OK",ROUND(AVERAGE(Q1316:Q1321),1)&amp;" &lt; "&amp;$W$13&amp;" NC")),IF($X$13="/90",IF(#REF!="","",IF(AVERAGE(#REF!)&gt;=$W$13,ROUND(AVERAGE(#REF!),1)&amp;" ≥ "&amp;$W$13&amp;" OK",ROUND(AVERAGE(#REF!),1)&amp;" &lt; "&amp;$W$13&amp;" NC"))))</f>
        <v/>
      </c>
      <c r="T1320" s="278" t="str">
        <f>IF($X$13="/28",IF(Q1320="","",IF(Q1320&gt;=$W$13-$S$12,ROUND((Q1320),1)&amp;" ≥ "&amp;$W$13-$S$12&amp;" OK",ROUND((Q1320),1)&amp;" &lt; "&amp;$W$13-$S$12&amp;" NC")),IF($X$13="/90",IF(#REF!="","",IF(#REF!&gt;=$W$13-$S$12,ROUND((#REF!),1)&amp;" ≥ "&amp;$W$13-$S$12&amp;" OK",ROUND((#REF!),1)&amp;" &lt; "&amp;$W$13-$S$12&amp;" NC"))))</f>
        <v/>
      </c>
      <c r="U1320" s="14"/>
      <c r="V1320" s="279"/>
      <c r="W1320" s="280"/>
      <c r="X1320" s="281"/>
      <c r="Y1320" s="246"/>
      <c r="Z1320" s="246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BP1320" s="390" t="str">
        <f>IF($X$13="/28",IF(Q1320="","",Q1320),IF($X$13="/90",IF(#REF!="","",#REF!),"Falso"))</f>
        <v/>
      </c>
      <c r="BQ1320" s="392" t="str">
        <f t="shared" si="2002"/>
        <v/>
      </c>
    </row>
    <row r="1321" spans="1:69" ht="14.25" customHeight="1" x14ac:dyDescent="0.35">
      <c r="A1321" s="294"/>
      <c r="B1321" s="296"/>
      <c r="C1321" s="298"/>
      <c r="D1321" s="300"/>
      <c r="E1321" s="302"/>
      <c r="F1321" s="304"/>
      <c r="G1321" s="276"/>
      <c r="H1321" s="277"/>
      <c r="I1321" s="290"/>
      <c r="J1321" s="290"/>
      <c r="K1321" s="291"/>
      <c r="L1321" s="17"/>
      <c r="M1321" s="286"/>
      <c r="N1321" s="21"/>
      <c r="O1321" s="286"/>
      <c r="P1321" s="21"/>
      <c r="Q1321" s="286"/>
      <c r="R1321" s="248"/>
      <c r="S1321" s="287"/>
      <c r="T1321" s="248"/>
      <c r="U1321" s="13"/>
      <c r="V1321" s="282"/>
      <c r="W1321" s="283"/>
      <c r="X1321" s="284"/>
      <c r="Y1321" s="245"/>
      <c r="Z1321" s="245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BP1321" s="391"/>
      <c r="BQ1321" s="393"/>
    </row>
    <row r="1322" spans="1:69" ht="14.25" customHeight="1" x14ac:dyDescent="0.35">
      <c r="A1322" s="293">
        <v>653</v>
      </c>
      <c r="B1322" s="295"/>
      <c r="C1322" s="297"/>
      <c r="D1322" s="299"/>
      <c r="E1322" s="301"/>
      <c r="F1322" s="303"/>
      <c r="G1322" s="288"/>
      <c r="H1322" s="289"/>
      <c r="I1322" s="290"/>
      <c r="J1322" s="290"/>
      <c r="K1322" s="291"/>
      <c r="L1322" s="18"/>
      <c r="M1322" s="285" t="str">
        <f t="shared" ref="M1322" si="2059">IF(COUNT(L1322:L1323)&lt;1,"",AVERAGE(L1322:L1323))</f>
        <v/>
      </c>
      <c r="N1322" s="22"/>
      <c r="O1322" s="285" t="str">
        <f t="shared" ref="O1322" si="2060">IF(COUNT(N1322:N1323)&lt;1,"",AVERAGE(N1322:N1323))</f>
        <v/>
      </c>
      <c r="P1322" s="22"/>
      <c r="Q1322" s="285" t="str">
        <f t="shared" ref="Q1322" si="2061">IF(COUNT(P1322:P1323)&lt;1,"",AVERAGE(P1322:P1323))</f>
        <v/>
      </c>
      <c r="R1322" s="278" t="str">
        <f>IF($X$13="/28",IF(COUNT(P1322:P1323)&lt;=1,"",ABS(P1322-P1323)),IF($X$13="/90",IF(COUNT(#REF!)&lt;=1,"",ABS(#REF!-#REF!))))</f>
        <v/>
      </c>
      <c r="S1322" s="278" t="str">
        <f>IF($X$13="/28",IF(Q1322="","",IF(AVERAGE(Q1318:Q1323)&gt;=$W$13,ROUND(AVERAGE(Q1318:Q1323),1)&amp;" ≥ "&amp;$W$13&amp;" OK",ROUND(AVERAGE(Q1318:Q1323),1)&amp;" &lt; "&amp;$W$13&amp;" NC")),IF($X$13="/90",IF(#REF!="","",IF(AVERAGE(#REF!)&gt;=$W$13,ROUND(AVERAGE(#REF!),1)&amp;" ≥ "&amp;$W$13&amp;" OK",ROUND(AVERAGE(#REF!),1)&amp;" &lt; "&amp;$W$13&amp;" NC"))))</f>
        <v/>
      </c>
      <c r="T1322" s="278" t="str">
        <f>IF($X$13="/28",IF(Q1322="","",IF(Q1322&gt;=$W$13-$S$12,ROUND((Q1322),1)&amp;" ≥ "&amp;$W$13-$S$12&amp;" OK",ROUND((Q1322),1)&amp;" &lt; "&amp;$W$13-$S$12&amp;" NC")),IF($X$13="/90",IF(#REF!="","",IF(#REF!&gt;=$W$13-$S$12,ROUND((#REF!),1)&amp;" ≥ "&amp;$W$13-$S$12&amp;" OK",ROUND((#REF!),1)&amp;" &lt; "&amp;$W$13-$S$12&amp;" NC"))))</f>
        <v/>
      </c>
      <c r="U1322" s="14"/>
      <c r="V1322" s="279"/>
      <c r="W1322" s="280"/>
      <c r="X1322" s="281"/>
      <c r="Y1322" s="246"/>
      <c r="Z1322" s="246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BP1322" s="390" t="str">
        <f>IF($X$13="/28",IF(Q1322="","",Q1322),IF($X$13="/90",IF(#REF!="","",#REF!),"Falso"))</f>
        <v/>
      </c>
      <c r="BQ1322" s="392" t="str">
        <f t="shared" si="2006"/>
        <v/>
      </c>
    </row>
    <row r="1323" spans="1:69" ht="14.25" customHeight="1" x14ac:dyDescent="0.35">
      <c r="A1323" s="294"/>
      <c r="B1323" s="296"/>
      <c r="C1323" s="298"/>
      <c r="D1323" s="300"/>
      <c r="E1323" s="302"/>
      <c r="F1323" s="304"/>
      <c r="G1323" s="276"/>
      <c r="H1323" s="277"/>
      <c r="I1323" s="290"/>
      <c r="J1323" s="290"/>
      <c r="K1323" s="291"/>
      <c r="L1323" s="17"/>
      <c r="M1323" s="286"/>
      <c r="N1323" s="21"/>
      <c r="O1323" s="286"/>
      <c r="P1323" s="21"/>
      <c r="Q1323" s="286"/>
      <c r="R1323" s="248"/>
      <c r="S1323" s="287"/>
      <c r="T1323" s="248"/>
      <c r="U1323" s="13"/>
      <c r="V1323" s="282"/>
      <c r="W1323" s="283"/>
      <c r="X1323" s="284"/>
      <c r="Y1323" s="245"/>
      <c r="Z1323" s="245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BP1323" s="391"/>
      <c r="BQ1323" s="393"/>
    </row>
    <row r="1324" spans="1:69" ht="14.25" customHeight="1" x14ac:dyDescent="0.35">
      <c r="A1324" s="293">
        <v>654</v>
      </c>
      <c r="B1324" s="295"/>
      <c r="C1324" s="297"/>
      <c r="D1324" s="299"/>
      <c r="E1324" s="301"/>
      <c r="F1324" s="303"/>
      <c r="G1324" s="288"/>
      <c r="H1324" s="289"/>
      <c r="I1324" s="290"/>
      <c r="J1324" s="290"/>
      <c r="K1324" s="291"/>
      <c r="L1324" s="18"/>
      <c r="M1324" s="285" t="str">
        <f t="shared" ref="M1324" si="2062">IF(COUNT(L1324:L1325)&lt;1,"",AVERAGE(L1324:L1325))</f>
        <v/>
      </c>
      <c r="N1324" s="22"/>
      <c r="O1324" s="285" t="str">
        <f t="shared" ref="O1324" si="2063">IF(COUNT(N1324:N1325)&lt;1,"",AVERAGE(N1324:N1325))</f>
        <v/>
      </c>
      <c r="P1324" s="22"/>
      <c r="Q1324" s="285" t="str">
        <f t="shared" ref="Q1324" si="2064">IF(COUNT(P1324:P1325)&lt;1,"",AVERAGE(P1324:P1325))</f>
        <v/>
      </c>
      <c r="R1324" s="278" t="str">
        <f>IF($X$13="/28",IF(COUNT(P1324:P1325)&lt;=1,"",ABS(P1324-P1325)),IF($X$13="/90",IF(COUNT(#REF!)&lt;=1,"",ABS(#REF!-#REF!))))</f>
        <v/>
      </c>
      <c r="S1324" s="278" t="str">
        <f>IF($X$13="/28",IF(Q1324="","",IF(AVERAGE(Q1320:Q1325)&gt;=$W$13,ROUND(AVERAGE(Q1320:Q1325),1)&amp;" ≥ "&amp;$W$13&amp;" OK",ROUND(AVERAGE(Q1320:Q1325),1)&amp;" &lt; "&amp;$W$13&amp;" NC")),IF($X$13="/90",IF(#REF!="","",IF(AVERAGE(#REF!)&gt;=$W$13,ROUND(AVERAGE(#REF!),1)&amp;" ≥ "&amp;$W$13&amp;" OK",ROUND(AVERAGE(#REF!),1)&amp;" &lt; "&amp;$W$13&amp;" NC"))))</f>
        <v/>
      </c>
      <c r="T1324" s="278" t="str">
        <f>IF($X$13="/28",IF(Q1324="","",IF(Q1324&gt;=$W$13-$S$12,ROUND((Q1324),1)&amp;" ≥ "&amp;$W$13-$S$12&amp;" OK",ROUND((Q1324),1)&amp;" &lt; "&amp;$W$13-$S$12&amp;" NC")),IF($X$13="/90",IF(#REF!="","",IF(#REF!&gt;=$W$13-$S$12,ROUND((#REF!),1)&amp;" ≥ "&amp;$W$13-$S$12&amp;" OK",ROUND((#REF!),1)&amp;" &lt; "&amp;$W$13-$S$12&amp;" NC"))))</f>
        <v/>
      </c>
      <c r="U1324" s="14"/>
      <c r="V1324" s="279"/>
      <c r="W1324" s="280"/>
      <c r="X1324" s="281"/>
      <c r="Y1324" s="246"/>
      <c r="Z1324" s="246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BP1324" s="390" t="str">
        <f>IF($X$13="/28",IF(Q1324="","",Q1324),IF($X$13="/90",IF(#REF!="","",#REF!),"Falso"))</f>
        <v/>
      </c>
      <c r="BQ1324" s="392" t="str">
        <f t="shared" si="2010"/>
        <v/>
      </c>
    </row>
    <row r="1325" spans="1:69" ht="14.25" customHeight="1" x14ac:dyDescent="0.35">
      <c r="A1325" s="294"/>
      <c r="B1325" s="296"/>
      <c r="C1325" s="298"/>
      <c r="D1325" s="300"/>
      <c r="E1325" s="302"/>
      <c r="F1325" s="304"/>
      <c r="G1325" s="276"/>
      <c r="H1325" s="277"/>
      <c r="I1325" s="290"/>
      <c r="J1325" s="290"/>
      <c r="K1325" s="291"/>
      <c r="L1325" s="17"/>
      <c r="M1325" s="286"/>
      <c r="N1325" s="21"/>
      <c r="O1325" s="286"/>
      <c r="P1325" s="21"/>
      <c r="Q1325" s="286"/>
      <c r="R1325" s="248"/>
      <c r="S1325" s="287"/>
      <c r="T1325" s="248"/>
      <c r="U1325" s="13"/>
      <c r="V1325" s="282"/>
      <c r="W1325" s="283"/>
      <c r="X1325" s="284"/>
      <c r="Y1325" s="245"/>
      <c r="Z1325" s="245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BP1325" s="391"/>
      <c r="BQ1325" s="393"/>
    </row>
    <row r="1326" spans="1:69" ht="14.25" customHeight="1" x14ac:dyDescent="0.35">
      <c r="A1326" s="293">
        <v>655</v>
      </c>
      <c r="B1326" s="295"/>
      <c r="C1326" s="297"/>
      <c r="D1326" s="299"/>
      <c r="E1326" s="301"/>
      <c r="F1326" s="303"/>
      <c r="G1326" s="288"/>
      <c r="H1326" s="289"/>
      <c r="I1326" s="290"/>
      <c r="J1326" s="290"/>
      <c r="K1326" s="291"/>
      <c r="L1326" s="18"/>
      <c r="M1326" s="285" t="str">
        <f t="shared" ref="M1326" si="2065">IF(COUNT(L1326:L1327)&lt;1,"",AVERAGE(L1326:L1327))</f>
        <v/>
      </c>
      <c r="N1326" s="22"/>
      <c r="O1326" s="285" t="str">
        <f t="shared" ref="O1326" si="2066">IF(COUNT(N1326:N1327)&lt;1,"",AVERAGE(N1326:N1327))</f>
        <v/>
      </c>
      <c r="P1326" s="22"/>
      <c r="Q1326" s="285" t="str">
        <f t="shared" ref="Q1326" si="2067">IF(COUNT(P1326:P1327)&lt;1,"",AVERAGE(P1326:P1327))</f>
        <v/>
      </c>
      <c r="R1326" s="278" t="str">
        <f>IF($X$13="/28",IF(COUNT(P1326:P1327)&lt;=1,"",ABS(P1326-P1327)),IF($X$13="/90",IF(COUNT(#REF!)&lt;=1,"",ABS(#REF!-#REF!))))</f>
        <v/>
      </c>
      <c r="S1326" s="278" t="str">
        <f>IF($X$13="/28",IF(Q1326="","",IF(AVERAGE(Q1322:Q1327)&gt;=$W$13,ROUND(AVERAGE(Q1322:Q1327),1)&amp;" ≥ "&amp;$W$13&amp;" OK",ROUND(AVERAGE(Q1322:Q1327),1)&amp;" &lt; "&amp;$W$13&amp;" NC")),IF($X$13="/90",IF(#REF!="","",IF(AVERAGE(#REF!)&gt;=$W$13,ROUND(AVERAGE(#REF!),1)&amp;" ≥ "&amp;$W$13&amp;" OK",ROUND(AVERAGE(#REF!),1)&amp;" &lt; "&amp;$W$13&amp;" NC"))))</f>
        <v/>
      </c>
      <c r="T1326" s="278" t="str">
        <f>IF($X$13="/28",IF(Q1326="","",IF(Q1326&gt;=$W$13-$S$12,ROUND((Q1326),1)&amp;" ≥ "&amp;$W$13-$S$12&amp;" OK",ROUND((Q1326),1)&amp;" &lt; "&amp;$W$13-$S$12&amp;" NC")),IF($X$13="/90",IF(#REF!="","",IF(#REF!&gt;=$W$13-$S$12,ROUND((#REF!),1)&amp;" ≥ "&amp;$W$13-$S$12&amp;" OK",ROUND((#REF!),1)&amp;" &lt; "&amp;$W$13-$S$12&amp;" NC"))))</f>
        <v/>
      </c>
      <c r="U1326" s="14"/>
      <c r="V1326" s="279"/>
      <c r="W1326" s="280"/>
      <c r="X1326" s="281"/>
      <c r="Y1326" s="246"/>
      <c r="Z1326" s="246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BP1326" s="390" t="str">
        <f>IF($X$13="/28",IF(Q1326="","",Q1326),IF($X$13="/90",IF(#REF!="","",#REF!),"Falso"))</f>
        <v/>
      </c>
      <c r="BQ1326" s="392" t="str">
        <f t="shared" si="2002"/>
        <v/>
      </c>
    </row>
    <row r="1327" spans="1:69" ht="14.25" customHeight="1" x14ac:dyDescent="0.35">
      <c r="A1327" s="294"/>
      <c r="B1327" s="296"/>
      <c r="C1327" s="298"/>
      <c r="D1327" s="300"/>
      <c r="E1327" s="302"/>
      <c r="F1327" s="304"/>
      <c r="G1327" s="276"/>
      <c r="H1327" s="277"/>
      <c r="I1327" s="290"/>
      <c r="J1327" s="290"/>
      <c r="K1327" s="291"/>
      <c r="L1327" s="17"/>
      <c r="M1327" s="286"/>
      <c r="N1327" s="21"/>
      <c r="O1327" s="286"/>
      <c r="P1327" s="21"/>
      <c r="Q1327" s="286"/>
      <c r="R1327" s="248"/>
      <c r="S1327" s="287"/>
      <c r="T1327" s="248"/>
      <c r="U1327" s="13"/>
      <c r="V1327" s="282"/>
      <c r="W1327" s="283"/>
      <c r="X1327" s="284"/>
      <c r="Y1327" s="245"/>
      <c r="Z1327" s="245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BP1327" s="391"/>
      <c r="BQ1327" s="393"/>
    </row>
    <row r="1328" spans="1:69" ht="14.25" customHeight="1" x14ac:dyDescent="0.35">
      <c r="A1328" s="293">
        <v>656</v>
      </c>
      <c r="B1328" s="295"/>
      <c r="C1328" s="297"/>
      <c r="D1328" s="299"/>
      <c r="E1328" s="301"/>
      <c r="F1328" s="303"/>
      <c r="G1328" s="288"/>
      <c r="H1328" s="289"/>
      <c r="I1328" s="290"/>
      <c r="J1328" s="290"/>
      <c r="K1328" s="291"/>
      <c r="L1328" s="18"/>
      <c r="M1328" s="285" t="str">
        <f t="shared" ref="M1328" si="2068">IF(COUNT(L1328:L1329)&lt;1,"",AVERAGE(L1328:L1329))</f>
        <v/>
      </c>
      <c r="N1328" s="22"/>
      <c r="O1328" s="285" t="str">
        <f t="shared" ref="O1328" si="2069">IF(COUNT(N1328:N1329)&lt;1,"",AVERAGE(N1328:N1329))</f>
        <v/>
      </c>
      <c r="P1328" s="22"/>
      <c r="Q1328" s="285" t="str">
        <f t="shared" ref="Q1328" si="2070">IF(COUNT(P1328:P1329)&lt;1,"",AVERAGE(P1328:P1329))</f>
        <v/>
      </c>
      <c r="R1328" s="278" t="str">
        <f>IF($X$13="/28",IF(COUNT(P1328:P1329)&lt;=1,"",ABS(P1328-P1329)),IF($X$13="/90",IF(COUNT(#REF!)&lt;=1,"",ABS(#REF!-#REF!))))</f>
        <v/>
      </c>
      <c r="S1328" s="278" t="str">
        <f>IF($X$13="/28",IF(Q1328="","",IF(AVERAGE(Q1324:Q1329)&gt;=$W$13,ROUND(AVERAGE(Q1324:Q1329),1)&amp;" ≥ "&amp;$W$13&amp;" OK",ROUND(AVERAGE(Q1324:Q1329),1)&amp;" &lt; "&amp;$W$13&amp;" NC")),IF($X$13="/90",IF(#REF!="","",IF(AVERAGE(#REF!)&gt;=$W$13,ROUND(AVERAGE(#REF!),1)&amp;" ≥ "&amp;$W$13&amp;" OK",ROUND(AVERAGE(#REF!),1)&amp;" &lt; "&amp;$W$13&amp;" NC"))))</f>
        <v/>
      </c>
      <c r="T1328" s="278" t="str">
        <f>IF($X$13="/28",IF(Q1328="","",IF(Q1328&gt;=$W$13-$S$12,ROUND((Q1328),1)&amp;" ≥ "&amp;$W$13-$S$12&amp;" OK",ROUND((Q1328),1)&amp;" &lt; "&amp;$W$13-$S$12&amp;" NC")),IF($X$13="/90",IF(#REF!="","",IF(#REF!&gt;=$W$13-$S$12,ROUND((#REF!),1)&amp;" ≥ "&amp;$W$13-$S$12&amp;" OK",ROUND((#REF!),1)&amp;" &lt; "&amp;$W$13-$S$12&amp;" NC"))))</f>
        <v/>
      </c>
      <c r="U1328" s="14"/>
      <c r="V1328" s="279"/>
      <c r="W1328" s="280"/>
      <c r="X1328" s="281"/>
      <c r="Y1328" s="246"/>
      <c r="Z1328" s="246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BP1328" s="390" t="str">
        <f>IF($X$13="/28",IF(Q1328="","",Q1328),IF($X$13="/90",IF(#REF!="","",#REF!),"Falso"))</f>
        <v/>
      </c>
      <c r="BQ1328" s="392" t="str">
        <f t="shared" si="2006"/>
        <v/>
      </c>
    </row>
    <row r="1329" spans="1:69" ht="14.25" customHeight="1" x14ac:dyDescent="0.35">
      <c r="A1329" s="294"/>
      <c r="B1329" s="296"/>
      <c r="C1329" s="298"/>
      <c r="D1329" s="300"/>
      <c r="E1329" s="302"/>
      <c r="F1329" s="304"/>
      <c r="G1329" s="276"/>
      <c r="H1329" s="277"/>
      <c r="I1329" s="290"/>
      <c r="J1329" s="290"/>
      <c r="K1329" s="291"/>
      <c r="L1329" s="17"/>
      <c r="M1329" s="286"/>
      <c r="N1329" s="21"/>
      <c r="O1329" s="286"/>
      <c r="P1329" s="21"/>
      <c r="Q1329" s="286"/>
      <c r="R1329" s="248"/>
      <c r="S1329" s="287"/>
      <c r="T1329" s="248"/>
      <c r="U1329" s="13"/>
      <c r="V1329" s="282"/>
      <c r="W1329" s="283"/>
      <c r="X1329" s="284"/>
      <c r="Y1329" s="245"/>
      <c r="Z1329" s="245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BP1329" s="391"/>
      <c r="BQ1329" s="393"/>
    </row>
    <row r="1330" spans="1:69" ht="14.25" customHeight="1" x14ac:dyDescent="0.35">
      <c r="A1330" s="293">
        <v>657</v>
      </c>
      <c r="B1330" s="295"/>
      <c r="C1330" s="297"/>
      <c r="D1330" s="299"/>
      <c r="E1330" s="301"/>
      <c r="F1330" s="303"/>
      <c r="G1330" s="288"/>
      <c r="H1330" s="289"/>
      <c r="I1330" s="290"/>
      <c r="J1330" s="290"/>
      <c r="K1330" s="291"/>
      <c r="L1330" s="18"/>
      <c r="M1330" s="285" t="str">
        <f t="shared" ref="M1330" si="2071">IF(COUNT(L1330:L1331)&lt;1,"",AVERAGE(L1330:L1331))</f>
        <v/>
      </c>
      <c r="N1330" s="22"/>
      <c r="O1330" s="285" t="str">
        <f t="shared" ref="O1330" si="2072">IF(COUNT(N1330:N1331)&lt;1,"",AVERAGE(N1330:N1331))</f>
        <v/>
      </c>
      <c r="P1330" s="22"/>
      <c r="Q1330" s="285" t="str">
        <f t="shared" ref="Q1330" si="2073">IF(COUNT(P1330:P1331)&lt;1,"",AVERAGE(P1330:P1331))</f>
        <v/>
      </c>
      <c r="R1330" s="278" t="str">
        <f>IF($X$13="/28",IF(COUNT(P1330:P1331)&lt;=1,"",ABS(P1330-P1331)),IF($X$13="/90",IF(COUNT(#REF!)&lt;=1,"",ABS(#REF!-#REF!))))</f>
        <v/>
      </c>
      <c r="S1330" s="278" t="str">
        <f>IF($X$13="/28",IF(Q1330="","",IF(AVERAGE(Q1326:Q1331)&gt;=$W$13,ROUND(AVERAGE(Q1326:Q1331),1)&amp;" ≥ "&amp;$W$13&amp;" OK",ROUND(AVERAGE(Q1326:Q1331),1)&amp;" &lt; "&amp;$W$13&amp;" NC")),IF($X$13="/90",IF(#REF!="","",IF(AVERAGE(#REF!)&gt;=$W$13,ROUND(AVERAGE(#REF!),1)&amp;" ≥ "&amp;$W$13&amp;" OK",ROUND(AVERAGE(#REF!),1)&amp;" &lt; "&amp;$W$13&amp;" NC"))))</f>
        <v/>
      </c>
      <c r="T1330" s="278" t="str">
        <f>IF($X$13="/28",IF(Q1330="","",IF(Q1330&gt;=$W$13-$S$12,ROUND((Q1330),1)&amp;" ≥ "&amp;$W$13-$S$12&amp;" OK",ROUND((Q1330),1)&amp;" &lt; "&amp;$W$13-$S$12&amp;" NC")),IF($X$13="/90",IF(#REF!="","",IF(#REF!&gt;=$W$13-$S$12,ROUND((#REF!),1)&amp;" ≥ "&amp;$W$13-$S$12&amp;" OK",ROUND((#REF!),1)&amp;" &lt; "&amp;$W$13-$S$12&amp;" NC"))))</f>
        <v/>
      </c>
      <c r="U1330" s="14"/>
      <c r="V1330" s="279"/>
      <c r="W1330" s="280"/>
      <c r="X1330" s="281"/>
      <c r="Y1330" s="246"/>
      <c r="Z1330" s="246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BP1330" s="390" t="str">
        <f>IF($X$13="/28",IF(Q1330="","",Q1330),IF($X$13="/90",IF(#REF!="","",#REF!),"Falso"))</f>
        <v/>
      </c>
      <c r="BQ1330" s="392" t="str">
        <f t="shared" si="2010"/>
        <v/>
      </c>
    </row>
    <row r="1331" spans="1:69" ht="14.25" customHeight="1" x14ac:dyDescent="0.35">
      <c r="A1331" s="294"/>
      <c r="B1331" s="296"/>
      <c r="C1331" s="298"/>
      <c r="D1331" s="300"/>
      <c r="E1331" s="302"/>
      <c r="F1331" s="304"/>
      <c r="G1331" s="276"/>
      <c r="H1331" s="277"/>
      <c r="I1331" s="290"/>
      <c r="J1331" s="290"/>
      <c r="K1331" s="291"/>
      <c r="L1331" s="17"/>
      <c r="M1331" s="286"/>
      <c r="N1331" s="21"/>
      <c r="O1331" s="286"/>
      <c r="P1331" s="21"/>
      <c r="Q1331" s="286"/>
      <c r="R1331" s="248"/>
      <c r="S1331" s="287"/>
      <c r="T1331" s="248"/>
      <c r="U1331" s="13"/>
      <c r="V1331" s="282"/>
      <c r="W1331" s="283"/>
      <c r="X1331" s="284"/>
      <c r="Y1331" s="245"/>
      <c r="Z1331" s="245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BP1331" s="391"/>
      <c r="BQ1331" s="393"/>
    </row>
    <row r="1332" spans="1:69" ht="14.25" customHeight="1" x14ac:dyDescent="0.35">
      <c r="A1332" s="293">
        <v>658</v>
      </c>
      <c r="B1332" s="295"/>
      <c r="C1332" s="297"/>
      <c r="D1332" s="299"/>
      <c r="E1332" s="301"/>
      <c r="F1332" s="303"/>
      <c r="G1332" s="288"/>
      <c r="H1332" s="289"/>
      <c r="I1332" s="290"/>
      <c r="J1332" s="290"/>
      <c r="K1332" s="291"/>
      <c r="L1332" s="18"/>
      <c r="M1332" s="285" t="str">
        <f t="shared" ref="M1332" si="2074">IF(COUNT(L1332:L1333)&lt;1,"",AVERAGE(L1332:L1333))</f>
        <v/>
      </c>
      <c r="N1332" s="22"/>
      <c r="O1332" s="285" t="str">
        <f t="shared" ref="O1332" si="2075">IF(COUNT(N1332:N1333)&lt;1,"",AVERAGE(N1332:N1333))</f>
        <v/>
      </c>
      <c r="P1332" s="22"/>
      <c r="Q1332" s="285" t="str">
        <f t="shared" ref="Q1332" si="2076">IF(COUNT(P1332:P1333)&lt;1,"",AVERAGE(P1332:P1333))</f>
        <v/>
      </c>
      <c r="R1332" s="278" t="str">
        <f>IF($X$13="/28",IF(COUNT(P1332:P1333)&lt;=1,"",ABS(P1332-P1333)),IF($X$13="/90",IF(COUNT(#REF!)&lt;=1,"",ABS(#REF!-#REF!))))</f>
        <v/>
      </c>
      <c r="S1332" s="278" t="str">
        <f>IF($X$13="/28",IF(Q1332="","",IF(AVERAGE(Q1328:Q1333)&gt;=$W$13,ROUND(AVERAGE(Q1328:Q1333),1)&amp;" ≥ "&amp;$W$13&amp;" OK",ROUND(AVERAGE(Q1328:Q1333),1)&amp;" &lt; "&amp;$W$13&amp;" NC")),IF($X$13="/90",IF(#REF!="","",IF(AVERAGE(#REF!)&gt;=$W$13,ROUND(AVERAGE(#REF!),1)&amp;" ≥ "&amp;$W$13&amp;" OK",ROUND(AVERAGE(#REF!),1)&amp;" &lt; "&amp;$W$13&amp;" NC"))))</f>
        <v/>
      </c>
      <c r="T1332" s="278" t="str">
        <f>IF($X$13="/28",IF(Q1332="","",IF(Q1332&gt;=$W$13-$S$12,ROUND((Q1332),1)&amp;" ≥ "&amp;$W$13-$S$12&amp;" OK",ROUND((Q1332),1)&amp;" &lt; "&amp;$W$13-$S$12&amp;" NC")),IF($X$13="/90",IF(#REF!="","",IF(#REF!&gt;=$W$13-$S$12,ROUND((#REF!),1)&amp;" ≥ "&amp;$W$13-$S$12&amp;" OK",ROUND((#REF!),1)&amp;" &lt; "&amp;$W$13-$S$12&amp;" NC"))))</f>
        <v/>
      </c>
      <c r="U1332" s="14"/>
      <c r="V1332" s="279"/>
      <c r="W1332" s="280"/>
      <c r="X1332" s="281"/>
      <c r="Y1332" s="246"/>
      <c r="Z1332" s="246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BP1332" s="390" t="str">
        <f>IF($X$13="/28",IF(Q1332="","",Q1332),IF($X$13="/90",IF(#REF!="","",#REF!),"Falso"))</f>
        <v/>
      </c>
      <c r="BQ1332" s="392" t="str">
        <f t="shared" si="2002"/>
        <v/>
      </c>
    </row>
    <row r="1333" spans="1:69" ht="14.25" customHeight="1" x14ac:dyDescent="0.35">
      <c r="A1333" s="294"/>
      <c r="B1333" s="296"/>
      <c r="C1333" s="298"/>
      <c r="D1333" s="300"/>
      <c r="E1333" s="302"/>
      <c r="F1333" s="304"/>
      <c r="G1333" s="276"/>
      <c r="H1333" s="277"/>
      <c r="I1333" s="290"/>
      <c r="J1333" s="290"/>
      <c r="K1333" s="291"/>
      <c r="L1333" s="17"/>
      <c r="M1333" s="286"/>
      <c r="N1333" s="21"/>
      <c r="O1333" s="286"/>
      <c r="P1333" s="21"/>
      <c r="Q1333" s="286"/>
      <c r="R1333" s="248"/>
      <c r="S1333" s="287"/>
      <c r="T1333" s="248"/>
      <c r="U1333" s="13"/>
      <c r="V1333" s="282"/>
      <c r="W1333" s="283"/>
      <c r="X1333" s="284"/>
      <c r="Y1333" s="245"/>
      <c r="Z1333" s="245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BP1333" s="391"/>
      <c r="BQ1333" s="393"/>
    </row>
    <row r="1334" spans="1:69" ht="14.25" customHeight="1" x14ac:dyDescent="0.35">
      <c r="A1334" s="293">
        <v>659</v>
      </c>
      <c r="B1334" s="295"/>
      <c r="C1334" s="297"/>
      <c r="D1334" s="299"/>
      <c r="E1334" s="301"/>
      <c r="F1334" s="303"/>
      <c r="G1334" s="288"/>
      <c r="H1334" s="289"/>
      <c r="I1334" s="290"/>
      <c r="J1334" s="290"/>
      <c r="K1334" s="291"/>
      <c r="L1334" s="18"/>
      <c r="M1334" s="285" t="str">
        <f t="shared" ref="M1334" si="2077">IF(COUNT(L1334:L1335)&lt;1,"",AVERAGE(L1334:L1335))</f>
        <v/>
      </c>
      <c r="N1334" s="22"/>
      <c r="O1334" s="285" t="str">
        <f t="shared" ref="O1334" si="2078">IF(COUNT(N1334:N1335)&lt;1,"",AVERAGE(N1334:N1335))</f>
        <v/>
      </c>
      <c r="P1334" s="22"/>
      <c r="Q1334" s="285" t="str">
        <f t="shared" ref="Q1334" si="2079">IF(COUNT(P1334:P1335)&lt;1,"",AVERAGE(P1334:P1335))</f>
        <v/>
      </c>
      <c r="R1334" s="278" t="str">
        <f>IF($X$13="/28",IF(COUNT(P1334:P1335)&lt;=1,"",ABS(P1334-P1335)),IF($X$13="/90",IF(COUNT(#REF!)&lt;=1,"",ABS(#REF!-#REF!))))</f>
        <v/>
      </c>
      <c r="S1334" s="278" t="str">
        <f>IF($X$13="/28",IF(Q1334="","",IF(AVERAGE(Q1330:Q1335)&gt;=$W$13,ROUND(AVERAGE(Q1330:Q1335),1)&amp;" ≥ "&amp;$W$13&amp;" OK",ROUND(AVERAGE(Q1330:Q1335),1)&amp;" &lt; "&amp;$W$13&amp;" NC")),IF($X$13="/90",IF(#REF!="","",IF(AVERAGE(#REF!)&gt;=$W$13,ROUND(AVERAGE(#REF!),1)&amp;" ≥ "&amp;$W$13&amp;" OK",ROUND(AVERAGE(#REF!),1)&amp;" &lt; "&amp;$W$13&amp;" NC"))))</f>
        <v/>
      </c>
      <c r="T1334" s="278" t="str">
        <f>IF($X$13="/28",IF(Q1334="","",IF(Q1334&gt;=$W$13-$S$12,ROUND((Q1334),1)&amp;" ≥ "&amp;$W$13-$S$12&amp;" OK",ROUND((Q1334),1)&amp;" &lt; "&amp;$W$13-$S$12&amp;" NC")),IF($X$13="/90",IF(#REF!="","",IF(#REF!&gt;=$W$13-$S$12,ROUND((#REF!),1)&amp;" ≥ "&amp;$W$13-$S$12&amp;" OK",ROUND((#REF!),1)&amp;" &lt; "&amp;$W$13-$S$12&amp;" NC"))))</f>
        <v/>
      </c>
      <c r="U1334" s="14"/>
      <c r="V1334" s="279"/>
      <c r="W1334" s="280"/>
      <c r="X1334" s="281"/>
      <c r="Y1334" s="246"/>
      <c r="Z1334" s="246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BP1334" s="390" t="str">
        <f>IF($X$13="/28",IF(Q1334="","",Q1334),IF($X$13="/90",IF(#REF!="","",#REF!),"Falso"))</f>
        <v/>
      </c>
      <c r="BQ1334" s="392" t="str">
        <f t="shared" si="2006"/>
        <v/>
      </c>
    </row>
    <row r="1335" spans="1:69" ht="14.25" customHeight="1" x14ac:dyDescent="0.35">
      <c r="A1335" s="294"/>
      <c r="B1335" s="296"/>
      <c r="C1335" s="298"/>
      <c r="D1335" s="300"/>
      <c r="E1335" s="302"/>
      <c r="F1335" s="304"/>
      <c r="G1335" s="276"/>
      <c r="H1335" s="277"/>
      <c r="I1335" s="290"/>
      <c r="J1335" s="290"/>
      <c r="K1335" s="291"/>
      <c r="L1335" s="17"/>
      <c r="M1335" s="286"/>
      <c r="N1335" s="21"/>
      <c r="O1335" s="286"/>
      <c r="P1335" s="21"/>
      <c r="Q1335" s="286"/>
      <c r="R1335" s="248"/>
      <c r="S1335" s="287"/>
      <c r="T1335" s="248"/>
      <c r="U1335" s="13"/>
      <c r="V1335" s="282"/>
      <c r="W1335" s="283"/>
      <c r="X1335" s="284"/>
      <c r="Y1335" s="245"/>
      <c r="Z1335" s="245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BP1335" s="391"/>
      <c r="BQ1335" s="393"/>
    </row>
    <row r="1336" spans="1:69" ht="14.25" customHeight="1" x14ac:dyDescent="0.35">
      <c r="A1336" s="293">
        <v>660</v>
      </c>
      <c r="B1336" s="295"/>
      <c r="C1336" s="297"/>
      <c r="D1336" s="299"/>
      <c r="E1336" s="301"/>
      <c r="F1336" s="303"/>
      <c r="G1336" s="288"/>
      <c r="H1336" s="289"/>
      <c r="I1336" s="290"/>
      <c r="J1336" s="290"/>
      <c r="K1336" s="291"/>
      <c r="L1336" s="18"/>
      <c r="M1336" s="285" t="str">
        <f t="shared" ref="M1336" si="2080">IF(COUNT(L1336:L1337)&lt;1,"",AVERAGE(L1336:L1337))</f>
        <v/>
      </c>
      <c r="N1336" s="22"/>
      <c r="O1336" s="285" t="str">
        <f t="shared" ref="O1336" si="2081">IF(COUNT(N1336:N1337)&lt;1,"",AVERAGE(N1336:N1337))</f>
        <v/>
      </c>
      <c r="P1336" s="22"/>
      <c r="Q1336" s="285" t="str">
        <f t="shared" ref="Q1336" si="2082">IF(COUNT(P1336:P1337)&lt;1,"",AVERAGE(P1336:P1337))</f>
        <v/>
      </c>
      <c r="R1336" s="278" t="str">
        <f>IF($X$13="/28",IF(COUNT(P1336:P1337)&lt;=1,"",ABS(P1336-P1337)),IF($X$13="/90",IF(COUNT(#REF!)&lt;=1,"",ABS(#REF!-#REF!))))</f>
        <v/>
      </c>
      <c r="S1336" s="278" t="str">
        <f>IF($X$13="/28",IF(Q1336="","",IF(AVERAGE(Q1332:Q1337)&gt;=$W$13,ROUND(AVERAGE(Q1332:Q1337),1)&amp;" ≥ "&amp;$W$13&amp;" OK",ROUND(AVERAGE(Q1332:Q1337),1)&amp;" &lt; "&amp;$W$13&amp;" NC")),IF($X$13="/90",IF(#REF!="","",IF(AVERAGE(#REF!)&gt;=$W$13,ROUND(AVERAGE(#REF!),1)&amp;" ≥ "&amp;$W$13&amp;" OK",ROUND(AVERAGE(#REF!),1)&amp;" &lt; "&amp;$W$13&amp;" NC"))))</f>
        <v/>
      </c>
      <c r="T1336" s="278" t="str">
        <f>IF($X$13="/28",IF(Q1336="","",IF(Q1336&gt;=$W$13-$S$12,ROUND((Q1336),1)&amp;" ≥ "&amp;$W$13-$S$12&amp;" OK",ROUND((Q1336),1)&amp;" &lt; "&amp;$W$13-$S$12&amp;" NC")),IF($X$13="/90",IF(#REF!="","",IF(#REF!&gt;=$W$13-$S$12,ROUND((#REF!),1)&amp;" ≥ "&amp;$W$13-$S$12&amp;" OK",ROUND((#REF!),1)&amp;" &lt; "&amp;$W$13-$S$12&amp;" NC"))))</f>
        <v/>
      </c>
      <c r="U1336" s="14"/>
      <c r="V1336" s="279"/>
      <c r="W1336" s="280"/>
      <c r="X1336" s="281"/>
      <c r="Y1336" s="246"/>
      <c r="Z1336" s="246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BP1336" s="390" t="str">
        <f>IF($X$13="/28",IF(Q1336="","",Q1336),IF($X$13="/90",IF(#REF!="","",#REF!),"Falso"))</f>
        <v/>
      </c>
      <c r="BQ1336" s="392" t="str">
        <f t="shared" si="2010"/>
        <v/>
      </c>
    </row>
    <row r="1337" spans="1:69" ht="14.25" customHeight="1" thickBot="1" x14ac:dyDescent="0.4">
      <c r="A1337" s="384"/>
      <c r="B1337" s="385"/>
      <c r="C1337" s="386"/>
      <c r="D1337" s="387"/>
      <c r="E1337" s="388"/>
      <c r="F1337" s="389"/>
      <c r="G1337" s="377"/>
      <c r="H1337" s="378"/>
      <c r="I1337" s="382"/>
      <c r="J1337" s="382"/>
      <c r="K1337" s="383"/>
      <c r="L1337" s="19"/>
      <c r="M1337" s="379"/>
      <c r="N1337" s="23"/>
      <c r="O1337" s="379"/>
      <c r="P1337" s="23"/>
      <c r="Q1337" s="379"/>
      <c r="R1337" s="380"/>
      <c r="S1337" s="381"/>
      <c r="T1337" s="380"/>
      <c r="U1337" s="15"/>
      <c r="V1337" s="373"/>
      <c r="W1337" s="374"/>
      <c r="X1337" s="375"/>
      <c r="Y1337" s="376"/>
      <c r="Z1337" s="376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BP1337" s="391"/>
      <c r="BQ1337" s="393"/>
    </row>
    <row r="1338" spans="1:69" ht="14.25" customHeight="1" x14ac:dyDescent="0.35">
      <c r="A1338" s="311">
        <v>661</v>
      </c>
      <c r="B1338" s="312"/>
      <c r="C1338" s="313"/>
      <c r="D1338" s="314"/>
      <c r="E1338" s="315"/>
      <c r="F1338" s="353"/>
      <c r="G1338" s="354"/>
      <c r="H1338" s="355"/>
      <c r="I1338" s="356"/>
      <c r="J1338" s="356"/>
      <c r="K1338" s="357"/>
      <c r="L1338" s="16"/>
      <c r="M1338" s="352" t="str">
        <f t="shared" ref="M1338" si="2083">IF(COUNT(L1338:L1339)&lt;1,"",AVERAGE(L1338:L1339))</f>
        <v/>
      </c>
      <c r="N1338" s="20"/>
      <c r="O1338" s="352" t="str">
        <f t="shared" ref="O1338" si="2084">IF(COUNT(N1338:N1339)&lt;1,"",AVERAGE(N1338:N1339))</f>
        <v/>
      </c>
      <c r="P1338" s="20"/>
      <c r="Q1338" s="352" t="str">
        <f t="shared" ref="Q1338" si="2085">IF(COUNT(P1338:P1339)&lt;1,"",AVERAGE(P1338:P1339))</f>
        <v/>
      </c>
      <c r="R1338" s="247" t="str">
        <f>IF($X$13="/28",IF(COUNT(P1338:P1339)&lt;=1,"",ABS(P1338-P1339)),IF($X$13="/90",IF(COUNT(#REF!)&lt;=1,"",ABS(#REF!-#REF!))))</f>
        <v/>
      </c>
      <c r="S1338" s="247" t="str">
        <f>IF($X$13="/28",IF(Q1338="","",IF(AVERAGE(Q1334:Q1339)&gt;=$W$13,ROUND(AVERAGE(Q1334:Q1339),1)&amp;" ≥ "&amp;$W$13&amp;" OK",ROUND(AVERAGE(Q1334:Q1339),1)&amp;" &lt; "&amp;$W$13&amp;" NC")),IF($X$13="/90",IF(#REF!="","",IF(AVERAGE(#REF!)&gt;=$W$13,ROUND(AVERAGE(#REF!),1)&amp;" ≥ "&amp;$W$13&amp;" OK",ROUND(AVERAGE(#REF!),1)&amp;" &lt; "&amp;$W$13&amp;" NC"))))</f>
        <v/>
      </c>
      <c r="T1338" s="247" t="str">
        <f>IF($X$13="/28",IF(Q1338="","",IF(Q1338&gt;=$W$13-$S$12,ROUND((Q1338),1)&amp;" ≥ "&amp;$W$13-$S$12&amp;" OK",ROUND((Q1338),1)&amp;" &lt; "&amp;$W$13-$S$12&amp;" NC")),IF($X$13="/90",IF(#REF!="","",IF(#REF!&gt;=$W$13-$S$12,ROUND((#REF!),1)&amp;" ≥ "&amp;$W$13-$S$12&amp;" OK",ROUND((#REF!),1)&amp;" &lt; "&amp;$W$13-$S$12&amp;" NC"))))</f>
        <v/>
      </c>
      <c r="U1338" s="12"/>
      <c r="V1338" s="349"/>
      <c r="W1338" s="350"/>
      <c r="X1338" s="351"/>
      <c r="Y1338" s="244"/>
      <c r="Z1338" s="244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BP1338" s="390" t="str">
        <f>IF($X$13="/28",IF(Q1338="","",Q1338),IF($X$13="/90",IF(#REF!="","",#REF!),"Falso"))</f>
        <v/>
      </c>
      <c r="BQ1338" s="392" t="str">
        <f t="shared" si="2002"/>
        <v/>
      </c>
    </row>
    <row r="1339" spans="1:69" ht="14.25" customHeight="1" x14ac:dyDescent="0.35">
      <c r="A1339" s="294"/>
      <c r="B1339" s="296"/>
      <c r="C1339" s="298"/>
      <c r="D1339" s="300"/>
      <c r="E1339" s="302"/>
      <c r="F1339" s="304"/>
      <c r="G1339" s="276"/>
      <c r="H1339" s="277"/>
      <c r="I1339" s="290"/>
      <c r="J1339" s="290"/>
      <c r="K1339" s="291"/>
      <c r="L1339" s="17"/>
      <c r="M1339" s="286"/>
      <c r="N1339" s="21"/>
      <c r="O1339" s="286"/>
      <c r="P1339" s="21"/>
      <c r="Q1339" s="286"/>
      <c r="R1339" s="248"/>
      <c r="S1339" s="248"/>
      <c r="T1339" s="248"/>
      <c r="U1339" s="13"/>
      <c r="V1339" s="282"/>
      <c r="W1339" s="283"/>
      <c r="X1339" s="284"/>
      <c r="Y1339" s="245"/>
      <c r="Z1339" s="245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BP1339" s="391"/>
      <c r="BQ1339" s="393"/>
    </row>
    <row r="1340" spans="1:69" ht="14.25" customHeight="1" x14ac:dyDescent="0.35">
      <c r="A1340" s="293">
        <v>662</v>
      </c>
      <c r="B1340" s="295"/>
      <c r="C1340" s="297"/>
      <c r="D1340" s="299"/>
      <c r="E1340" s="301"/>
      <c r="F1340" s="303"/>
      <c r="G1340" s="288"/>
      <c r="H1340" s="289"/>
      <c r="I1340" s="290"/>
      <c r="J1340" s="290"/>
      <c r="K1340" s="291"/>
      <c r="L1340" s="18"/>
      <c r="M1340" s="285" t="str">
        <f t="shared" ref="M1340" si="2086">IF(COUNT(L1340:L1341)&lt;1,"",AVERAGE(L1340:L1341))</f>
        <v/>
      </c>
      <c r="N1340" s="22"/>
      <c r="O1340" s="285" t="str">
        <f t="shared" ref="O1340" si="2087">IF(COUNT(N1340:N1341)&lt;1,"",AVERAGE(N1340:N1341))</f>
        <v/>
      </c>
      <c r="P1340" s="22"/>
      <c r="Q1340" s="285" t="str">
        <f t="shared" ref="Q1340" si="2088">IF(COUNT(P1340:P1341)&lt;1,"",AVERAGE(P1340:P1341))</f>
        <v/>
      </c>
      <c r="R1340" s="278" t="str">
        <f>IF($X$13="/28",IF(COUNT(P1340:P1341)&lt;=1,"",ABS(P1340-P1341)),IF($X$13="/90",IF(COUNT(#REF!)&lt;=1,"",ABS(#REF!-#REF!))))</f>
        <v/>
      </c>
      <c r="S1340" s="278" t="str">
        <f>IF($X$13="/28",IF(Q1340="","",IF(AVERAGE(Q1336:Q1341)&gt;=$W$13,ROUND(AVERAGE(Q1336:Q1341),1)&amp;" ≥ "&amp;$W$13&amp;" OK",ROUND(AVERAGE(Q1336:Q1341),1)&amp;" &lt; "&amp;$W$13&amp;" NC")),IF($X$13="/90",IF(#REF!="","",IF(AVERAGE(#REF!)&gt;=$W$13,ROUND(AVERAGE(#REF!),1)&amp;" ≥ "&amp;$W$13&amp;" OK",ROUND(AVERAGE(#REF!),1)&amp;" &lt; "&amp;$W$13&amp;" NC"))))</f>
        <v/>
      </c>
      <c r="T1340" s="278" t="str">
        <f>IF($X$13="/28",IF(Q1340="","",IF(Q1340&gt;=$W$13-$S$12,ROUND((Q1340),1)&amp;" ≥ "&amp;$W$13-$S$12&amp;" OK",ROUND((Q1340),1)&amp;" &lt; "&amp;$W$13-$S$12&amp;" NC")),IF($X$13="/90",IF(#REF!="","",IF(#REF!&gt;=$W$13-$S$12,ROUND((#REF!),1)&amp;" ≥ "&amp;$W$13-$S$12&amp;" OK",ROUND((#REF!),1)&amp;" &lt; "&amp;$W$13-$S$12&amp;" NC"))))</f>
        <v/>
      </c>
      <c r="U1340" s="14"/>
      <c r="V1340" s="279"/>
      <c r="W1340" s="280"/>
      <c r="X1340" s="281"/>
      <c r="Y1340" s="246"/>
      <c r="Z1340" s="246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BP1340" s="390" t="str">
        <f>IF($X$13="/28",IF(Q1340="","",Q1340),IF($X$13="/90",IF(#REF!="","",#REF!),"Falso"))</f>
        <v/>
      </c>
      <c r="BQ1340" s="392" t="str">
        <f t="shared" si="2006"/>
        <v/>
      </c>
    </row>
    <row r="1341" spans="1:69" ht="14.25" customHeight="1" x14ac:dyDescent="0.35">
      <c r="A1341" s="294"/>
      <c r="B1341" s="296"/>
      <c r="C1341" s="298"/>
      <c r="D1341" s="300"/>
      <c r="E1341" s="302"/>
      <c r="F1341" s="304"/>
      <c r="G1341" s="276"/>
      <c r="H1341" s="277"/>
      <c r="I1341" s="290"/>
      <c r="J1341" s="290"/>
      <c r="K1341" s="291"/>
      <c r="L1341" s="17"/>
      <c r="M1341" s="286"/>
      <c r="N1341" s="21"/>
      <c r="O1341" s="286"/>
      <c r="P1341" s="21"/>
      <c r="Q1341" s="286"/>
      <c r="R1341" s="248"/>
      <c r="S1341" s="248"/>
      <c r="T1341" s="248"/>
      <c r="U1341" s="13"/>
      <c r="V1341" s="282"/>
      <c r="W1341" s="283"/>
      <c r="X1341" s="284"/>
      <c r="Y1341" s="245"/>
      <c r="Z1341" s="245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BP1341" s="391"/>
      <c r="BQ1341" s="393"/>
    </row>
    <row r="1342" spans="1:69" ht="14.25" customHeight="1" x14ac:dyDescent="0.35">
      <c r="A1342" s="293">
        <v>663</v>
      </c>
      <c r="B1342" s="295"/>
      <c r="C1342" s="297"/>
      <c r="D1342" s="299"/>
      <c r="E1342" s="301"/>
      <c r="F1342" s="303"/>
      <c r="G1342" s="288"/>
      <c r="H1342" s="289"/>
      <c r="I1342" s="290"/>
      <c r="J1342" s="290"/>
      <c r="K1342" s="291"/>
      <c r="L1342" s="18"/>
      <c r="M1342" s="285" t="str">
        <f t="shared" ref="M1342" si="2089">IF(COUNT(L1342:L1343)&lt;1,"",AVERAGE(L1342:L1343))</f>
        <v/>
      </c>
      <c r="N1342" s="22"/>
      <c r="O1342" s="285" t="str">
        <f t="shared" ref="O1342" si="2090">IF(COUNT(N1342:N1343)&lt;1,"",AVERAGE(N1342:N1343))</f>
        <v/>
      </c>
      <c r="P1342" s="22"/>
      <c r="Q1342" s="285" t="str">
        <f t="shared" ref="Q1342" si="2091">IF(COUNT(P1342:P1343)&lt;1,"",AVERAGE(P1342:P1343))</f>
        <v/>
      </c>
      <c r="R1342" s="278" t="str">
        <f>IF($X$13="/28",IF(COUNT(P1342:P1343)&lt;=1,"",ABS(P1342-P1343)),IF($X$13="/90",IF(COUNT(#REF!)&lt;=1,"",ABS(#REF!-#REF!))))</f>
        <v/>
      </c>
      <c r="S1342" s="278" t="str">
        <f>IF($X$13="/28",IF(Q1342="","",IF(AVERAGE(Q1338:Q1343)&gt;=$W$13,ROUND(AVERAGE(Q1338:Q1343),1)&amp;" ≥ "&amp;$W$13&amp;" OK",ROUND(AVERAGE(Q1338:Q1343),1)&amp;" &lt; "&amp;$W$13&amp;" NC")),IF($X$13="/90",IF(#REF!="","",IF(AVERAGE(#REF!)&gt;=$W$13,ROUND(AVERAGE(#REF!),1)&amp;" ≥ "&amp;$W$13&amp;" OK",ROUND(AVERAGE(#REF!),1)&amp;" &lt; "&amp;$W$13&amp;" NC"))))</f>
        <v/>
      </c>
      <c r="T1342" s="278" t="str">
        <f>IF($X$13="/28",IF(Q1342="","",IF(Q1342&gt;=$W$13-$S$12,ROUND((Q1342),1)&amp;" ≥ "&amp;$W$13-$S$12&amp;" OK",ROUND((Q1342),1)&amp;" &lt; "&amp;$W$13-$S$12&amp;" NC")),IF($X$13="/90",IF(#REF!="","",IF(#REF!&gt;=$W$13-$S$12,ROUND((#REF!),1)&amp;" ≥ "&amp;$W$13-$S$12&amp;" OK",ROUND((#REF!),1)&amp;" &lt; "&amp;$W$13-$S$12&amp;" NC"))))</f>
        <v/>
      </c>
      <c r="U1342" s="14"/>
      <c r="V1342" s="279"/>
      <c r="W1342" s="280"/>
      <c r="X1342" s="281"/>
      <c r="Y1342" s="246"/>
      <c r="Z1342" s="246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BP1342" s="390" t="str">
        <f>IF($X$13="/28",IF(Q1342="","",Q1342),IF($X$13="/90",IF(#REF!="","",#REF!),"Falso"))</f>
        <v/>
      </c>
      <c r="BQ1342" s="392" t="str">
        <f t="shared" si="2010"/>
        <v/>
      </c>
    </row>
    <row r="1343" spans="1:69" ht="14.25" customHeight="1" x14ac:dyDescent="0.35">
      <c r="A1343" s="294"/>
      <c r="B1343" s="296"/>
      <c r="C1343" s="298"/>
      <c r="D1343" s="300"/>
      <c r="E1343" s="302"/>
      <c r="F1343" s="304"/>
      <c r="G1343" s="276"/>
      <c r="H1343" s="277"/>
      <c r="I1343" s="290"/>
      <c r="J1343" s="290"/>
      <c r="K1343" s="291"/>
      <c r="L1343" s="17"/>
      <c r="M1343" s="286"/>
      <c r="N1343" s="21"/>
      <c r="O1343" s="286"/>
      <c r="P1343" s="21"/>
      <c r="Q1343" s="286"/>
      <c r="R1343" s="248"/>
      <c r="S1343" s="287"/>
      <c r="T1343" s="248"/>
      <c r="U1343" s="13"/>
      <c r="V1343" s="282"/>
      <c r="W1343" s="283"/>
      <c r="X1343" s="284"/>
      <c r="Y1343" s="245"/>
      <c r="Z1343" s="245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BP1343" s="391"/>
      <c r="BQ1343" s="393"/>
    </row>
    <row r="1344" spans="1:69" ht="14.25" customHeight="1" x14ac:dyDescent="0.35">
      <c r="A1344" s="293">
        <v>664</v>
      </c>
      <c r="B1344" s="295"/>
      <c r="C1344" s="297"/>
      <c r="D1344" s="299"/>
      <c r="E1344" s="301"/>
      <c r="F1344" s="303"/>
      <c r="G1344" s="288"/>
      <c r="H1344" s="289"/>
      <c r="I1344" s="290"/>
      <c r="J1344" s="290"/>
      <c r="K1344" s="291"/>
      <c r="L1344" s="18"/>
      <c r="M1344" s="285" t="str">
        <f t="shared" ref="M1344" si="2092">IF(COUNT(L1344:L1345)&lt;1,"",AVERAGE(L1344:L1345))</f>
        <v/>
      </c>
      <c r="N1344" s="22"/>
      <c r="O1344" s="285" t="str">
        <f t="shared" ref="O1344" si="2093">IF(COUNT(N1344:N1345)&lt;1,"",AVERAGE(N1344:N1345))</f>
        <v/>
      </c>
      <c r="P1344" s="22"/>
      <c r="Q1344" s="285" t="str">
        <f t="shared" ref="Q1344" si="2094">IF(COUNT(P1344:P1345)&lt;1,"",AVERAGE(P1344:P1345))</f>
        <v/>
      </c>
      <c r="R1344" s="278" t="str">
        <f>IF($X$13="/28",IF(COUNT(P1344:P1345)&lt;=1,"",ABS(P1344-P1345)),IF($X$13="/90",IF(COUNT(#REF!)&lt;=1,"",ABS(#REF!-#REF!))))</f>
        <v/>
      </c>
      <c r="S1344" s="278" t="str">
        <f>IF($X$13="/28",IF(Q1344="","",IF(AVERAGE(Q1340:Q1345)&gt;=$W$13,ROUND(AVERAGE(Q1340:Q1345),1)&amp;" ≥ "&amp;$W$13&amp;" OK",ROUND(AVERAGE(Q1340:Q1345),1)&amp;" &lt; "&amp;$W$13&amp;" NC")),IF($X$13="/90",IF(#REF!="","",IF(AVERAGE(#REF!)&gt;=$W$13,ROUND(AVERAGE(#REF!),1)&amp;" ≥ "&amp;$W$13&amp;" OK",ROUND(AVERAGE(#REF!),1)&amp;" &lt; "&amp;$W$13&amp;" NC"))))</f>
        <v/>
      </c>
      <c r="T1344" s="278" t="str">
        <f>IF($X$13="/28",IF(Q1344="","",IF(Q1344&gt;=$W$13-$S$12,ROUND((Q1344),1)&amp;" ≥ "&amp;$W$13-$S$12&amp;" OK",ROUND((Q1344),1)&amp;" &lt; "&amp;$W$13-$S$12&amp;" NC")),IF($X$13="/90",IF(#REF!="","",IF(#REF!&gt;=$W$13-$S$12,ROUND((#REF!),1)&amp;" ≥ "&amp;$W$13-$S$12&amp;" OK",ROUND((#REF!),1)&amp;" &lt; "&amp;$W$13-$S$12&amp;" NC"))))</f>
        <v/>
      </c>
      <c r="U1344" s="14"/>
      <c r="V1344" s="279"/>
      <c r="W1344" s="280"/>
      <c r="X1344" s="281"/>
      <c r="Y1344" s="246"/>
      <c r="Z1344" s="246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BP1344" s="390" t="str">
        <f>IF($X$13="/28",IF(Q1344="","",Q1344),IF($X$13="/90",IF(#REF!="","",#REF!),"Falso"))</f>
        <v/>
      </c>
      <c r="BQ1344" s="392" t="str">
        <f t="shared" si="2002"/>
        <v/>
      </c>
    </row>
    <row r="1345" spans="1:69" ht="14.25" customHeight="1" x14ac:dyDescent="0.35">
      <c r="A1345" s="294"/>
      <c r="B1345" s="296"/>
      <c r="C1345" s="298"/>
      <c r="D1345" s="300"/>
      <c r="E1345" s="302"/>
      <c r="F1345" s="304"/>
      <c r="G1345" s="276"/>
      <c r="H1345" s="277"/>
      <c r="I1345" s="290"/>
      <c r="J1345" s="290"/>
      <c r="K1345" s="291"/>
      <c r="L1345" s="17"/>
      <c r="M1345" s="286"/>
      <c r="N1345" s="21"/>
      <c r="O1345" s="286"/>
      <c r="P1345" s="21"/>
      <c r="Q1345" s="286"/>
      <c r="R1345" s="248"/>
      <c r="S1345" s="287"/>
      <c r="T1345" s="248"/>
      <c r="U1345" s="13"/>
      <c r="V1345" s="282"/>
      <c r="W1345" s="283"/>
      <c r="X1345" s="284"/>
      <c r="Y1345" s="245"/>
      <c r="Z1345" s="245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BP1345" s="391"/>
      <c r="BQ1345" s="393"/>
    </row>
    <row r="1346" spans="1:69" ht="14.25" customHeight="1" x14ac:dyDescent="0.35">
      <c r="A1346" s="293">
        <v>665</v>
      </c>
      <c r="B1346" s="295"/>
      <c r="C1346" s="297"/>
      <c r="D1346" s="299"/>
      <c r="E1346" s="301"/>
      <c r="F1346" s="303"/>
      <c r="G1346" s="288"/>
      <c r="H1346" s="289"/>
      <c r="I1346" s="290"/>
      <c r="J1346" s="290"/>
      <c r="K1346" s="291"/>
      <c r="L1346" s="18"/>
      <c r="M1346" s="285" t="str">
        <f t="shared" ref="M1346" si="2095">IF(COUNT(L1346:L1347)&lt;1,"",AVERAGE(L1346:L1347))</f>
        <v/>
      </c>
      <c r="N1346" s="22"/>
      <c r="O1346" s="285" t="str">
        <f t="shared" ref="O1346" si="2096">IF(COUNT(N1346:N1347)&lt;1,"",AVERAGE(N1346:N1347))</f>
        <v/>
      </c>
      <c r="P1346" s="22"/>
      <c r="Q1346" s="285" t="str">
        <f t="shared" ref="Q1346" si="2097">IF(COUNT(P1346:P1347)&lt;1,"",AVERAGE(P1346:P1347))</f>
        <v/>
      </c>
      <c r="R1346" s="278" t="str">
        <f>IF($X$13="/28",IF(COUNT(P1346:P1347)&lt;=1,"",ABS(P1346-P1347)),IF($X$13="/90",IF(COUNT(#REF!)&lt;=1,"",ABS(#REF!-#REF!))))</f>
        <v/>
      </c>
      <c r="S1346" s="278" t="str">
        <f>IF($X$13="/28",IF(Q1346="","",IF(AVERAGE(Q1342:Q1347)&gt;=$W$13,ROUND(AVERAGE(Q1342:Q1347),1)&amp;" ≥ "&amp;$W$13&amp;" OK",ROUND(AVERAGE(Q1342:Q1347),1)&amp;" &lt; "&amp;$W$13&amp;" NC")),IF($X$13="/90",IF(#REF!="","",IF(AVERAGE(#REF!)&gt;=$W$13,ROUND(AVERAGE(#REF!),1)&amp;" ≥ "&amp;$W$13&amp;" OK",ROUND(AVERAGE(#REF!),1)&amp;" &lt; "&amp;$W$13&amp;" NC"))))</f>
        <v/>
      </c>
      <c r="T1346" s="278" t="str">
        <f>IF($X$13="/28",IF(Q1346="","",IF(Q1346&gt;=$W$13-$S$12,ROUND((Q1346),1)&amp;" ≥ "&amp;$W$13-$S$12&amp;" OK",ROUND((Q1346),1)&amp;" &lt; "&amp;$W$13-$S$12&amp;" NC")),IF($X$13="/90",IF(#REF!="","",IF(#REF!&gt;=$W$13-$S$12,ROUND((#REF!),1)&amp;" ≥ "&amp;$W$13-$S$12&amp;" OK",ROUND((#REF!),1)&amp;" &lt; "&amp;$W$13-$S$12&amp;" NC"))))</f>
        <v/>
      </c>
      <c r="U1346" s="14"/>
      <c r="V1346" s="279"/>
      <c r="W1346" s="280"/>
      <c r="X1346" s="281"/>
      <c r="Y1346" s="246"/>
      <c r="Z1346" s="246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BP1346" s="390" t="str">
        <f>IF($X$13="/28",IF(Q1346="","",Q1346),IF($X$13="/90",IF(#REF!="","",#REF!),"Falso"))</f>
        <v/>
      </c>
      <c r="BQ1346" s="392" t="str">
        <f t="shared" si="2006"/>
        <v/>
      </c>
    </row>
    <row r="1347" spans="1:69" ht="14.25" customHeight="1" x14ac:dyDescent="0.35">
      <c r="A1347" s="294"/>
      <c r="B1347" s="296"/>
      <c r="C1347" s="298"/>
      <c r="D1347" s="300"/>
      <c r="E1347" s="302"/>
      <c r="F1347" s="304"/>
      <c r="G1347" s="276"/>
      <c r="H1347" s="277"/>
      <c r="I1347" s="290"/>
      <c r="J1347" s="290"/>
      <c r="K1347" s="291"/>
      <c r="L1347" s="17"/>
      <c r="M1347" s="286"/>
      <c r="N1347" s="21"/>
      <c r="O1347" s="286"/>
      <c r="P1347" s="21"/>
      <c r="Q1347" s="286"/>
      <c r="R1347" s="248"/>
      <c r="S1347" s="287"/>
      <c r="T1347" s="248"/>
      <c r="U1347" s="13"/>
      <c r="V1347" s="282"/>
      <c r="W1347" s="283"/>
      <c r="X1347" s="284"/>
      <c r="Y1347" s="245"/>
      <c r="Z1347" s="245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BP1347" s="391"/>
      <c r="BQ1347" s="393"/>
    </row>
    <row r="1348" spans="1:69" ht="14.25" customHeight="1" x14ac:dyDescent="0.35">
      <c r="A1348" s="293">
        <v>666</v>
      </c>
      <c r="B1348" s="295"/>
      <c r="C1348" s="297"/>
      <c r="D1348" s="299"/>
      <c r="E1348" s="301"/>
      <c r="F1348" s="303"/>
      <c r="G1348" s="288"/>
      <c r="H1348" s="289"/>
      <c r="I1348" s="290"/>
      <c r="J1348" s="290"/>
      <c r="K1348" s="291"/>
      <c r="L1348" s="18"/>
      <c r="M1348" s="285" t="str">
        <f t="shared" ref="M1348" si="2098">IF(COUNT(L1348:L1349)&lt;1,"",AVERAGE(L1348:L1349))</f>
        <v/>
      </c>
      <c r="N1348" s="22"/>
      <c r="O1348" s="285" t="str">
        <f t="shared" ref="O1348" si="2099">IF(COUNT(N1348:N1349)&lt;1,"",AVERAGE(N1348:N1349))</f>
        <v/>
      </c>
      <c r="P1348" s="22"/>
      <c r="Q1348" s="285" t="str">
        <f t="shared" ref="Q1348" si="2100">IF(COUNT(P1348:P1349)&lt;1,"",AVERAGE(P1348:P1349))</f>
        <v/>
      </c>
      <c r="R1348" s="278" t="str">
        <f>IF($X$13="/28",IF(COUNT(P1348:P1349)&lt;=1,"",ABS(P1348-P1349)),IF($X$13="/90",IF(COUNT(#REF!)&lt;=1,"",ABS(#REF!-#REF!))))</f>
        <v/>
      </c>
      <c r="S1348" s="278" t="str">
        <f>IF($X$13="/28",IF(Q1348="","",IF(AVERAGE(Q1344:Q1349)&gt;=$W$13,ROUND(AVERAGE(Q1344:Q1349),1)&amp;" ≥ "&amp;$W$13&amp;" OK",ROUND(AVERAGE(Q1344:Q1349),1)&amp;" &lt; "&amp;$W$13&amp;" NC")),IF($X$13="/90",IF(#REF!="","",IF(AVERAGE(#REF!)&gt;=$W$13,ROUND(AVERAGE(#REF!),1)&amp;" ≥ "&amp;$W$13&amp;" OK",ROUND(AVERAGE(#REF!),1)&amp;" &lt; "&amp;$W$13&amp;" NC"))))</f>
        <v/>
      </c>
      <c r="T1348" s="278" t="str">
        <f>IF($X$13="/28",IF(Q1348="","",IF(Q1348&gt;=$W$13-$S$12,ROUND((Q1348),1)&amp;" ≥ "&amp;$W$13-$S$12&amp;" OK",ROUND((Q1348),1)&amp;" &lt; "&amp;$W$13-$S$12&amp;" NC")),IF($X$13="/90",IF(#REF!="","",IF(#REF!&gt;=$W$13-$S$12,ROUND((#REF!),1)&amp;" ≥ "&amp;$W$13-$S$12&amp;" OK",ROUND((#REF!),1)&amp;" &lt; "&amp;$W$13-$S$12&amp;" NC"))))</f>
        <v/>
      </c>
      <c r="U1348" s="14"/>
      <c r="V1348" s="279"/>
      <c r="W1348" s="280"/>
      <c r="X1348" s="281"/>
      <c r="Y1348" s="246"/>
      <c r="Z1348" s="246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BP1348" s="390" t="str">
        <f>IF($X$13="/28",IF(Q1348="","",Q1348),IF($X$13="/90",IF(#REF!="","",#REF!),"Falso"))</f>
        <v/>
      </c>
      <c r="BQ1348" s="392" t="str">
        <f t="shared" si="2010"/>
        <v/>
      </c>
    </row>
    <row r="1349" spans="1:69" ht="14.25" customHeight="1" x14ac:dyDescent="0.35">
      <c r="A1349" s="294"/>
      <c r="B1349" s="296"/>
      <c r="C1349" s="298"/>
      <c r="D1349" s="300"/>
      <c r="E1349" s="302"/>
      <c r="F1349" s="304"/>
      <c r="G1349" s="276"/>
      <c r="H1349" s="277"/>
      <c r="I1349" s="290"/>
      <c r="J1349" s="290"/>
      <c r="K1349" s="291"/>
      <c r="L1349" s="17"/>
      <c r="M1349" s="286"/>
      <c r="N1349" s="21"/>
      <c r="O1349" s="286"/>
      <c r="P1349" s="21"/>
      <c r="Q1349" s="286"/>
      <c r="R1349" s="248"/>
      <c r="S1349" s="287"/>
      <c r="T1349" s="248"/>
      <c r="U1349" s="13"/>
      <c r="V1349" s="282"/>
      <c r="W1349" s="283"/>
      <c r="X1349" s="284"/>
      <c r="Y1349" s="245"/>
      <c r="Z1349" s="245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BP1349" s="391"/>
      <c r="BQ1349" s="393"/>
    </row>
    <row r="1350" spans="1:69" ht="14.25" customHeight="1" x14ac:dyDescent="0.35">
      <c r="A1350" s="293">
        <v>667</v>
      </c>
      <c r="B1350" s="295"/>
      <c r="C1350" s="297"/>
      <c r="D1350" s="299"/>
      <c r="E1350" s="301"/>
      <c r="F1350" s="303"/>
      <c r="G1350" s="288"/>
      <c r="H1350" s="289"/>
      <c r="I1350" s="290"/>
      <c r="J1350" s="290"/>
      <c r="K1350" s="291"/>
      <c r="L1350" s="18"/>
      <c r="M1350" s="285" t="str">
        <f t="shared" ref="M1350" si="2101">IF(COUNT(L1350:L1351)&lt;1,"",AVERAGE(L1350:L1351))</f>
        <v/>
      </c>
      <c r="N1350" s="22"/>
      <c r="O1350" s="285" t="str">
        <f t="shared" ref="O1350" si="2102">IF(COUNT(N1350:N1351)&lt;1,"",AVERAGE(N1350:N1351))</f>
        <v/>
      </c>
      <c r="P1350" s="22"/>
      <c r="Q1350" s="285" t="str">
        <f t="shared" ref="Q1350" si="2103">IF(COUNT(P1350:P1351)&lt;1,"",AVERAGE(P1350:P1351))</f>
        <v/>
      </c>
      <c r="R1350" s="278" t="str">
        <f>IF($X$13="/28",IF(COUNT(P1350:P1351)&lt;=1,"",ABS(P1350-P1351)),IF($X$13="/90",IF(COUNT(#REF!)&lt;=1,"",ABS(#REF!-#REF!))))</f>
        <v/>
      </c>
      <c r="S1350" s="278" t="str">
        <f>IF($X$13="/28",IF(Q1350="","",IF(AVERAGE(Q1346:Q1351)&gt;=$W$13,ROUND(AVERAGE(Q1346:Q1351),1)&amp;" ≥ "&amp;$W$13&amp;" OK",ROUND(AVERAGE(Q1346:Q1351),1)&amp;" &lt; "&amp;$W$13&amp;" NC")),IF($X$13="/90",IF(#REF!="","",IF(AVERAGE(#REF!)&gt;=$W$13,ROUND(AVERAGE(#REF!),1)&amp;" ≥ "&amp;$W$13&amp;" OK",ROUND(AVERAGE(#REF!),1)&amp;" &lt; "&amp;$W$13&amp;" NC"))))</f>
        <v/>
      </c>
      <c r="T1350" s="278" t="str">
        <f>IF($X$13="/28",IF(Q1350="","",IF(Q1350&gt;=$W$13-$S$12,ROUND((Q1350),1)&amp;" ≥ "&amp;$W$13-$S$12&amp;" OK",ROUND((Q1350),1)&amp;" &lt; "&amp;$W$13-$S$12&amp;" NC")),IF($X$13="/90",IF(#REF!="","",IF(#REF!&gt;=$W$13-$S$12,ROUND((#REF!),1)&amp;" ≥ "&amp;$W$13-$S$12&amp;" OK",ROUND((#REF!),1)&amp;" &lt; "&amp;$W$13-$S$12&amp;" NC"))))</f>
        <v/>
      </c>
      <c r="U1350" s="14"/>
      <c r="V1350" s="279"/>
      <c r="W1350" s="280"/>
      <c r="X1350" s="281"/>
      <c r="Y1350" s="246"/>
      <c r="Z1350" s="246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BP1350" s="390" t="str">
        <f>IF($X$13="/28",IF(Q1350="","",Q1350),IF($X$13="/90",IF(#REF!="","",#REF!),"Falso"))</f>
        <v/>
      </c>
      <c r="BQ1350" s="392" t="str">
        <f t="shared" ref="BQ1350:BQ1410" si="2104">IF(BP1350="","",BQ1348+1)</f>
        <v/>
      </c>
    </row>
    <row r="1351" spans="1:69" ht="14.25" customHeight="1" x14ac:dyDescent="0.35">
      <c r="A1351" s="294"/>
      <c r="B1351" s="296"/>
      <c r="C1351" s="298"/>
      <c r="D1351" s="300"/>
      <c r="E1351" s="302"/>
      <c r="F1351" s="304"/>
      <c r="G1351" s="276"/>
      <c r="H1351" s="277"/>
      <c r="I1351" s="290"/>
      <c r="J1351" s="290"/>
      <c r="K1351" s="291"/>
      <c r="L1351" s="17"/>
      <c r="M1351" s="286"/>
      <c r="N1351" s="21"/>
      <c r="O1351" s="286"/>
      <c r="P1351" s="21"/>
      <c r="Q1351" s="286"/>
      <c r="R1351" s="248"/>
      <c r="S1351" s="287"/>
      <c r="T1351" s="248"/>
      <c r="U1351" s="13"/>
      <c r="V1351" s="282"/>
      <c r="W1351" s="283"/>
      <c r="X1351" s="284"/>
      <c r="Y1351" s="245"/>
      <c r="Z1351" s="245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BP1351" s="391"/>
      <c r="BQ1351" s="393"/>
    </row>
    <row r="1352" spans="1:69" ht="14.25" customHeight="1" x14ac:dyDescent="0.35">
      <c r="A1352" s="293">
        <v>668</v>
      </c>
      <c r="B1352" s="295"/>
      <c r="C1352" s="297"/>
      <c r="D1352" s="299"/>
      <c r="E1352" s="301"/>
      <c r="F1352" s="303"/>
      <c r="G1352" s="288"/>
      <c r="H1352" s="289"/>
      <c r="I1352" s="290"/>
      <c r="J1352" s="290"/>
      <c r="K1352" s="291"/>
      <c r="L1352" s="18"/>
      <c r="M1352" s="285" t="str">
        <f t="shared" ref="M1352" si="2105">IF(COUNT(L1352:L1353)&lt;1,"",AVERAGE(L1352:L1353))</f>
        <v/>
      </c>
      <c r="N1352" s="22"/>
      <c r="O1352" s="285" t="str">
        <f t="shared" ref="O1352" si="2106">IF(COUNT(N1352:N1353)&lt;1,"",AVERAGE(N1352:N1353))</f>
        <v/>
      </c>
      <c r="P1352" s="22"/>
      <c r="Q1352" s="285" t="str">
        <f t="shared" ref="Q1352" si="2107">IF(COUNT(P1352:P1353)&lt;1,"",AVERAGE(P1352:P1353))</f>
        <v/>
      </c>
      <c r="R1352" s="278" t="str">
        <f>IF($X$13="/28",IF(COUNT(P1352:P1353)&lt;=1,"",ABS(P1352-P1353)),IF($X$13="/90",IF(COUNT(#REF!)&lt;=1,"",ABS(#REF!-#REF!))))</f>
        <v/>
      </c>
      <c r="S1352" s="278" t="str">
        <f>IF($X$13="/28",IF(Q1352="","",IF(AVERAGE(Q1348:Q1353)&gt;=$W$13,ROUND(AVERAGE(Q1348:Q1353),1)&amp;" ≥ "&amp;$W$13&amp;" OK",ROUND(AVERAGE(Q1348:Q1353),1)&amp;" &lt; "&amp;$W$13&amp;" NC")),IF($X$13="/90",IF(#REF!="","",IF(AVERAGE(#REF!)&gt;=$W$13,ROUND(AVERAGE(#REF!),1)&amp;" ≥ "&amp;$W$13&amp;" OK",ROUND(AVERAGE(#REF!),1)&amp;" &lt; "&amp;$W$13&amp;" NC"))))</f>
        <v/>
      </c>
      <c r="T1352" s="278" t="str">
        <f>IF($X$13="/28",IF(Q1352="","",IF(Q1352&gt;=$W$13-$S$12,ROUND((Q1352),1)&amp;" ≥ "&amp;$W$13-$S$12&amp;" OK",ROUND((Q1352),1)&amp;" &lt; "&amp;$W$13-$S$12&amp;" NC")),IF($X$13="/90",IF(#REF!="","",IF(#REF!&gt;=$W$13-$S$12,ROUND((#REF!),1)&amp;" ≥ "&amp;$W$13-$S$12&amp;" OK",ROUND((#REF!),1)&amp;" &lt; "&amp;$W$13-$S$12&amp;" NC"))))</f>
        <v/>
      </c>
      <c r="U1352" s="14"/>
      <c r="V1352" s="279"/>
      <c r="W1352" s="280"/>
      <c r="X1352" s="281"/>
      <c r="Y1352" s="246"/>
      <c r="Z1352" s="246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BP1352" s="390" t="str">
        <f>IF($X$13="/28",IF(Q1352="","",Q1352),IF($X$13="/90",IF(#REF!="","",#REF!),"Falso"))</f>
        <v/>
      </c>
      <c r="BQ1352" s="392" t="str">
        <f t="shared" ref="BQ1352:BQ1412" si="2108">IF(BP1352="","",BQ1350+1)</f>
        <v/>
      </c>
    </row>
    <row r="1353" spans="1:69" ht="14.25" customHeight="1" x14ac:dyDescent="0.35">
      <c r="A1353" s="294"/>
      <c r="B1353" s="296"/>
      <c r="C1353" s="298"/>
      <c r="D1353" s="300"/>
      <c r="E1353" s="302"/>
      <c r="F1353" s="304"/>
      <c r="G1353" s="276"/>
      <c r="H1353" s="277"/>
      <c r="I1353" s="290"/>
      <c r="J1353" s="290"/>
      <c r="K1353" s="291"/>
      <c r="L1353" s="17"/>
      <c r="M1353" s="286"/>
      <c r="N1353" s="21"/>
      <c r="O1353" s="286"/>
      <c r="P1353" s="21"/>
      <c r="Q1353" s="286"/>
      <c r="R1353" s="248"/>
      <c r="S1353" s="287"/>
      <c r="T1353" s="248"/>
      <c r="U1353" s="13"/>
      <c r="V1353" s="282"/>
      <c r="W1353" s="283"/>
      <c r="X1353" s="284"/>
      <c r="Y1353" s="245"/>
      <c r="Z1353" s="245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BP1353" s="391"/>
      <c r="BQ1353" s="393"/>
    </row>
    <row r="1354" spans="1:69" ht="14.25" customHeight="1" x14ac:dyDescent="0.35">
      <c r="A1354" s="293">
        <v>669</v>
      </c>
      <c r="B1354" s="295"/>
      <c r="C1354" s="297"/>
      <c r="D1354" s="299"/>
      <c r="E1354" s="301"/>
      <c r="F1354" s="303"/>
      <c r="G1354" s="288"/>
      <c r="H1354" s="289"/>
      <c r="I1354" s="290"/>
      <c r="J1354" s="290"/>
      <c r="K1354" s="291"/>
      <c r="L1354" s="18"/>
      <c r="M1354" s="285" t="str">
        <f t="shared" ref="M1354" si="2109">IF(COUNT(L1354:L1355)&lt;1,"",AVERAGE(L1354:L1355))</f>
        <v/>
      </c>
      <c r="N1354" s="22"/>
      <c r="O1354" s="285" t="str">
        <f t="shared" ref="O1354" si="2110">IF(COUNT(N1354:N1355)&lt;1,"",AVERAGE(N1354:N1355))</f>
        <v/>
      </c>
      <c r="P1354" s="22"/>
      <c r="Q1354" s="285" t="str">
        <f t="shared" ref="Q1354" si="2111">IF(COUNT(P1354:P1355)&lt;1,"",AVERAGE(P1354:P1355))</f>
        <v/>
      </c>
      <c r="R1354" s="278" t="str">
        <f>IF($X$13="/28",IF(COUNT(P1354:P1355)&lt;=1,"",ABS(P1354-P1355)),IF($X$13="/90",IF(COUNT(#REF!)&lt;=1,"",ABS(#REF!-#REF!))))</f>
        <v/>
      </c>
      <c r="S1354" s="278" t="str">
        <f>IF($X$13="/28",IF(Q1354="","",IF(AVERAGE(Q1350:Q1355)&gt;=$W$13,ROUND(AVERAGE(Q1350:Q1355),1)&amp;" ≥ "&amp;$W$13&amp;" OK",ROUND(AVERAGE(Q1350:Q1355),1)&amp;" &lt; "&amp;$W$13&amp;" NC")),IF($X$13="/90",IF(#REF!="","",IF(AVERAGE(#REF!)&gt;=$W$13,ROUND(AVERAGE(#REF!),1)&amp;" ≥ "&amp;$W$13&amp;" OK",ROUND(AVERAGE(#REF!),1)&amp;" &lt; "&amp;$W$13&amp;" NC"))))</f>
        <v/>
      </c>
      <c r="T1354" s="278" t="str">
        <f>IF($X$13="/28",IF(Q1354="","",IF(Q1354&gt;=$W$13-$S$12,ROUND((Q1354),1)&amp;" ≥ "&amp;$W$13-$S$12&amp;" OK",ROUND((Q1354),1)&amp;" &lt; "&amp;$W$13-$S$12&amp;" NC")),IF($X$13="/90",IF(#REF!="","",IF(#REF!&gt;=$W$13-$S$12,ROUND((#REF!),1)&amp;" ≥ "&amp;$W$13-$S$12&amp;" OK",ROUND((#REF!),1)&amp;" &lt; "&amp;$W$13-$S$12&amp;" NC"))))</f>
        <v/>
      </c>
      <c r="U1354" s="14"/>
      <c r="V1354" s="279"/>
      <c r="W1354" s="280"/>
      <c r="X1354" s="281"/>
      <c r="Y1354" s="246"/>
      <c r="Z1354" s="246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BP1354" s="390" t="str">
        <f>IF($X$13="/28",IF(Q1354="","",Q1354),IF($X$13="/90",IF(#REF!="","",#REF!),"Falso"))</f>
        <v/>
      </c>
      <c r="BQ1354" s="392" t="str">
        <f t="shared" ref="BQ1354:BQ1414" si="2112">IF(BP1354="","",BQ1352+1)</f>
        <v/>
      </c>
    </row>
    <row r="1355" spans="1:69" ht="14.25" customHeight="1" x14ac:dyDescent="0.35">
      <c r="A1355" s="294"/>
      <c r="B1355" s="296"/>
      <c r="C1355" s="298"/>
      <c r="D1355" s="300"/>
      <c r="E1355" s="302"/>
      <c r="F1355" s="304"/>
      <c r="G1355" s="276"/>
      <c r="H1355" s="277"/>
      <c r="I1355" s="290"/>
      <c r="J1355" s="290"/>
      <c r="K1355" s="291"/>
      <c r="L1355" s="17"/>
      <c r="M1355" s="286"/>
      <c r="N1355" s="21"/>
      <c r="O1355" s="286"/>
      <c r="P1355" s="21"/>
      <c r="Q1355" s="286"/>
      <c r="R1355" s="248"/>
      <c r="S1355" s="287"/>
      <c r="T1355" s="248"/>
      <c r="U1355" s="13"/>
      <c r="V1355" s="282"/>
      <c r="W1355" s="283"/>
      <c r="X1355" s="284"/>
      <c r="Y1355" s="245"/>
      <c r="Z1355" s="245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BP1355" s="391"/>
      <c r="BQ1355" s="393"/>
    </row>
    <row r="1356" spans="1:69" ht="14.25" customHeight="1" x14ac:dyDescent="0.35">
      <c r="A1356" s="293">
        <v>670</v>
      </c>
      <c r="B1356" s="295"/>
      <c r="C1356" s="297"/>
      <c r="D1356" s="299"/>
      <c r="E1356" s="301"/>
      <c r="F1356" s="303"/>
      <c r="G1356" s="288"/>
      <c r="H1356" s="289"/>
      <c r="I1356" s="290"/>
      <c r="J1356" s="290"/>
      <c r="K1356" s="291"/>
      <c r="L1356" s="18"/>
      <c r="M1356" s="285" t="str">
        <f t="shared" ref="M1356" si="2113">IF(COUNT(L1356:L1357)&lt;1,"",AVERAGE(L1356:L1357))</f>
        <v/>
      </c>
      <c r="N1356" s="22"/>
      <c r="O1356" s="285" t="str">
        <f t="shared" ref="O1356" si="2114">IF(COUNT(N1356:N1357)&lt;1,"",AVERAGE(N1356:N1357))</f>
        <v/>
      </c>
      <c r="P1356" s="22"/>
      <c r="Q1356" s="285" t="str">
        <f t="shared" ref="Q1356" si="2115">IF(COUNT(P1356:P1357)&lt;1,"",AVERAGE(P1356:P1357))</f>
        <v/>
      </c>
      <c r="R1356" s="278" t="str">
        <f>IF($X$13="/28",IF(COUNT(P1356:P1357)&lt;=1,"",ABS(P1356-P1357)),IF($X$13="/90",IF(COUNT(#REF!)&lt;=1,"",ABS(#REF!-#REF!))))</f>
        <v/>
      </c>
      <c r="S1356" s="278" t="str">
        <f>IF($X$13="/28",IF(Q1356="","",IF(AVERAGE(Q1352:Q1357)&gt;=$W$13,ROUND(AVERAGE(Q1352:Q1357),1)&amp;" ≥ "&amp;$W$13&amp;" OK",ROUND(AVERAGE(Q1352:Q1357),1)&amp;" &lt; "&amp;$W$13&amp;" NC")),IF($X$13="/90",IF(#REF!="","",IF(AVERAGE(#REF!)&gt;=$W$13,ROUND(AVERAGE(#REF!),1)&amp;" ≥ "&amp;$W$13&amp;" OK",ROUND(AVERAGE(#REF!),1)&amp;" &lt; "&amp;$W$13&amp;" NC"))))</f>
        <v/>
      </c>
      <c r="T1356" s="278" t="str">
        <f>IF($X$13="/28",IF(Q1356="","",IF(Q1356&gt;=$W$13-$S$12,ROUND((Q1356),1)&amp;" ≥ "&amp;$W$13-$S$12&amp;" OK",ROUND((Q1356),1)&amp;" &lt; "&amp;$W$13-$S$12&amp;" NC")),IF($X$13="/90",IF(#REF!="","",IF(#REF!&gt;=$W$13-$S$12,ROUND((#REF!),1)&amp;" ≥ "&amp;$W$13-$S$12&amp;" OK",ROUND((#REF!),1)&amp;" &lt; "&amp;$W$13-$S$12&amp;" NC"))))</f>
        <v/>
      </c>
      <c r="U1356" s="14"/>
      <c r="V1356" s="279"/>
      <c r="W1356" s="280"/>
      <c r="X1356" s="281"/>
      <c r="Y1356" s="246"/>
      <c r="Z1356" s="246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BP1356" s="390" t="str">
        <f>IF($X$13="/28",IF(Q1356="","",Q1356),IF($X$13="/90",IF(#REF!="","",#REF!),"Falso"))</f>
        <v/>
      </c>
      <c r="BQ1356" s="392" t="str">
        <f t="shared" si="2104"/>
        <v/>
      </c>
    </row>
    <row r="1357" spans="1:69" ht="14.25" customHeight="1" x14ac:dyDescent="0.35">
      <c r="A1357" s="294"/>
      <c r="B1357" s="296"/>
      <c r="C1357" s="298"/>
      <c r="D1357" s="300"/>
      <c r="E1357" s="302"/>
      <c r="F1357" s="304"/>
      <c r="G1357" s="276"/>
      <c r="H1357" s="277"/>
      <c r="I1357" s="290"/>
      <c r="J1357" s="290"/>
      <c r="K1357" s="291"/>
      <c r="L1357" s="17"/>
      <c r="M1357" s="286"/>
      <c r="N1357" s="21"/>
      <c r="O1357" s="286"/>
      <c r="P1357" s="21"/>
      <c r="Q1357" s="286"/>
      <c r="R1357" s="248"/>
      <c r="S1357" s="287"/>
      <c r="T1357" s="248"/>
      <c r="U1357" s="13"/>
      <c r="V1357" s="282"/>
      <c r="W1357" s="283"/>
      <c r="X1357" s="284"/>
      <c r="Y1357" s="245"/>
      <c r="Z1357" s="245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BP1357" s="391"/>
      <c r="BQ1357" s="393"/>
    </row>
    <row r="1358" spans="1:69" ht="14.25" customHeight="1" x14ac:dyDescent="0.35">
      <c r="A1358" s="293">
        <v>671</v>
      </c>
      <c r="B1358" s="295"/>
      <c r="C1358" s="297"/>
      <c r="D1358" s="299"/>
      <c r="E1358" s="301"/>
      <c r="F1358" s="303"/>
      <c r="G1358" s="288"/>
      <c r="H1358" s="289"/>
      <c r="I1358" s="290"/>
      <c r="J1358" s="290"/>
      <c r="K1358" s="291"/>
      <c r="L1358" s="18"/>
      <c r="M1358" s="285" t="str">
        <f t="shared" ref="M1358" si="2116">IF(COUNT(L1358:L1359)&lt;1,"",AVERAGE(L1358:L1359))</f>
        <v/>
      </c>
      <c r="N1358" s="22"/>
      <c r="O1358" s="285" t="str">
        <f t="shared" ref="O1358" si="2117">IF(COUNT(N1358:N1359)&lt;1,"",AVERAGE(N1358:N1359))</f>
        <v/>
      </c>
      <c r="P1358" s="22"/>
      <c r="Q1358" s="285" t="str">
        <f t="shared" ref="Q1358" si="2118">IF(COUNT(P1358:P1359)&lt;1,"",AVERAGE(P1358:P1359))</f>
        <v/>
      </c>
      <c r="R1358" s="278" t="str">
        <f>IF($X$13="/28",IF(COUNT(P1358:P1359)&lt;=1,"",ABS(P1358-P1359)),IF($X$13="/90",IF(COUNT(#REF!)&lt;=1,"",ABS(#REF!-#REF!))))</f>
        <v/>
      </c>
      <c r="S1358" s="278" t="str">
        <f>IF($X$13="/28",IF(Q1358="","",IF(AVERAGE(Q1354:Q1359)&gt;=$W$13,ROUND(AVERAGE(Q1354:Q1359),1)&amp;" ≥ "&amp;$W$13&amp;" OK",ROUND(AVERAGE(Q1354:Q1359),1)&amp;" &lt; "&amp;$W$13&amp;" NC")),IF($X$13="/90",IF(#REF!="","",IF(AVERAGE(#REF!)&gt;=$W$13,ROUND(AVERAGE(#REF!),1)&amp;" ≥ "&amp;$W$13&amp;" OK",ROUND(AVERAGE(#REF!),1)&amp;" &lt; "&amp;$W$13&amp;" NC"))))</f>
        <v/>
      </c>
      <c r="T1358" s="278" t="str">
        <f>IF($X$13="/28",IF(Q1358="","",IF(Q1358&gt;=$W$13-$S$12,ROUND((Q1358),1)&amp;" ≥ "&amp;$W$13-$S$12&amp;" OK",ROUND((Q1358),1)&amp;" &lt; "&amp;$W$13-$S$12&amp;" NC")),IF($X$13="/90",IF(#REF!="","",IF(#REF!&gt;=$W$13-$S$12,ROUND((#REF!),1)&amp;" ≥ "&amp;$W$13-$S$12&amp;" OK",ROUND((#REF!),1)&amp;" &lt; "&amp;$W$13-$S$12&amp;" NC"))))</f>
        <v/>
      </c>
      <c r="U1358" s="14"/>
      <c r="V1358" s="279"/>
      <c r="W1358" s="280"/>
      <c r="X1358" s="281"/>
      <c r="Y1358" s="246"/>
      <c r="Z1358" s="246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BP1358" s="390" t="str">
        <f>IF($X$13="/28",IF(Q1358="","",Q1358),IF($X$13="/90",IF(#REF!="","",#REF!),"Falso"))</f>
        <v/>
      </c>
      <c r="BQ1358" s="392" t="str">
        <f t="shared" si="2108"/>
        <v/>
      </c>
    </row>
    <row r="1359" spans="1:69" ht="14.25" customHeight="1" x14ac:dyDescent="0.35">
      <c r="A1359" s="294"/>
      <c r="B1359" s="296"/>
      <c r="C1359" s="298"/>
      <c r="D1359" s="300"/>
      <c r="E1359" s="302"/>
      <c r="F1359" s="304"/>
      <c r="G1359" s="276"/>
      <c r="H1359" s="277"/>
      <c r="I1359" s="290"/>
      <c r="J1359" s="290"/>
      <c r="K1359" s="291"/>
      <c r="L1359" s="17"/>
      <c r="M1359" s="286"/>
      <c r="N1359" s="21"/>
      <c r="O1359" s="286"/>
      <c r="P1359" s="21"/>
      <c r="Q1359" s="286"/>
      <c r="R1359" s="248"/>
      <c r="S1359" s="287"/>
      <c r="T1359" s="248"/>
      <c r="U1359" s="13"/>
      <c r="V1359" s="282"/>
      <c r="W1359" s="283"/>
      <c r="X1359" s="284"/>
      <c r="Y1359" s="245"/>
      <c r="Z1359" s="245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BP1359" s="391"/>
      <c r="BQ1359" s="393"/>
    </row>
    <row r="1360" spans="1:69" ht="14.25" customHeight="1" x14ac:dyDescent="0.35">
      <c r="A1360" s="293">
        <v>672</v>
      </c>
      <c r="B1360" s="295"/>
      <c r="C1360" s="297"/>
      <c r="D1360" s="299"/>
      <c r="E1360" s="301"/>
      <c r="F1360" s="303"/>
      <c r="G1360" s="288"/>
      <c r="H1360" s="289"/>
      <c r="I1360" s="290"/>
      <c r="J1360" s="290"/>
      <c r="K1360" s="291"/>
      <c r="L1360" s="18"/>
      <c r="M1360" s="285" t="str">
        <f t="shared" ref="M1360" si="2119">IF(COUNT(L1360:L1361)&lt;1,"",AVERAGE(L1360:L1361))</f>
        <v/>
      </c>
      <c r="N1360" s="22"/>
      <c r="O1360" s="285" t="str">
        <f t="shared" ref="O1360" si="2120">IF(COUNT(N1360:N1361)&lt;1,"",AVERAGE(N1360:N1361))</f>
        <v/>
      </c>
      <c r="P1360" s="22"/>
      <c r="Q1360" s="285" t="str">
        <f t="shared" ref="Q1360" si="2121">IF(COUNT(P1360:P1361)&lt;1,"",AVERAGE(P1360:P1361))</f>
        <v/>
      </c>
      <c r="R1360" s="278" t="str">
        <f>IF($X$13="/28",IF(COUNT(P1360:P1361)&lt;=1,"",ABS(P1360-P1361)),IF($X$13="/90",IF(COUNT(#REF!)&lt;=1,"",ABS(#REF!-#REF!))))</f>
        <v/>
      </c>
      <c r="S1360" s="278" t="str">
        <f>IF($X$13="/28",IF(Q1360="","",IF(AVERAGE(Q1356:Q1361)&gt;=$W$13,ROUND(AVERAGE(Q1356:Q1361),1)&amp;" ≥ "&amp;$W$13&amp;" OK",ROUND(AVERAGE(Q1356:Q1361),1)&amp;" &lt; "&amp;$W$13&amp;" NC")),IF($X$13="/90",IF(#REF!="","",IF(AVERAGE(#REF!)&gt;=$W$13,ROUND(AVERAGE(#REF!),1)&amp;" ≥ "&amp;$W$13&amp;" OK",ROUND(AVERAGE(#REF!),1)&amp;" &lt; "&amp;$W$13&amp;" NC"))))</f>
        <v/>
      </c>
      <c r="T1360" s="278" t="str">
        <f>IF($X$13="/28",IF(Q1360="","",IF(Q1360&gt;=$W$13-$S$12,ROUND((Q1360),1)&amp;" ≥ "&amp;$W$13-$S$12&amp;" OK",ROUND((Q1360),1)&amp;" &lt; "&amp;$W$13-$S$12&amp;" NC")),IF($X$13="/90",IF(#REF!="","",IF(#REF!&gt;=$W$13-$S$12,ROUND((#REF!),1)&amp;" ≥ "&amp;$W$13-$S$12&amp;" OK",ROUND((#REF!),1)&amp;" &lt; "&amp;$W$13-$S$12&amp;" NC"))))</f>
        <v/>
      </c>
      <c r="U1360" s="14"/>
      <c r="V1360" s="279"/>
      <c r="W1360" s="280"/>
      <c r="X1360" s="281"/>
      <c r="Y1360" s="246"/>
      <c r="Z1360" s="246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BP1360" s="390" t="str">
        <f>IF($X$13="/28",IF(Q1360="","",Q1360),IF($X$13="/90",IF(#REF!="","",#REF!),"Falso"))</f>
        <v/>
      </c>
      <c r="BQ1360" s="392" t="str">
        <f t="shared" si="2112"/>
        <v/>
      </c>
    </row>
    <row r="1361" spans="1:69" ht="14.25" customHeight="1" x14ac:dyDescent="0.35">
      <c r="A1361" s="294"/>
      <c r="B1361" s="296"/>
      <c r="C1361" s="298"/>
      <c r="D1361" s="300"/>
      <c r="E1361" s="302"/>
      <c r="F1361" s="304"/>
      <c r="G1361" s="276"/>
      <c r="H1361" s="277"/>
      <c r="I1361" s="290"/>
      <c r="J1361" s="290"/>
      <c r="K1361" s="291"/>
      <c r="L1361" s="17"/>
      <c r="M1361" s="286"/>
      <c r="N1361" s="21"/>
      <c r="O1361" s="286"/>
      <c r="P1361" s="21"/>
      <c r="Q1361" s="286"/>
      <c r="R1361" s="248"/>
      <c r="S1361" s="287"/>
      <c r="T1361" s="248"/>
      <c r="U1361" s="13"/>
      <c r="V1361" s="282"/>
      <c r="W1361" s="283"/>
      <c r="X1361" s="284"/>
      <c r="Y1361" s="245"/>
      <c r="Z1361" s="245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BP1361" s="391"/>
      <c r="BQ1361" s="393"/>
    </row>
    <row r="1362" spans="1:69" ht="14.25" customHeight="1" x14ac:dyDescent="0.35">
      <c r="A1362" s="293">
        <v>673</v>
      </c>
      <c r="B1362" s="295"/>
      <c r="C1362" s="297"/>
      <c r="D1362" s="299"/>
      <c r="E1362" s="301"/>
      <c r="F1362" s="303"/>
      <c r="G1362" s="288"/>
      <c r="H1362" s="289"/>
      <c r="I1362" s="290"/>
      <c r="J1362" s="290"/>
      <c r="K1362" s="291"/>
      <c r="L1362" s="18"/>
      <c r="M1362" s="285" t="str">
        <f t="shared" ref="M1362" si="2122">IF(COUNT(L1362:L1363)&lt;1,"",AVERAGE(L1362:L1363))</f>
        <v/>
      </c>
      <c r="N1362" s="22"/>
      <c r="O1362" s="285" t="str">
        <f t="shared" ref="O1362" si="2123">IF(COUNT(N1362:N1363)&lt;1,"",AVERAGE(N1362:N1363))</f>
        <v/>
      </c>
      <c r="P1362" s="22"/>
      <c r="Q1362" s="285" t="str">
        <f t="shared" ref="Q1362" si="2124">IF(COUNT(P1362:P1363)&lt;1,"",AVERAGE(P1362:P1363))</f>
        <v/>
      </c>
      <c r="R1362" s="278" t="str">
        <f>IF($X$13="/28",IF(COUNT(P1362:P1363)&lt;=1,"",ABS(P1362-P1363)),IF($X$13="/90",IF(COUNT(#REF!)&lt;=1,"",ABS(#REF!-#REF!))))</f>
        <v/>
      </c>
      <c r="S1362" s="278" t="str">
        <f>IF($X$13="/28",IF(Q1362="","",IF(AVERAGE(Q1358:Q1363)&gt;=$W$13,ROUND(AVERAGE(Q1358:Q1363),1)&amp;" ≥ "&amp;$W$13&amp;" OK",ROUND(AVERAGE(Q1358:Q1363),1)&amp;" &lt; "&amp;$W$13&amp;" NC")),IF($X$13="/90",IF(#REF!="","",IF(AVERAGE(#REF!)&gt;=$W$13,ROUND(AVERAGE(#REF!),1)&amp;" ≥ "&amp;$W$13&amp;" OK",ROUND(AVERAGE(#REF!),1)&amp;" &lt; "&amp;$W$13&amp;" NC"))))</f>
        <v/>
      </c>
      <c r="T1362" s="278" t="str">
        <f>IF($X$13="/28",IF(Q1362="","",IF(Q1362&gt;=$W$13-$S$12,ROUND((Q1362),1)&amp;" ≥ "&amp;$W$13-$S$12&amp;" OK",ROUND((Q1362),1)&amp;" &lt; "&amp;$W$13-$S$12&amp;" NC")),IF($X$13="/90",IF(#REF!="","",IF(#REF!&gt;=$W$13-$S$12,ROUND((#REF!),1)&amp;" ≥ "&amp;$W$13-$S$12&amp;" OK",ROUND((#REF!),1)&amp;" &lt; "&amp;$W$13-$S$12&amp;" NC"))))</f>
        <v/>
      </c>
      <c r="U1362" s="14"/>
      <c r="V1362" s="279"/>
      <c r="W1362" s="280"/>
      <c r="X1362" s="281"/>
      <c r="Y1362" s="246"/>
      <c r="Z1362" s="246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BP1362" s="390" t="str">
        <f>IF($X$13="/28",IF(Q1362="","",Q1362),IF($X$13="/90",IF(#REF!="","",#REF!),"Falso"))</f>
        <v/>
      </c>
      <c r="BQ1362" s="392" t="str">
        <f t="shared" si="2104"/>
        <v/>
      </c>
    </row>
    <row r="1363" spans="1:69" ht="14.25" customHeight="1" x14ac:dyDescent="0.35">
      <c r="A1363" s="294"/>
      <c r="B1363" s="296"/>
      <c r="C1363" s="298"/>
      <c r="D1363" s="300"/>
      <c r="E1363" s="302"/>
      <c r="F1363" s="304"/>
      <c r="G1363" s="276"/>
      <c r="H1363" s="277"/>
      <c r="I1363" s="290"/>
      <c r="J1363" s="290"/>
      <c r="K1363" s="291"/>
      <c r="L1363" s="17"/>
      <c r="M1363" s="286"/>
      <c r="N1363" s="21"/>
      <c r="O1363" s="286"/>
      <c r="P1363" s="21"/>
      <c r="Q1363" s="286"/>
      <c r="R1363" s="248"/>
      <c r="S1363" s="287"/>
      <c r="T1363" s="248"/>
      <c r="U1363" s="13"/>
      <c r="V1363" s="282"/>
      <c r="W1363" s="283"/>
      <c r="X1363" s="284"/>
      <c r="Y1363" s="245"/>
      <c r="Z1363" s="245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BP1363" s="391"/>
      <c r="BQ1363" s="393"/>
    </row>
    <row r="1364" spans="1:69" ht="14.25" customHeight="1" x14ac:dyDescent="0.35">
      <c r="A1364" s="293">
        <v>674</v>
      </c>
      <c r="B1364" s="295"/>
      <c r="C1364" s="297"/>
      <c r="D1364" s="299"/>
      <c r="E1364" s="301"/>
      <c r="F1364" s="303"/>
      <c r="G1364" s="288"/>
      <c r="H1364" s="289"/>
      <c r="I1364" s="290"/>
      <c r="J1364" s="290"/>
      <c r="K1364" s="291"/>
      <c r="L1364" s="18"/>
      <c r="M1364" s="285" t="str">
        <f t="shared" ref="M1364" si="2125">IF(COUNT(L1364:L1365)&lt;1,"",AVERAGE(L1364:L1365))</f>
        <v/>
      </c>
      <c r="N1364" s="22"/>
      <c r="O1364" s="285" t="str">
        <f t="shared" ref="O1364" si="2126">IF(COUNT(N1364:N1365)&lt;1,"",AVERAGE(N1364:N1365))</f>
        <v/>
      </c>
      <c r="P1364" s="22"/>
      <c r="Q1364" s="285" t="str">
        <f t="shared" ref="Q1364" si="2127">IF(COUNT(P1364:P1365)&lt;1,"",AVERAGE(P1364:P1365))</f>
        <v/>
      </c>
      <c r="R1364" s="278" t="str">
        <f>IF($X$13="/28",IF(COUNT(P1364:P1365)&lt;=1,"",ABS(P1364-P1365)),IF($X$13="/90",IF(COUNT(#REF!)&lt;=1,"",ABS(#REF!-#REF!))))</f>
        <v/>
      </c>
      <c r="S1364" s="278" t="str">
        <f>IF($X$13="/28",IF(Q1364="","",IF(AVERAGE(Q1360:Q1365)&gt;=$W$13,ROUND(AVERAGE(Q1360:Q1365),1)&amp;" ≥ "&amp;$W$13&amp;" OK",ROUND(AVERAGE(Q1360:Q1365),1)&amp;" &lt; "&amp;$W$13&amp;" NC")),IF($X$13="/90",IF(#REF!="","",IF(AVERAGE(#REF!)&gt;=$W$13,ROUND(AVERAGE(#REF!),1)&amp;" ≥ "&amp;$W$13&amp;" OK",ROUND(AVERAGE(#REF!),1)&amp;" &lt; "&amp;$W$13&amp;" NC"))))</f>
        <v/>
      </c>
      <c r="T1364" s="278" t="str">
        <f>IF($X$13="/28",IF(Q1364="","",IF(Q1364&gt;=$W$13-$S$12,ROUND((Q1364),1)&amp;" ≥ "&amp;$W$13-$S$12&amp;" OK",ROUND((Q1364),1)&amp;" &lt; "&amp;$W$13-$S$12&amp;" NC")),IF($X$13="/90",IF(#REF!="","",IF(#REF!&gt;=$W$13-$S$12,ROUND((#REF!),1)&amp;" ≥ "&amp;$W$13-$S$12&amp;" OK",ROUND((#REF!),1)&amp;" &lt; "&amp;$W$13-$S$12&amp;" NC"))))</f>
        <v/>
      </c>
      <c r="U1364" s="14"/>
      <c r="V1364" s="279"/>
      <c r="W1364" s="280"/>
      <c r="X1364" s="281"/>
      <c r="Y1364" s="246"/>
      <c r="Z1364" s="246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BP1364" s="390" t="str">
        <f>IF($X$13="/28",IF(Q1364="","",Q1364),IF($X$13="/90",IF(#REF!="","",#REF!),"Falso"))</f>
        <v/>
      </c>
      <c r="BQ1364" s="392" t="str">
        <f t="shared" si="2108"/>
        <v/>
      </c>
    </row>
    <row r="1365" spans="1:69" ht="14.25" customHeight="1" x14ac:dyDescent="0.35">
      <c r="A1365" s="294"/>
      <c r="B1365" s="296"/>
      <c r="C1365" s="298"/>
      <c r="D1365" s="300"/>
      <c r="E1365" s="302"/>
      <c r="F1365" s="304"/>
      <c r="G1365" s="276"/>
      <c r="H1365" s="277"/>
      <c r="I1365" s="290"/>
      <c r="J1365" s="290"/>
      <c r="K1365" s="291"/>
      <c r="L1365" s="17"/>
      <c r="M1365" s="286"/>
      <c r="N1365" s="21"/>
      <c r="O1365" s="286"/>
      <c r="P1365" s="21"/>
      <c r="Q1365" s="286"/>
      <c r="R1365" s="248"/>
      <c r="S1365" s="287"/>
      <c r="T1365" s="248"/>
      <c r="U1365" s="13"/>
      <c r="V1365" s="282"/>
      <c r="W1365" s="283"/>
      <c r="X1365" s="284"/>
      <c r="Y1365" s="245"/>
      <c r="Z1365" s="245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BP1365" s="391"/>
      <c r="BQ1365" s="393"/>
    </row>
    <row r="1366" spans="1:69" ht="14.25" customHeight="1" x14ac:dyDescent="0.35">
      <c r="A1366" s="293">
        <v>675</v>
      </c>
      <c r="B1366" s="295"/>
      <c r="C1366" s="297"/>
      <c r="D1366" s="299"/>
      <c r="E1366" s="301"/>
      <c r="F1366" s="303"/>
      <c r="G1366" s="288"/>
      <c r="H1366" s="289"/>
      <c r="I1366" s="290"/>
      <c r="J1366" s="290"/>
      <c r="K1366" s="291"/>
      <c r="L1366" s="18"/>
      <c r="M1366" s="285" t="str">
        <f t="shared" ref="M1366" si="2128">IF(COUNT(L1366:L1367)&lt;1,"",AVERAGE(L1366:L1367))</f>
        <v/>
      </c>
      <c r="N1366" s="22"/>
      <c r="O1366" s="285" t="str">
        <f t="shared" ref="O1366" si="2129">IF(COUNT(N1366:N1367)&lt;1,"",AVERAGE(N1366:N1367))</f>
        <v/>
      </c>
      <c r="P1366" s="22"/>
      <c r="Q1366" s="285" t="str">
        <f t="shared" ref="Q1366" si="2130">IF(COUNT(P1366:P1367)&lt;1,"",AVERAGE(P1366:P1367))</f>
        <v/>
      </c>
      <c r="R1366" s="278" t="str">
        <f>IF($X$13="/28",IF(COUNT(P1366:P1367)&lt;=1,"",ABS(P1366-P1367)),IF($X$13="/90",IF(COUNT(#REF!)&lt;=1,"",ABS(#REF!-#REF!))))</f>
        <v/>
      </c>
      <c r="S1366" s="278" t="str">
        <f>IF($X$13="/28",IF(Q1366="","",IF(AVERAGE(Q1362:Q1367)&gt;=$W$13,ROUND(AVERAGE(Q1362:Q1367),1)&amp;" ≥ "&amp;$W$13&amp;" OK",ROUND(AVERAGE(Q1362:Q1367),1)&amp;" &lt; "&amp;$W$13&amp;" NC")),IF($X$13="/90",IF(#REF!="","",IF(AVERAGE(#REF!)&gt;=$W$13,ROUND(AVERAGE(#REF!),1)&amp;" ≥ "&amp;$W$13&amp;" OK",ROUND(AVERAGE(#REF!),1)&amp;" &lt; "&amp;$W$13&amp;" NC"))))</f>
        <v/>
      </c>
      <c r="T1366" s="278" t="str">
        <f>IF($X$13="/28",IF(Q1366="","",IF(Q1366&gt;=$W$13-$S$12,ROUND((Q1366),1)&amp;" ≥ "&amp;$W$13-$S$12&amp;" OK",ROUND((Q1366),1)&amp;" &lt; "&amp;$W$13-$S$12&amp;" NC")),IF($X$13="/90",IF(#REF!="","",IF(#REF!&gt;=$W$13-$S$12,ROUND((#REF!),1)&amp;" ≥ "&amp;$W$13-$S$12&amp;" OK",ROUND((#REF!),1)&amp;" &lt; "&amp;$W$13-$S$12&amp;" NC"))))</f>
        <v/>
      </c>
      <c r="U1366" s="14"/>
      <c r="V1366" s="279"/>
      <c r="W1366" s="280"/>
      <c r="X1366" s="281"/>
      <c r="Y1366" s="246"/>
      <c r="Z1366" s="246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BP1366" s="390" t="str">
        <f>IF($X$13="/28",IF(Q1366="","",Q1366),IF($X$13="/90",IF(#REF!="","",#REF!),"Falso"))</f>
        <v/>
      </c>
      <c r="BQ1366" s="392" t="str">
        <f t="shared" si="2112"/>
        <v/>
      </c>
    </row>
    <row r="1367" spans="1:69" ht="14.25" customHeight="1" x14ac:dyDescent="0.35">
      <c r="A1367" s="294"/>
      <c r="B1367" s="296"/>
      <c r="C1367" s="298"/>
      <c r="D1367" s="300"/>
      <c r="E1367" s="302"/>
      <c r="F1367" s="304"/>
      <c r="G1367" s="276"/>
      <c r="H1367" s="277"/>
      <c r="I1367" s="290"/>
      <c r="J1367" s="290"/>
      <c r="K1367" s="291"/>
      <c r="L1367" s="17"/>
      <c r="M1367" s="286"/>
      <c r="N1367" s="21"/>
      <c r="O1367" s="286"/>
      <c r="P1367" s="21"/>
      <c r="Q1367" s="286"/>
      <c r="R1367" s="248"/>
      <c r="S1367" s="287"/>
      <c r="T1367" s="248"/>
      <c r="U1367" s="13"/>
      <c r="V1367" s="282"/>
      <c r="W1367" s="283"/>
      <c r="X1367" s="284"/>
      <c r="Y1367" s="245"/>
      <c r="Z1367" s="245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BP1367" s="391"/>
      <c r="BQ1367" s="393"/>
    </row>
    <row r="1368" spans="1:69" ht="14.25" customHeight="1" x14ac:dyDescent="0.35">
      <c r="A1368" s="293">
        <v>676</v>
      </c>
      <c r="B1368" s="295"/>
      <c r="C1368" s="297"/>
      <c r="D1368" s="299"/>
      <c r="E1368" s="301"/>
      <c r="F1368" s="303"/>
      <c r="G1368" s="288"/>
      <c r="H1368" s="289"/>
      <c r="I1368" s="290"/>
      <c r="J1368" s="290"/>
      <c r="K1368" s="291"/>
      <c r="L1368" s="18"/>
      <c r="M1368" s="285" t="str">
        <f t="shared" ref="M1368" si="2131">IF(COUNT(L1368:L1369)&lt;1,"",AVERAGE(L1368:L1369))</f>
        <v/>
      </c>
      <c r="N1368" s="22"/>
      <c r="O1368" s="285" t="str">
        <f t="shared" ref="O1368" si="2132">IF(COUNT(N1368:N1369)&lt;1,"",AVERAGE(N1368:N1369))</f>
        <v/>
      </c>
      <c r="P1368" s="22"/>
      <c r="Q1368" s="285" t="str">
        <f t="shared" ref="Q1368" si="2133">IF(COUNT(P1368:P1369)&lt;1,"",AVERAGE(P1368:P1369))</f>
        <v/>
      </c>
      <c r="R1368" s="278" t="str">
        <f>IF($X$13="/28",IF(COUNT(P1368:P1369)&lt;=1,"",ABS(P1368-P1369)),IF($X$13="/90",IF(COUNT(#REF!)&lt;=1,"",ABS(#REF!-#REF!))))</f>
        <v/>
      </c>
      <c r="S1368" s="278" t="str">
        <f>IF($X$13="/28",IF(Q1368="","",IF(AVERAGE(Q1364:Q1369)&gt;=$W$13,ROUND(AVERAGE(Q1364:Q1369),1)&amp;" ≥ "&amp;$W$13&amp;" OK",ROUND(AVERAGE(Q1364:Q1369),1)&amp;" &lt; "&amp;$W$13&amp;" NC")),IF($X$13="/90",IF(#REF!="","",IF(AVERAGE(#REF!)&gt;=$W$13,ROUND(AVERAGE(#REF!),1)&amp;" ≥ "&amp;$W$13&amp;" OK",ROUND(AVERAGE(#REF!),1)&amp;" &lt; "&amp;$W$13&amp;" NC"))))</f>
        <v/>
      </c>
      <c r="T1368" s="278" t="str">
        <f>IF($X$13="/28",IF(Q1368="","",IF(Q1368&gt;=$W$13-$S$12,ROUND((Q1368),1)&amp;" ≥ "&amp;$W$13-$S$12&amp;" OK",ROUND((Q1368),1)&amp;" &lt; "&amp;$W$13-$S$12&amp;" NC")),IF($X$13="/90",IF(#REF!="","",IF(#REF!&gt;=$W$13-$S$12,ROUND((#REF!),1)&amp;" ≥ "&amp;$W$13-$S$12&amp;" OK",ROUND((#REF!),1)&amp;" &lt; "&amp;$W$13-$S$12&amp;" NC"))))</f>
        <v/>
      </c>
      <c r="U1368" s="14"/>
      <c r="V1368" s="279"/>
      <c r="W1368" s="280"/>
      <c r="X1368" s="281"/>
      <c r="Y1368" s="246"/>
      <c r="Z1368" s="246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BP1368" s="390" t="str">
        <f>IF($X$13="/28",IF(Q1368="","",Q1368),IF($X$13="/90",IF(#REF!="","",#REF!),"Falso"))</f>
        <v/>
      </c>
      <c r="BQ1368" s="392" t="str">
        <f t="shared" si="2104"/>
        <v/>
      </c>
    </row>
    <row r="1369" spans="1:69" ht="14.25" customHeight="1" x14ac:dyDescent="0.35">
      <c r="A1369" s="294"/>
      <c r="B1369" s="296"/>
      <c r="C1369" s="298"/>
      <c r="D1369" s="300"/>
      <c r="E1369" s="302"/>
      <c r="F1369" s="304"/>
      <c r="G1369" s="276"/>
      <c r="H1369" s="277"/>
      <c r="I1369" s="290"/>
      <c r="J1369" s="290"/>
      <c r="K1369" s="291"/>
      <c r="L1369" s="17"/>
      <c r="M1369" s="286"/>
      <c r="N1369" s="21"/>
      <c r="O1369" s="286"/>
      <c r="P1369" s="21"/>
      <c r="Q1369" s="286"/>
      <c r="R1369" s="248"/>
      <c r="S1369" s="287"/>
      <c r="T1369" s="248"/>
      <c r="U1369" s="13"/>
      <c r="V1369" s="282"/>
      <c r="W1369" s="283"/>
      <c r="X1369" s="284"/>
      <c r="Y1369" s="245"/>
      <c r="Z1369" s="245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BP1369" s="391"/>
      <c r="BQ1369" s="393"/>
    </row>
    <row r="1370" spans="1:69" ht="14.25" customHeight="1" x14ac:dyDescent="0.35">
      <c r="A1370" s="293">
        <v>677</v>
      </c>
      <c r="B1370" s="295"/>
      <c r="C1370" s="297"/>
      <c r="D1370" s="299"/>
      <c r="E1370" s="301"/>
      <c r="F1370" s="303"/>
      <c r="G1370" s="288"/>
      <c r="H1370" s="289"/>
      <c r="I1370" s="290"/>
      <c r="J1370" s="290"/>
      <c r="K1370" s="291"/>
      <c r="L1370" s="18"/>
      <c r="M1370" s="285" t="str">
        <f t="shared" ref="M1370" si="2134">IF(COUNT(L1370:L1371)&lt;1,"",AVERAGE(L1370:L1371))</f>
        <v/>
      </c>
      <c r="N1370" s="22"/>
      <c r="O1370" s="285" t="str">
        <f t="shared" ref="O1370" si="2135">IF(COUNT(N1370:N1371)&lt;1,"",AVERAGE(N1370:N1371))</f>
        <v/>
      </c>
      <c r="P1370" s="22"/>
      <c r="Q1370" s="285" t="str">
        <f t="shared" ref="Q1370" si="2136">IF(COUNT(P1370:P1371)&lt;1,"",AVERAGE(P1370:P1371))</f>
        <v/>
      </c>
      <c r="R1370" s="278" t="str">
        <f>IF($X$13="/28",IF(COUNT(P1370:P1371)&lt;=1,"",ABS(P1370-P1371)),IF($X$13="/90",IF(COUNT(#REF!)&lt;=1,"",ABS(#REF!-#REF!))))</f>
        <v/>
      </c>
      <c r="S1370" s="278" t="str">
        <f>IF($X$13="/28",IF(Q1370="","",IF(AVERAGE(Q1366:Q1371)&gt;=$W$13,ROUND(AVERAGE(Q1366:Q1371),1)&amp;" ≥ "&amp;$W$13&amp;" OK",ROUND(AVERAGE(Q1366:Q1371),1)&amp;" &lt; "&amp;$W$13&amp;" NC")),IF($X$13="/90",IF(#REF!="","",IF(AVERAGE(#REF!)&gt;=$W$13,ROUND(AVERAGE(#REF!),1)&amp;" ≥ "&amp;$W$13&amp;" OK",ROUND(AVERAGE(#REF!),1)&amp;" &lt; "&amp;$W$13&amp;" NC"))))</f>
        <v/>
      </c>
      <c r="T1370" s="278" t="str">
        <f>IF($X$13="/28",IF(Q1370="","",IF(Q1370&gt;=$W$13-$S$12,ROUND((Q1370),1)&amp;" ≥ "&amp;$W$13-$S$12&amp;" OK",ROUND((Q1370),1)&amp;" &lt; "&amp;$W$13-$S$12&amp;" NC")),IF($X$13="/90",IF(#REF!="","",IF(#REF!&gt;=$W$13-$S$12,ROUND((#REF!),1)&amp;" ≥ "&amp;$W$13-$S$12&amp;" OK",ROUND((#REF!),1)&amp;" &lt; "&amp;$W$13-$S$12&amp;" NC"))))</f>
        <v/>
      </c>
      <c r="U1370" s="14"/>
      <c r="V1370" s="279"/>
      <c r="W1370" s="280"/>
      <c r="X1370" s="281"/>
      <c r="Y1370" s="246"/>
      <c r="Z1370" s="246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BP1370" s="390" t="str">
        <f>IF($X$13="/28",IF(Q1370="","",Q1370),IF($X$13="/90",IF(#REF!="","",#REF!),"Falso"))</f>
        <v/>
      </c>
      <c r="BQ1370" s="392" t="str">
        <f t="shared" si="2108"/>
        <v/>
      </c>
    </row>
    <row r="1371" spans="1:69" ht="14.25" customHeight="1" x14ac:dyDescent="0.35">
      <c r="A1371" s="294"/>
      <c r="B1371" s="296"/>
      <c r="C1371" s="298"/>
      <c r="D1371" s="300"/>
      <c r="E1371" s="302"/>
      <c r="F1371" s="304"/>
      <c r="G1371" s="276"/>
      <c r="H1371" s="277"/>
      <c r="I1371" s="290"/>
      <c r="J1371" s="290"/>
      <c r="K1371" s="291"/>
      <c r="L1371" s="17"/>
      <c r="M1371" s="286"/>
      <c r="N1371" s="21"/>
      <c r="O1371" s="286"/>
      <c r="P1371" s="21"/>
      <c r="Q1371" s="286"/>
      <c r="R1371" s="248"/>
      <c r="S1371" s="287"/>
      <c r="T1371" s="248"/>
      <c r="U1371" s="13"/>
      <c r="V1371" s="282"/>
      <c r="W1371" s="283"/>
      <c r="X1371" s="284"/>
      <c r="Y1371" s="245"/>
      <c r="Z1371" s="245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BP1371" s="391"/>
      <c r="BQ1371" s="393"/>
    </row>
    <row r="1372" spans="1:69" ht="14.25" customHeight="1" x14ac:dyDescent="0.35">
      <c r="A1372" s="293">
        <v>678</v>
      </c>
      <c r="B1372" s="295"/>
      <c r="C1372" s="297"/>
      <c r="D1372" s="299"/>
      <c r="E1372" s="301"/>
      <c r="F1372" s="303"/>
      <c r="G1372" s="288"/>
      <c r="H1372" s="289"/>
      <c r="I1372" s="290"/>
      <c r="J1372" s="290"/>
      <c r="K1372" s="291"/>
      <c r="L1372" s="18"/>
      <c r="M1372" s="285" t="str">
        <f t="shared" ref="M1372" si="2137">IF(COUNT(L1372:L1373)&lt;1,"",AVERAGE(L1372:L1373))</f>
        <v/>
      </c>
      <c r="N1372" s="22"/>
      <c r="O1372" s="285" t="str">
        <f t="shared" ref="O1372" si="2138">IF(COUNT(N1372:N1373)&lt;1,"",AVERAGE(N1372:N1373))</f>
        <v/>
      </c>
      <c r="P1372" s="22"/>
      <c r="Q1372" s="285" t="str">
        <f t="shared" ref="Q1372" si="2139">IF(COUNT(P1372:P1373)&lt;1,"",AVERAGE(P1372:P1373))</f>
        <v/>
      </c>
      <c r="R1372" s="278" t="str">
        <f>IF($X$13="/28",IF(COUNT(P1372:P1373)&lt;=1,"",ABS(P1372-P1373)),IF($X$13="/90",IF(COUNT(#REF!)&lt;=1,"",ABS(#REF!-#REF!))))</f>
        <v/>
      </c>
      <c r="S1372" s="278" t="str">
        <f>IF($X$13="/28",IF(Q1372="","",IF(AVERAGE(Q1368:Q1373)&gt;=$W$13,ROUND(AVERAGE(Q1368:Q1373),1)&amp;" ≥ "&amp;$W$13&amp;" OK",ROUND(AVERAGE(Q1368:Q1373),1)&amp;" &lt; "&amp;$W$13&amp;" NC")),IF($X$13="/90",IF(#REF!="","",IF(AVERAGE(#REF!)&gt;=$W$13,ROUND(AVERAGE(#REF!),1)&amp;" ≥ "&amp;$W$13&amp;" OK",ROUND(AVERAGE(#REF!),1)&amp;" &lt; "&amp;$W$13&amp;" NC"))))</f>
        <v/>
      </c>
      <c r="T1372" s="278" t="str">
        <f>IF($X$13="/28",IF(Q1372="","",IF(Q1372&gt;=$W$13-$S$12,ROUND((Q1372),1)&amp;" ≥ "&amp;$W$13-$S$12&amp;" OK",ROUND((Q1372),1)&amp;" &lt; "&amp;$W$13-$S$12&amp;" NC")),IF($X$13="/90",IF(#REF!="","",IF(#REF!&gt;=$W$13-$S$12,ROUND((#REF!),1)&amp;" ≥ "&amp;$W$13-$S$12&amp;" OK",ROUND((#REF!),1)&amp;" &lt; "&amp;$W$13-$S$12&amp;" NC"))))</f>
        <v/>
      </c>
      <c r="U1372" s="14"/>
      <c r="V1372" s="279"/>
      <c r="W1372" s="280"/>
      <c r="X1372" s="281"/>
      <c r="Y1372" s="246"/>
      <c r="Z1372" s="246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BP1372" s="390" t="str">
        <f>IF($X$13="/28",IF(Q1372="","",Q1372),IF($X$13="/90",IF(#REF!="","",#REF!),"Falso"))</f>
        <v/>
      </c>
      <c r="BQ1372" s="392" t="str">
        <f t="shared" si="2112"/>
        <v/>
      </c>
    </row>
    <row r="1373" spans="1:69" ht="14.25" customHeight="1" x14ac:dyDescent="0.35">
      <c r="A1373" s="294"/>
      <c r="B1373" s="296"/>
      <c r="C1373" s="298"/>
      <c r="D1373" s="300"/>
      <c r="E1373" s="302"/>
      <c r="F1373" s="304"/>
      <c r="G1373" s="276"/>
      <c r="H1373" s="277"/>
      <c r="I1373" s="290"/>
      <c r="J1373" s="290"/>
      <c r="K1373" s="291"/>
      <c r="L1373" s="17"/>
      <c r="M1373" s="286"/>
      <c r="N1373" s="21"/>
      <c r="O1373" s="286"/>
      <c r="P1373" s="21"/>
      <c r="Q1373" s="286"/>
      <c r="R1373" s="248"/>
      <c r="S1373" s="287"/>
      <c r="T1373" s="248"/>
      <c r="U1373" s="13"/>
      <c r="V1373" s="282"/>
      <c r="W1373" s="283"/>
      <c r="X1373" s="284"/>
      <c r="Y1373" s="245"/>
      <c r="Z1373" s="245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BP1373" s="391"/>
      <c r="BQ1373" s="393"/>
    </row>
    <row r="1374" spans="1:69" ht="14.25" customHeight="1" x14ac:dyDescent="0.35">
      <c r="A1374" s="293">
        <v>679</v>
      </c>
      <c r="B1374" s="295"/>
      <c r="C1374" s="297"/>
      <c r="D1374" s="299"/>
      <c r="E1374" s="301"/>
      <c r="F1374" s="303"/>
      <c r="G1374" s="288"/>
      <c r="H1374" s="289"/>
      <c r="I1374" s="290"/>
      <c r="J1374" s="290"/>
      <c r="K1374" s="291"/>
      <c r="L1374" s="18"/>
      <c r="M1374" s="285" t="str">
        <f t="shared" ref="M1374" si="2140">IF(COUNT(L1374:L1375)&lt;1,"",AVERAGE(L1374:L1375))</f>
        <v/>
      </c>
      <c r="N1374" s="22"/>
      <c r="O1374" s="285" t="str">
        <f t="shared" ref="O1374" si="2141">IF(COUNT(N1374:N1375)&lt;1,"",AVERAGE(N1374:N1375))</f>
        <v/>
      </c>
      <c r="P1374" s="22"/>
      <c r="Q1374" s="285" t="str">
        <f t="shared" ref="Q1374" si="2142">IF(COUNT(P1374:P1375)&lt;1,"",AVERAGE(P1374:P1375))</f>
        <v/>
      </c>
      <c r="R1374" s="278" t="str">
        <f>IF($X$13="/28",IF(COUNT(P1374:P1375)&lt;=1,"",ABS(P1374-P1375)),IF($X$13="/90",IF(COUNT(#REF!)&lt;=1,"",ABS(#REF!-#REF!))))</f>
        <v/>
      </c>
      <c r="S1374" s="278" t="str">
        <f>IF($X$13="/28",IF(Q1374="","",IF(AVERAGE(Q1370:Q1375)&gt;=$W$13,ROUND(AVERAGE(Q1370:Q1375),1)&amp;" ≥ "&amp;$W$13&amp;" OK",ROUND(AVERAGE(Q1370:Q1375),1)&amp;" &lt; "&amp;$W$13&amp;" NC")),IF($X$13="/90",IF(#REF!="","",IF(AVERAGE(#REF!)&gt;=$W$13,ROUND(AVERAGE(#REF!),1)&amp;" ≥ "&amp;$W$13&amp;" OK",ROUND(AVERAGE(#REF!),1)&amp;" &lt; "&amp;$W$13&amp;" NC"))))</f>
        <v/>
      </c>
      <c r="T1374" s="278" t="str">
        <f>IF($X$13="/28",IF(Q1374="","",IF(Q1374&gt;=$W$13-$S$12,ROUND((Q1374),1)&amp;" ≥ "&amp;$W$13-$S$12&amp;" OK",ROUND((Q1374),1)&amp;" &lt; "&amp;$W$13-$S$12&amp;" NC")),IF($X$13="/90",IF(#REF!="","",IF(#REF!&gt;=$W$13-$S$12,ROUND((#REF!),1)&amp;" ≥ "&amp;$W$13-$S$12&amp;" OK",ROUND((#REF!),1)&amp;" &lt; "&amp;$W$13-$S$12&amp;" NC"))))</f>
        <v/>
      </c>
      <c r="U1374" s="14"/>
      <c r="V1374" s="279"/>
      <c r="W1374" s="280"/>
      <c r="X1374" s="281"/>
      <c r="Y1374" s="246"/>
      <c r="Z1374" s="246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BP1374" s="390" t="str">
        <f>IF($X$13="/28",IF(Q1374="","",Q1374),IF($X$13="/90",IF(#REF!="","",#REF!),"Falso"))</f>
        <v/>
      </c>
      <c r="BQ1374" s="392" t="str">
        <f t="shared" si="2104"/>
        <v/>
      </c>
    </row>
    <row r="1375" spans="1:69" ht="14.25" customHeight="1" x14ac:dyDescent="0.35">
      <c r="A1375" s="294"/>
      <c r="B1375" s="296"/>
      <c r="C1375" s="298"/>
      <c r="D1375" s="300"/>
      <c r="E1375" s="302"/>
      <c r="F1375" s="304"/>
      <c r="G1375" s="276"/>
      <c r="H1375" s="277"/>
      <c r="I1375" s="290"/>
      <c r="J1375" s="290"/>
      <c r="K1375" s="291"/>
      <c r="L1375" s="17"/>
      <c r="M1375" s="286"/>
      <c r="N1375" s="21"/>
      <c r="O1375" s="286"/>
      <c r="P1375" s="21"/>
      <c r="Q1375" s="286"/>
      <c r="R1375" s="248"/>
      <c r="S1375" s="287"/>
      <c r="T1375" s="248"/>
      <c r="U1375" s="13"/>
      <c r="V1375" s="282"/>
      <c r="W1375" s="283"/>
      <c r="X1375" s="284"/>
      <c r="Y1375" s="245"/>
      <c r="Z1375" s="245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BP1375" s="391"/>
      <c r="BQ1375" s="393"/>
    </row>
    <row r="1376" spans="1:69" ht="14.25" customHeight="1" x14ac:dyDescent="0.35">
      <c r="A1376" s="293">
        <v>680</v>
      </c>
      <c r="B1376" s="295"/>
      <c r="C1376" s="297"/>
      <c r="D1376" s="299"/>
      <c r="E1376" s="301"/>
      <c r="F1376" s="303"/>
      <c r="G1376" s="288"/>
      <c r="H1376" s="289"/>
      <c r="I1376" s="290"/>
      <c r="J1376" s="290"/>
      <c r="K1376" s="291"/>
      <c r="L1376" s="18"/>
      <c r="M1376" s="285" t="str">
        <f t="shared" ref="M1376" si="2143">IF(COUNT(L1376:L1377)&lt;1,"",AVERAGE(L1376:L1377))</f>
        <v/>
      </c>
      <c r="N1376" s="22"/>
      <c r="O1376" s="285" t="str">
        <f t="shared" ref="O1376" si="2144">IF(COUNT(N1376:N1377)&lt;1,"",AVERAGE(N1376:N1377))</f>
        <v/>
      </c>
      <c r="P1376" s="22"/>
      <c r="Q1376" s="285" t="str">
        <f t="shared" ref="Q1376" si="2145">IF(COUNT(P1376:P1377)&lt;1,"",AVERAGE(P1376:P1377))</f>
        <v/>
      </c>
      <c r="R1376" s="278" t="str">
        <f>IF($X$13="/28",IF(COUNT(P1376:P1377)&lt;=1,"",ABS(P1376-P1377)),IF($X$13="/90",IF(COUNT(#REF!)&lt;=1,"",ABS(#REF!-#REF!))))</f>
        <v/>
      </c>
      <c r="S1376" s="278" t="str">
        <f>IF($X$13="/28",IF(Q1376="","",IF(AVERAGE(Q1372:Q1377)&gt;=$W$13,ROUND(AVERAGE(Q1372:Q1377),1)&amp;" ≥ "&amp;$W$13&amp;" OK",ROUND(AVERAGE(Q1372:Q1377),1)&amp;" &lt; "&amp;$W$13&amp;" NC")),IF($X$13="/90",IF(#REF!="","",IF(AVERAGE(#REF!)&gt;=$W$13,ROUND(AVERAGE(#REF!),1)&amp;" ≥ "&amp;$W$13&amp;" OK",ROUND(AVERAGE(#REF!),1)&amp;" &lt; "&amp;$W$13&amp;" NC"))))</f>
        <v/>
      </c>
      <c r="T1376" s="278" t="str">
        <f>IF($X$13="/28",IF(Q1376="","",IF(Q1376&gt;=$W$13-$S$12,ROUND((Q1376),1)&amp;" ≥ "&amp;$W$13-$S$12&amp;" OK",ROUND((Q1376),1)&amp;" &lt; "&amp;$W$13-$S$12&amp;" NC")),IF($X$13="/90",IF(#REF!="","",IF(#REF!&gt;=$W$13-$S$12,ROUND((#REF!),1)&amp;" ≥ "&amp;$W$13-$S$12&amp;" OK",ROUND((#REF!),1)&amp;" &lt; "&amp;$W$13-$S$12&amp;" NC"))))</f>
        <v/>
      </c>
      <c r="U1376" s="14"/>
      <c r="V1376" s="279"/>
      <c r="W1376" s="280"/>
      <c r="X1376" s="281"/>
      <c r="Y1376" s="246"/>
      <c r="Z1376" s="246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BP1376" s="390" t="str">
        <f>IF($X$13="/28",IF(Q1376="","",Q1376),IF($X$13="/90",IF(#REF!="","",#REF!),"Falso"))</f>
        <v/>
      </c>
      <c r="BQ1376" s="392" t="str">
        <f t="shared" si="2108"/>
        <v/>
      </c>
    </row>
    <row r="1377" spans="1:69" ht="14.25" customHeight="1" x14ac:dyDescent="0.35">
      <c r="A1377" s="294"/>
      <c r="B1377" s="296"/>
      <c r="C1377" s="298"/>
      <c r="D1377" s="300"/>
      <c r="E1377" s="302"/>
      <c r="F1377" s="304"/>
      <c r="G1377" s="276"/>
      <c r="H1377" s="277"/>
      <c r="I1377" s="290"/>
      <c r="J1377" s="290"/>
      <c r="K1377" s="291"/>
      <c r="L1377" s="17"/>
      <c r="M1377" s="286"/>
      <c r="N1377" s="21"/>
      <c r="O1377" s="286"/>
      <c r="P1377" s="21"/>
      <c r="Q1377" s="286"/>
      <c r="R1377" s="248"/>
      <c r="S1377" s="287"/>
      <c r="T1377" s="248"/>
      <c r="U1377" s="13"/>
      <c r="V1377" s="282"/>
      <c r="W1377" s="283"/>
      <c r="X1377" s="284"/>
      <c r="Y1377" s="245"/>
      <c r="Z1377" s="245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BP1377" s="391"/>
      <c r="BQ1377" s="393"/>
    </row>
    <row r="1378" spans="1:69" ht="14.25" customHeight="1" x14ac:dyDescent="0.35">
      <c r="A1378" s="293">
        <v>681</v>
      </c>
      <c r="B1378" s="295"/>
      <c r="C1378" s="297"/>
      <c r="D1378" s="299"/>
      <c r="E1378" s="301"/>
      <c r="F1378" s="303"/>
      <c r="G1378" s="288"/>
      <c r="H1378" s="289"/>
      <c r="I1378" s="290"/>
      <c r="J1378" s="290"/>
      <c r="K1378" s="291"/>
      <c r="L1378" s="18"/>
      <c r="M1378" s="285" t="str">
        <f t="shared" ref="M1378" si="2146">IF(COUNT(L1378:L1379)&lt;1,"",AVERAGE(L1378:L1379))</f>
        <v/>
      </c>
      <c r="N1378" s="22"/>
      <c r="O1378" s="285" t="str">
        <f t="shared" ref="O1378" si="2147">IF(COUNT(N1378:N1379)&lt;1,"",AVERAGE(N1378:N1379))</f>
        <v/>
      </c>
      <c r="P1378" s="22"/>
      <c r="Q1378" s="285" t="str">
        <f t="shared" ref="Q1378" si="2148">IF(COUNT(P1378:P1379)&lt;1,"",AVERAGE(P1378:P1379))</f>
        <v/>
      </c>
      <c r="R1378" s="278" t="str">
        <f>IF($X$13="/28",IF(COUNT(P1378:P1379)&lt;=1,"",ABS(P1378-P1379)),IF($X$13="/90",IF(COUNT(#REF!)&lt;=1,"",ABS(#REF!-#REF!))))</f>
        <v/>
      </c>
      <c r="S1378" s="278" t="str">
        <f>IF($X$13="/28",IF(Q1378="","",IF(AVERAGE(Q1374:Q1379)&gt;=$W$13,ROUND(AVERAGE(Q1374:Q1379),1)&amp;" ≥ "&amp;$W$13&amp;" OK",ROUND(AVERAGE(Q1374:Q1379),1)&amp;" &lt; "&amp;$W$13&amp;" NC")),IF($X$13="/90",IF(#REF!="","",IF(AVERAGE(#REF!)&gt;=$W$13,ROUND(AVERAGE(#REF!),1)&amp;" ≥ "&amp;$W$13&amp;" OK",ROUND(AVERAGE(#REF!),1)&amp;" &lt; "&amp;$W$13&amp;" NC"))))</f>
        <v/>
      </c>
      <c r="T1378" s="278" t="str">
        <f>IF($X$13="/28",IF(Q1378="","",IF(Q1378&gt;=$W$13-$S$12,ROUND((Q1378),1)&amp;" ≥ "&amp;$W$13-$S$12&amp;" OK",ROUND((Q1378),1)&amp;" &lt; "&amp;$W$13-$S$12&amp;" NC")),IF($X$13="/90",IF(#REF!="","",IF(#REF!&gt;=$W$13-$S$12,ROUND((#REF!),1)&amp;" ≥ "&amp;$W$13-$S$12&amp;" OK",ROUND((#REF!),1)&amp;" &lt; "&amp;$W$13-$S$12&amp;" NC"))))</f>
        <v/>
      </c>
      <c r="U1378" s="14"/>
      <c r="V1378" s="279"/>
      <c r="W1378" s="280"/>
      <c r="X1378" s="281"/>
      <c r="Y1378" s="246"/>
      <c r="Z1378" s="246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BP1378" s="390" t="str">
        <f>IF($X$13="/28",IF(Q1378="","",Q1378),IF($X$13="/90",IF(#REF!="","",#REF!),"Falso"))</f>
        <v/>
      </c>
      <c r="BQ1378" s="392" t="str">
        <f t="shared" si="2112"/>
        <v/>
      </c>
    </row>
    <row r="1379" spans="1:69" ht="14.25" customHeight="1" x14ac:dyDescent="0.35">
      <c r="A1379" s="294"/>
      <c r="B1379" s="296"/>
      <c r="C1379" s="298"/>
      <c r="D1379" s="300"/>
      <c r="E1379" s="302"/>
      <c r="F1379" s="304"/>
      <c r="G1379" s="276"/>
      <c r="H1379" s="277"/>
      <c r="I1379" s="290"/>
      <c r="J1379" s="290"/>
      <c r="K1379" s="291"/>
      <c r="L1379" s="17"/>
      <c r="M1379" s="286"/>
      <c r="N1379" s="21"/>
      <c r="O1379" s="286"/>
      <c r="P1379" s="21"/>
      <c r="Q1379" s="286"/>
      <c r="R1379" s="248"/>
      <c r="S1379" s="287"/>
      <c r="T1379" s="248"/>
      <c r="U1379" s="13"/>
      <c r="V1379" s="282"/>
      <c r="W1379" s="283"/>
      <c r="X1379" s="284"/>
      <c r="Y1379" s="245"/>
      <c r="Z1379" s="245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BP1379" s="391"/>
      <c r="BQ1379" s="393"/>
    </row>
    <row r="1380" spans="1:69" ht="14.25" customHeight="1" x14ac:dyDescent="0.35">
      <c r="A1380" s="293">
        <v>682</v>
      </c>
      <c r="B1380" s="295"/>
      <c r="C1380" s="297"/>
      <c r="D1380" s="299"/>
      <c r="E1380" s="301"/>
      <c r="F1380" s="303"/>
      <c r="G1380" s="288"/>
      <c r="H1380" s="289"/>
      <c r="I1380" s="290"/>
      <c r="J1380" s="290"/>
      <c r="K1380" s="291"/>
      <c r="L1380" s="18"/>
      <c r="M1380" s="285" t="str">
        <f t="shared" ref="M1380" si="2149">IF(COUNT(L1380:L1381)&lt;1,"",AVERAGE(L1380:L1381))</f>
        <v/>
      </c>
      <c r="N1380" s="22"/>
      <c r="O1380" s="285" t="str">
        <f t="shared" ref="O1380" si="2150">IF(COUNT(N1380:N1381)&lt;1,"",AVERAGE(N1380:N1381))</f>
        <v/>
      </c>
      <c r="P1380" s="22"/>
      <c r="Q1380" s="285" t="str">
        <f t="shared" ref="Q1380" si="2151">IF(COUNT(P1380:P1381)&lt;1,"",AVERAGE(P1380:P1381))</f>
        <v/>
      </c>
      <c r="R1380" s="278" t="str">
        <f>IF($X$13="/28",IF(COUNT(P1380:P1381)&lt;=1,"",ABS(P1380-P1381)),IF($X$13="/90",IF(COUNT(#REF!)&lt;=1,"",ABS(#REF!-#REF!))))</f>
        <v/>
      </c>
      <c r="S1380" s="278" t="str">
        <f>IF($X$13="/28",IF(Q1380="","",IF(AVERAGE(Q1376:Q1381)&gt;=$W$13,ROUND(AVERAGE(Q1376:Q1381),1)&amp;" ≥ "&amp;$W$13&amp;" OK",ROUND(AVERAGE(Q1376:Q1381),1)&amp;" &lt; "&amp;$W$13&amp;" NC")),IF($X$13="/90",IF(#REF!="","",IF(AVERAGE(#REF!)&gt;=$W$13,ROUND(AVERAGE(#REF!),1)&amp;" ≥ "&amp;$W$13&amp;" OK",ROUND(AVERAGE(#REF!),1)&amp;" &lt; "&amp;$W$13&amp;" NC"))))</f>
        <v/>
      </c>
      <c r="T1380" s="278" t="str">
        <f>IF($X$13="/28",IF(Q1380="","",IF(Q1380&gt;=$W$13-$S$12,ROUND((Q1380),1)&amp;" ≥ "&amp;$W$13-$S$12&amp;" OK",ROUND((Q1380),1)&amp;" &lt; "&amp;$W$13-$S$12&amp;" NC")),IF($X$13="/90",IF(#REF!="","",IF(#REF!&gt;=$W$13-$S$12,ROUND((#REF!),1)&amp;" ≥ "&amp;$W$13-$S$12&amp;" OK",ROUND((#REF!),1)&amp;" &lt; "&amp;$W$13-$S$12&amp;" NC"))))</f>
        <v/>
      </c>
      <c r="U1380" s="14"/>
      <c r="V1380" s="279"/>
      <c r="W1380" s="280"/>
      <c r="X1380" s="281"/>
      <c r="Y1380" s="246"/>
      <c r="Z1380" s="246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BP1380" s="390" t="str">
        <f>IF($X$13="/28",IF(Q1380="","",Q1380),IF($X$13="/90",IF(#REF!="","",#REF!),"Falso"))</f>
        <v/>
      </c>
      <c r="BQ1380" s="392" t="str">
        <f t="shared" si="2104"/>
        <v/>
      </c>
    </row>
    <row r="1381" spans="1:69" ht="14.25" customHeight="1" x14ac:dyDescent="0.35">
      <c r="A1381" s="294"/>
      <c r="B1381" s="296"/>
      <c r="C1381" s="298"/>
      <c r="D1381" s="300"/>
      <c r="E1381" s="302"/>
      <c r="F1381" s="304"/>
      <c r="G1381" s="276"/>
      <c r="H1381" s="277"/>
      <c r="I1381" s="290"/>
      <c r="J1381" s="290"/>
      <c r="K1381" s="291"/>
      <c r="L1381" s="17"/>
      <c r="M1381" s="286"/>
      <c r="N1381" s="21"/>
      <c r="O1381" s="286"/>
      <c r="P1381" s="21"/>
      <c r="Q1381" s="286"/>
      <c r="R1381" s="248"/>
      <c r="S1381" s="287"/>
      <c r="T1381" s="248"/>
      <c r="U1381" s="13"/>
      <c r="V1381" s="282"/>
      <c r="W1381" s="283"/>
      <c r="X1381" s="284"/>
      <c r="Y1381" s="245"/>
      <c r="Z1381" s="245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BP1381" s="391"/>
      <c r="BQ1381" s="393"/>
    </row>
    <row r="1382" spans="1:69" ht="14.25" customHeight="1" x14ac:dyDescent="0.35">
      <c r="A1382" s="293">
        <v>683</v>
      </c>
      <c r="B1382" s="295"/>
      <c r="C1382" s="297"/>
      <c r="D1382" s="299"/>
      <c r="E1382" s="301"/>
      <c r="F1382" s="303"/>
      <c r="G1382" s="288"/>
      <c r="H1382" s="289"/>
      <c r="I1382" s="290"/>
      <c r="J1382" s="290"/>
      <c r="K1382" s="291"/>
      <c r="L1382" s="18"/>
      <c r="M1382" s="285" t="str">
        <f t="shared" ref="M1382" si="2152">IF(COUNT(L1382:L1383)&lt;1,"",AVERAGE(L1382:L1383))</f>
        <v/>
      </c>
      <c r="N1382" s="22"/>
      <c r="O1382" s="285" t="str">
        <f t="shared" ref="O1382" si="2153">IF(COUNT(N1382:N1383)&lt;1,"",AVERAGE(N1382:N1383))</f>
        <v/>
      </c>
      <c r="P1382" s="22"/>
      <c r="Q1382" s="285" t="str">
        <f t="shared" ref="Q1382" si="2154">IF(COUNT(P1382:P1383)&lt;1,"",AVERAGE(P1382:P1383))</f>
        <v/>
      </c>
      <c r="R1382" s="278" t="str">
        <f>IF($X$13="/28",IF(COUNT(P1382:P1383)&lt;=1,"",ABS(P1382-P1383)),IF($X$13="/90",IF(COUNT(#REF!)&lt;=1,"",ABS(#REF!-#REF!))))</f>
        <v/>
      </c>
      <c r="S1382" s="278" t="str">
        <f>IF($X$13="/28",IF(Q1382="","",IF(AVERAGE(Q1378:Q1383)&gt;=$W$13,ROUND(AVERAGE(Q1378:Q1383),1)&amp;" ≥ "&amp;$W$13&amp;" OK",ROUND(AVERAGE(Q1378:Q1383),1)&amp;" &lt; "&amp;$W$13&amp;" NC")),IF($X$13="/90",IF(#REF!="","",IF(AVERAGE(#REF!)&gt;=$W$13,ROUND(AVERAGE(#REF!),1)&amp;" ≥ "&amp;$W$13&amp;" OK",ROUND(AVERAGE(#REF!),1)&amp;" &lt; "&amp;$W$13&amp;" NC"))))</f>
        <v/>
      </c>
      <c r="T1382" s="278" t="str">
        <f>IF($X$13="/28",IF(Q1382="","",IF(Q1382&gt;=$W$13-$S$12,ROUND((Q1382),1)&amp;" ≥ "&amp;$W$13-$S$12&amp;" OK",ROUND((Q1382),1)&amp;" &lt; "&amp;$W$13-$S$12&amp;" NC")),IF($X$13="/90",IF(#REF!="","",IF(#REF!&gt;=$W$13-$S$12,ROUND((#REF!),1)&amp;" ≥ "&amp;$W$13-$S$12&amp;" OK",ROUND((#REF!),1)&amp;" &lt; "&amp;$W$13-$S$12&amp;" NC"))))</f>
        <v/>
      </c>
      <c r="U1382" s="14"/>
      <c r="V1382" s="279"/>
      <c r="W1382" s="280"/>
      <c r="X1382" s="281"/>
      <c r="Y1382" s="246"/>
      <c r="Z1382" s="246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BP1382" s="390" t="str">
        <f>IF($X$13="/28",IF(Q1382="","",Q1382),IF($X$13="/90",IF(#REF!="","",#REF!),"Falso"))</f>
        <v/>
      </c>
      <c r="BQ1382" s="392" t="str">
        <f t="shared" si="2108"/>
        <v/>
      </c>
    </row>
    <row r="1383" spans="1:69" ht="14.25" customHeight="1" x14ac:dyDescent="0.35">
      <c r="A1383" s="294"/>
      <c r="B1383" s="296"/>
      <c r="C1383" s="298"/>
      <c r="D1383" s="300"/>
      <c r="E1383" s="302"/>
      <c r="F1383" s="304"/>
      <c r="G1383" s="276"/>
      <c r="H1383" s="277"/>
      <c r="I1383" s="290"/>
      <c r="J1383" s="290"/>
      <c r="K1383" s="291"/>
      <c r="L1383" s="17"/>
      <c r="M1383" s="286"/>
      <c r="N1383" s="21"/>
      <c r="O1383" s="286"/>
      <c r="P1383" s="21"/>
      <c r="Q1383" s="286"/>
      <c r="R1383" s="248"/>
      <c r="S1383" s="287"/>
      <c r="T1383" s="248"/>
      <c r="U1383" s="13"/>
      <c r="V1383" s="282"/>
      <c r="W1383" s="283"/>
      <c r="X1383" s="284"/>
      <c r="Y1383" s="245"/>
      <c r="Z1383" s="245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BP1383" s="391"/>
      <c r="BQ1383" s="393"/>
    </row>
    <row r="1384" spans="1:69" ht="14.25" customHeight="1" x14ac:dyDescent="0.35">
      <c r="A1384" s="293">
        <v>684</v>
      </c>
      <c r="B1384" s="295"/>
      <c r="C1384" s="297"/>
      <c r="D1384" s="299"/>
      <c r="E1384" s="301"/>
      <c r="F1384" s="303"/>
      <c r="G1384" s="288"/>
      <c r="H1384" s="289"/>
      <c r="I1384" s="290"/>
      <c r="J1384" s="290"/>
      <c r="K1384" s="291"/>
      <c r="L1384" s="18"/>
      <c r="M1384" s="285" t="str">
        <f t="shared" ref="M1384" si="2155">IF(COUNT(L1384:L1385)&lt;1,"",AVERAGE(L1384:L1385))</f>
        <v/>
      </c>
      <c r="N1384" s="22"/>
      <c r="O1384" s="285" t="str">
        <f t="shared" ref="O1384" si="2156">IF(COUNT(N1384:N1385)&lt;1,"",AVERAGE(N1384:N1385))</f>
        <v/>
      </c>
      <c r="P1384" s="22"/>
      <c r="Q1384" s="285" t="str">
        <f t="shared" ref="Q1384" si="2157">IF(COUNT(P1384:P1385)&lt;1,"",AVERAGE(P1384:P1385))</f>
        <v/>
      </c>
      <c r="R1384" s="278" t="str">
        <f>IF($X$13="/28",IF(COUNT(P1384:P1385)&lt;=1,"",ABS(P1384-P1385)),IF($X$13="/90",IF(COUNT(#REF!)&lt;=1,"",ABS(#REF!-#REF!))))</f>
        <v/>
      </c>
      <c r="S1384" s="278" t="str">
        <f>IF($X$13="/28",IF(Q1384="","",IF(AVERAGE(Q1380:Q1385)&gt;=$W$13,ROUND(AVERAGE(Q1380:Q1385),1)&amp;" ≥ "&amp;$W$13&amp;" OK",ROUND(AVERAGE(Q1380:Q1385),1)&amp;" &lt; "&amp;$W$13&amp;" NC")),IF($X$13="/90",IF(#REF!="","",IF(AVERAGE(#REF!)&gt;=$W$13,ROUND(AVERAGE(#REF!),1)&amp;" ≥ "&amp;$W$13&amp;" OK",ROUND(AVERAGE(#REF!),1)&amp;" &lt; "&amp;$W$13&amp;" NC"))))</f>
        <v/>
      </c>
      <c r="T1384" s="278" t="str">
        <f>IF($X$13="/28",IF(Q1384="","",IF(Q1384&gt;=$W$13-$S$12,ROUND((Q1384),1)&amp;" ≥ "&amp;$W$13-$S$12&amp;" OK",ROUND((Q1384),1)&amp;" &lt; "&amp;$W$13-$S$12&amp;" NC")),IF($X$13="/90",IF(#REF!="","",IF(#REF!&gt;=$W$13-$S$12,ROUND((#REF!),1)&amp;" ≥ "&amp;$W$13-$S$12&amp;" OK",ROUND((#REF!),1)&amp;" &lt; "&amp;$W$13-$S$12&amp;" NC"))))</f>
        <v/>
      </c>
      <c r="U1384" s="14"/>
      <c r="V1384" s="279"/>
      <c r="W1384" s="280"/>
      <c r="X1384" s="281"/>
      <c r="Y1384" s="246"/>
      <c r="Z1384" s="246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BP1384" s="390" t="str">
        <f>IF($X$13="/28",IF(Q1384="","",Q1384),IF($X$13="/90",IF(#REF!="","",#REF!),"Falso"))</f>
        <v/>
      </c>
      <c r="BQ1384" s="392" t="str">
        <f t="shared" si="2112"/>
        <v/>
      </c>
    </row>
    <row r="1385" spans="1:69" ht="14.25" customHeight="1" x14ac:dyDescent="0.35">
      <c r="A1385" s="294"/>
      <c r="B1385" s="296"/>
      <c r="C1385" s="298"/>
      <c r="D1385" s="300"/>
      <c r="E1385" s="302"/>
      <c r="F1385" s="304"/>
      <c r="G1385" s="276"/>
      <c r="H1385" s="277"/>
      <c r="I1385" s="290"/>
      <c r="J1385" s="290"/>
      <c r="K1385" s="291"/>
      <c r="L1385" s="17"/>
      <c r="M1385" s="286"/>
      <c r="N1385" s="21"/>
      <c r="O1385" s="286"/>
      <c r="P1385" s="21"/>
      <c r="Q1385" s="286"/>
      <c r="R1385" s="248"/>
      <c r="S1385" s="287"/>
      <c r="T1385" s="248"/>
      <c r="U1385" s="13"/>
      <c r="V1385" s="282"/>
      <c r="W1385" s="283"/>
      <c r="X1385" s="284"/>
      <c r="Y1385" s="245"/>
      <c r="Z1385" s="245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BP1385" s="391"/>
      <c r="BQ1385" s="393"/>
    </row>
    <row r="1386" spans="1:69" ht="14.25" customHeight="1" x14ac:dyDescent="0.35">
      <c r="A1386" s="293">
        <v>685</v>
      </c>
      <c r="B1386" s="295"/>
      <c r="C1386" s="297"/>
      <c r="D1386" s="299"/>
      <c r="E1386" s="301"/>
      <c r="F1386" s="303"/>
      <c r="G1386" s="288"/>
      <c r="H1386" s="289"/>
      <c r="I1386" s="290"/>
      <c r="J1386" s="290"/>
      <c r="K1386" s="291"/>
      <c r="L1386" s="18"/>
      <c r="M1386" s="285" t="str">
        <f t="shared" ref="M1386" si="2158">IF(COUNT(L1386:L1387)&lt;1,"",AVERAGE(L1386:L1387))</f>
        <v/>
      </c>
      <c r="N1386" s="22"/>
      <c r="O1386" s="285" t="str">
        <f t="shared" ref="O1386" si="2159">IF(COUNT(N1386:N1387)&lt;1,"",AVERAGE(N1386:N1387))</f>
        <v/>
      </c>
      <c r="P1386" s="22"/>
      <c r="Q1386" s="285" t="str">
        <f t="shared" ref="Q1386" si="2160">IF(COUNT(P1386:P1387)&lt;1,"",AVERAGE(P1386:P1387))</f>
        <v/>
      </c>
      <c r="R1386" s="278" t="str">
        <f>IF($X$13="/28",IF(COUNT(P1386:P1387)&lt;=1,"",ABS(P1386-P1387)),IF($X$13="/90",IF(COUNT(#REF!)&lt;=1,"",ABS(#REF!-#REF!))))</f>
        <v/>
      </c>
      <c r="S1386" s="278" t="str">
        <f>IF($X$13="/28",IF(Q1386="","",IF(AVERAGE(Q1382:Q1387)&gt;=$W$13,ROUND(AVERAGE(Q1382:Q1387),1)&amp;" ≥ "&amp;$W$13&amp;" OK",ROUND(AVERAGE(Q1382:Q1387),1)&amp;" &lt; "&amp;$W$13&amp;" NC")),IF($X$13="/90",IF(#REF!="","",IF(AVERAGE(#REF!)&gt;=$W$13,ROUND(AVERAGE(#REF!),1)&amp;" ≥ "&amp;$W$13&amp;" OK",ROUND(AVERAGE(#REF!),1)&amp;" &lt; "&amp;$W$13&amp;" NC"))))</f>
        <v/>
      </c>
      <c r="T1386" s="278" t="str">
        <f>IF($X$13="/28",IF(Q1386="","",IF(Q1386&gt;=$W$13-$S$12,ROUND((Q1386),1)&amp;" ≥ "&amp;$W$13-$S$12&amp;" OK",ROUND((Q1386),1)&amp;" &lt; "&amp;$W$13-$S$12&amp;" NC")),IF($X$13="/90",IF(#REF!="","",IF(#REF!&gt;=$W$13-$S$12,ROUND((#REF!),1)&amp;" ≥ "&amp;$W$13-$S$12&amp;" OK",ROUND((#REF!),1)&amp;" &lt; "&amp;$W$13-$S$12&amp;" NC"))))</f>
        <v/>
      </c>
      <c r="U1386" s="14"/>
      <c r="V1386" s="279"/>
      <c r="W1386" s="280"/>
      <c r="X1386" s="281"/>
      <c r="Y1386" s="246"/>
      <c r="Z1386" s="246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BP1386" s="390" t="str">
        <f>IF($X$13="/28",IF(Q1386="","",Q1386),IF($X$13="/90",IF(#REF!="","",#REF!),"Falso"))</f>
        <v/>
      </c>
      <c r="BQ1386" s="392" t="str">
        <f t="shared" si="2104"/>
        <v/>
      </c>
    </row>
    <row r="1387" spans="1:69" ht="14.25" customHeight="1" x14ac:dyDescent="0.35">
      <c r="A1387" s="294"/>
      <c r="B1387" s="296"/>
      <c r="C1387" s="298"/>
      <c r="D1387" s="300"/>
      <c r="E1387" s="302"/>
      <c r="F1387" s="304"/>
      <c r="G1387" s="276"/>
      <c r="H1387" s="277"/>
      <c r="I1387" s="290"/>
      <c r="J1387" s="290"/>
      <c r="K1387" s="291"/>
      <c r="L1387" s="17"/>
      <c r="M1387" s="286"/>
      <c r="N1387" s="21"/>
      <c r="O1387" s="286"/>
      <c r="P1387" s="21"/>
      <c r="Q1387" s="286"/>
      <c r="R1387" s="248"/>
      <c r="S1387" s="287"/>
      <c r="T1387" s="248"/>
      <c r="U1387" s="13"/>
      <c r="V1387" s="282"/>
      <c r="W1387" s="283"/>
      <c r="X1387" s="284"/>
      <c r="Y1387" s="245"/>
      <c r="Z1387" s="245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BP1387" s="391"/>
      <c r="BQ1387" s="393"/>
    </row>
    <row r="1388" spans="1:69" ht="14.25" customHeight="1" x14ac:dyDescent="0.35">
      <c r="A1388" s="293">
        <v>686</v>
      </c>
      <c r="B1388" s="295"/>
      <c r="C1388" s="297"/>
      <c r="D1388" s="299"/>
      <c r="E1388" s="301"/>
      <c r="F1388" s="303"/>
      <c r="G1388" s="288"/>
      <c r="H1388" s="289"/>
      <c r="I1388" s="290"/>
      <c r="J1388" s="290"/>
      <c r="K1388" s="291"/>
      <c r="L1388" s="18"/>
      <c r="M1388" s="285" t="str">
        <f t="shared" ref="M1388" si="2161">IF(COUNT(L1388:L1389)&lt;1,"",AVERAGE(L1388:L1389))</f>
        <v/>
      </c>
      <c r="N1388" s="22"/>
      <c r="O1388" s="285" t="str">
        <f t="shared" ref="O1388" si="2162">IF(COUNT(N1388:N1389)&lt;1,"",AVERAGE(N1388:N1389))</f>
        <v/>
      </c>
      <c r="P1388" s="22"/>
      <c r="Q1388" s="285" t="str">
        <f t="shared" ref="Q1388" si="2163">IF(COUNT(P1388:P1389)&lt;1,"",AVERAGE(P1388:P1389))</f>
        <v/>
      </c>
      <c r="R1388" s="278" t="str">
        <f>IF($X$13="/28",IF(COUNT(P1388:P1389)&lt;=1,"",ABS(P1388-P1389)),IF($X$13="/90",IF(COUNT(#REF!)&lt;=1,"",ABS(#REF!-#REF!))))</f>
        <v/>
      </c>
      <c r="S1388" s="278" t="str">
        <f>IF($X$13="/28",IF(Q1388="","",IF(AVERAGE(Q1384:Q1389)&gt;=$W$13,ROUND(AVERAGE(Q1384:Q1389),1)&amp;" ≥ "&amp;$W$13&amp;" OK",ROUND(AVERAGE(Q1384:Q1389),1)&amp;" &lt; "&amp;$W$13&amp;" NC")),IF($X$13="/90",IF(#REF!="","",IF(AVERAGE(#REF!)&gt;=$W$13,ROUND(AVERAGE(#REF!),1)&amp;" ≥ "&amp;$W$13&amp;" OK",ROUND(AVERAGE(#REF!),1)&amp;" &lt; "&amp;$W$13&amp;" NC"))))</f>
        <v/>
      </c>
      <c r="T1388" s="278" t="str">
        <f>IF($X$13="/28",IF(Q1388="","",IF(Q1388&gt;=$W$13-$S$12,ROUND((Q1388),1)&amp;" ≥ "&amp;$W$13-$S$12&amp;" OK",ROUND((Q1388),1)&amp;" &lt; "&amp;$W$13-$S$12&amp;" NC")),IF($X$13="/90",IF(#REF!="","",IF(#REF!&gt;=$W$13-$S$12,ROUND((#REF!),1)&amp;" ≥ "&amp;$W$13-$S$12&amp;" OK",ROUND((#REF!),1)&amp;" &lt; "&amp;$W$13-$S$12&amp;" NC"))))</f>
        <v/>
      </c>
      <c r="U1388" s="14"/>
      <c r="V1388" s="279"/>
      <c r="W1388" s="280"/>
      <c r="X1388" s="281"/>
      <c r="Y1388" s="246"/>
      <c r="Z1388" s="246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BP1388" s="390" t="str">
        <f>IF($X$13="/28",IF(Q1388="","",Q1388),IF($X$13="/90",IF(#REF!="","",#REF!),"Falso"))</f>
        <v/>
      </c>
      <c r="BQ1388" s="392" t="str">
        <f t="shared" si="2108"/>
        <v/>
      </c>
    </row>
    <row r="1389" spans="1:69" ht="14.25" customHeight="1" x14ac:dyDescent="0.35">
      <c r="A1389" s="294"/>
      <c r="B1389" s="296"/>
      <c r="C1389" s="298"/>
      <c r="D1389" s="300"/>
      <c r="E1389" s="302"/>
      <c r="F1389" s="304"/>
      <c r="G1389" s="276"/>
      <c r="H1389" s="277"/>
      <c r="I1389" s="290"/>
      <c r="J1389" s="290"/>
      <c r="K1389" s="291"/>
      <c r="L1389" s="17"/>
      <c r="M1389" s="286"/>
      <c r="N1389" s="21"/>
      <c r="O1389" s="286"/>
      <c r="P1389" s="21"/>
      <c r="Q1389" s="286"/>
      <c r="R1389" s="248"/>
      <c r="S1389" s="287"/>
      <c r="T1389" s="248"/>
      <c r="U1389" s="13"/>
      <c r="V1389" s="282"/>
      <c r="W1389" s="283"/>
      <c r="X1389" s="284"/>
      <c r="Y1389" s="245"/>
      <c r="Z1389" s="245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BP1389" s="391"/>
      <c r="BQ1389" s="393"/>
    </row>
    <row r="1390" spans="1:69" ht="14.25" customHeight="1" x14ac:dyDescent="0.35">
      <c r="A1390" s="293">
        <v>687</v>
      </c>
      <c r="B1390" s="295"/>
      <c r="C1390" s="297"/>
      <c r="D1390" s="299"/>
      <c r="E1390" s="301"/>
      <c r="F1390" s="303"/>
      <c r="G1390" s="288"/>
      <c r="H1390" s="289"/>
      <c r="I1390" s="290"/>
      <c r="J1390" s="290"/>
      <c r="K1390" s="291"/>
      <c r="L1390" s="18"/>
      <c r="M1390" s="285" t="str">
        <f t="shared" ref="M1390" si="2164">IF(COUNT(L1390:L1391)&lt;1,"",AVERAGE(L1390:L1391))</f>
        <v/>
      </c>
      <c r="N1390" s="22"/>
      <c r="O1390" s="285" t="str">
        <f t="shared" ref="O1390" si="2165">IF(COUNT(N1390:N1391)&lt;1,"",AVERAGE(N1390:N1391))</f>
        <v/>
      </c>
      <c r="P1390" s="22"/>
      <c r="Q1390" s="285" t="str">
        <f t="shared" ref="Q1390" si="2166">IF(COUNT(P1390:P1391)&lt;1,"",AVERAGE(P1390:P1391))</f>
        <v/>
      </c>
      <c r="R1390" s="278" t="str">
        <f>IF($X$13="/28",IF(COUNT(P1390:P1391)&lt;=1,"",ABS(P1390-P1391)),IF($X$13="/90",IF(COUNT(#REF!)&lt;=1,"",ABS(#REF!-#REF!))))</f>
        <v/>
      </c>
      <c r="S1390" s="278" t="str">
        <f>IF($X$13="/28",IF(Q1390="","",IF(AVERAGE(Q1386:Q1391)&gt;=$W$13,ROUND(AVERAGE(Q1386:Q1391),1)&amp;" ≥ "&amp;$W$13&amp;" OK",ROUND(AVERAGE(Q1386:Q1391),1)&amp;" &lt; "&amp;$W$13&amp;" NC")),IF($X$13="/90",IF(#REF!="","",IF(AVERAGE(#REF!)&gt;=$W$13,ROUND(AVERAGE(#REF!),1)&amp;" ≥ "&amp;$W$13&amp;" OK",ROUND(AVERAGE(#REF!),1)&amp;" &lt; "&amp;$W$13&amp;" NC"))))</f>
        <v/>
      </c>
      <c r="T1390" s="278" t="str">
        <f>IF($X$13="/28",IF(Q1390="","",IF(Q1390&gt;=$W$13-$S$12,ROUND((Q1390),1)&amp;" ≥ "&amp;$W$13-$S$12&amp;" OK",ROUND((Q1390),1)&amp;" &lt; "&amp;$W$13-$S$12&amp;" NC")),IF($X$13="/90",IF(#REF!="","",IF(#REF!&gt;=$W$13-$S$12,ROUND((#REF!),1)&amp;" ≥ "&amp;$W$13-$S$12&amp;" OK",ROUND((#REF!),1)&amp;" &lt; "&amp;$W$13-$S$12&amp;" NC"))))</f>
        <v/>
      </c>
      <c r="U1390" s="14"/>
      <c r="V1390" s="279"/>
      <c r="W1390" s="280"/>
      <c r="X1390" s="281"/>
      <c r="Y1390" s="246"/>
      <c r="Z1390" s="246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BP1390" s="390" t="str">
        <f>IF($X$13="/28",IF(Q1390="","",Q1390),IF($X$13="/90",IF(#REF!="","",#REF!),"Falso"))</f>
        <v/>
      </c>
      <c r="BQ1390" s="392" t="str">
        <f t="shared" si="2112"/>
        <v/>
      </c>
    </row>
    <row r="1391" spans="1:69" ht="14.25" customHeight="1" x14ac:dyDescent="0.35">
      <c r="A1391" s="294"/>
      <c r="B1391" s="296"/>
      <c r="C1391" s="298"/>
      <c r="D1391" s="300"/>
      <c r="E1391" s="302"/>
      <c r="F1391" s="304"/>
      <c r="G1391" s="276"/>
      <c r="H1391" s="277"/>
      <c r="I1391" s="290"/>
      <c r="J1391" s="290"/>
      <c r="K1391" s="291"/>
      <c r="L1391" s="17"/>
      <c r="M1391" s="286"/>
      <c r="N1391" s="21"/>
      <c r="O1391" s="286"/>
      <c r="P1391" s="21"/>
      <c r="Q1391" s="286"/>
      <c r="R1391" s="248"/>
      <c r="S1391" s="287"/>
      <c r="T1391" s="248"/>
      <c r="U1391" s="13"/>
      <c r="V1391" s="282"/>
      <c r="W1391" s="283"/>
      <c r="X1391" s="284"/>
      <c r="Y1391" s="245"/>
      <c r="Z1391" s="245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BP1391" s="391"/>
      <c r="BQ1391" s="393"/>
    </row>
    <row r="1392" spans="1:69" ht="14.25" customHeight="1" x14ac:dyDescent="0.35">
      <c r="A1392" s="293">
        <v>688</v>
      </c>
      <c r="B1392" s="295"/>
      <c r="C1392" s="297"/>
      <c r="D1392" s="299"/>
      <c r="E1392" s="301"/>
      <c r="F1392" s="303"/>
      <c r="G1392" s="288"/>
      <c r="H1392" s="289"/>
      <c r="I1392" s="290"/>
      <c r="J1392" s="290"/>
      <c r="K1392" s="291"/>
      <c r="L1392" s="18"/>
      <c r="M1392" s="285" t="str">
        <f t="shared" ref="M1392" si="2167">IF(COUNT(L1392:L1393)&lt;1,"",AVERAGE(L1392:L1393))</f>
        <v/>
      </c>
      <c r="N1392" s="22"/>
      <c r="O1392" s="285" t="str">
        <f t="shared" ref="O1392" si="2168">IF(COUNT(N1392:N1393)&lt;1,"",AVERAGE(N1392:N1393))</f>
        <v/>
      </c>
      <c r="P1392" s="22"/>
      <c r="Q1392" s="285" t="str">
        <f t="shared" ref="Q1392" si="2169">IF(COUNT(P1392:P1393)&lt;1,"",AVERAGE(P1392:P1393))</f>
        <v/>
      </c>
      <c r="R1392" s="278" t="str">
        <f>IF($X$13="/28",IF(COUNT(P1392:P1393)&lt;=1,"",ABS(P1392-P1393)),IF($X$13="/90",IF(COUNT(#REF!)&lt;=1,"",ABS(#REF!-#REF!))))</f>
        <v/>
      </c>
      <c r="S1392" s="278" t="str">
        <f>IF($X$13="/28",IF(Q1392="","",IF(AVERAGE(Q1388:Q1393)&gt;=$W$13,ROUND(AVERAGE(Q1388:Q1393),1)&amp;" ≥ "&amp;$W$13&amp;" OK",ROUND(AVERAGE(Q1388:Q1393),1)&amp;" &lt; "&amp;$W$13&amp;" NC")),IF($X$13="/90",IF(#REF!="","",IF(AVERAGE(#REF!)&gt;=$W$13,ROUND(AVERAGE(#REF!),1)&amp;" ≥ "&amp;$W$13&amp;" OK",ROUND(AVERAGE(#REF!),1)&amp;" &lt; "&amp;$W$13&amp;" NC"))))</f>
        <v/>
      </c>
      <c r="T1392" s="278" t="str">
        <f>IF($X$13="/28",IF(Q1392="","",IF(Q1392&gt;=$W$13-$S$12,ROUND((Q1392),1)&amp;" ≥ "&amp;$W$13-$S$12&amp;" OK",ROUND((Q1392),1)&amp;" &lt; "&amp;$W$13-$S$12&amp;" NC")),IF($X$13="/90",IF(#REF!="","",IF(#REF!&gt;=$W$13-$S$12,ROUND((#REF!),1)&amp;" ≥ "&amp;$W$13-$S$12&amp;" OK",ROUND((#REF!),1)&amp;" &lt; "&amp;$W$13-$S$12&amp;" NC"))))</f>
        <v/>
      </c>
      <c r="U1392" s="14"/>
      <c r="V1392" s="279"/>
      <c r="W1392" s="280"/>
      <c r="X1392" s="281"/>
      <c r="Y1392" s="246"/>
      <c r="Z1392" s="246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BP1392" s="390" t="str">
        <f>IF($X$13="/28",IF(Q1392="","",Q1392),IF($X$13="/90",IF(#REF!="","",#REF!),"Falso"))</f>
        <v/>
      </c>
      <c r="BQ1392" s="392" t="str">
        <f t="shared" si="2104"/>
        <v/>
      </c>
    </row>
    <row r="1393" spans="1:69" ht="14.25" customHeight="1" x14ac:dyDescent="0.35">
      <c r="A1393" s="294"/>
      <c r="B1393" s="296"/>
      <c r="C1393" s="298"/>
      <c r="D1393" s="300"/>
      <c r="E1393" s="302"/>
      <c r="F1393" s="304"/>
      <c r="G1393" s="276"/>
      <c r="H1393" s="277"/>
      <c r="I1393" s="290"/>
      <c r="J1393" s="290"/>
      <c r="K1393" s="291"/>
      <c r="L1393" s="17"/>
      <c r="M1393" s="286"/>
      <c r="N1393" s="21"/>
      <c r="O1393" s="286"/>
      <c r="P1393" s="21"/>
      <c r="Q1393" s="286"/>
      <c r="R1393" s="248"/>
      <c r="S1393" s="287"/>
      <c r="T1393" s="248"/>
      <c r="U1393" s="13"/>
      <c r="V1393" s="282"/>
      <c r="W1393" s="283"/>
      <c r="X1393" s="284"/>
      <c r="Y1393" s="245"/>
      <c r="Z1393" s="245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BP1393" s="391"/>
      <c r="BQ1393" s="393"/>
    </row>
    <row r="1394" spans="1:69" ht="14.25" customHeight="1" x14ac:dyDescent="0.35">
      <c r="A1394" s="293">
        <v>689</v>
      </c>
      <c r="B1394" s="295"/>
      <c r="C1394" s="297"/>
      <c r="D1394" s="299"/>
      <c r="E1394" s="301"/>
      <c r="F1394" s="303"/>
      <c r="G1394" s="288"/>
      <c r="H1394" s="289"/>
      <c r="I1394" s="290"/>
      <c r="J1394" s="290"/>
      <c r="K1394" s="291"/>
      <c r="L1394" s="18"/>
      <c r="M1394" s="285" t="str">
        <f t="shared" ref="M1394" si="2170">IF(COUNT(L1394:L1395)&lt;1,"",AVERAGE(L1394:L1395))</f>
        <v/>
      </c>
      <c r="N1394" s="22"/>
      <c r="O1394" s="285" t="str">
        <f t="shared" ref="O1394" si="2171">IF(COUNT(N1394:N1395)&lt;1,"",AVERAGE(N1394:N1395))</f>
        <v/>
      </c>
      <c r="P1394" s="22"/>
      <c r="Q1394" s="285" t="str">
        <f t="shared" ref="Q1394" si="2172">IF(COUNT(P1394:P1395)&lt;1,"",AVERAGE(P1394:P1395))</f>
        <v/>
      </c>
      <c r="R1394" s="278" t="str">
        <f>IF($X$13="/28",IF(COUNT(P1394:P1395)&lt;=1,"",ABS(P1394-P1395)),IF($X$13="/90",IF(COUNT(#REF!)&lt;=1,"",ABS(#REF!-#REF!))))</f>
        <v/>
      </c>
      <c r="S1394" s="278" t="str">
        <f>IF($X$13="/28",IF(Q1394="","",IF(AVERAGE(Q1390:Q1395)&gt;=$W$13,ROUND(AVERAGE(Q1390:Q1395),1)&amp;" ≥ "&amp;$W$13&amp;" OK",ROUND(AVERAGE(Q1390:Q1395),1)&amp;" &lt; "&amp;$W$13&amp;" NC")),IF($X$13="/90",IF(#REF!="","",IF(AVERAGE(#REF!)&gt;=$W$13,ROUND(AVERAGE(#REF!),1)&amp;" ≥ "&amp;$W$13&amp;" OK",ROUND(AVERAGE(#REF!),1)&amp;" &lt; "&amp;$W$13&amp;" NC"))))</f>
        <v/>
      </c>
      <c r="T1394" s="278" t="str">
        <f>IF($X$13="/28",IF(Q1394="","",IF(Q1394&gt;=$W$13-$S$12,ROUND((Q1394),1)&amp;" ≥ "&amp;$W$13-$S$12&amp;" OK",ROUND((Q1394),1)&amp;" &lt; "&amp;$W$13-$S$12&amp;" NC")),IF($X$13="/90",IF(#REF!="","",IF(#REF!&gt;=$W$13-$S$12,ROUND((#REF!),1)&amp;" ≥ "&amp;$W$13-$S$12&amp;" OK",ROUND((#REF!),1)&amp;" &lt; "&amp;$W$13-$S$12&amp;" NC"))))</f>
        <v/>
      </c>
      <c r="U1394" s="14"/>
      <c r="V1394" s="279"/>
      <c r="W1394" s="280"/>
      <c r="X1394" s="281"/>
      <c r="Y1394" s="246"/>
      <c r="Z1394" s="246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BP1394" s="390" t="str">
        <f>IF($X$13="/28",IF(Q1394="","",Q1394),IF($X$13="/90",IF(#REF!="","",#REF!),"Falso"))</f>
        <v/>
      </c>
      <c r="BQ1394" s="392" t="str">
        <f t="shared" si="2108"/>
        <v/>
      </c>
    </row>
    <row r="1395" spans="1:69" ht="14.25" customHeight="1" x14ac:dyDescent="0.35">
      <c r="A1395" s="294"/>
      <c r="B1395" s="296"/>
      <c r="C1395" s="298"/>
      <c r="D1395" s="300"/>
      <c r="E1395" s="302"/>
      <c r="F1395" s="304"/>
      <c r="G1395" s="276"/>
      <c r="H1395" s="277"/>
      <c r="I1395" s="290"/>
      <c r="J1395" s="290"/>
      <c r="K1395" s="291"/>
      <c r="L1395" s="17"/>
      <c r="M1395" s="286"/>
      <c r="N1395" s="21"/>
      <c r="O1395" s="286"/>
      <c r="P1395" s="21"/>
      <c r="Q1395" s="286"/>
      <c r="R1395" s="248"/>
      <c r="S1395" s="287"/>
      <c r="T1395" s="248"/>
      <c r="U1395" s="13"/>
      <c r="V1395" s="282"/>
      <c r="W1395" s="283"/>
      <c r="X1395" s="284"/>
      <c r="Y1395" s="245"/>
      <c r="Z1395" s="245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BP1395" s="391"/>
      <c r="BQ1395" s="393"/>
    </row>
    <row r="1396" spans="1:69" ht="14.25" customHeight="1" x14ac:dyDescent="0.35">
      <c r="A1396" s="293">
        <v>690</v>
      </c>
      <c r="B1396" s="295"/>
      <c r="C1396" s="297"/>
      <c r="D1396" s="299"/>
      <c r="E1396" s="301"/>
      <c r="F1396" s="303"/>
      <c r="G1396" s="288"/>
      <c r="H1396" s="289"/>
      <c r="I1396" s="290"/>
      <c r="J1396" s="290"/>
      <c r="K1396" s="291"/>
      <c r="L1396" s="18"/>
      <c r="M1396" s="285" t="str">
        <f t="shared" ref="M1396" si="2173">IF(COUNT(L1396:L1397)&lt;1,"",AVERAGE(L1396:L1397))</f>
        <v/>
      </c>
      <c r="N1396" s="22"/>
      <c r="O1396" s="285" t="str">
        <f t="shared" ref="O1396" si="2174">IF(COUNT(N1396:N1397)&lt;1,"",AVERAGE(N1396:N1397))</f>
        <v/>
      </c>
      <c r="P1396" s="22"/>
      <c r="Q1396" s="285" t="str">
        <f t="shared" ref="Q1396" si="2175">IF(COUNT(P1396:P1397)&lt;1,"",AVERAGE(P1396:P1397))</f>
        <v/>
      </c>
      <c r="R1396" s="278" t="str">
        <f>IF($X$13="/28",IF(COUNT(P1396:P1397)&lt;=1,"",ABS(P1396-P1397)),IF($X$13="/90",IF(COUNT(#REF!)&lt;=1,"",ABS(#REF!-#REF!))))</f>
        <v/>
      </c>
      <c r="S1396" s="278" t="str">
        <f>IF($X$13="/28",IF(Q1396="","",IF(AVERAGE(Q1392:Q1397)&gt;=$W$13,ROUND(AVERAGE(Q1392:Q1397),1)&amp;" ≥ "&amp;$W$13&amp;" OK",ROUND(AVERAGE(Q1392:Q1397),1)&amp;" &lt; "&amp;$W$13&amp;" NC")),IF($X$13="/90",IF(#REF!="","",IF(AVERAGE(#REF!)&gt;=$W$13,ROUND(AVERAGE(#REF!),1)&amp;" ≥ "&amp;$W$13&amp;" OK",ROUND(AVERAGE(#REF!),1)&amp;" &lt; "&amp;$W$13&amp;" NC"))))</f>
        <v/>
      </c>
      <c r="T1396" s="278" t="str">
        <f>IF($X$13="/28",IF(Q1396="","",IF(Q1396&gt;=$W$13-$S$12,ROUND((Q1396),1)&amp;" ≥ "&amp;$W$13-$S$12&amp;" OK",ROUND((Q1396),1)&amp;" &lt; "&amp;$W$13-$S$12&amp;" NC")),IF($X$13="/90",IF(#REF!="","",IF(#REF!&gt;=$W$13-$S$12,ROUND((#REF!),1)&amp;" ≥ "&amp;$W$13-$S$12&amp;" OK",ROUND((#REF!),1)&amp;" &lt; "&amp;$W$13-$S$12&amp;" NC"))))</f>
        <v/>
      </c>
      <c r="U1396" s="14"/>
      <c r="V1396" s="279"/>
      <c r="W1396" s="280"/>
      <c r="X1396" s="281"/>
      <c r="Y1396" s="246"/>
      <c r="Z1396" s="246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BP1396" s="390" t="str">
        <f>IF($X$13="/28",IF(Q1396="","",Q1396),IF($X$13="/90",IF(#REF!="","",#REF!),"Falso"))</f>
        <v/>
      </c>
      <c r="BQ1396" s="392" t="str">
        <f t="shared" si="2112"/>
        <v/>
      </c>
    </row>
    <row r="1397" spans="1:69" ht="14.25" customHeight="1" thickBot="1" x14ac:dyDescent="0.4">
      <c r="A1397" s="384"/>
      <c r="B1397" s="385"/>
      <c r="C1397" s="386"/>
      <c r="D1397" s="387"/>
      <c r="E1397" s="388"/>
      <c r="F1397" s="389"/>
      <c r="G1397" s="377"/>
      <c r="H1397" s="378"/>
      <c r="I1397" s="382"/>
      <c r="J1397" s="382"/>
      <c r="K1397" s="383"/>
      <c r="L1397" s="19"/>
      <c r="M1397" s="379"/>
      <c r="N1397" s="23"/>
      <c r="O1397" s="379"/>
      <c r="P1397" s="23"/>
      <c r="Q1397" s="379"/>
      <c r="R1397" s="380"/>
      <c r="S1397" s="381"/>
      <c r="T1397" s="380"/>
      <c r="U1397" s="15"/>
      <c r="V1397" s="373"/>
      <c r="W1397" s="374"/>
      <c r="X1397" s="375"/>
      <c r="Y1397" s="376"/>
      <c r="Z1397" s="376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BP1397" s="391"/>
      <c r="BQ1397" s="393"/>
    </row>
    <row r="1398" spans="1:69" ht="14.25" customHeight="1" x14ac:dyDescent="0.35">
      <c r="A1398" s="311">
        <v>691</v>
      </c>
      <c r="B1398" s="312"/>
      <c r="C1398" s="313"/>
      <c r="D1398" s="314"/>
      <c r="E1398" s="315"/>
      <c r="F1398" s="353"/>
      <c r="G1398" s="354"/>
      <c r="H1398" s="355"/>
      <c r="I1398" s="356"/>
      <c r="J1398" s="356"/>
      <c r="K1398" s="357"/>
      <c r="L1398" s="16"/>
      <c r="M1398" s="352" t="str">
        <f t="shared" ref="M1398" si="2176">IF(COUNT(L1398:L1399)&lt;1,"",AVERAGE(L1398:L1399))</f>
        <v/>
      </c>
      <c r="N1398" s="20"/>
      <c r="O1398" s="352" t="str">
        <f t="shared" ref="O1398" si="2177">IF(COUNT(N1398:N1399)&lt;1,"",AVERAGE(N1398:N1399))</f>
        <v/>
      </c>
      <c r="P1398" s="20"/>
      <c r="Q1398" s="352" t="str">
        <f t="shared" ref="Q1398" si="2178">IF(COUNT(P1398:P1399)&lt;1,"",AVERAGE(P1398:P1399))</f>
        <v/>
      </c>
      <c r="R1398" s="247" t="str">
        <f>IF($X$13="/28",IF(COUNT(P1398:P1399)&lt;=1,"",ABS(P1398-P1399)),IF($X$13="/90",IF(COUNT(#REF!)&lt;=1,"",ABS(#REF!-#REF!))))</f>
        <v/>
      </c>
      <c r="S1398" s="247" t="str">
        <f>IF($X$13="/28",IF(Q1398="","",IF(AVERAGE(Q1394:Q1399)&gt;=$W$13,ROUND(AVERAGE(Q1394:Q1399),1)&amp;" ≥ "&amp;$W$13&amp;" OK",ROUND(AVERAGE(Q1394:Q1399),1)&amp;" &lt; "&amp;$W$13&amp;" NC")),IF($X$13="/90",IF(#REF!="","",IF(AVERAGE(#REF!)&gt;=$W$13,ROUND(AVERAGE(#REF!),1)&amp;" ≥ "&amp;$W$13&amp;" OK",ROUND(AVERAGE(#REF!),1)&amp;" &lt; "&amp;$W$13&amp;" NC"))))</f>
        <v/>
      </c>
      <c r="T1398" s="247" t="str">
        <f>IF($X$13="/28",IF(Q1398="","",IF(Q1398&gt;=$W$13-$S$12,ROUND((Q1398),1)&amp;" ≥ "&amp;$W$13-$S$12&amp;" OK",ROUND((Q1398),1)&amp;" &lt; "&amp;$W$13-$S$12&amp;" NC")),IF($X$13="/90",IF(#REF!="","",IF(#REF!&gt;=$W$13-$S$12,ROUND((#REF!),1)&amp;" ≥ "&amp;$W$13-$S$12&amp;" OK",ROUND((#REF!),1)&amp;" &lt; "&amp;$W$13-$S$12&amp;" NC"))))</f>
        <v/>
      </c>
      <c r="U1398" s="12"/>
      <c r="V1398" s="349"/>
      <c r="W1398" s="350"/>
      <c r="X1398" s="351"/>
      <c r="Y1398" s="244"/>
      <c r="Z1398" s="244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BP1398" s="390" t="str">
        <f>IF($X$13="/28",IF(Q1398="","",Q1398),IF($X$13="/90",IF(#REF!="","",#REF!),"Falso"))</f>
        <v/>
      </c>
      <c r="BQ1398" s="392" t="str">
        <f t="shared" si="2104"/>
        <v/>
      </c>
    </row>
    <row r="1399" spans="1:69" ht="14.25" customHeight="1" x14ac:dyDescent="0.35">
      <c r="A1399" s="294"/>
      <c r="B1399" s="296"/>
      <c r="C1399" s="298"/>
      <c r="D1399" s="300"/>
      <c r="E1399" s="302"/>
      <c r="F1399" s="304"/>
      <c r="G1399" s="276"/>
      <c r="H1399" s="277"/>
      <c r="I1399" s="290"/>
      <c r="J1399" s="290"/>
      <c r="K1399" s="291"/>
      <c r="L1399" s="17"/>
      <c r="M1399" s="286"/>
      <c r="N1399" s="21"/>
      <c r="O1399" s="286"/>
      <c r="P1399" s="21"/>
      <c r="Q1399" s="286"/>
      <c r="R1399" s="248"/>
      <c r="S1399" s="248"/>
      <c r="T1399" s="248"/>
      <c r="U1399" s="13"/>
      <c r="V1399" s="282"/>
      <c r="W1399" s="283"/>
      <c r="X1399" s="284"/>
      <c r="Y1399" s="245"/>
      <c r="Z1399" s="245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BP1399" s="391"/>
      <c r="BQ1399" s="393"/>
    </row>
    <row r="1400" spans="1:69" ht="14.25" customHeight="1" x14ac:dyDescent="0.35">
      <c r="A1400" s="293">
        <v>692</v>
      </c>
      <c r="B1400" s="295"/>
      <c r="C1400" s="297"/>
      <c r="D1400" s="299"/>
      <c r="E1400" s="301"/>
      <c r="F1400" s="303"/>
      <c r="G1400" s="288"/>
      <c r="H1400" s="289"/>
      <c r="I1400" s="290"/>
      <c r="J1400" s="290"/>
      <c r="K1400" s="291"/>
      <c r="L1400" s="18"/>
      <c r="M1400" s="285" t="str">
        <f t="shared" ref="M1400" si="2179">IF(COUNT(L1400:L1401)&lt;1,"",AVERAGE(L1400:L1401))</f>
        <v/>
      </c>
      <c r="N1400" s="22"/>
      <c r="O1400" s="285" t="str">
        <f t="shared" ref="O1400" si="2180">IF(COUNT(N1400:N1401)&lt;1,"",AVERAGE(N1400:N1401))</f>
        <v/>
      </c>
      <c r="P1400" s="22"/>
      <c r="Q1400" s="285" t="str">
        <f t="shared" ref="Q1400" si="2181">IF(COUNT(P1400:P1401)&lt;1,"",AVERAGE(P1400:P1401))</f>
        <v/>
      </c>
      <c r="R1400" s="278" t="str">
        <f>IF($X$13="/28",IF(COUNT(P1400:P1401)&lt;=1,"",ABS(P1400-P1401)),IF($X$13="/90",IF(COUNT(#REF!)&lt;=1,"",ABS(#REF!-#REF!))))</f>
        <v/>
      </c>
      <c r="S1400" s="278" t="str">
        <f>IF($X$13="/28",IF(Q1400="","",IF(AVERAGE(Q1396:Q1401)&gt;=$W$13,ROUND(AVERAGE(Q1396:Q1401),1)&amp;" ≥ "&amp;$W$13&amp;" OK",ROUND(AVERAGE(Q1396:Q1401),1)&amp;" &lt; "&amp;$W$13&amp;" NC")),IF($X$13="/90",IF(#REF!="","",IF(AVERAGE(#REF!)&gt;=$W$13,ROUND(AVERAGE(#REF!),1)&amp;" ≥ "&amp;$W$13&amp;" OK",ROUND(AVERAGE(#REF!),1)&amp;" &lt; "&amp;$W$13&amp;" NC"))))</f>
        <v/>
      </c>
      <c r="T1400" s="278" t="str">
        <f>IF($X$13="/28",IF(Q1400="","",IF(Q1400&gt;=$W$13-$S$12,ROUND((Q1400),1)&amp;" ≥ "&amp;$W$13-$S$12&amp;" OK",ROUND((Q1400),1)&amp;" &lt; "&amp;$W$13-$S$12&amp;" NC")),IF($X$13="/90",IF(#REF!="","",IF(#REF!&gt;=$W$13-$S$12,ROUND((#REF!),1)&amp;" ≥ "&amp;$W$13-$S$12&amp;" OK",ROUND((#REF!),1)&amp;" &lt; "&amp;$W$13-$S$12&amp;" NC"))))</f>
        <v/>
      </c>
      <c r="U1400" s="14"/>
      <c r="V1400" s="279"/>
      <c r="W1400" s="280"/>
      <c r="X1400" s="281"/>
      <c r="Y1400" s="246"/>
      <c r="Z1400" s="246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BP1400" s="390" t="str">
        <f>IF($X$13="/28",IF(Q1400="","",Q1400),IF($X$13="/90",IF(#REF!="","",#REF!),"Falso"))</f>
        <v/>
      </c>
      <c r="BQ1400" s="392" t="str">
        <f t="shared" si="2108"/>
        <v/>
      </c>
    </row>
    <row r="1401" spans="1:69" ht="14.25" customHeight="1" x14ac:dyDescent="0.35">
      <c r="A1401" s="294"/>
      <c r="B1401" s="296"/>
      <c r="C1401" s="298"/>
      <c r="D1401" s="300"/>
      <c r="E1401" s="302"/>
      <c r="F1401" s="304"/>
      <c r="G1401" s="276"/>
      <c r="H1401" s="277"/>
      <c r="I1401" s="290"/>
      <c r="J1401" s="290"/>
      <c r="K1401" s="291"/>
      <c r="L1401" s="17"/>
      <c r="M1401" s="286"/>
      <c r="N1401" s="21"/>
      <c r="O1401" s="286"/>
      <c r="P1401" s="21"/>
      <c r="Q1401" s="286"/>
      <c r="R1401" s="248"/>
      <c r="S1401" s="248"/>
      <c r="T1401" s="248"/>
      <c r="U1401" s="13"/>
      <c r="V1401" s="282"/>
      <c r="W1401" s="283"/>
      <c r="X1401" s="284"/>
      <c r="Y1401" s="245"/>
      <c r="Z1401" s="245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BP1401" s="391"/>
      <c r="BQ1401" s="393"/>
    </row>
    <row r="1402" spans="1:69" ht="14.25" customHeight="1" x14ac:dyDescent="0.35">
      <c r="A1402" s="293">
        <v>693</v>
      </c>
      <c r="B1402" s="295"/>
      <c r="C1402" s="297"/>
      <c r="D1402" s="299"/>
      <c r="E1402" s="301"/>
      <c r="F1402" s="303"/>
      <c r="G1402" s="288"/>
      <c r="H1402" s="289"/>
      <c r="I1402" s="290"/>
      <c r="J1402" s="290"/>
      <c r="K1402" s="291"/>
      <c r="L1402" s="18"/>
      <c r="M1402" s="285" t="str">
        <f t="shared" ref="M1402" si="2182">IF(COUNT(L1402:L1403)&lt;1,"",AVERAGE(L1402:L1403))</f>
        <v/>
      </c>
      <c r="N1402" s="22"/>
      <c r="O1402" s="285" t="str">
        <f t="shared" ref="O1402" si="2183">IF(COUNT(N1402:N1403)&lt;1,"",AVERAGE(N1402:N1403))</f>
        <v/>
      </c>
      <c r="P1402" s="22"/>
      <c r="Q1402" s="285" t="str">
        <f t="shared" ref="Q1402" si="2184">IF(COUNT(P1402:P1403)&lt;1,"",AVERAGE(P1402:P1403))</f>
        <v/>
      </c>
      <c r="R1402" s="278" t="str">
        <f>IF($X$13="/28",IF(COUNT(P1402:P1403)&lt;=1,"",ABS(P1402-P1403)),IF($X$13="/90",IF(COUNT(#REF!)&lt;=1,"",ABS(#REF!-#REF!))))</f>
        <v/>
      </c>
      <c r="S1402" s="278" t="str">
        <f>IF($X$13="/28",IF(Q1402="","",IF(AVERAGE(Q1398:Q1403)&gt;=$W$13,ROUND(AVERAGE(Q1398:Q1403),1)&amp;" ≥ "&amp;$W$13&amp;" OK",ROUND(AVERAGE(Q1398:Q1403),1)&amp;" &lt; "&amp;$W$13&amp;" NC")),IF($X$13="/90",IF(#REF!="","",IF(AVERAGE(#REF!)&gt;=$W$13,ROUND(AVERAGE(#REF!),1)&amp;" ≥ "&amp;$W$13&amp;" OK",ROUND(AVERAGE(#REF!),1)&amp;" &lt; "&amp;$W$13&amp;" NC"))))</f>
        <v/>
      </c>
      <c r="T1402" s="278" t="str">
        <f>IF($X$13="/28",IF(Q1402="","",IF(Q1402&gt;=$W$13-$S$12,ROUND((Q1402),1)&amp;" ≥ "&amp;$W$13-$S$12&amp;" OK",ROUND((Q1402),1)&amp;" &lt; "&amp;$W$13-$S$12&amp;" NC")),IF($X$13="/90",IF(#REF!="","",IF(#REF!&gt;=$W$13-$S$12,ROUND((#REF!),1)&amp;" ≥ "&amp;$W$13-$S$12&amp;" OK",ROUND((#REF!),1)&amp;" &lt; "&amp;$W$13-$S$12&amp;" NC"))))</f>
        <v/>
      </c>
      <c r="U1402" s="14"/>
      <c r="V1402" s="279"/>
      <c r="W1402" s="280"/>
      <c r="X1402" s="281"/>
      <c r="Y1402" s="246"/>
      <c r="Z1402" s="246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BP1402" s="390" t="str">
        <f>IF($X$13="/28",IF(Q1402="","",Q1402),IF($X$13="/90",IF(#REF!="","",#REF!),"Falso"))</f>
        <v/>
      </c>
      <c r="BQ1402" s="392" t="str">
        <f t="shared" si="2112"/>
        <v/>
      </c>
    </row>
    <row r="1403" spans="1:69" ht="14.25" customHeight="1" x14ac:dyDescent="0.35">
      <c r="A1403" s="294"/>
      <c r="B1403" s="296"/>
      <c r="C1403" s="298"/>
      <c r="D1403" s="300"/>
      <c r="E1403" s="302"/>
      <c r="F1403" s="304"/>
      <c r="G1403" s="276"/>
      <c r="H1403" s="277"/>
      <c r="I1403" s="290"/>
      <c r="J1403" s="290"/>
      <c r="K1403" s="291"/>
      <c r="L1403" s="17"/>
      <c r="M1403" s="286"/>
      <c r="N1403" s="21"/>
      <c r="O1403" s="286"/>
      <c r="P1403" s="21"/>
      <c r="Q1403" s="286"/>
      <c r="R1403" s="248"/>
      <c r="S1403" s="287"/>
      <c r="T1403" s="248"/>
      <c r="U1403" s="13"/>
      <c r="V1403" s="282"/>
      <c r="W1403" s="283"/>
      <c r="X1403" s="284"/>
      <c r="Y1403" s="245"/>
      <c r="Z1403" s="245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BP1403" s="391"/>
      <c r="BQ1403" s="393"/>
    </row>
    <row r="1404" spans="1:69" ht="14.25" customHeight="1" x14ac:dyDescent="0.35">
      <c r="A1404" s="293">
        <v>694</v>
      </c>
      <c r="B1404" s="295"/>
      <c r="C1404" s="297"/>
      <c r="D1404" s="299"/>
      <c r="E1404" s="301"/>
      <c r="F1404" s="303"/>
      <c r="G1404" s="288"/>
      <c r="H1404" s="289"/>
      <c r="I1404" s="290"/>
      <c r="J1404" s="290"/>
      <c r="K1404" s="291"/>
      <c r="L1404" s="18"/>
      <c r="M1404" s="285" t="str">
        <f t="shared" ref="M1404" si="2185">IF(COUNT(L1404:L1405)&lt;1,"",AVERAGE(L1404:L1405))</f>
        <v/>
      </c>
      <c r="N1404" s="22"/>
      <c r="O1404" s="285" t="str">
        <f t="shared" ref="O1404" si="2186">IF(COUNT(N1404:N1405)&lt;1,"",AVERAGE(N1404:N1405))</f>
        <v/>
      </c>
      <c r="P1404" s="22"/>
      <c r="Q1404" s="285" t="str">
        <f t="shared" ref="Q1404" si="2187">IF(COUNT(P1404:P1405)&lt;1,"",AVERAGE(P1404:P1405))</f>
        <v/>
      </c>
      <c r="R1404" s="278" t="str">
        <f>IF($X$13="/28",IF(COUNT(P1404:P1405)&lt;=1,"",ABS(P1404-P1405)),IF($X$13="/90",IF(COUNT(#REF!)&lt;=1,"",ABS(#REF!-#REF!))))</f>
        <v/>
      </c>
      <c r="S1404" s="278" t="str">
        <f>IF($X$13="/28",IF(Q1404="","",IF(AVERAGE(Q1400:Q1405)&gt;=$W$13,ROUND(AVERAGE(Q1400:Q1405),1)&amp;" ≥ "&amp;$W$13&amp;" OK",ROUND(AVERAGE(Q1400:Q1405),1)&amp;" &lt; "&amp;$W$13&amp;" NC")),IF($X$13="/90",IF(#REF!="","",IF(AVERAGE(#REF!)&gt;=$W$13,ROUND(AVERAGE(#REF!),1)&amp;" ≥ "&amp;$W$13&amp;" OK",ROUND(AVERAGE(#REF!),1)&amp;" &lt; "&amp;$W$13&amp;" NC"))))</f>
        <v/>
      </c>
      <c r="T1404" s="278" t="str">
        <f>IF($X$13="/28",IF(Q1404="","",IF(Q1404&gt;=$W$13-$S$12,ROUND((Q1404),1)&amp;" ≥ "&amp;$W$13-$S$12&amp;" OK",ROUND((Q1404),1)&amp;" &lt; "&amp;$W$13-$S$12&amp;" NC")),IF($X$13="/90",IF(#REF!="","",IF(#REF!&gt;=$W$13-$S$12,ROUND((#REF!),1)&amp;" ≥ "&amp;$W$13-$S$12&amp;" OK",ROUND((#REF!),1)&amp;" &lt; "&amp;$W$13-$S$12&amp;" NC"))))</f>
        <v/>
      </c>
      <c r="U1404" s="14"/>
      <c r="V1404" s="279"/>
      <c r="W1404" s="280"/>
      <c r="X1404" s="281"/>
      <c r="Y1404" s="246"/>
      <c r="Z1404" s="246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BP1404" s="390" t="str">
        <f>IF($X$13="/28",IF(Q1404="","",Q1404),IF($X$13="/90",IF(#REF!="","",#REF!),"Falso"))</f>
        <v/>
      </c>
      <c r="BQ1404" s="392" t="str">
        <f t="shared" si="2104"/>
        <v/>
      </c>
    </row>
    <row r="1405" spans="1:69" ht="14.25" customHeight="1" x14ac:dyDescent="0.35">
      <c r="A1405" s="294"/>
      <c r="B1405" s="296"/>
      <c r="C1405" s="298"/>
      <c r="D1405" s="300"/>
      <c r="E1405" s="302"/>
      <c r="F1405" s="304"/>
      <c r="G1405" s="276"/>
      <c r="H1405" s="277"/>
      <c r="I1405" s="290"/>
      <c r="J1405" s="290"/>
      <c r="K1405" s="291"/>
      <c r="L1405" s="17"/>
      <c r="M1405" s="286"/>
      <c r="N1405" s="21"/>
      <c r="O1405" s="286"/>
      <c r="P1405" s="21"/>
      <c r="Q1405" s="286"/>
      <c r="R1405" s="248"/>
      <c r="S1405" s="287"/>
      <c r="T1405" s="248"/>
      <c r="U1405" s="13"/>
      <c r="V1405" s="282"/>
      <c r="W1405" s="283"/>
      <c r="X1405" s="284"/>
      <c r="Y1405" s="245"/>
      <c r="Z1405" s="245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BP1405" s="391"/>
      <c r="BQ1405" s="393"/>
    </row>
    <row r="1406" spans="1:69" ht="14.25" customHeight="1" x14ac:dyDescent="0.35">
      <c r="A1406" s="293">
        <v>695</v>
      </c>
      <c r="B1406" s="295"/>
      <c r="C1406" s="297"/>
      <c r="D1406" s="299"/>
      <c r="E1406" s="301"/>
      <c r="F1406" s="303"/>
      <c r="G1406" s="288"/>
      <c r="H1406" s="289"/>
      <c r="I1406" s="290"/>
      <c r="J1406" s="290"/>
      <c r="K1406" s="291"/>
      <c r="L1406" s="18"/>
      <c r="M1406" s="285" t="str">
        <f t="shared" ref="M1406" si="2188">IF(COUNT(L1406:L1407)&lt;1,"",AVERAGE(L1406:L1407))</f>
        <v/>
      </c>
      <c r="N1406" s="22"/>
      <c r="O1406" s="285" t="str">
        <f t="shared" ref="O1406" si="2189">IF(COUNT(N1406:N1407)&lt;1,"",AVERAGE(N1406:N1407))</f>
        <v/>
      </c>
      <c r="P1406" s="22"/>
      <c r="Q1406" s="285" t="str">
        <f t="shared" ref="Q1406" si="2190">IF(COUNT(P1406:P1407)&lt;1,"",AVERAGE(P1406:P1407))</f>
        <v/>
      </c>
      <c r="R1406" s="278" t="str">
        <f>IF($X$13="/28",IF(COUNT(P1406:P1407)&lt;=1,"",ABS(P1406-P1407)),IF($X$13="/90",IF(COUNT(#REF!)&lt;=1,"",ABS(#REF!-#REF!))))</f>
        <v/>
      </c>
      <c r="S1406" s="278" t="str">
        <f>IF($X$13="/28",IF(Q1406="","",IF(AVERAGE(Q1402:Q1407)&gt;=$W$13,ROUND(AVERAGE(Q1402:Q1407),1)&amp;" ≥ "&amp;$W$13&amp;" OK",ROUND(AVERAGE(Q1402:Q1407),1)&amp;" &lt; "&amp;$W$13&amp;" NC")),IF($X$13="/90",IF(#REF!="","",IF(AVERAGE(#REF!)&gt;=$W$13,ROUND(AVERAGE(#REF!),1)&amp;" ≥ "&amp;$W$13&amp;" OK",ROUND(AVERAGE(#REF!),1)&amp;" &lt; "&amp;$W$13&amp;" NC"))))</f>
        <v/>
      </c>
      <c r="T1406" s="278" t="str">
        <f>IF($X$13="/28",IF(Q1406="","",IF(Q1406&gt;=$W$13-$S$12,ROUND((Q1406),1)&amp;" ≥ "&amp;$W$13-$S$12&amp;" OK",ROUND((Q1406),1)&amp;" &lt; "&amp;$W$13-$S$12&amp;" NC")),IF($X$13="/90",IF(#REF!="","",IF(#REF!&gt;=$W$13-$S$12,ROUND((#REF!),1)&amp;" ≥ "&amp;$W$13-$S$12&amp;" OK",ROUND((#REF!),1)&amp;" &lt; "&amp;$W$13-$S$12&amp;" NC"))))</f>
        <v/>
      </c>
      <c r="U1406" s="14"/>
      <c r="V1406" s="279"/>
      <c r="W1406" s="280"/>
      <c r="X1406" s="281"/>
      <c r="Y1406" s="246"/>
      <c r="Z1406" s="246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BP1406" s="390" t="str">
        <f>IF($X$13="/28",IF(Q1406="","",Q1406),IF($X$13="/90",IF(#REF!="","",#REF!),"Falso"))</f>
        <v/>
      </c>
      <c r="BQ1406" s="392" t="str">
        <f t="shared" si="2108"/>
        <v/>
      </c>
    </row>
    <row r="1407" spans="1:69" ht="14.25" customHeight="1" x14ac:dyDescent="0.35">
      <c r="A1407" s="294"/>
      <c r="B1407" s="296"/>
      <c r="C1407" s="298"/>
      <c r="D1407" s="300"/>
      <c r="E1407" s="302"/>
      <c r="F1407" s="304"/>
      <c r="G1407" s="276"/>
      <c r="H1407" s="277"/>
      <c r="I1407" s="290"/>
      <c r="J1407" s="290"/>
      <c r="K1407" s="291"/>
      <c r="L1407" s="17"/>
      <c r="M1407" s="286"/>
      <c r="N1407" s="21"/>
      <c r="O1407" s="286"/>
      <c r="P1407" s="21"/>
      <c r="Q1407" s="286"/>
      <c r="R1407" s="248"/>
      <c r="S1407" s="287"/>
      <c r="T1407" s="248"/>
      <c r="U1407" s="13"/>
      <c r="V1407" s="282"/>
      <c r="W1407" s="283"/>
      <c r="X1407" s="284"/>
      <c r="Y1407" s="245"/>
      <c r="Z1407" s="245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BP1407" s="391"/>
      <c r="BQ1407" s="393"/>
    </row>
    <row r="1408" spans="1:69" ht="14.25" customHeight="1" x14ac:dyDescent="0.35">
      <c r="A1408" s="293">
        <v>696</v>
      </c>
      <c r="B1408" s="295"/>
      <c r="C1408" s="297"/>
      <c r="D1408" s="299"/>
      <c r="E1408" s="301"/>
      <c r="F1408" s="303"/>
      <c r="G1408" s="288"/>
      <c r="H1408" s="289"/>
      <c r="I1408" s="290"/>
      <c r="J1408" s="290"/>
      <c r="K1408" s="291"/>
      <c r="L1408" s="18"/>
      <c r="M1408" s="285" t="str">
        <f t="shared" ref="M1408" si="2191">IF(COUNT(L1408:L1409)&lt;1,"",AVERAGE(L1408:L1409))</f>
        <v/>
      </c>
      <c r="N1408" s="22"/>
      <c r="O1408" s="285" t="str">
        <f t="shared" ref="O1408" si="2192">IF(COUNT(N1408:N1409)&lt;1,"",AVERAGE(N1408:N1409))</f>
        <v/>
      </c>
      <c r="P1408" s="22"/>
      <c r="Q1408" s="285" t="str">
        <f t="shared" ref="Q1408" si="2193">IF(COUNT(P1408:P1409)&lt;1,"",AVERAGE(P1408:P1409))</f>
        <v/>
      </c>
      <c r="R1408" s="278" t="str">
        <f>IF($X$13="/28",IF(COUNT(P1408:P1409)&lt;=1,"",ABS(P1408-P1409)),IF($X$13="/90",IF(COUNT(#REF!)&lt;=1,"",ABS(#REF!-#REF!))))</f>
        <v/>
      </c>
      <c r="S1408" s="278" t="str">
        <f>IF($X$13="/28",IF(Q1408="","",IF(AVERAGE(Q1404:Q1409)&gt;=$W$13,ROUND(AVERAGE(Q1404:Q1409),1)&amp;" ≥ "&amp;$W$13&amp;" OK",ROUND(AVERAGE(Q1404:Q1409),1)&amp;" &lt; "&amp;$W$13&amp;" NC")),IF($X$13="/90",IF(#REF!="","",IF(AVERAGE(#REF!)&gt;=$W$13,ROUND(AVERAGE(#REF!),1)&amp;" ≥ "&amp;$W$13&amp;" OK",ROUND(AVERAGE(#REF!),1)&amp;" &lt; "&amp;$W$13&amp;" NC"))))</f>
        <v/>
      </c>
      <c r="T1408" s="278" t="str">
        <f>IF($X$13="/28",IF(Q1408="","",IF(Q1408&gt;=$W$13-$S$12,ROUND((Q1408),1)&amp;" ≥ "&amp;$W$13-$S$12&amp;" OK",ROUND((Q1408),1)&amp;" &lt; "&amp;$W$13-$S$12&amp;" NC")),IF($X$13="/90",IF(#REF!="","",IF(#REF!&gt;=$W$13-$S$12,ROUND((#REF!),1)&amp;" ≥ "&amp;$W$13-$S$12&amp;" OK",ROUND((#REF!),1)&amp;" &lt; "&amp;$W$13-$S$12&amp;" NC"))))</f>
        <v/>
      </c>
      <c r="U1408" s="14"/>
      <c r="V1408" s="279"/>
      <c r="W1408" s="280"/>
      <c r="X1408" s="281"/>
      <c r="Y1408" s="246"/>
      <c r="Z1408" s="246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BP1408" s="390" t="str">
        <f>IF($X$13="/28",IF(Q1408="","",Q1408),IF($X$13="/90",IF(#REF!="","",#REF!),"Falso"))</f>
        <v/>
      </c>
      <c r="BQ1408" s="392" t="str">
        <f t="shared" si="2112"/>
        <v/>
      </c>
    </row>
    <row r="1409" spans="1:69" ht="14.25" customHeight="1" x14ac:dyDescent="0.35">
      <c r="A1409" s="294"/>
      <c r="B1409" s="296"/>
      <c r="C1409" s="298"/>
      <c r="D1409" s="300"/>
      <c r="E1409" s="302"/>
      <c r="F1409" s="304"/>
      <c r="G1409" s="276"/>
      <c r="H1409" s="277"/>
      <c r="I1409" s="290"/>
      <c r="J1409" s="290"/>
      <c r="K1409" s="291"/>
      <c r="L1409" s="17"/>
      <c r="M1409" s="286"/>
      <c r="N1409" s="21"/>
      <c r="O1409" s="286"/>
      <c r="P1409" s="21"/>
      <c r="Q1409" s="286"/>
      <c r="R1409" s="248"/>
      <c r="S1409" s="287"/>
      <c r="T1409" s="248"/>
      <c r="U1409" s="13"/>
      <c r="V1409" s="282"/>
      <c r="W1409" s="283"/>
      <c r="X1409" s="284"/>
      <c r="Y1409" s="245"/>
      <c r="Z1409" s="245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BP1409" s="391"/>
      <c r="BQ1409" s="393"/>
    </row>
    <row r="1410" spans="1:69" ht="14.25" customHeight="1" x14ac:dyDescent="0.35">
      <c r="A1410" s="293">
        <v>697</v>
      </c>
      <c r="B1410" s="295"/>
      <c r="C1410" s="297"/>
      <c r="D1410" s="299"/>
      <c r="E1410" s="301"/>
      <c r="F1410" s="303"/>
      <c r="G1410" s="288"/>
      <c r="H1410" s="289"/>
      <c r="I1410" s="290"/>
      <c r="J1410" s="290"/>
      <c r="K1410" s="291"/>
      <c r="L1410" s="18"/>
      <c r="M1410" s="285" t="str">
        <f t="shared" ref="M1410" si="2194">IF(COUNT(L1410:L1411)&lt;1,"",AVERAGE(L1410:L1411))</f>
        <v/>
      </c>
      <c r="N1410" s="22"/>
      <c r="O1410" s="285" t="str">
        <f t="shared" ref="O1410" si="2195">IF(COUNT(N1410:N1411)&lt;1,"",AVERAGE(N1410:N1411))</f>
        <v/>
      </c>
      <c r="P1410" s="22"/>
      <c r="Q1410" s="285" t="str">
        <f t="shared" ref="Q1410" si="2196">IF(COUNT(P1410:P1411)&lt;1,"",AVERAGE(P1410:P1411))</f>
        <v/>
      </c>
      <c r="R1410" s="278" t="str">
        <f>IF($X$13="/28",IF(COUNT(P1410:P1411)&lt;=1,"",ABS(P1410-P1411)),IF($X$13="/90",IF(COUNT(#REF!)&lt;=1,"",ABS(#REF!-#REF!))))</f>
        <v/>
      </c>
      <c r="S1410" s="278" t="str">
        <f>IF($X$13="/28",IF(Q1410="","",IF(AVERAGE(Q1406:Q1411)&gt;=$W$13,ROUND(AVERAGE(Q1406:Q1411),1)&amp;" ≥ "&amp;$W$13&amp;" OK",ROUND(AVERAGE(Q1406:Q1411),1)&amp;" &lt; "&amp;$W$13&amp;" NC")),IF($X$13="/90",IF(#REF!="","",IF(AVERAGE(#REF!)&gt;=$W$13,ROUND(AVERAGE(#REF!),1)&amp;" ≥ "&amp;$W$13&amp;" OK",ROUND(AVERAGE(#REF!),1)&amp;" &lt; "&amp;$W$13&amp;" NC"))))</f>
        <v/>
      </c>
      <c r="T1410" s="278" t="str">
        <f>IF($X$13="/28",IF(Q1410="","",IF(Q1410&gt;=$W$13-$S$12,ROUND((Q1410),1)&amp;" ≥ "&amp;$W$13-$S$12&amp;" OK",ROUND((Q1410),1)&amp;" &lt; "&amp;$W$13-$S$12&amp;" NC")),IF($X$13="/90",IF(#REF!="","",IF(#REF!&gt;=$W$13-$S$12,ROUND((#REF!),1)&amp;" ≥ "&amp;$W$13-$S$12&amp;" OK",ROUND((#REF!),1)&amp;" &lt; "&amp;$W$13-$S$12&amp;" NC"))))</f>
        <v/>
      </c>
      <c r="U1410" s="14"/>
      <c r="V1410" s="279"/>
      <c r="W1410" s="280"/>
      <c r="X1410" s="281"/>
      <c r="Y1410" s="246"/>
      <c r="Z1410" s="246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BP1410" s="390" t="str">
        <f>IF($X$13="/28",IF(Q1410="","",Q1410),IF($X$13="/90",IF(#REF!="","",#REF!),"Falso"))</f>
        <v/>
      </c>
      <c r="BQ1410" s="392" t="str">
        <f t="shared" si="2104"/>
        <v/>
      </c>
    </row>
    <row r="1411" spans="1:69" ht="14.25" customHeight="1" x14ac:dyDescent="0.35">
      <c r="A1411" s="294"/>
      <c r="B1411" s="296"/>
      <c r="C1411" s="298"/>
      <c r="D1411" s="300"/>
      <c r="E1411" s="302"/>
      <c r="F1411" s="304"/>
      <c r="G1411" s="276"/>
      <c r="H1411" s="277"/>
      <c r="I1411" s="290"/>
      <c r="J1411" s="290"/>
      <c r="K1411" s="291"/>
      <c r="L1411" s="17"/>
      <c r="M1411" s="286"/>
      <c r="N1411" s="21"/>
      <c r="O1411" s="286"/>
      <c r="P1411" s="21"/>
      <c r="Q1411" s="286"/>
      <c r="R1411" s="248"/>
      <c r="S1411" s="287"/>
      <c r="T1411" s="248"/>
      <c r="U1411" s="13"/>
      <c r="V1411" s="282"/>
      <c r="W1411" s="283"/>
      <c r="X1411" s="284"/>
      <c r="Y1411" s="245"/>
      <c r="Z1411" s="245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BP1411" s="391"/>
      <c r="BQ1411" s="393"/>
    </row>
    <row r="1412" spans="1:69" ht="14.25" customHeight="1" x14ac:dyDescent="0.35">
      <c r="A1412" s="293">
        <v>698</v>
      </c>
      <c r="B1412" s="295"/>
      <c r="C1412" s="297"/>
      <c r="D1412" s="299"/>
      <c r="E1412" s="301"/>
      <c r="F1412" s="303"/>
      <c r="G1412" s="288"/>
      <c r="H1412" s="289"/>
      <c r="I1412" s="290"/>
      <c r="J1412" s="290"/>
      <c r="K1412" s="291"/>
      <c r="L1412" s="18"/>
      <c r="M1412" s="285" t="str">
        <f t="shared" ref="M1412" si="2197">IF(COUNT(L1412:L1413)&lt;1,"",AVERAGE(L1412:L1413))</f>
        <v/>
      </c>
      <c r="N1412" s="22"/>
      <c r="O1412" s="285" t="str">
        <f t="shared" ref="O1412" si="2198">IF(COUNT(N1412:N1413)&lt;1,"",AVERAGE(N1412:N1413))</f>
        <v/>
      </c>
      <c r="P1412" s="22"/>
      <c r="Q1412" s="285" t="str">
        <f t="shared" ref="Q1412" si="2199">IF(COUNT(P1412:P1413)&lt;1,"",AVERAGE(P1412:P1413))</f>
        <v/>
      </c>
      <c r="R1412" s="278" t="str">
        <f>IF($X$13="/28",IF(COUNT(P1412:P1413)&lt;=1,"",ABS(P1412-P1413)),IF($X$13="/90",IF(COUNT(#REF!)&lt;=1,"",ABS(#REF!-#REF!))))</f>
        <v/>
      </c>
      <c r="S1412" s="278" t="str">
        <f>IF($X$13="/28",IF(Q1412="","",IF(AVERAGE(Q1408:Q1413)&gt;=$W$13,ROUND(AVERAGE(Q1408:Q1413),1)&amp;" ≥ "&amp;$W$13&amp;" OK",ROUND(AVERAGE(Q1408:Q1413),1)&amp;" &lt; "&amp;$W$13&amp;" NC")),IF($X$13="/90",IF(#REF!="","",IF(AVERAGE(#REF!)&gt;=$W$13,ROUND(AVERAGE(#REF!),1)&amp;" ≥ "&amp;$W$13&amp;" OK",ROUND(AVERAGE(#REF!),1)&amp;" &lt; "&amp;$W$13&amp;" NC"))))</f>
        <v/>
      </c>
      <c r="T1412" s="278" t="str">
        <f>IF($X$13="/28",IF(Q1412="","",IF(Q1412&gt;=$W$13-$S$12,ROUND((Q1412),1)&amp;" ≥ "&amp;$W$13-$S$12&amp;" OK",ROUND((Q1412),1)&amp;" &lt; "&amp;$W$13-$S$12&amp;" NC")),IF($X$13="/90",IF(#REF!="","",IF(#REF!&gt;=$W$13-$S$12,ROUND((#REF!),1)&amp;" ≥ "&amp;$W$13-$S$12&amp;" OK",ROUND((#REF!),1)&amp;" &lt; "&amp;$W$13-$S$12&amp;" NC"))))</f>
        <v/>
      </c>
      <c r="U1412" s="14"/>
      <c r="V1412" s="279"/>
      <c r="W1412" s="280"/>
      <c r="X1412" s="281"/>
      <c r="Y1412" s="246"/>
      <c r="Z1412" s="246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BP1412" s="390" t="str">
        <f>IF($X$13="/28",IF(Q1412="","",Q1412),IF($X$13="/90",IF(#REF!="","",#REF!),"Falso"))</f>
        <v/>
      </c>
      <c r="BQ1412" s="392" t="str">
        <f t="shared" si="2108"/>
        <v/>
      </c>
    </row>
    <row r="1413" spans="1:69" ht="14.25" customHeight="1" x14ac:dyDescent="0.35">
      <c r="A1413" s="294"/>
      <c r="B1413" s="296"/>
      <c r="C1413" s="298"/>
      <c r="D1413" s="300"/>
      <c r="E1413" s="302"/>
      <c r="F1413" s="304"/>
      <c r="G1413" s="276"/>
      <c r="H1413" s="277"/>
      <c r="I1413" s="290"/>
      <c r="J1413" s="290"/>
      <c r="K1413" s="291"/>
      <c r="L1413" s="17"/>
      <c r="M1413" s="286"/>
      <c r="N1413" s="21"/>
      <c r="O1413" s="286"/>
      <c r="P1413" s="21"/>
      <c r="Q1413" s="286"/>
      <c r="R1413" s="248"/>
      <c r="S1413" s="287"/>
      <c r="T1413" s="248"/>
      <c r="U1413" s="13"/>
      <c r="V1413" s="282"/>
      <c r="W1413" s="283"/>
      <c r="X1413" s="284"/>
      <c r="Y1413" s="245"/>
      <c r="Z1413" s="245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BP1413" s="391"/>
      <c r="BQ1413" s="393"/>
    </row>
    <row r="1414" spans="1:69" ht="14.25" customHeight="1" x14ac:dyDescent="0.35">
      <c r="A1414" s="293">
        <v>699</v>
      </c>
      <c r="B1414" s="295"/>
      <c r="C1414" s="297"/>
      <c r="D1414" s="299"/>
      <c r="E1414" s="301"/>
      <c r="F1414" s="303"/>
      <c r="G1414" s="288"/>
      <c r="H1414" s="289"/>
      <c r="I1414" s="290"/>
      <c r="J1414" s="290"/>
      <c r="K1414" s="291"/>
      <c r="L1414" s="18"/>
      <c r="M1414" s="285" t="str">
        <f t="shared" ref="M1414" si="2200">IF(COUNT(L1414:L1415)&lt;1,"",AVERAGE(L1414:L1415))</f>
        <v/>
      </c>
      <c r="N1414" s="22"/>
      <c r="O1414" s="285" t="str">
        <f t="shared" ref="O1414" si="2201">IF(COUNT(N1414:N1415)&lt;1,"",AVERAGE(N1414:N1415))</f>
        <v/>
      </c>
      <c r="P1414" s="22"/>
      <c r="Q1414" s="285" t="str">
        <f t="shared" ref="Q1414" si="2202">IF(COUNT(P1414:P1415)&lt;1,"",AVERAGE(P1414:P1415))</f>
        <v/>
      </c>
      <c r="R1414" s="278" t="str">
        <f>IF($X$13="/28",IF(COUNT(P1414:P1415)&lt;=1,"",ABS(P1414-P1415)),IF($X$13="/90",IF(COUNT(#REF!)&lt;=1,"",ABS(#REF!-#REF!))))</f>
        <v/>
      </c>
      <c r="S1414" s="278" t="str">
        <f>IF($X$13="/28",IF(Q1414="","",IF(AVERAGE(Q1410:Q1415)&gt;=$W$13,ROUND(AVERAGE(Q1410:Q1415),1)&amp;" ≥ "&amp;$W$13&amp;" OK",ROUND(AVERAGE(Q1410:Q1415),1)&amp;" &lt; "&amp;$W$13&amp;" NC")),IF($X$13="/90",IF(#REF!="","",IF(AVERAGE(#REF!)&gt;=$W$13,ROUND(AVERAGE(#REF!),1)&amp;" ≥ "&amp;$W$13&amp;" OK",ROUND(AVERAGE(#REF!),1)&amp;" &lt; "&amp;$W$13&amp;" NC"))))</f>
        <v/>
      </c>
      <c r="T1414" s="278" t="str">
        <f>IF($X$13="/28",IF(Q1414="","",IF(Q1414&gt;=$W$13-$S$12,ROUND((Q1414),1)&amp;" ≥ "&amp;$W$13-$S$12&amp;" OK",ROUND((Q1414),1)&amp;" &lt; "&amp;$W$13-$S$12&amp;" NC")),IF($X$13="/90",IF(#REF!="","",IF(#REF!&gt;=$W$13-$S$12,ROUND((#REF!),1)&amp;" ≥ "&amp;$W$13-$S$12&amp;" OK",ROUND((#REF!),1)&amp;" &lt; "&amp;$W$13-$S$12&amp;" NC"))))</f>
        <v/>
      </c>
      <c r="U1414" s="14"/>
      <c r="V1414" s="279"/>
      <c r="W1414" s="280"/>
      <c r="X1414" s="281"/>
      <c r="Y1414" s="246"/>
      <c r="Z1414" s="246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BP1414" s="390" t="str">
        <f>IF($X$13="/28",IF(Q1414="","",Q1414),IF($X$13="/90",IF(#REF!="","",#REF!),"Falso"))</f>
        <v/>
      </c>
      <c r="BQ1414" s="392" t="str">
        <f t="shared" si="2112"/>
        <v/>
      </c>
    </row>
    <row r="1415" spans="1:69" ht="14.25" customHeight="1" x14ac:dyDescent="0.35">
      <c r="A1415" s="294"/>
      <c r="B1415" s="296"/>
      <c r="C1415" s="298"/>
      <c r="D1415" s="300"/>
      <c r="E1415" s="302"/>
      <c r="F1415" s="304"/>
      <c r="G1415" s="276"/>
      <c r="H1415" s="277"/>
      <c r="I1415" s="290"/>
      <c r="J1415" s="290"/>
      <c r="K1415" s="291"/>
      <c r="L1415" s="17"/>
      <c r="M1415" s="286"/>
      <c r="N1415" s="21"/>
      <c r="O1415" s="286"/>
      <c r="P1415" s="21"/>
      <c r="Q1415" s="286"/>
      <c r="R1415" s="248"/>
      <c r="S1415" s="287"/>
      <c r="T1415" s="248"/>
      <c r="U1415" s="13"/>
      <c r="V1415" s="282"/>
      <c r="W1415" s="283"/>
      <c r="X1415" s="284"/>
      <c r="Y1415" s="245"/>
      <c r="Z1415" s="245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BP1415" s="391"/>
      <c r="BQ1415" s="393"/>
    </row>
    <row r="1416" spans="1:69" ht="14.25" customHeight="1" x14ac:dyDescent="0.35">
      <c r="A1416" s="293">
        <v>700</v>
      </c>
      <c r="B1416" s="295"/>
      <c r="C1416" s="297"/>
      <c r="D1416" s="299"/>
      <c r="E1416" s="301"/>
      <c r="F1416" s="303"/>
      <c r="G1416" s="288"/>
      <c r="H1416" s="289"/>
      <c r="I1416" s="290"/>
      <c r="J1416" s="290"/>
      <c r="K1416" s="291"/>
      <c r="L1416" s="18"/>
      <c r="M1416" s="285" t="str">
        <f t="shared" ref="M1416" si="2203">IF(COUNT(L1416:L1417)&lt;1,"",AVERAGE(L1416:L1417))</f>
        <v/>
      </c>
      <c r="N1416" s="22"/>
      <c r="O1416" s="285" t="str">
        <f t="shared" ref="O1416" si="2204">IF(COUNT(N1416:N1417)&lt;1,"",AVERAGE(N1416:N1417))</f>
        <v/>
      </c>
      <c r="P1416" s="22"/>
      <c r="Q1416" s="285" t="str">
        <f t="shared" ref="Q1416" si="2205">IF(COUNT(P1416:P1417)&lt;1,"",AVERAGE(P1416:P1417))</f>
        <v/>
      </c>
      <c r="R1416" s="278" t="str">
        <f>IF($X$13="/28",IF(COUNT(P1416:P1417)&lt;=1,"",ABS(P1416-P1417)),IF($X$13="/90",IF(COUNT(#REF!)&lt;=1,"",ABS(#REF!-#REF!))))</f>
        <v/>
      </c>
      <c r="S1416" s="278" t="str">
        <f>IF($X$13="/28",IF(Q1416="","",IF(AVERAGE(Q1412:Q1417)&gt;=$W$13,ROUND(AVERAGE(Q1412:Q1417),1)&amp;" ≥ "&amp;$W$13&amp;" OK",ROUND(AVERAGE(Q1412:Q1417),1)&amp;" &lt; "&amp;$W$13&amp;" NC")),IF($X$13="/90",IF(#REF!="","",IF(AVERAGE(#REF!)&gt;=$W$13,ROUND(AVERAGE(#REF!),1)&amp;" ≥ "&amp;$W$13&amp;" OK",ROUND(AVERAGE(#REF!),1)&amp;" &lt; "&amp;$W$13&amp;" NC"))))</f>
        <v/>
      </c>
      <c r="T1416" s="278" t="str">
        <f>IF($X$13="/28",IF(Q1416="","",IF(Q1416&gt;=$W$13-$S$12,ROUND((Q1416),1)&amp;" ≥ "&amp;$W$13-$S$12&amp;" OK",ROUND((Q1416),1)&amp;" &lt; "&amp;$W$13-$S$12&amp;" NC")),IF($X$13="/90",IF(#REF!="","",IF(#REF!&gt;=$W$13-$S$12,ROUND((#REF!),1)&amp;" ≥ "&amp;$W$13-$S$12&amp;" OK",ROUND((#REF!),1)&amp;" &lt; "&amp;$W$13-$S$12&amp;" NC"))))</f>
        <v/>
      </c>
      <c r="U1416" s="14"/>
      <c r="V1416" s="279"/>
      <c r="W1416" s="280"/>
      <c r="X1416" s="281"/>
      <c r="Y1416" s="246"/>
      <c r="Z1416" s="246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BP1416" s="390" t="str">
        <f>IF($X$13="/28",IF(Q1416="","",Q1416),IF($X$13="/90",IF(#REF!="","",#REF!),"Falso"))</f>
        <v/>
      </c>
      <c r="BQ1416" s="392" t="str">
        <f t="shared" ref="BQ1416:BQ1476" si="2206">IF(BP1416="","",BQ1414+1)</f>
        <v/>
      </c>
    </row>
    <row r="1417" spans="1:69" ht="14.25" customHeight="1" x14ac:dyDescent="0.35">
      <c r="A1417" s="294"/>
      <c r="B1417" s="296"/>
      <c r="C1417" s="298"/>
      <c r="D1417" s="300"/>
      <c r="E1417" s="302"/>
      <c r="F1417" s="304"/>
      <c r="G1417" s="276"/>
      <c r="H1417" s="277"/>
      <c r="I1417" s="290"/>
      <c r="J1417" s="290"/>
      <c r="K1417" s="291"/>
      <c r="L1417" s="17"/>
      <c r="M1417" s="286"/>
      <c r="N1417" s="21"/>
      <c r="O1417" s="286"/>
      <c r="P1417" s="21"/>
      <c r="Q1417" s="286"/>
      <c r="R1417" s="248"/>
      <c r="S1417" s="287"/>
      <c r="T1417" s="248"/>
      <c r="U1417" s="13"/>
      <c r="V1417" s="282"/>
      <c r="W1417" s="283"/>
      <c r="X1417" s="284"/>
      <c r="Y1417" s="245"/>
      <c r="Z1417" s="245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BP1417" s="391"/>
      <c r="BQ1417" s="393"/>
    </row>
    <row r="1418" spans="1:69" ht="14.25" customHeight="1" x14ac:dyDescent="0.35">
      <c r="A1418" s="293">
        <v>701</v>
      </c>
      <c r="B1418" s="295"/>
      <c r="C1418" s="297"/>
      <c r="D1418" s="299"/>
      <c r="E1418" s="301"/>
      <c r="F1418" s="303"/>
      <c r="G1418" s="288"/>
      <c r="H1418" s="289"/>
      <c r="I1418" s="290"/>
      <c r="J1418" s="290"/>
      <c r="K1418" s="291"/>
      <c r="L1418" s="18"/>
      <c r="M1418" s="285" t="str">
        <f t="shared" ref="M1418" si="2207">IF(COUNT(L1418:L1419)&lt;1,"",AVERAGE(L1418:L1419))</f>
        <v/>
      </c>
      <c r="N1418" s="22"/>
      <c r="O1418" s="285" t="str">
        <f t="shared" ref="O1418" si="2208">IF(COUNT(N1418:N1419)&lt;1,"",AVERAGE(N1418:N1419))</f>
        <v/>
      </c>
      <c r="P1418" s="22"/>
      <c r="Q1418" s="285" t="str">
        <f t="shared" ref="Q1418" si="2209">IF(COUNT(P1418:P1419)&lt;1,"",AVERAGE(P1418:P1419))</f>
        <v/>
      </c>
      <c r="R1418" s="278" t="str">
        <f>IF($X$13="/28",IF(COUNT(P1418:P1419)&lt;=1,"",ABS(P1418-P1419)),IF($X$13="/90",IF(COUNT(#REF!)&lt;=1,"",ABS(#REF!-#REF!))))</f>
        <v/>
      </c>
      <c r="S1418" s="278" t="str">
        <f>IF($X$13="/28",IF(Q1418="","",IF(AVERAGE(Q1414:Q1419)&gt;=$W$13,ROUND(AVERAGE(Q1414:Q1419),1)&amp;" ≥ "&amp;$W$13&amp;" OK",ROUND(AVERAGE(Q1414:Q1419),1)&amp;" &lt; "&amp;$W$13&amp;" NC")),IF($X$13="/90",IF(#REF!="","",IF(AVERAGE(#REF!)&gt;=$W$13,ROUND(AVERAGE(#REF!),1)&amp;" ≥ "&amp;$W$13&amp;" OK",ROUND(AVERAGE(#REF!),1)&amp;" &lt; "&amp;$W$13&amp;" NC"))))</f>
        <v/>
      </c>
      <c r="T1418" s="278" t="str">
        <f>IF($X$13="/28",IF(Q1418="","",IF(Q1418&gt;=$W$13-$S$12,ROUND((Q1418),1)&amp;" ≥ "&amp;$W$13-$S$12&amp;" OK",ROUND((Q1418),1)&amp;" &lt; "&amp;$W$13-$S$12&amp;" NC")),IF($X$13="/90",IF(#REF!="","",IF(#REF!&gt;=$W$13-$S$12,ROUND((#REF!),1)&amp;" ≥ "&amp;$W$13-$S$12&amp;" OK",ROUND((#REF!),1)&amp;" &lt; "&amp;$W$13-$S$12&amp;" NC"))))</f>
        <v/>
      </c>
      <c r="U1418" s="14"/>
      <c r="V1418" s="279"/>
      <c r="W1418" s="280"/>
      <c r="X1418" s="281"/>
      <c r="Y1418" s="246"/>
      <c r="Z1418" s="246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BP1418" s="390" t="str">
        <f>IF($X$13="/28",IF(Q1418="","",Q1418),IF($X$13="/90",IF(#REF!="","",#REF!),"Falso"))</f>
        <v/>
      </c>
      <c r="BQ1418" s="392" t="str">
        <f t="shared" ref="BQ1418:BQ1478" si="2210">IF(BP1418="","",BQ1416+1)</f>
        <v/>
      </c>
    </row>
    <row r="1419" spans="1:69" ht="14.25" customHeight="1" x14ac:dyDescent="0.35">
      <c r="A1419" s="294"/>
      <c r="B1419" s="296"/>
      <c r="C1419" s="298"/>
      <c r="D1419" s="300"/>
      <c r="E1419" s="302"/>
      <c r="F1419" s="304"/>
      <c r="G1419" s="276"/>
      <c r="H1419" s="277"/>
      <c r="I1419" s="290"/>
      <c r="J1419" s="290"/>
      <c r="K1419" s="291"/>
      <c r="L1419" s="17"/>
      <c r="M1419" s="286"/>
      <c r="N1419" s="21"/>
      <c r="O1419" s="286"/>
      <c r="P1419" s="21"/>
      <c r="Q1419" s="286"/>
      <c r="R1419" s="248"/>
      <c r="S1419" s="287"/>
      <c r="T1419" s="248"/>
      <c r="U1419" s="13"/>
      <c r="V1419" s="282"/>
      <c r="W1419" s="283"/>
      <c r="X1419" s="284"/>
      <c r="Y1419" s="245"/>
      <c r="Z1419" s="245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BP1419" s="391"/>
      <c r="BQ1419" s="393"/>
    </row>
    <row r="1420" spans="1:69" ht="14.25" customHeight="1" x14ac:dyDescent="0.35">
      <c r="A1420" s="293">
        <v>702</v>
      </c>
      <c r="B1420" s="295"/>
      <c r="C1420" s="297"/>
      <c r="D1420" s="299"/>
      <c r="E1420" s="301"/>
      <c r="F1420" s="303"/>
      <c r="G1420" s="288"/>
      <c r="H1420" s="289"/>
      <c r="I1420" s="290"/>
      <c r="J1420" s="290"/>
      <c r="K1420" s="291"/>
      <c r="L1420" s="18"/>
      <c r="M1420" s="285" t="str">
        <f t="shared" ref="M1420" si="2211">IF(COUNT(L1420:L1421)&lt;1,"",AVERAGE(L1420:L1421))</f>
        <v/>
      </c>
      <c r="N1420" s="22"/>
      <c r="O1420" s="285" t="str">
        <f t="shared" ref="O1420" si="2212">IF(COUNT(N1420:N1421)&lt;1,"",AVERAGE(N1420:N1421))</f>
        <v/>
      </c>
      <c r="P1420" s="22"/>
      <c r="Q1420" s="285" t="str">
        <f t="shared" ref="Q1420" si="2213">IF(COUNT(P1420:P1421)&lt;1,"",AVERAGE(P1420:P1421))</f>
        <v/>
      </c>
      <c r="R1420" s="278" t="str">
        <f>IF($X$13="/28",IF(COUNT(P1420:P1421)&lt;=1,"",ABS(P1420-P1421)),IF($X$13="/90",IF(COUNT(#REF!)&lt;=1,"",ABS(#REF!-#REF!))))</f>
        <v/>
      </c>
      <c r="S1420" s="278" t="str">
        <f>IF($X$13="/28",IF(Q1420="","",IF(AVERAGE(Q1416:Q1421)&gt;=$W$13,ROUND(AVERAGE(Q1416:Q1421),1)&amp;" ≥ "&amp;$W$13&amp;" OK",ROUND(AVERAGE(Q1416:Q1421),1)&amp;" &lt; "&amp;$W$13&amp;" NC")),IF($X$13="/90",IF(#REF!="","",IF(AVERAGE(#REF!)&gt;=$W$13,ROUND(AVERAGE(#REF!),1)&amp;" ≥ "&amp;$W$13&amp;" OK",ROUND(AVERAGE(#REF!),1)&amp;" &lt; "&amp;$W$13&amp;" NC"))))</f>
        <v/>
      </c>
      <c r="T1420" s="278" t="str">
        <f>IF($X$13="/28",IF(Q1420="","",IF(Q1420&gt;=$W$13-$S$12,ROUND((Q1420),1)&amp;" ≥ "&amp;$W$13-$S$12&amp;" OK",ROUND((Q1420),1)&amp;" &lt; "&amp;$W$13-$S$12&amp;" NC")),IF($X$13="/90",IF(#REF!="","",IF(#REF!&gt;=$W$13-$S$12,ROUND((#REF!),1)&amp;" ≥ "&amp;$W$13-$S$12&amp;" OK",ROUND((#REF!),1)&amp;" &lt; "&amp;$W$13-$S$12&amp;" NC"))))</f>
        <v/>
      </c>
      <c r="U1420" s="14"/>
      <c r="V1420" s="279"/>
      <c r="W1420" s="280"/>
      <c r="X1420" s="281"/>
      <c r="Y1420" s="246"/>
      <c r="Z1420" s="246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BP1420" s="390" t="str">
        <f>IF($X$13="/28",IF(Q1420="","",Q1420),IF($X$13="/90",IF(#REF!="","",#REF!),"Falso"))</f>
        <v/>
      </c>
      <c r="BQ1420" s="392" t="str">
        <f t="shared" ref="BQ1420:BQ1480" si="2214">IF(BP1420="","",BQ1418+1)</f>
        <v/>
      </c>
    </row>
    <row r="1421" spans="1:69" ht="14.25" customHeight="1" x14ac:dyDescent="0.35">
      <c r="A1421" s="294"/>
      <c r="B1421" s="296"/>
      <c r="C1421" s="298"/>
      <c r="D1421" s="300"/>
      <c r="E1421" s="302"/>
      <c r="F1421" s="304"/>
      <c r="G1421" s="276"/>
      <c r="H1421" s="277"/>
      <c r="I1421" s="290"/>
      <c r="J1421" s="290"/>
      <c r="K1421" s="291"/>
      <c r="L1421" s="17"/>
      <c r="M1421" s="286"/>
      <c r="N1421" s="21"/>
      <c r="O1421" s="286"/>
      <c r="P1421" s="21"/>
      <c r="Q1421" s="286"/>
      <c r="R1421" s="248"/>
      <c r="S1421" s="287"/>
      <c r="T1421" s="248"/>
      <c r="U1421" s="13"/>
      <c r="V1421" s="282"/>
      <c r="W1421" s="283"/>
      <c r="X1421" s="284"/>
      <c r="Y1421" s="245"/>
      <c r="Z1421" s="245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BP1421" s="391"/>
      <c r="BQ1421" s="393"/>
    </row>
    <row r="1422" spans="1:69" ht="14.25" customHeight="1" x14ac:dyDescent="0.35">
      <c r="A1422" s="293">
        <v>703</v>
      </c>
      <c r="B1422" s="295"/>
      <c r="C1422" s="297"/>
      <c r="D1422" s="299"/>
      <c r="E1422" s="301"/>
      <c r="F1422" s="303"/>
      <c r="G1422" s="288"/>
      <c r="H1422" s="289"/>
      <c r="I1422" s="290"/>
      <c r="J1422" s="290"/>
      <c r="K1422" s="291"/>
      <c r="L1422" s="18"/>
      <c r="M1422" s="285" t="str">
        <f t="shared" ref="M1422" si="2215">IF(COUNT(L1422:L1423)&lt;1,"",AVERAGE(L1422:L1423))</f>
        <v/>
      </c>
      <c r="N1422" s="22"/>
      <c r="O1422" s="285" t="str">
        <f t="shared" ref="O1422" si="2216">IF(COUNT(N1422:N1423)&lt;1,"",AVERAGE(N1422:N1423))</f>
        <v/>
      </c>
      <c r="P1422" s="22"/>
      <c r="Q1422" s="285" t="str">
        <f t="shared" ref="Q1422" si="2217">IF(COUNT(P1422:P1423)&lt;1,"",AVERAGE(P1422:P1423))</f>
        <v/>
      </c>
      <c r="R1422" s="278" t="str">
        <f>IF($X$13="/28",IF(COUNT(P1422:P1423)&lt;=1,"",ABS(P1422-P1423)),IF($X$13="/90",IF(COUNT(#REF!)&lt;=1,"",ABS(#REF!-#REF!))))</f>
        <v/>
      </c>
      <c r="S1422" s="278" t="str">
        <f>IF($X$13="/28",IF(Q1422="","",IF(AVERAGE(Q1418:Q1423)&gt;=$W$13,ROUND(AVERAGE(Q1418:Q1423),1)&amp;" ≥ "&amp;$W$13&amp;" OK",ROUND(AVERAGE(Q1418:Q1423),1)&amp;" &lt; "&amp;$W$13&amp;" NC")),IF($X$13="/90",IF(#REF!="","",IF(AVERAGE(#REF!)&gt;=$W$13,ROUND(AVERAGE(#REF!),1)&amp;" ≥ "&amp;$W$13&amp;" OK",ROUND(AVERAGE(#REF!),1)&amp;" &lt; "&amp;$W$13&amp;" NC"))))</f>
        <v/>
      </c>
      <c r="T1422" s="278" t="str">
        <f>IF($X$13="/28",IF(Q1422="","",IF(Q1422&gt;=$W$13-$S$12,ROUND((Q1422),1)&amp;" ≥ "&amp;$W$13-$S$12&amp;" OK",ROUND((Q1422),1)&amp;" &lt; "&amp;$W$13-$S$12&amp;" NC")),IF($X$13="/90",IF(#REF!="","",IF(#REF!&gt;=$W$13-$S$12,ROUND((#REF!),1)&amp;" ≥ "&amp;$W$13-$S$12&amp;" OK",ROUND((#REF!),1)&amp;" &lt; "&amp;$W$13-$S$12&amp;" NC"))))</f>
        <v/>
      </c>
      <c r="U1422" s="14"/>
      <c r="V1422" s="279"/>
      <c r="W1422" s="280"/>
      <c r="X1422" s="281"/>
      <c r="Y1422" s="246"/>
      <c r="Z1422" s="246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BP1422" s="390" t="str">
        <f>IF($X$13="/28",IF(Q1422="","",Q1422),IF($X$13="/90",IF(#REF!="","",#REF!),"Falso"))</f>
        <v/>
      </c>
      <c r="BQ1422" s="392" t="str">
        <f t="shared" si="2206"/>
        <v/>
      </c>
    </row>
    <row r="1423" spans="1:69" ht="14.25" customHeight="1" x14ac:dyDescent="0.35">
      <c r="A1423" s="294"/>
      <c r="B1423" s="296"/>
      <c r="C1423" s="298"/>
      <c r="D1423" s="300"/>
      <c r="E1423" s="302"/>
      <c r="F1423" s="304"/>
      <c r="G1423" s="276"/>
      <c r="H1423" s="277"/>
      <c r="I1423" s="290"/>
      <c r="J1423" s="290"/>
      <c r="K1423" s="291"/>
      <c r="L1423" s="17"/>
      <c r="M1423" s="286"/>
      <c r="N1423" s="21"/>
      <c r="O1423" s="286"/>
      <c r="P1423" s="21"/>
      <c r="Q1423" s="286"/>
      <c r="R1423" s="248"/>
      <c r="S1423" s="287"/>
      <c r="T1423" s="248"/>
      <c r="U1423" s="13"/>
      <c r="V1423" s="282"/>
      <c r="W1423" s="283"/>
      <c r="X1423" s="284"/>
      <c r="Y1423" s="245"/>
      <c r="Z1423" s="245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BP1423" s="391"/>
      <c r="BQ1423" s="393"/>
    </row>
    <row r="1424" spans="1:69" ht="14.25" customHeight="1" x14ac:dyDescent="0.35">
      <c r="A1424" s="293">
        <v>704</v>
      </c>
      <c r="B1424" s="295"/>
      <c r="C1424" s="297"/>
      <c r="D1424" s="299"/>
      <c r="E1424" s="301"/>
      <c r="F1424" s="303"/>
      <c r="G1424" s="288"/>
      <c r="H1424" s="289"/>
      <c r="I1424" s="290"/>
      <c r="J1424" s="290"/>
      <c r="K1424" s="291"/>
      <c r="L1424" s="18"/>
      <c r="M1424" s="285" t="str">
        <f t="shared" ref="M1424" si="2218">IF(COUNT(L1424:L1425)&lt;1,"",AVERAGE(L1424:L1425))</f>
        <v/>
      </c>
      <c r="N1424" s="22"/>
      <c r="O1424" s="285" t="str">
        <f t="shared" ref="O1424" si="2219">IF(COUNT(N1424:N1425)&lt;1,"",AVERAGE(N1424:N1425))</f>
        <v/>
      </c>
      <c r="P1424" s="22"/>
      <c r="Q1424" s="285" t="str">
        <f t="shared" ref="Q1424" si="2220">IF(COUNT(P1424:P1425)&lt;1,"",AVERAGE(P1424:P1425))</f>
        <v/>
      </c>
      <c r="R1424" s="278" t="str">
        <f>IF($X$13="/28",IF(COUNT(P1424:P1425)&lt;=1,"",ABS(P1424-P1425)),IF($X$13="/90",IF(COUNT(#REF!)&lt;=1,"",ABS(#REF!-#REF!))))</f>
        <v/>
      </c>
      <c r="S1424" s="278" t="str">
        <f>IF($X$13="/28",IF(Q1424="","",IF(AVERAGE(Q1420:Q1425)&gt;=$W$13,ROUND(AVERAGE(Q1420:Q1425),1)&amp;" ≥ "&amp;$W$13&amp;" OK",ROUND(AVERAGE(Q1420:Q1425),1)&amp;" &lt; "&amp;$W$13&amp;" NC")),IF($X$13="/90",IF(#REF!="","",IF(AVERAGE(#REF!)&gt;=$W$13,ROUND(AVERAGE(#REF!),1)&amp;" ≥ "&amp;$W$13&amp;" OK",ROUND(AVERAGE(#REF!),1)&amp;" &lt; "&amp;$W$13&amp;" NC"))))</f>
        <v/>
      </c>
      <c r="T1424" s="278" t="str">
        <f>IF($X$13="/28",IF(Q1424="","",IF(Q1424&gt;=$W$13-$S$12,ROUND((Q1424),1)&amp;" ≥ "&amp;$W$13-$S$12&amp;" OK",ROUND((Q1424),1)&amp;" &lt; "&amp;$W$13-$S$12&amp;" NC")),IF($X$13="/90",IF(#REF!="","",IF(#REF!&gt;=$W$13-$S$12,ROUND((#REF!),1)&amp;" ≥ "&amp;$W$13-$S$12&amp;" OK",ROUND((#REF!),1)&amp;" &lt; "&amp;$W$13-$S$12&amp;" NC"))))</f>
        <v/>
      </c>
      <c r="U1424" s="14"/>
      <c r="V1424" s="279"/>
      <c r="W1424" s="280"/>
      <c r="X1424" s="281"/>
      <c r="Y1424" s="246"/>
      <c r="Z1424" s="246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BP1424" s="390" t="str">
        <f>IF($X$13="/28",IF(Q1424="","",Q1424),IF($X$13="/90",IF(#REF!="","",#REF!),"Falso"))</f>
        <v/>
      </c>
      <c r="BQ1424" s="392" t="str">
        <f t="shared" si="2210"/>
        <v/>
      </c>
    </row>
    <row r="1425" spans="1:69" ht="14.25" customHeight="1" x14ac:dyDescent="0.35">
      <c r="A1425" s="294"/>
      <c r="B1425" s="296"/>
      <c r="C1425" s="298"/>
      <c r="D1425" s="300"/>
      <c r="E1425" s="302"/>
      <c r="F1425" s="304"/>
      <c r="G1425" s="276"/>
      <c r="H1425" s="277"/>
      <c r="I1425" s="290"/>
      <c r="J1425" s="290"/>
      <c r="K1425" s="291"/>
      <c r="L1425" s="17"/>
      <c r="M1425" s="286"/>
      <c r="N1425" s="21"/>
      <c r="O1425" s="286"/>
      <c r="P1425" s="21"/>
      <c r="Q1425" s="286"/>
      <c r="R1425" s="248"/>
      <c r="S1425" s="287"/>
      <c r="T1425" s="248"/>
      <c r="U1425" s="13"/>
      <c r="V1425" s="282"/>
      <c r="W1425" s="283"/>
      <c r="X1425" s="284"/>
      <c r="Y1425" s="245"/>
      <c r="Z1425" s="245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BP1425" s="391"/>
      <c r="BQ1425" s="393"/>
    </row>
    <row r="1426" spans="1:69" ht="14.25" customHeight="1" x14ac:dyDescent="0.35">
      <c r="A1426" s="293">
        <v>705</v>
      </c>
      <c r="B1426" s="295"/>
      <c r="C1426" s="297"/>
      <c r="D1426" s="299"/>
      <c r="E1426" s="301"/>
      <c r="F1426" s="303"/>
      <c r="G1426" s="288"/>
      <c r="H1426" s="289"/>
      <c r="I1426" s="290"/>
      <c r="J1426" s="290"/>
      <c r="K1426" s="291"/>
      <c r="L1426" s="18"/>
      <c r="M1426" s="285" t="str">
        <f t="shared" ref="M1426" si="2221">IF(COUNT(L1426:L1427)&lt;1,"",AVERAGE(L1426:L1427))</f>
        <v/>
      </c>
      <c r="N1426" s="22"/>
      <c r="O1426" s="285" t="str">
        <f t="shared" ref="O1426" si="2222">IF(COUNT(N1426:N1427)&lt;1,"",AVERAGE(N1426:N1427))</f>
        <v/>
      </c>
      <c r="P1426" s="22"/>
      <c r="Q1426" s="285" t="str">
        <f t="shared" ref="Q1426" si="2223">IF(COUNT(P1426:P1427)&lt;1,"",AVERAGE(P1426:P1427))</f>
        <v/>
      </c>
      <c r="R1426" s="278" t="str">
        <f>IF($X$13="/28",IF(COUNT(P1426:P1427)&lt;=1,"",ABS(P1426-P1427)),IF($X$13="/90",IF(COUNT(#REF!)&lt;=1,"",ABS(#REF!-#REF!))))</f>
        <v/>
      </c>
      <c r="S1426" s="278" t="str">
        <f>IF($X$13="/28",IF(Q1426="","",IF(AVERAGE(Q1422:Q1427)&gt;=$W$13,ROUND(AVERAGE(Q1422:Q1427),1)&amp;" ≥ "&amp;$W$13&amp;" OK",ROUND(AVERAGE(Q1422:Q1427),1)&amp;" &lt; "&amp;$W$13&amp;" NC")),IF($X$13="/90",IF(#REF!="","",IF(AVERAGE(#REF!)&gt;=$W$13,ROUND(AVERAGE(#REF!),1)&amp;" ≥ "&amp;$W$13&amp;" OK",ROUND(AVERAGE(#REF!),1)&amp;" &lt; "&amp;$W$13&amp;" NC"))))</f>
        <v/>
      </c>
      <c r="T1426" s="278" t="str">
        <f>IF($X$13="/28",IF(Q1426="","",IF(Q1426&gt;=$W$13-$S$12,ROUND((Q1426),1)&amp;" ≥ "&amp;$W$13-$S$12&amp;" OK",ROUND((Q1426),1)&amp;" &lt; "&amp;$W$13-$S$12&amp;" NC")),IF($X$13="/90",IF(#REF!="","",IF(#REF!&gt;=$W$13-$S$12,ROUND((#REF!),1)&amp;" ≥ "&amp;$W$13-$S$12&amp;" OK",ROUND((#REF!),1)&amp;" &lt; "&amp;$W$13-$S$12&amp;" NC"))))</f>
        <v/>
      </c>
      <c r="U1426" s="14"/>
      <c r="V1426" s="279"/>
      <c r="W1426" s="280"/>
      <c r="X1426" s="281"/>
      <c r="Y1426" s="246"/>
      <c r="Z1426" s="246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BP1426" s="390" t="str">
        <f>IF($X$13="/28",IF(Q1426="","",Q1426),IF($X$13="/90",IF(#REF!="","",#REF!),"Falso"))</f>
        <v/>
      </c>
      <c r="BQ1426" s="392" t="str">
        <f t="shared" si="2214"/>
        <v/>
      </c>
    </row>
    <row r="1427" spans="1:69" ht="14.25" customHeight="1" x14ac:dyDescent="0.35">
      <c r="A1427" s="294"/>
      <c r="B1427" s="296"/>
      <c r="C1427" s="298"/>
      <c r="D1427" s="300"/>
      <c r="E1427" s="302"/>
      <c r="F1427" s="304"/>
      <c r="G1427" s="276"/>
      <c r="H1427" s="277"/>
      <c r="I1427" s="290"/>
      <c r="J1427" s="290"/>
      <c r="K1427" s="291"/>
      <c r="L1427" s="17"/>
      <c r="M1427" s="286"/>
      <c r="N1427" s="21"/>
      <c r="O1427" s="286"/>
      <c r="P1427" s="21"/>
      <c r="Q1427" s="286"/>
      <c r="R1427" s="248"/>
      <c r="S1427" s="287"/>
      <c r="T1427" s="248"/>
      <c r="U1427" s="13"/>
      <c r="V1427" s="282"/>
      <c r="W1427" s="283"/>
      <c r="X1427" s="284"/>
      <c r="Y1427" s="245"/>
      <c r="Z1427" s="245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BP1427" s="391"/>
      <c r="BQ1427" s="393"/>
    </row>
    <row r="1428" spans="1:69" ht="14.25" customHeight="1" x14ac:dyDescent="0.35">
      <c r="A1428" s="293">
        <v>706</v>
      </c>
      <c r="B1428" s="295"/>
      <c r="C1428" s="297"/>
      <c r="D1428" s="299"/>
      <c r="E1428" s="301"/>
      <c r="F1428" s="303"/>
      <c r="G1428" s="288"/>
      <c r="H1428" s="289"/>
      <c r="I1428" s="290"/>
      <c r="J1428" s="290"/>
      <c r="K1428" s="291"/>
      <c r="L1428" s="18"/>
      <c r="M1428" s="285" t="str">
        <f t="shared" ref="M1428" si="2224">IF(COUNT(L1428:L1429)&lt;1,"",AVERAGE(L1428:L1429))</f>
        <v/>
      </c>
      <c r="N1428" s="22"/>
      <c r="O1428" s="285" t="str">
        <f t="shared" ref="O1428" si="2225">IF(COUNT(N1428:N1429)&lt;1,"",AVERAGE(N1428:N1429))</f>
        <v/>
      </c>
      <c r="P1428" s="22"/>
      <c r="Q1428" s="285" t="str">
        <f t="shared" ref="Q1428" si="2226">IF(COUNT(P1428:P1429)&lt;1,"",AVERAGE(P1428:P1429))</f>
        <v/>
      </c>
      <c r="R1428" s="278" t="str">
        <f>IF($X$13="/28",IF(COUNT(P1428:P1429)&lt;=1,"",ABS(P1428-P1429)),IF($X$13="/90",IF(COUNT(#REF!)&lt;=1,"",ABS(#REF!-#REF!))))</f>
        <v/>
      </c>
      <c r="S1428" s="278" t="str">
        <f>IF($X$13="/28",IF(Q1428="","",IF(AVERAGE(Q1424:Q1429)&gt;=$W$13,ROUND(AVERAGE(Q1424:Q1429),1)&amp;" ≥ "&amp;$W$13&amp;" OK",ROUND(AVERAGE(Q1424:Q1429),1)&amp;" &lt; "&amp;$W$13&amp;" NC")),IF($X$13="/90",IF(#REF!="","",IF(AVERAGE(#REF!)&gt;=$W$13,ROUND(AVERAGE(#REF!),1)&amp;" ≥ "&amp;$W$13&amp;" OK",ROUND(AVERAGE(#REF!),1)&amp;" &lt; "&amp;$W$13&amp;" NC"))))</f>
        <v/>
      </c>
      <c r="T1428" s="278" t="str">
        <f>IF($X$13="/28",IF(Q1428="","",IF(Q1428&gt;=$W$13-$S$12,ROUND((Q1428),1)&amp;" ≥ "&amp;$W$13-$S$12&amp;" OK",ROUND((Q1428),1)&amp;" &lt; "&amp;$W$13-$S$12&amp;" NC")),IF($X$13="/90",IF(#REF!="","",IF(#REF!&gt;=$W$13-$S$12,ROUND((#REF!),1)&amp;" ≥ "&amp;$W$13-$S$12&amp;" OK",ROUND((#REF!),1)&amp;" &lt; "&amp;$W$13-$S$12&amp;" NC"))))</f>
        <v/>
      </c>
      <c r="U1428" s="14"/>
      <c r="V1428" s="279"/>
      <c r="W1428" s="280"/>
      <c r="X1428" s="281"/>
      <c r="Y1428" s="246"/>
      <c r="Z1428" s="246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BP1428" s="390" t="str">
        <f>IF($X$13="/28",IF(Q1428="","",Q1428),IF($X$13="/90",IF(#REF!="","",#REF!),"Falso"))</f>
        <v/>
      </c>
      <c r="BQ1428" s="392" t="str">
        <f t="shared" si="2206"/>
        <v/>
      </c>
    </row>
    <row r="1429" spans="1:69" ht="14.25" customHeight="1" x14ac:dyDescent="0.35">
      <c r="A1429" s="294"/>
      <c r="B1429" s="296"/>
      <c r="C1429" s="298"/>
      <c r="D1429" s="300"/>
      <c r="E1429" s="302"/>
      <c r="F1429" s="304"/>
      <c r="G1429" s="276"/>
      <c r="H1429" s="277"/>
      <c r="I1429" s="290"/>
      <c r="J1429" s="290"/>
      <c r="K1429" s="291"/>
      <c r="L1429" s="17"/>
      <c r="M1429" s="286"/>
      <c r="N1429" s="21"/>
      <c r="O1429" s="286"/>
      <c r="P1429" s="21"/>
      <c r="Q1429" s="286"/>
      <c r="R1429" s="248"/>
      <c r="S1429" s="287"/>
      <c r="T1429" s="248"/>
      <c r="U1429" s="13"/>
      <c r="V1429" s="282"/>
      <c r="W1429" s="283"/>
      <c r="X1429" s="284"/>
      <c r="Y1429" s="245"/>
      <c r="Z1429" s="245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BP1429" s="391"/>
      <c r="BQ1429" s="393"/>
    </row>
    <row r="1430" spans="1:69" ht="14.25" customHeight="1" x14ac:dyDescent="0.35">
      <c r="A1430" s="293">
        <v>707</v>
      </c>
      <c r="B1430" s="295"/>
      <c r="C1430" s="297"/>
      <c r="D1430" s="299"/>
      <c r="E1430" s="301"/>
      <c r="F1430" s="303"/>
      <c r="G1430" s="288"/>
      <c r="H1430" s="289"/>
      <c r="I1430" s="290"/>
      <c r="J1430" s="290"/>
      <c r="K1430" s="291"/>
      <c r="L1430" s="18"/>
      <c r="M1430" s="285" t="str">
        <f t="shared" ref="M1430" si="2227">IF(COUNT(L1430:L1431)&lt;1,"",AVERAGE(L1430:L1431))</f>
        <v/>
      </c>
      <c r="N1430" s="22"/>
      <c r="O1430" s="285" t="str">
        <f t="shared" ref="O1430" si="2228">IF(COUNT(N1430:N1431)&lt;1,"",AVERAGE(N1430:N1431))</f>
        <v/>
      </c>
      <c r="P1430" s="22"/>
      <c r="Q1430" s="285" t="str">
        <f t="shared" ref="Q1430" si="2229">IF(COUNT(P1430:P1431)&lt;1,"",AVERAGE(P1430:P1431))</f>
        <v/>
      </c>
      <c r="R1430" s="278" t="str">
        <f>IF($X$13="/28",IF(COUNT(P1430:P1431)&lt;=1,"",ABS(P1430-P1431)),IF($X$13="/90",IF(COUNT(#REF!)&lt;=1,"",ABS(#REF!-#REF!))))</f>
        <v/>
      </c>
      <c r="S1430" s="278" t="str">
        <f>IF($X$13="/28",IF(Q1430="","",IF(AVERAGE(Q1426:Q1431)&gt;=$W$13,ROUND(AVERAGE(Q1426:Q1431),1)&amp;" ≥ "&amp;$W$13&amp;" OK",ROUND(AVERAGE(Q1426:Q1431),1)&amp;" &lt; "&amp;$W$13&amp;" NC")),IF($X$13="/90",IF(#REF!="","",IF(AVERAGE(#REF!)&gt;=$W$13,ROUND(AVERAGE(#REF!),1)&amp;" ≥ "&amp;$W$13&amp;" OK",ROUND(AVERAGE(#REF!),1)&amp;" &lt; "&amp;$W$13&amp;" NC"))))</f>
        <v/>
      </c>
      <c r="T1430" s="278" t="str">
        <f>IF($X$13="/28",IF(Q1430="","",IF(Q1430&gt;=$W$13-$S$12,ROUND((Q1430),1)&amp;" ≥ "&amp;$W$13-$S$12&amp;" OK",ROUND((Q1430),1)&amp;" &lt; "&amp;$W$13-$S$12&amp;" NC")),IF($X$13="/90",IF(#REF!="","",IF(#REF!&gt;=$W$13-$S$12,ROUND((#REF!),1)&amp;" ≥ "&amp;$W$13-$S$12&amp;" OK",ROUND((#REF!),1)&amp;" &lt; "&amp;$W$13-$S$12&amp;" NC"))))</f>
        <v/>
      </c>
      <c r="U1430" s="14"/>
      <c r="V1430" s="279"/>
      <c r="W1430" s="280"/>
      <c r="X1430" s="281"/>
      <c r="Y1430" s="246"/>
      <c r="Z1430" s="246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BP1430" s="390" t="str">
        <f>IF($X$13="/28",IF(Q1430="","",Q1430),IF($X$13="/90",IF(#REF!="","",#REF!),"Falso"))</f>
        <v/>
      </c>
      <c r="BQ1430" s="392" t="str">
        <f t="shared" si="2210"/>
        <v/>
      </c>
    </row>
    <row r="1431" spans="1:69" ht="14.25" customHeight="1" x14ac:dyDescent="0.35">
      <c r="A1431" s="294"/>
      <c r="B1431" s="296"/>
      <c r="C1431" s="298"/>
      <c r="D1431" s="300"/>
      <c r="E1431" s="302"/>
      <c r="F1431" s="304"/>
      <c r="G1431" s="276"/>
      <c r="H1431" s="277"/>
      <c r="I1431" s="290"/>
      <c r="J1431" s="290"/>
      <c r="K1431" s="291"/>
      <c r="L1431" s="17"/>
      <c r="M1431" s="286"/>
      <c r="N1431" s="21"/>
      <c r="O1431" s="286"/>
      <c r="P1431" s="21"/>
      <c r="Q1431" s="286"/>
      <c r="R1431" s="248"/>
      <c r="S1431" s="287"/>
      <c r="T1431" s="248"/>
      <c r="U1431" s="13"/>
      <c r="V1431" s="282"/>
      <c r="W1431" s="283"/>
      <c r="X1431" s="284"/>
      <c r="Y1431" s="245"/>
      <c r="Z1431" s="245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BP1431" s="391"/>
      <c r="BQ1431" s="393"/>
    </row>
    <row r="1432" spans="1:69" ht="14.25" customHeight="1" x14ac:dyDescent="0.35">
      <c r="A1432" s="293">
        <v>708</v>
      </c>
      <c r="B1432" s="295"/>
      <c r="C1432" s="297"/>
      <c r="D1432" s="299"/>
      <c r="E1432" s="301"/>
      <c r="F1432" s="303"/>
      <c r="G1432" s="288"/>
      <c r="H1432" s="289"/>
      <c r="I1432" s="290"/>
      <c r="J1432" s="290"/>
      <c r="K1432" s="291"/>
      <c r="L1432" s="18"/>
      <c r="M1432" s="285" t="str">
        <f t="shared" ref="M1432" si="2230">IF(COUNT(L1432:L1433)&lt;1,"",AVERAGE(L1432:L1433))</f>
        <v/>
      </c>
      <c r="N1432" s="22"/>
      <c r="O1432" s="285" t="str">
        <f t="shared" ref="O1432" si="2231">IF(COUNT(N1432:N1433)&lt;1,"",AVERAGE(N1432:N1433))</f>
        <v/>
      </c>
      <c r="P1432" s="22"/>
      <c r="Q1432" s="285" t="str">
        <f t="shared" ref="Q1432" si="2232">IF(COUNT(P1432:P1433)&lt;1,"",AVERAGE(P1432:P1433))</f>
        <v/>
      </c>
      <c r="R1432" s="278" t="str">
        <f>IF($X$13="/28",IF(COUNT(P1432:P1433)&lt;=1,"",ABS(P1432-P1433)),IF($X$13="/90",IF(COUNT(#REF!)&lt;=1,"",ABS(#REF!-#REF!))))</f>
        <v/>
      </c>
      <c r="S1432" s="278" t="str">
        <f>IF($X$13="/28",IF(Q1432="","",IF(AVERAGE(Q1428:Q1433)&gt;=$W$13,ROUND(AVERAGE(Q1428:Q1433),1)&amp;" ≥ "&amp;$W$13&amp;" OK",ROUND(AVERAGE(Q1428:Q1433),1)&amp;" &lt; "&amp;$W$13&amp;" NC")),IF($X$13="/90",IF(#REF!="","",IF(AVERAGE(#REF!)&gt;=$W$13,ROUND(AVERAGE(#REF!),1)&amp;" ≥ "&amp;$W$13&amp;" OK",ROUND(AVERAGE(#REF!),1)&amp;" &lt; "&amp;$W$13&amp;" NC"))))</f>
        <v/>
      </c>
      <c r="T1432" s="278" t="str">
        <f>IF($X$13="/28",IF(Q1432="","",IF(Q1432&gt;=$W$13-$S$12,ROUND((Q1432),1)&amp;" ≥ "&amp;$W$13-$S$12&amp;" OK",ROUND((Q1432),1)&amp;" &lt; "&amp;$W$13-$S$12&amp;" NC")),IF($X$13="/90",IF(#REF!="","",IF(#REF!&gt;=$W$13-$S$12,ROUND((#REF!),1)&amp;" ≥ "&amp;$W$13-$S$12&amp;" OK",ROUND((#REF!),1)&amp;" &lt; "&amp;$W$13-$S$12&amp;" NC"))))</f>
        <v/>
      </c>
      <c r="U1432" s="14"/>
      <c r="V1432" s="279"/>
      <c r="W1432" s="280"/>
      <c r="X1432" s="281"/>
      <c r="Y1432" s="246"/>
      <c r="Z1432" s="246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BP1432" s="390" t="str">
        <f>IF($X$13="/28",IF(Q1432="","",Q1432),IF($X$13="/90",IF(#REF!="","",#REF!),"Falso"))</f>
        <v/>
      </c>
      <c r="BQ1432" s="392" t="str">
        <f t="shared" si="2214"/>
        <v/>
      </c>
    </row>
    <row r="1433" spans="1:69" ht="14.25" customHeight="1" x14ac:dyDescent="0.35">
      <c r="A1433" s="294"/>
      <c r="B1433" s="296"/>
      <c r="C1433" s="298"/>
      <c r="D1433" s="300"/>
      <c r="E1433" s="302"/>
      <c r="F1433" s="304"/>
      <c r="G1433" s="276"/>
      <c r="H1433" s="277"/>
      <c r="I1433" s="290"/>
      <c r="J1433" s="290"/>
      <c r="K1433" s="291"/>
      <c r="L1433" s="17"/>
      <c r="M1433" s="286"/>
      <c r="N1433" s="21"/>
      <c r="O1433" s="286"/>
      <c r="P1433" s="21"/>
      <c r="Q1433" s="286"/>
      <c r="R1433" s="248"/>
      <c r="S1433" s="287"/>
      <c r="T1433" s="248"/>
      <c r="U1433" s="13"/>
      <c r="V1433" s="282"/>
      <c r="W1433" s="283"/>
      <c r="X1433" s="284"/>
      <c r="Y1433" s="245"/>
      <c r="Z1433" s="245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BP1433" s="391"/>
      <c r="BQ1433" s="393"/>
    </row>
    <row r="1434" spans="1:69" ht="14.25" customHeight="1" x14ac:dyDescent="0.35">
      <c r="A1434" s="293">
        <v>709</v>
      </c>
      <c r="B1434" s="295"/>
      <c r="C1434" s="297"/>
      <c r="D1434" s="299"/>
      <c r="E1434" s="301"/>
      <c r="F1434" s="303"/>
      <c r="G1434" s="288"/>
      <c r="H1434" s="289"/>
      <c r="I1434" s="290"/>
      <c r="J1434" s="290"/>
      <c r="K1434" s="291"/>
      <c r="L1434" s="18"/>
      <c r="M1434" s="285" t="str">
        <f t="shared" ref="M1434" si="2233">IF(COUNT(L1434:L1435)&lt;1,"",AVERAGE(L1434:L1435))</f>
        <v/>
      </c>
      <c r="N1434" s="22"/>
      <c r="O1434" s="285" t="str">
        <f t="shared" ref="O1434" si="2234">IF(COUNT(N1434:N1435)&lt;1,"",AVERAGE(N1434:N1435))</f>
        <v/>
      </c>
      <c r="P1434" s="22"/>
      <c r="Q1434" s="285" t="str">
        <f t="shared" ref="Q1434" si="2235">IF(COUNT(P1434:P1435)&lt;1,"",AVERAGE(P1434:P1435))</f>
        <v/>
      </c>
      <c r="R1434" s="278" t="str">
        <f>IF($X$13="/28",IF(COUNT(P1434:P1435)&lt;=1,"",ABS(P1434-P1435)),IF($X$13="/90",IF(COUNT(#REF!)&lt;=1,"",ABS(#REF!-#REF!))))</f>
        <v/>
      </c>
      <c r="S1434" s="278" t="str">
        <f>IF($X$13="/28",IF(Q1434="","",IF(AVERAGE(Q1430:Q1435)&gt;=$W$13,ROUND(AVERAGE(Q1430:Q1435),1)&amp;" ≥ "&amp;$W$13&amp;" OK",ROUND(AVERAGE(Q1430:Q1435),1)&amp;" &lt; "&amp;$W$13&amp;" NC")),IF($X$13="/90",IF(#REF!="","",IF(AVERAGE(#REF!)&gt;=$W$13,ROUND(AVERAGE(#REF!),1)&amp;" ≥ "&amp;$W$13&amp;" OK",ROUND(AVERAGE(#REF!),1)&amp;" &lt; "&amp;$W$13&amp;" NC"))))</f>
        <v/>
      </c>
      <c r="T1434" s="278" t="str">
        <f>IF($X$13="/28",IF(Q1434="","",IF(Q1434&gt;=$W$13-$S$12,ROUND((Q1434),1)&amp;" ≥ "&amp;$W$13-$S$12&amp;" OK",ROUND((Q1434),1)&amp;" &lt; "&amp;$W$13-$S$12&amp;" NC")),IF($X$13="/90",IF(#REF!="","",IF(#REF!&gt;=$W$13-$S$12,ROUND((#REF!),1)&amp;" ≥ "&amp;$W$13-$S$12&amp;" OK",ROUND((#REF!),1)&amp;" &lt; "&amp;$W$13-$S$12&amp;" NC"))))</f>
        <v/>
      </c>
      <c r="U1434" s="14"/>
      <c r="V1434" s="279"/>
      <c r="W1434" s="280"/>
      <c r="X1434" s="281"/>
      <c r="Y1434" s="246"/>
      <c r="Z1434" s="246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BP1434" s="390" t="str">
        <f>IF($X$13="/28",IF(Q1434="","",Q1434),IF($X$13="/90",IF(#REF!="","",#REF!),"Falso"))</f>
        <v/>
      </c>
      <c r="BQ1434" s="392" t="str">
        <f t="shared" si="2206"/>
        <v/>
      </c>
    </row>
    <row r="1435" spans="1:69" ht="14.25" customHeight="1" x14ac:dyDescent="0.35">
      <c r="A1435" s="294"/>
      <c r="B1435" s="296"/>
      <c r="C1435" s="298"/>
      <c r="D1435" s="300"/>
      <c r="E1435" s="302"/>
      <c r="F1435" s="304"/>
      <c r="G1435" s="276"/>
      <c r="H1435" s="277"/>
      <c r="I1435" s="290"/>
      <c r="J1435" s="290"/>
      <c r="K1435" s="291"/>
      <c r="L1435" s="17"/>
      <c r="M1435" s="286"/>
      <c r="N1435" s="21"/>
      <c r="O1435" s="286"/>
      <c r="P1435" s="21"/>
      <c r="Q1435" s="286"/>
      <c r="R1435" s="248"/>
      <c r="S1435" s="287"/>
      <c r="T1435" s="248"/>
      <c r="U1435" s="13"/>
      <c r="V1435" s="282"/>
      <c r="W1435" s="283"/>
      <c r="X1435" s="284"/>
      <c r="Y1435" s="245"/>
      <c r="Z1435" s="245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BP1435" s="391"/>
      <c r="BQ1435" s="393"/>
    </row>
    <row r="1436" spans="1:69" ht="14.25" customHeight="1" x14ac:dyDescent="0.35">
      <c r="A1436" s="293">
        <v>710</v>
      </c>
      <c r="B1436" s="295"/>
      <c r="C1436" s="297"/>
      <c r="D1436" s="299"/>
      <c r="E1436" s="301"/>
      <c r="F1436" s="303"/>
      <c r="G1436" s="288"/>
      <c r="H1436" s="289"/>
      <c r="I1436" s="290"/>
      <c r="J1436" s="290"/>
      <c r="K1436" s="291"/>
      <c r="L1436" s="18"/>
      <c r="M1436" s="285" t="str">
        <f t="shared" ref="M1436" si="2236">IF(COUNT(L1436:L1437)&lt;1,"",AVERAGE(L1436:L1437))</f>
        <v/>
      </c>
      <c r="N1436" s="22"/>
      <c r="O1436" s="285" t="str">
        <f t="shared" ref="O1436" si="2237">IF(COUNT(N1436:N1437)&lt;1,"",AVERAGE(N1436:N1437))</f>
        <v/>
      </c>
      <c r="P1436" s="22"/>
      <c r="Q1436" s="285" t="str">
        <f t="shared" ref="Q1436" si="2238">IF(COUNT(P1436:P1437)&lt;1,"",AVERAGE(P1436:P1437))</f>
        <v/>
      </c>
      <c r="R1436" s="278" t="str">
        <f>IF($X$13="/28",IF(COUNT(P1436:P1437)&lt;=1,"",ABS(P1436-P1437)),IF($X$13="/90",IF(COUNT(#REF!)&lt;=1,"",ABS(#REF!-#REF!))))</f>
        <v/>
      </c>
      <c r="S1436" s="278" t="str">
        <f>IF($X$13="/28",IF(Q1436="","",IF(AVERAGE(Q1432:Q1437)&gt;=$W$13,ROUND(AVERAGE(Q1432:Q1437),1)&amp;" ≥ "&amp;$W$13&amp;" OK",ROUND(AVERAGE(Q1432:Q1437),1)&amp;" &lt; "&amp;$W$13&amp;" NC")),IF($X$13="/90",IF(#REF!="","",IF(AVERAGE(#REF!)&gt;=$W$13,ROUND(AVERAGE(#REF!),1)&amp;" ≥ "&amp;$W$13&amp;" OK",ROUND(AVERAGE(#REF!),1)&amp;" &lt; "&amp;$W$13&amp;" NC"))))</f>
        <v/>
      </c>
      <c r="T1436" s="278" t="str">
        <f>IF($X$13="/28",IF(Q1436="","",IF(Q1436&gt;=$W$13-$S$12,ROUND((Q1436),1)&amp;" ≥ "&amp;$W$13-$S$12&amp;" OK",ROUND((Q1436),1)&amp;" &lt; "&amp;$W$13-$S$12&amp;" NC")),IF($X$13="/90",IF(#REF!="","",IF(#REF!&gt;=$W$13-$S$12,ROUND((#REF!),1)&amp;" ≥ "&amp;$W$13-$S$12&amp;" OK",ROUND((#REF!),1)&amp;" &lt; "&amp;$W$13-$S$12&amp;" NC"))))</f>
        <v/>
      </c>
      <c r="U1436" s="14"/>
      <c r="V1436" s="279"/>
      <c r="W1436" s="280"/>
      <c r="X1436" s="281"/>
      <c r="Y1436" s="246"/>
      <c r="Z1436" s="246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BP1436" s="390" t="str">
        <f>IF($X$13="/28",IF(Q1436="","",Q1436),IF($X$13="/90",IF(#REF!="","",#REF!),"Falso"))</f>
        <v/>
      </c>
      <c r="BQ1436" s="392" t="str">
        <f t="shared" si="2210"/>
        <v/>
      </c>
    </row>
    <row r="1437" spans="1:69" ht="14.25" customHeight="1" x14ac:dyDescent="0.35">
      <c r="A1437" s="294"/>
      <c r="B1437" s="296"/>
      <c r="C1437" s="298"/>
      <c r="D1437" s="300"/>
      <c r="E1437" s="302"/>
      <c r="F1437" s="304"/>
      <c r="G1437" s="276"/>
      <c r="H1437" s="277"/>
      <c r="I1437" s="290"/>
      <c r="J1437" s="290"/>
      <c r="K1437" s="291"/>
      <c r="L1437" s="17"/>
      <c r="M1437" s="286"/>
      <c r="N1437" s="21"/>
      <c r="O1437" s="286"/>
      <c r="P1437" s="21"/>
      <c r="Q1437" s="286"/>
      <c r="R1437" s="248"/>
      <c r="S1437" s="287"/>
      <c r="T1437" s="248"/>
      <c r="U1437" s="13"/>
      <c r="V1437" s="282"/>
      <c r="W1437" s="283"/>
      <c r="X1437" s="284"/>
      <c r="Y1437" s="245"/>
      <c r="Z1437" s="245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BP1437" s="391"/>
      <c r="BQ1437" s="393"/>
    </row>
    <row r="1438" spans="1:69" ht="14.25" customHeight="1" x14ac:dyDescent="0.35">
      <c r="A1438" s="293">
        <v>711</v>
      </c>
      <c r="B1438" s="295"/>
      <c r="C1438" s="297"/>
      <c r="D1438" s="299"/>
      <c r="E1438" s="301"/>
      <c r="F1438" s="303"/>
      <c r="G1438" s="288"/>
      <c r="H1438" s="289"/>
      <c r="I1438" s="290"/>
      <c r="J1438" s="290"/>
      <c r="K1438" s="291"/>
      <c r="L1438" s="18"/>
      <c r="M1438" s="285" t="str">
        <f t="shared" ref="M1438" si="2239">IF(COUNT(L1438:L1439)&lt;1,"",AVERAGE(L1438:L1439))</f>
        <v/>
      </c>
      <c r="N1438" s="22"/>
      <c r="O1438" s="285" t="str">
        <f t="shared" ref="O1438" si="2240">IF(COUNT(N1438:N1439)&lt;1,"",AVERAGE(N1438:N1439))</f>
        <v/>
      </c>
      <c r="P1438" s="22"/>
      <c r="Q1438" s="285" t="str">
        <f t="shared" ref="Q1438" si="2241">IF(COUNT(P1438:P1439)&lt;1,"",AVERAGE(P1438:P1439))</f>
        <v/>
      </c>
      <c r="R1438" s="278" t="str">
        <f>IF($X$13="/28",IF(COUNT(P1438:P1439)&lt;=1,"",ABS(P1438-P1439)),IF($X$13="/90",IF(COUNT(#REF!)&lt;=1,"",ABS(#REF!-#REF!))))</f>
        <v/>
      </c>
      <c r="S1438" s="278" t="str">
        <f>IF($X$13="/28",IF(Q1438="","",IF(AVERAGE(Q1434:Q1439)&gt;=$W$13,ROUND(AVERAGE(Q1434:Q1439),1)&amp;" ≥ "&amp;$W$13&amp;" OK",ROUND(AVERAGE(Q1434:Q1439),1)&amp;" &lt; "&amp;$W$13&amp;" NC")),IF($X$13="/90",IF(#REF!="","",IF(AVERAGE(#REF!)&gt;=$W$13,ROUND(AVERAGE(#REF!),1)&amp;" ≥ "&amp;$W$13&amp;" OK",ROUND(AVERAGE(#REF!),1)&amp;" &lt; "&amp;$W$13&amp;" NC"))))</f>
        <v/>
      </c>
      <c r="T1438" s="278" t="str">
        <f>IF($X$13="/28",IF(Q1438="","",IF(Q1438&gt;=$W$13-$S$12,ROUND((Q1438),1)&amp;" ≥ "&amp;$W$13-$S$12&amp;" OK",ROUND((Q1438),1)&amp;" &lt; "&amp;$W$13-$S$12&amp;" NC")),IF($X$13="/90",IF(#REF!="","",IF(#REF!&gt;=$W$13-$S$12,ROUND((#REF!),1)&amp;" ≥ "&amp;$W$13-$S$12&amp;" OK",ROUND((#REF!),1)&amp;" &lt; "&amp;$W$13-$S$12&amp;" NC"))))</f>
        <v/>
      </c>
      <c r="U1438" s="14"/>
      <c r="V1438" s="279"/>
      <c r="W1438" s="280"/>
      <c r="X1438" s="281"/>
      <c r="Y1438" s="246"/>
      <c r="Z1438" s="246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BP1438" s="390" t="str">
        <f>IF($X$13="/28",IF(Q1438="","",Q1438),IF($X$13="/90",IF(#REF!="","",#REF!),"Falso"))</f>
        <v/>
      </c>
      <c r="BQ1438" s="392" t="str">
        <f t="shared" si="2214"/>
        <v/>
      </c>
    </row>
    <row r="1439" spans="1:69" ht="14.25" customHeight="1" x14ac:dyDescent="0.35">
      <c r="A1439" s="294"/>
      <c r="B1439" s="296"/>
      <c r="C1439" s="298"/>
      <c r="D1439" s="300"/>
      <c r="E1439" s="302"/>
      <c r="F1439" s="304"/>
      <c r="G1439" s="276"/>
      <c r="H1439" s="277"/>
      <c r="I1439" s="290"/>
      <c r="J1439" s="290"/>
      <c r="K1439" s="291"/>
      <c r="L1439" s="17"/>
      <c r="M1439" s="286"/>
      <c r="N1439" s="21"/>
      <c r="O1439" s="286"/>
      <c r="P1439" s="21"/>
      <c r="Q1439" s="286"/>
      <c r="R1439" s="248"/>
      <c r="S1439" s="287"/>
      <c r="T1439" s="248"/>
      <c r="U1439" s="13"/>
      <c r="V1439" s="282"/>
      <c r="W1439" s="283"/>
      <c r="X1439" s="284"/>
      <c r="Y1439" s="245"/>
      <c r="Z1439" s="245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BP1439" s="391"/>
      <c r="BQ1439" s="393"/>
    </row>
    <row r="1440" spans="1:69" ht="14.25" customHeight="1" x14ac:dyDescent="0.35">
      <c r="A1440" s="293">
        <v>712</v>
      </c>
      <c r="B1440" s="295"/>
      <c r="C1440" s="297"/>
      <c r="D1440" s="299"/>
      <c r="E1440" s="301"/>
      <c r="F1440" s="303"/>
      <c r="G1440" s="288"/>
      <c r="H1440" s="289"/>
      <c r="I1440" s="290"/>
      <c r="J1440" s="290"/>
      <c r="K1440" s="291"/>
      <c r="L1440" s="18"/>
      <c r="M1440" s="285" t="str">
        <f t="shared" ref="M1440" si="2242">IF(COUNT(L1440:L1441)&lt;1,"",AVERAGE(L1440:L1441))</f>
        <v/>
      </c>
      <c r="N1440" s="22"/>
      <c r="O1440" s="285" t="str">
        <f t="shared" ref="O1440" si="2243">IF(COUNT(N1440:N1441)&lt;1,"",AVERAGE(N1440:N1441))</f>
        <v/>
      </c>
      <c r="P1440" s="22"/>
      <c r="Q1440" s="285" t="str">
        <f t="shared" ref="Q1440" si="2244">IF(COUNT(P1440:P1441)&lt;1,"",AVERAGE(P1440:P1441))</f>
        <v/>
      </c>
      <c r="R1440" s="278" t="str">
        <f>IF($X$13="/28",IF(COUNT(P1440:P1441)&lt;=1,"",ABS(P1440-P1441)),IF($X$13="/90",IF(COUNT(#REF!)&lt;=1,"",ABS(#REF!-#REF!))))</f>
        <v/>
      </c>
      <c r="S1440" s="278" t="str">
        <f>IF($X$13="/28",IF(Q1440="","",IF(AVERAGE(Q1436:Q1441)&gt;=$W$13,ROUND(AVERAGE(Q1436:Q1441),1)&amp;" ≥ "&amp;$W$13&amp;" OK",ROUND(AVERAGE(Q1436:Q1441),1)&amp;" &lt; "&amp;$W$13&amp;" NC")),IF($X$13="/90",IF(#REF!="","",IF(AVERAGE(#REF!)&gt;=$W$13,ROUND(AVERAGE(#REF!),1)&amp;" ≥ "&amp;$W$13&amp;" OK",ROUND(AVERAGE(#REF!),1)&amp;" &lt; "&amp;$W$13&amp;" NC"))))</f>
        <v/>
      </c>
      <c r="T1440" s="278" t="str">
        <f>IF($X$13="/28",IF(Q1440="","",IF(Q1440&gt;=$W$13-$S$12,ROUND((Q1440),1)&amp;" ≥ "&amp;$W$13-$S$12&amp;" OK",ROUND((Q1440),1)&amp;" &lt; "&amp;$W$13-$S$12&amp;" NC")),IF($X$13="/90",IF(#REF!="","",IF(#REF!&gt;=$W$13-$S$12,ROUND((#REF!),1)&amp;" ≥ "&amp;$W$13-$S$12&amp;" OK",ROUND((#REF!),1)&amp;" &lt; "&amp;$W$13-$S$12&amp;" NC"))))</f>
        <v/>
      </c>
      <c r="U1440" s="14"/>
      <c r="V1440" s="279"/>
      <c r="W1440" s="280"/>
      <c r="X1440" s="281"/>
      <c r="Y1440" s="246"/>
      <c r="Z1440" s="246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BP1440" s="390" t="str">
        <f>IF($X$13="/28",IF(Q1440="","",Q1440),IF($X$13="/90",IF(#REF!="","",#REF!),"Falso"))</f>
        <v/>
      </c>
      <c r="BQ1440" s="392" t="str">
        <f t="shared" si="2206"/>
        <v/>
      </c>
    </row>
    <row r="1441" spans="1:69" ht="14.25" customHeight="1" x14ac:dyDescent="0.35">
      <c r="A1441" s="294"/>
      <c r="B1441" s="296"/>
      <c r="C1441" s="298"/>
      <c r="D1441" s="300"/>
      <c r="E1441" s="302"/>
      <c r="F1441" s="304"/>
      <c r="G1441" s="276"/>
      <c r="H1441" s="277"/>
      <c r="I1441" s="290"/>
      <c r="J1441" s="290"/>
      <c r="K1441" s="291"/>
      <c r="L1441" s="17"/>
      <c r="M1441" s="286"/>
      <c r="N1441" s="21"/>
      <c r="O1441" s="286"/>
      <c r="P1441" s="21"/>
      <c r="Q1441" s="286"/>
      <c r="R1441" s="248"/>
      <c r="S1441" s="287"/>
      <c r="T1441" s="248"/>
      <c r="U1441" s="13"/>
      <c r="V1441" s="282"/>
      <c r="W1441" s="283"/>
      <c r="X1441" s="284"/>
      <c r="Y1441" s="245"/>
      <c r="Z1441" s="245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BP1441" s="391"/>
      <c r="BQ1441" s="393"/>
    </row>
    <row r="1442" spans="1:69" ht="14.25" customHeight="1" x14ac:dyDescent="0.35">
      <c r="A1442" s="293">
        <v>713</v>
      </c>
      <c r="B1442" s="295"/>
      <c r="C1442" s="297"/>
      <c r="D1442" s="299"/>
      <c r="E1442" s="301"/>
      <c r="F1442" s="303"/>
      <c r="G1442" s="288"/>
      <c r="H1442" s="289"/>
      <c r="I1442" s="290"/>
      <c r="J1442" s="290"/>
      <c r="K1442" s="291"/>
      <c r="L1442" s="18"/>
      <c r="M1442" s="285" t="str">
        <f t="shared" ref="M1442" si="2245">IF(COUNT(L1442:L1443)&lt;1,"",AVERAGE(L1442:L1443))</f>
        <v/>
      </c>
      <c r="N1442" s="22"/>
      <c r="O1442" s="285" t="str">
        <f t="shared" ref="O1442" si="2246">IF(COUNT(N1442:N1443)&lt;1,"",AVERAGE(N1442:N1443))</f>
        <v/>
      </c>
      <c r="P1442" s="22"/>
      <c r="Q1442" s="285" t="str">
        <f t="shared" ref="Q1442" si="2247">IF(COUNT(P1442:P1443)&lt;1,"",AVERAGE(P1442:P1443))</f>
        <v/>
      </c>
      <c r="R1442" s="278" t="str">
        <f>IF($X$13="/28",IF(COUNT(P1442:P1443)&lt;=1,"",ABS(P1442-P1443)),IF($X$13="/90",IF(COUNT(#REF!)&lt;=1,"",ABS(#REF!-#REF!))))</f>
        <v/>
      </c>
      <c r="S1442" s="278" t="str">
        <f>IF($X$13="/28",IF(Q1442="","",IF(AVERAGE(Q1438:Q1443)&gt;=$W$13,ROUND(AVERAGE(Q1438:Q1443),1)&amp;" ≥ "&amp;$W$13&amp;" OK",ROUND(AVERAGE(Q1438:Q1443),1)&amp;" &lt; "&amp;$W$13&amp;" NC")),IF($X$13="/90",IF(#REF!="","",IF(AVERAGE(#REF!)&gt;=$W$13,ROUND(AVERAGE(#REF!),1)&amp;" ≥ "&amp;$W$13&amp;" OK",ROUND(AVERAGE(#REF!),1)&amp;" &lt; "&amp;$W$13&amp;" NC"))))</f>
        <v/>
      </c>
      <c r="T1442" s="278" t="str">
        <f>IF($X$13="/28",IF(Q1442="","",IF(Q1442&gt;=$W$13-$S$12,ROUND((Q1442),1)&amp;" ≥ "&amp;$W$13-$S$12&amp;" OK",ROUND((Q1442),1)&amp;" &lt; "&amp;$W$13-$S$12&amp;" NC")),IF($X$13="/90",IF(#REF!="","",IF(#REF!&gt;=$W$13-$S$12,ROUND((#REF!),1)&amp;" ≥ "&amp;$W$13-$S$12&amp;" OK",ROUND((#REF!),1)&amp;" &lt; "&amp;$W$13-$S$12&amp;" NC"))))</f>
        <v/>
      </c>
      <c r="U1442" s="14"/>
      <c r="V1442" s="279"/>
      <c r="W1442" s="280"/>
      <c r="X1442" s="281"/>
      <c r="Y1442" s="246"/>
      <c r="Z1442" s="246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BP1442" s="390" t="str">
        <f>IF($X$13="/28",IF(Q1442="","",Q1442),IF($X$13="/90",IF(#REF!="","",#REF!),"Falso"))</f>
        <v/>
      </c>
      <c r="BQ1442" s="392" t="str">
        <f t="shared" si="2210"/>
        <v/>
      </c>
    </row>
    <row r="1443" spans="1:69" ht="14.25" customHeight="1" x14ac:dyDescent="0.35">
      <c r="A1443" s="294"/>
      <c r="B1443" s="296"/>
      <c r="C1443" s="298"/>
      <c r="D1443" s="300"/>
      <c r="E1443" s="302"/>
      <c r="F1443" s="304"/>
      <c r="G1443" s="276"/>
      <c r="H1443" s="277"/>
      <c r="I1443" s="290"/>
      <c r="J1443" s="290"/>
      <c r="K1443" s="291"/>
      <c r="L1443" s="17"/>
      <c r="M1443" s="286"/>
      <c r="N1443" s="21"/>
      <c r="O1443" s="286"/>
      <c r="P1443" s="21"/>
      <c r="Q1443" s="286"/>
      <c r="R1443" s="248"/>
      <c r="S1443" s="287"/>
      <c r="T1443" s="248"/>
      <c r="U1443" s="13"/>
      <c r="V1443" s="282"/>
      <c r="W1443" s="283"/>
      <c r="X1443" s="284"/>
      <c r="Y1443" s="245"/>
      <c r="Z1443" s="245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BP1443" s="391"/>
      <c r="BQ1443" s="393"/>
    </row>
    <row r="1444" spans="1:69" ht="14.25" customHeight="1" x14ac:dyDescent="0.35">
      <c r="A1444" s="293">
        <v>714</v>
      </c>
      <c r="B1444" s="295"/>
      <c r="C1444" s="297"/>
      <c r="D1444" s="299"/>
      <c r="E1444" s="301"/>
      <c r="F1444" s="303"/>
      <c r="G1444" s="288"/>
      <c r="H1444" s="289"/>
      <c r="I1444" s="290"/>
      <c r="J1444" s="290"/>
      <c r="K1444" s="291"/>
      <c r="L1444" s="18"/>
      <c r="M1444" s="285" t="str">
        <f t="shared" ref="M1444" si="2248">IF(COUNT(L1444:L1445)&lt;1,"",AVERAGE(L1444:L1445))</f>
        <v/>
      </c>
      <c r="N1444" s="22"/>
      <c r="O1444" s="285" t="str">
        <f t="shared" ref="O1444" si="2249">IF(COUNT(N1444:N1445)&lt;1,"",AVERAGE(N1444:N1445))</f>
        <v/>
      </c>
      <c r="P1444" s="22"/>
      <c r="Q1444" s="285" t="str">
        <f t="shared" ref="Q1444" si="2250">IF(COUNT(P1444:P1445)&lt;1,"",AVERAGE(P1444:P1445))</f>
        <v/>
      </c>
      <c r="R1444" s="278" t="str">
        <f>IF($X$13="/28",IF(COUNT(P1444:P1445)&lt;=1,"",ABS(P1444-P1445)),IF($X$13="/90",IF(COUNT(#REF!)&lt;=1,"",ABS(#REF!-#REF!))))</f>
        <v/>
      </c>
      <c r="S1444" s="278" t="str">
        <f>IF($X$13="/28",IF(Q1444="","",IF(AVERAGE(Q1440:Q1445)&gt;=$W$13,ROUND(AVERAGE(Q1440:Q1445),1)&amp;" ≥ "&amp;$W$13&amp;" OK",ROUND(AVERAGE(Q1440:Q1445),1)&amp;" &lt; "&amp;$W$13&amp;" NC")),IF($X$13="/90",IF(#REF!="","",IF(AVERAGE(#REF!)&gt;=$W$13,ROUND(AVERAGE(#REF!),1)&amp;" ≥ "&amp;$W$13&amp;" OK",ROUND(AVERAGE(#REF!),1)&amp;" &lt; "&amp;$W$13&amp;" NC"))))</f>
        <v/>
      </c>
      <c r="T1444" s="278" t="str">
        <f>IF($X$13="/28",IF(Q1444="","",IF(Q1444&gt;=$W$13-$S$12,ROUND((Q1444),1)&amp;" ≥ "&amp;$W$13-$S$12&amp;" OK",ROUND((Q1444),1)&amp;" &lt; "&amp;$W$13-$S$12&amp;" NC")),IF($X$13="/90",IF(#REF!="","",IF(#REF!&gt;=$W$13-$S$12,ROUND((#REF!),1)&amp;" ≥ "&amp;$W$13-$S$12&amp;" OK",ROUND((#REF!),1)&amp;" &lt; "&amp;$W$13-$S$12&amp;" NC"))))</f>
        <v/>
      </c>
      <c r="U1444" s="14"/>
      <c r="V1444" s="279"/>
      <c r="W1444" s="280"/>
      <c r="X1444" s="281"/>
      <c r="Y1444" s="246"/>
      <c r="Z1444" s="246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BP1444" s="390" t="str">
        <f>IF($X$13="/28",IF(Q1444="","",Q1444),IF($X$13="/90",IF(#REF!="","",#REF!),"Falso"))</f>
        <v/>
      </c>
      <c r="BQ1444" s="392" t="str">
        <f t="shared" si="2214"/>
        <v/>
      </c>
    </row>
    <row r="1445" spans="1:69" ht="14.25" customHeight="1" x14ac:dyDescent="0.35">
      <c r="A1445" s="294"/>
      <c r="B1445" s="296"/>
      <c r="C1445" s="298"/>
      <c r="D1445" s="300"/>
      <c r="E1445" s="302"/>
      <c r="F1445" s="304"/>
      <c r="G1445" s="276"/>
      <c r="H1445" s="277"/>
      <c r="I1445" s="290"/>
      <c r="J1445" s="290"/>
      <c r="K1445" s="291"/>
      <c r="L1445" s="17"/>
      <c r="M1445" s="286"/>
      <c r="N1445" s="21"/>
      <c r="O1445" s="286"/>
      <c r="P1445" s="21"/>
      <c r="Q1445" s="286"/>
      <c r="R1445" s="248"/>
      <c r="S1445" s="287"/>
      <c r="T1445" s="248"/>
      <c r="U1445" s="13"/>
      <c r="V1445" s="282"/>
      <c r="W1445" s="283"/>
      <c r="X1445" s="284"/>
      <c r="Y1445" s="245"/>
      <c r="Z1445" s="245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BP1445" s="391"/>
      <c r="BQ1445" s="393"/>
    </row>
    <row r="1446" spans="1:69" ht="14.25" customHeight="1" x14ac:dyDescent="0.35">
      <c r="A1446" s="293">
        <v>715</v>
      </c>
      <c r="B1446" s="295"/>
      <c r="C1446" s="297"/>
      <c r="D1446" s="299"/>
      <c r="E1446" s="301"/>
      <c r="F1446" s="303"/>
      <c r="G1446" s="288"/>
      <c r="H1446" s="289"/>
      <c r="I1446" s="290"/>
      <c r="J1446" s="290"/>
      <c r="K1446" s="291"/>
      <c r="L1446" s="18"/>
      <c r="M1446" s="285" t="str">
        <f t="shared" ref="M1446" si="2251">IF(COUNT(L1446:L1447)&lt;1,"",AVERAGE(L1446:L1447))</f>
        <v/>
      </c>
      <c r="N1446" s="22"/>
      <c r="O1446" s="285" t="str">
        <f t="shared" ref="O1446" si="2252">IF(COUNT(N1446:N1447)&lt;1,"",AVERAGE(N1446:N1447))</f>
        <v/>
      </c>
      <c r="P1446" s="22"/>
      <c r="Q1446" s="285" t="str">
        <f t="shared" ref="Q1446" si="2253">IF(COUNT(P1446:P1447)&lt;1,"",AVERAGE(P1446:P1447))</f>
        <v/>
      </c>
      <c r="R1446" s="278" t="str">
        <f>IF($X$13="/28",IF(COUNT(P1446:P1447)&lt;=1,"",ABS(P1446-P1447)),IF($X$13="/90",IF(COUNT(#REF!)&lt;=1,"",ABS(#REF!-#REF!))))</f>
        <v/>
      </c>
      <c r="S1446" s="278" t="str">
        <f>IF($X$13="/28",IF(Q1446="","",IF(AVERAGE(Q1442:Q1447)&gt;=$W$13,ROUND(AVERAGE(Q1442:Q1447),1)&amp;" ≥ "&amp;$W$13&amp;" OK",ROUND(AVERAGE(Q1442:Q1447),1)&amp;" &lt; "&amp;$W$13&amp;" NC")),IF($X$13="/90",IF(#REF!="","",IF(AVERAGE(#REF!)&gt;=$W$13,ROUND(AVERAGE(#REF!),1)&amp;" ≥ "&amp;$W$13&amp;" OK",ROUND(AVERAGE(#REF!),1)&amp;" &lt; "&amp;$W$13&amp;" NC"))))</f>
        <v/>
      </c>
      <c r="T1446" s="278" t="str">
        <f>IF($X$13="/28",IF(Q1446="","",IF(Q1446&gt;=$W$13-$S$12,ROUND((Q1446),1)&amp;" ≥ "&amp;$W$13-$S$12&amp;" OK",ROUND((Q1446),1)&amp;" &lt; "&amp;$W$13-$S$12&amp;" NC")),IF($X$13="/90",IF(#REF!="","",IF(#REF!&gt;=$W$13-$S$12,ROUND((#REF!),1)&amp;" ≥ "&amp;$W$13-$S$12&amp;" OK",ROUND((#REF!),1)&amp;" &lt; "&amp;$W$13-$S$12&amp;" NC"))))</f>
        <v/>
      </c>
      <c r="U1446" s="14"/>
      <c r="V1446" s="279"/>
      <c r="W1446" s="280"/>
      <c r="X1446" s="281"/>
      <c r="Y1446" s="246"/>
      <c r="Z1446" s="246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BP1446" s="390" t="str">
        <f>IF($X$13="/28",IF(Q1446="","",Q1446),IF($X$13="/90",IF(#REF!="","",#REF!),"Falso"))</f>
        <v/>
      </c>
      <c r="BQ1446" s="392" t="str">
        <f t="shared" si="2206"/>
        <v/>
      </c>
    </row>
    <row r="1447" spans="1:69" ht="14.25" customHeight="1" x14ac:dyDescent="0.35">
      <c r="A1447" s="294"/>
      <c r="B1447" s="296"/>
      <c r="C1447" s="298"/>
      <c r="D1447" s="300"/>
      <c r="E1447" s="302"/>
      <c r="F1447" s="304"/>
      <c r="G1447" s="276"/>
      <c r="H1447" s="277"/>
      <c r="I1447" s="290"/>
      <c r="J1447" s="290"/>
      <c r="K1447" s="291"/>
      <c r="L1447" s="17"/>
      <c r="M1447" s="286"/>
      <c r="N1447" s="21"/>
      <c r="O1447" s="286"/>
      <c r="P1447" s="21"/>
      <c r="Q1447" s="286"/>
      <c r="R1447" s="248"/>
      <c r="S1447" s="287"/>
      <c r="T1447" s="248"/>
      <c r="U1447" s="13"/>
      <c r="V1447" s="282"/>
      <c r="W1447" s="283"/>
      <c r="X1447" s="284"/>
      <c r="Y1447" s="245"/>
      <c r="Z1447" s="245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BP1447" s="391"/>
      <c r="BQ1447" s="393"/>
    </row>
    <row r="1448" spans="1:69" ht="14.25" customHeight="1" x14ac:dyDescent="0.35">
      <c r="A1448" s="293">
        <v>716</v>
      </c>
      <c r="B1448" s="295"/>
      <c r="C1448" s="297"/>
      <c r="D1448" s="299"/>
      <c r="E1448" s="301"/>
      <c r="F1448" s="303"/>
      <c r="G1448" s="288"/>
      <c r="H1448" s="289"/>
      <c r="I1448" s="290"/>
      <c r="J1448" s="290"/>
      <c r="K1448" s="291"/>
      <c r="L1448" s="18"/>
      <c r="M1448" s="285" t="str">
        <f t="shared" ref="M1448" si="2254">IF(COUNT(L1448:L1449)&lt;1,"",AVERAGE(L1448:L1449))</f>
        <v/>
      </c>
      <c r="N1448" s="22"/>
      <c r="O1448" s="285" t="str">
        <f t="shared" ref="O1448" si="2255">IF(COUNT(N1448:N1449)&lt;1,"",AVERAGE(N1448:N1449))</f>
        <v/>
      </c>
      <c r="P1448" s="22"/>
      <c r="Q1448" s="285" t="str">
        <f t="shared" ref="Q1448" si="2256">IF(COUNT(P1448:P1449)&lt;1,"",AVERAGE(P1448:P1449))</f>
        <v/>
      </c>
      <c r="R1448" s="278" t="str">
        <f>IF($X$13="/28",IF(COUNT(P1448:P1449)&lt;=1,"",ABS(P1448-P1449)),IF($X$13="/90",IF(COUNT(#REF!)&lt;=1,"",ABS(#REF!-#REF!))))</f>
        <v/>
      </c>
      <c r="S1448" s="278" t="str">
        <f>IF($X$13="/28",IF(Q1448="","",IF(AVERAGE(Q1444:Q1449)&gt;=$W$13,ROUND(AVERAGE(Q1444:Q1449),1)&amp;" ≥ "&amp;$W$13&amp;" OK",ROUND(AVERAGE(Q1444:Q1449),1)&amp;" &lt; "&amp;$W$13&amp;" NC")),IF($X$13="/90",IF(#REF!="","",IF(AVERAGE(#REF!)&gt;=$W$13,ROUND(AVERAGE(#REF!),1)&amp;" ≥ "&amp;$W$13&amp;" OK",ROUND(AVERAGE(#REF!),1)&amp;" &lt; "&amp;$W$13&amp;" NC"))))</f>
        <v/>
      </c>
      <c r="T1448" s="278" t="str">
        <f>IF($X$13="/28",IF(Q1448="","",IF(Q1448&gt;=$W$13-$S$12,ROUND((Q1448),1)&amp;" ≥ "&amp;$W$13-$S$12&amp;" OK",ROUND((Q1448),1)&amp;" &lt; "&amp;$W$13-$S$12&amp;" NC")),IF($X$13="/90",IF(#REF!="","",IF(#REF!&gt;=$W$13-$S$12,ROUND((#REF!),1)&amp;" ≥ "&amp;$W$13-$S$12&amp;" OK",ROUND((#REF!),1)&amp;" &lt; "&amp;$W$13-$S$12&amp;" NC"))))</f>
        <v/>
      </c>
      <c r="U1448" s="14"/>
      <c r="V1448" s="279"/>
      <c r="W1448" s="280"/>
      <c r="X1448" s="281"/>
      <c r="Y1448" s="246"/>
      <c r="Z1448" s="246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BP1448" s="390" t="str">
        <f>IF($X$13="/28",IF(Q1448="","",Q1448),IF($X$13="/90",IF(#REF!="","",#REF!),"Falso"))</f>
        <v/>
      </c>
      <c r="BQ1448" s="392" t="str">
        <f t="shared" si="2210"/>
        <v/>
      </c>
    </row>
    <row r="1449" spans="1:69" ht="14.25" customHeight="1" x14ac:dyDescent="0.35">
      <c r="A1449" s="294"/>
      <c r="B1449" s="296"/>
      <c r="C1449" s="298"/>
      <c r="D1449" s="300"/>
      <c r="E1449" s="302"/>
      <c r="F1449" s="304"/>
      <c r="G1449" s="276"/>
      <c r="H1449" s="277"/>
      <c r="I1449" s="290"/>
      <c r="J1449" s="290"/>
      <c r="K1449" s="291"/>
      <c r="L1449" s="17"/>
      <c r="M1449" s="286"/>
      <c r="N1449" s="21"/>
      <c r="O1449" s="286"/>
      <c r="P1449" s="21"/>
      <c r="Q1449" s="286"/>
      <c r="R1449" s="248"/>
      <c r="S1449" s="287"/>
      <c r="T1449" s="248"/>
      <c r="U1449" s="13"/>
      <c r="V1449" s="282"/>
      <c r="W1449" s="283"/>
      <c r="X1449" s="284"/>
      <c r="Y1449" s="245"/>
      <c r="Z1449" s="245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BP1449" s="391"/>
      <c r="BQ1449" s="393"/>
    </row>
    <row r="1450" spans="1:69" ht="14.25" customHeight="1" x14ac:dyDescent="0.35">
      <c r="A1450" s="293">
        <v>717</v>
      </c>
      <c r="B1450" s="295"/>
      <c r="C1450" s="297"/>
      <c r="D1450" s="299"/>
      <c r="E1450" s="301"/>
      <c r="F1450" s="303"/>
      <c r="G1450" s="288"/>
      <c r="H1450" s="289"/>
      <c r="I1450" s="290"/>
      <c r="J1450" s="290"/>
      <c r="K1450" s="291"/>
      <c r="L1450" s="18"/>
      <c r="M1450" s="285" t="str">
        <f t="shared" ref="M1450" si="2257">IF(COUNT(L1450:L1451)&lt;1,"",AVERAGE(L1450:L1451))</f>
        <v/>
      </c>
      <c r="N1450" s="22"/>
      <c r="O1450" s="285" t="str">
        <f t="shared" ref="O1450" si="2258">IF(COUNT(N1450:N1451)&lt;1,"",AVERAGE(N1450:N1451))</f>
        <v/>
      </c>
      <c r="P1450" s="22"/>
      <c r="Q1450" s="285" t="str">
        <f t="shared" ref="Q1450" si="2259">IF(COUNT(P1450:P1451)&lt;1,"",AVERAGE(P1450:P1451))</f>
        <v/>
      </c>
      <c r="R1450" s="278" t="str">
        <f>IF($X$13="/28",IF(COUNT(P1450:P1451)&lt;=1,"",ABS(P1450-P1451)),IF($X$13="/90",IF(COUNT(#REF!)&lt;=1,"",ABS(#REF!-#REF!))))</f>
        <v/>
      </c>
      <c r="S1450" s="278" t="str">
        <f>IF($X$13="/28",IF(Q1450="","",IF(AVERAGE(Q1446:Q1451)&gt;=$W$13,ROUND(AVERAGE(Q1446:Q1451),1)&amp;" ≥ "&amp;$W$13&amp;" OK",ROUND(AVERAGE(Q1446:Q1451),1)&amp;" &lt; "&amp;$W$13&amp;" NC")),IF($X$13="/90",IF(#REF!="","",IF(AVERAGE(#REF!)&gt;=$W$13,ROUND(AVERAGE(#REF!),1)&amp;" ≥ "&amp;$W$13&amp;" OK",ROUND(AVERAGE(#REF!),1)&amp;" &lt; "&amp;$W$13&amp;" NC"))))</f>
        <v/>
      </c>
      <c r="T1450" s="278" t="str">
        <f>IF($X$13="/28",IF(Q1450="","",IF(Q1450&gt;=$W$13-$S$12,ROUND((Q1450),1)&amp;" ≥ "&amp;$W$13-$S$12&amp;" OK",ROUND((Q1450),1)&amp;" &lt; "&amp;$W$13-$S$12&amp;" NC")),IF($X$13="/90",IF(#REF!="","",IF(#REF!&gt;=$W$13-$S$12,ROUND((#REF!),1)&amp;" ≥ "&amp;$W$13-$S$12&amp;" OK",ROUND((#REF!),1)&amp;" &lt; "&amp;$W$13-$S$12&amp;" NC"))))</f>
        <v/>
      </c>
      <c r="U1450" s="14"/>
      <c r="V1450" s="279"/>
      <c r="W1450" s="280"/>
      <c r="X1450" s="281"/>
      <c r="Y1450" s="246"/>
      <c r="Z1450" s="246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BP1450" s="390" t="str">
        <f>IF($X$13="/28",IF(Q1450="","",Q1450),IF($X$13="/90",IF(#REF!="","",#REF!),"Falso"))</f>
        <v/>
      </c>
      <c r="BQ1450" s="392" t="str">
        <f t="shared" si="2214"/>
        <v/>
      </c>
    </row>
    <row r="1451" spans="1:69" ht="14.25" customHeight="1" x14ac:dyDescent="0.35">
      <c r="A1451" s="294"/>
      <c r="B1451" s="296"/>
      <c r="C1451" s="298"/>
      <c r="D1451" s="300"/>
      <c r="E1451" s="302"/>
      <c r="F1451" s="304"/>
      <c r="G1451" s="276"/>
      <c r="H1451" s="277"/>
      <c r="I1451" s="290"/>
      <c r="J1451" s="290"/>
      <c r="K1451" s="291"/>
      <c r="L1451" s="17"/>
      <c r="M1451" s="286"/>
      <c r="N1451" s="21"/>
      <c r="O1451" s="286"/>
      <c r="P1451" s="21"/>
      <c r="Q1451" s="286"/>
      <c r="R1451" s="248"/>
      <c r="S1451" s="287"/>
      <c r="T1451" s="248"/>
      <c r="U1451" s="13"/>
      <c r="V1451" s="282"/>
      <c r="W1451" s="283"/>
      <c r="X1451" s="284"/>
      <c r="Y1451" s="245"/>
      <c r="Z1451" s="245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BP1451" s="391"/>
      <c r="BQ1451" s="393"/>
    </row>
    <row r="1452" spans="1:69" ht="14.25" customHeight="1" x14ac:dyDescent="0.35">
      <c r="A1452" s="293">
        <v>718</v>
      </c>
      <c r="B1452" s="295"/>
      <c r="C1452" s="297"/>
      <c r="D1452" s="299"/>
      <c r="E1452" s="301"/>
      <c r="F1452" s="303"/>
      <c r="G1452" s="288"/>
      <c r="H1452" s="289"/>
      <c r="I1452" s="290"/>
      <c r="J1452" s="290"/>
      <c r="K1452" s="291"/>
      <c r="L1452" s="18"/>
      <c r="M1452" s="285" t="str">
        <f t="shared" ref="M1452" si="2260">IF(COUNT(L1452:L1453)&lt;1,"",AVERAGE(L1452:L1453))</f>
        <v/>
      </c>
      <c r="N1452" s="22"/>
      <c r="O1452" s="285" t="str">
        <f t="shared" ref="O1452" si="2261">IF(COUNT(N1452:N1453)&lt;1,"",AVERAGE(N1452:N1453))</f>
        <v/>
      </c>
      <c r="P1452" s="22"/>
      <c r="Q1452" s="285" t="str">
        <f t="shared" ref="Q1452" si="2262">IF(COUNT(P1452:P1453)&lt;1,"",AVERAGE(P1452:P1453))</f>
        <v/>
      </c>
      <c r="R1452" s="278" t="str">
        <f>IF($X$13="/28",IF(COUNT(P1452:P1453)&lt;=1,"",ABS(P1452-P1453)),IF($X$13="/90",IF(COUNT(#REF!)&lt;=1,"",ABS(#REF!-#REF!))))</f>
        <v/>
      </c>
      <c r="S1452" s="278" t="str">
        <f>IF($X$13="/28",IF(Q1452="","",IF(AVERAGE(Q1448:Q1453)&gt;=$W$13,ROUND(AVERAGE(Q1448:Q1453),1)&amp;" ≥ "&amp;$W$13&amp;" OK",ROUND(AVERAGE(Q1448:Q1453),1)&amp;" &lt; "&amp;$W$13&amp;" NC")),IF($X$13="/90",IF(#REF!="","",IF(AVERAGE(#REF!)&gt;=$W$13,ROUND(AVERAGE(#REF!),1)&amp;" ≥ "&amp;$W$13&amp;" OK",ROUND(AVERAGE(#REF!),1)&amp;" &lt; "&amp;$W$13&amp;" NC"))))</f>
        <v/>
      </c>
      <c r="T1452" s="278" t="str">
        <f>IF($X$13="/28",IF(Q1452="","",IF(Q1452&gt;=$W$13-$S$12,ROUND((Q1452),1)&amp;" ≥ "&amp;$W$13-$S$12&amp;" OK",ROUND((Q1452),1)&amp;" &lt; "&amp;$W$13-$S$12&amp;" NC")),IF($X$13="/90",IF(#REF!="","",IF(#REF!&gt;=$W$13-$S$12,ROUND((#REF!),1)&amp;" ≥ "&amp;$W$13-$S$12&amp;" OK",ROUND((#REF!),1)&amp;" &lt; "&amp;$W$13-$S$12&amp;" NC"))))</f>
        <v/>
      </c>
      <c r="U1452" s="14"/>
      <c r="V1452" s="279"/>
      <c r="W1452" s="280"/>
      <c r="X1452" s="281"/>
      <c r="Y1452" s="246"/>
      <c r="Z1452" s="246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BP1452" s="390" t="str">
        <f>IF($X$13="/28",IF(Q1452="","",Q1452),IF($X$13="/90",IF(#REF!="","",#REF!),"Falso"))</f>
        <v/>
      </c>
      <c r="BQ1452" s="392" t="str">
        <f t="shared" si="2206"/>
        <v/>
      </c>
    </row>
    <row r="1453" spans="1:69" ht="14.25" customHeight="1" x14ac:dyDescent="0.35">
      <c r="A1453" s="294"/>
      <c r="B1453" s="296"/>
      <c r="C1453" s="298"/>
      <c r="D1453" s="300"/>
      <c r="E1453" s="302"/>
      <c r="F1453" s="304"/>
      <c r="G1453" s="276"/>
      <c r="H1453" s="277"/>
      <c r="I1453" s="290"/>
      <c r="J1453" s="290"/>
      <c r="K1453" s="291"/>
      <c r="L1453" s="17"/>
      <c r="M1453" s="286"/>
      <c r="N1453" s="21"/>
      <c r="O1453" s="286"/>
      <c r="P1453" s="21"/>
      <c r="Q1453" s="286"/>
      <c r="R1453" s="248"/>
      <c r="S1453" s="287"/>
      <c r="T1453" s="248"/>
      <c r="U1453" s="13"/>
      <c r="V1453" s="282"/>
      <c r="W1453" s="283"/>
      <c r="X1453" s="284"/>
      <c r="Y1453" s="245"/>
      <c r="Z1453" s="245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BP1453" s="391"/>
      <c r="BQ1453" s="393"/>
    </row>
    <row r="1454" spans="1:69" ht="14.25" customHeight="1" x14ac:dyDescent="0.35">
      <c r="A1454" s="293">
        <v>719</v>
      </c>
      <c r="B1454" s="295"/>
      <c r="C1454" s="297"/>
      <c r="D1454" s="299"/>
      <c r="E1454" s="301"/>
      <c r="F1454" s="303"/>
      <c r="G1454" s="288"/>
      <c r="H1454" s="289"/>
      <c r="I1454" s="290"/>
      <c r="J1454" s="290"/>
      <c r="K1454" s="291"/>
      <c r="L1454" s="18"/>
      <c r="M1454" s="285" t="str">
        <f t="shared" ref="M1454" si="2263">IF(COUNT(L1454:L1455)&lt;1,"",AVERAGE(L1454:L1455))</f>
        <v/>
      </c>
      <c r="N1454" s="22"/>
      <c r="O1454" s="285" t="str">
        <f t="shared" ref="O1454" si="2264">IF(COUNT(N1454:N1455)&lt;1,"",AVERAGE(N1454:N1455))</f>
        <v/>
      </c>
      <c r="P1454" s="22"/>
      <c r="Q1454" s="285" t="str">
        <f t="shared" ref="Q1454" si="2265">IF(COUNT(P1454:P1455)&lt;1,"",AVERAGE(P1454:P1455))</f>
        <v/>
      </c>
      <c r="R1454" s="278" t="str">
        <f>IF($X$13="/28",IF(COUNT(P1454:P1455)&lt;=1,"",ABS(P1454-P1455)),IF($X$13="/90",IF(COUNT(#REF!)&lt;=1,"",ABS(#REF!-#REF!))))</f>
        <v/>
      </c>
      <c r="S1454" s="278" t="str">
        <f>IF($X$13="/28",IF(Q1454="","",IF(AVERAGE(Q1450:Q1455)&gt;=$W$13,ROUND(AVERAGE(Q1450:Q1455),1)&amp;" ≥ "&amp;$W$13&amp;" OK",ROUND(AVERAGE(Q1450:Q1455),1)&amp;" &lt; "&amp;$W$13&amp;" NC")),IF($X$13="/90",IF(#REF!="","",IF(AVERAGE(#REF!)&gt;=$W$13,ROUND(AVERAGE(#REF!),1)&amp;" ≥ "&amp;$W$13&amp;" OK",ROUND(AVERAGE(#REF!),1)&amp;" &lt; "&amp;$W$13&amp;" NC"))))</f>
        <v/>
      </c>
      <c r="T1454" s="278" t="str">
        <f>IF($X$13="/28",IF(Q1454="","",IF(Q1454&gt;=$W$13-$S$12,ROUND((Q1454),1)&amp;" ≥ "&amp;$W$13-$S$12&amp;" OK",ROUND((Q1454),1)&amp;" &lt; "&amp;$W$13-$S$12&amp;" NC")),IF($X$13="/90",IF(#REF!="","",IF(#REF!&gt;=$W$13-$S$12,ROUND((#REF!),1)&amp;" ≥ "&amp;$W$13-$S$12&amp;" OK",ROUND((#REF!),1)&amp;" &lt; "&amp;$W$13-$S$12&amp;" NC"))))</f>
        <v/>
      </c>
      <c r="U1454" s="14"/>
      <c r="V1454" s="279"/>
      <c r="W1454" s="280"/>
      <c r="X1454" s="281"/>
      <c r="Y1454" s="246"/>
      <c r="Z1454" s="246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BP1454" s="390" t="str">
        <f>IF($X$13="/28",IF(Q1454="","",Q1454),IF($X$13="/90",IF(#REF!="","",#REF!),"Falso"))</f>
        <v/>
      </c>
      <c r="BQ1454" s="392" t="str">
        <f t="shared" si="2210"/>
        <v/>
      </c>
    </row>
    <row r="1455" spans="1:69" ht="14.25" customHeight="1" x14ac:dyDescent="0.35">
      <c r="A1455" s="294"/>
      <c r="B1455" s="296"/>
      <c r="C1455" s="298"/>
      <c r="D1455" s="300"/>
      <c r="E1455" s="302"/>
      <c r="F1455" s="304"/>
      <c r="G1455" s="276"/>
      <c r="H1455" s="277"/>
      <c r="I1455" s="290"/>
      <c r="J1455" s="290"/>
      <c r="K1455" s="291"/>
      <c r="L1455" s="17"/>
      <c r="M1455" s="286"/>
      <c r="N1455" s="21"/>
      <c r="O1455" s="286"/>
      <c r="P1455" s="21"/>
      <c r="Q1455" s="286"/>
      <c r="R1455" s="248"/>
      <c r="S1455" s="287"/>
      <c r="T1455" s="248"/>
      <c r="U1455" s="13"/>
      <c r="V1455" s="282"/>
      <c r="W1455" s="283"/>
      <c r="X1455" s="284"/>
      <c r="Y1455" s="245"/>
      <c r="Z1455" s="245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BP1455" s="391"/>
      <c r="BQ1455" s="393"/>
    </row>
    <row r="1456" spans="1:69" ht="14.25" customHeight="1" x14ac:dyDescent="0.35">
      <c r="A1456" s="293">
        <v>720</v>
      </c>
      <c r="B1456" s="295"/>
      <c r="C1456" s="297"/>
      <c r="D1456" s="299"/>
      <c r="E1456" s="301"/>
      <c r="F1456" s="303"/>
      <c r="G1456" s="288"/>
      <c r="H1456" s="289"/>
      <c r="I1456" s="290"/>
      <c r="J1456" s="290"/>
      <c r="K1456" s="291"/>
      <c r="L1456" s="18"/>
      <c r="M1456" s="285" t="str">
        <f t="shared" ref="M1456" si="2266">IF(COUNT(L1456:L1457)&lt;1,"",AVERAGE(L1456:L1457))</f>
        <v/>
      </c>
      <c r="N1456" s="22"/>
      <c r="O1456" s="285" t="str">
        <f t="shared" ref="O1456" si="2267">IF(COUNT(N1456:N1457)&lt;1,"",AVERAGE(N1456:N1457))</f>
        <v/>
      </c>
      <c r="P1456" s="22"/>
      <c r="Q1456" s="285" t="str">
        <f t="shared" ref="Q1456" si="2268">IF(COUNT(P1456:P1457)&lt;1,"",AVERAGE(P1456:P1457))</f>
        <v/>
      </c>
      <c r="R1456" s="278" t="str">
        <f>IF($X$13="/28",IF(COUNT(P1456:P1457)&lt;=1,"",ABS(P1456-P1457)),IF($X$13="/90",IF(COUNT(#REF!)&lt;=1,"",ABS(#REF!-#REF!))))</f>
        <v/>
      </c>
      <c r="S1456" s="278" t="str">
        <f>IF($X$13="/28",IF(Q1456="","",IF(AVERAGE(Q1452:Q1457)&gt;=$W$13,ROUND(AVERAGE(Q1452:Q1457),1)&amp;" ≥ "&amp;$W$13&amp;" OK",ROUND(AVERAGE(Q1452:Q1457),1)&amp;" &lt; "&amp;$W$13&amp;" NC")),IF($X$13="/90",IF(#REF!="","",IF(AVERAGE(#REF!)&gt;=$W$13,ROUND(AVERAGE(#REF!),1)&amp;" ≥ "&amp;$W$13&amp;" OK",ROUND(AVERAGE(#REF!),1)&amp;" &lt; "&amp;$W$13&amp;" NC"))))</f>
        <v/>
      </c>
      <c r="T1456" s="278" t="str">
        <f>IF($X$13="/28",IF(Q1456="","",IF(Q1456&gt;=$W$13-$S$12,ROUND((Q1456),1)&amp;" ≥ "&amp;$W$13-$S$12&amp;" OK",ROUND((Q1456),1)&amp;" &lt; "&amp;$W$13-$S$12&amp;" NC")),IF($X$13="/90",IF(#REF!="","",IF(#REF!&gt;=$W$13-$S$12,ROUND((#REF!),1)&amp;" ≥ "&amp;$W$13-$S$12&amp;" OK",ROUND((#REF!),1)&amp;" &lt; "&amp;$W$13-$S$12&amp;" NC"))))</f>
        <v/>
      </c>
      <c r="U1456" s="14"/>
      <c r="V1456" s="279"/>
      <c r="W1456" s="280"/>
      <c r="X1456" s="281"/>
      <c r="Y1456" s="246"/>
      <c r="Z1456" s="246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BP1456" s="390" t="str">
        <f>IF($X$13="/28",IF(Q1456="","",Q1456),IF($X$13="/90",IF(#REF!="","",#REF!),"Falso"))</f>
        <v/>
      </c>
      <c r="BQ1456" s="392" t="str">
        <f t="shared" si="2214"/>
        <v/>
      </c>
    </row>
    <row r="1457" spans="1:69" ht="14.25" customHeight="1" thickBot="1" x14ac:dyDescent="0.4">
      <c r="A1457" s="384"/>
      <c r="B1457" s="385"/>
      <c r="C1457" s="386"/>
      <c r="D1457" s="387"/>
      <c r="E1457" s="388"/>
      <c r="F1457" s="389"/>
      <c r="G1457" s="377"/>
      <c r="H1457" s="378"/>
      <c r="I1457" s="382"/>
      <c r="J1457" s="382"/>
      <c r="K1457" s="383"/>
      <c r="L1457" s="19"/>
      <c r="M1457" s="379"/>
      <c r="N1457" s="23"/>
      <c r="O1457" s="379"/>
      <c r="P1457" s="23"/>
      <c r="Q1457" s="379"/>
      <c r="R1457" s="380"/>
      <c r="S1457" s="381"/>
      <c r="T1457" s="380"/>
      <c r="U1457" s="15"/>
      <c r="V1457" s="373"/>
      <c r="W1457" s="374"/>
      <c r="X1457" s="375"/>
      <c r="Y1457" s="376"/>
      <c r="Z1457" s="376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BP1457" s="391"/>
      <c r="BQ1457" s="393"/>
    </row>
    <row r="1458" spans="1:69" ht="14.25" customHeight="1" x14ac:dyDescent="0.35">
      <c r="A1458" s="311">
        <v>721</v>
      </c>
      <c r="B1458" s="312"/>
      <c r="C1458" s="313"/>
      <c r="D1458" s="314"/>
      <c r="E1458" s="315"/>
      <c r="F1458" s="353"/>
      <c r="G1458" s="354"/>
      <c r="H1458" s="355"/>
      <c r="I1458" s="356"/>
      <c r="J1458" s="356"/>
      <c r="K1458" s="357"/>
      <c r="L1458" s="16"/>
      <c r="M1458" s="352" t="str">
        <f t="shared" ref="M1458" si="2269">IF(COUNT(L1458:L1459)&lt;1,"",AVERAGE(L1458:L1459))</f>
        <v/>
      </c>
      <c r="N1458" s="20"/>
      <c r="O1458" s="352" t="str">
        <f t="shared" ref="O1458" si="2270">IF(COUNT(N1458:N1459)&lt;1,"",AVERAGE(N1458:N1459))</f>
        <v/>
      </c>
      <c r="P1458" s="20"/>
      <c r="Q1458" s="352" t="str">
        <f t="shared" ref="Q1458" si="2271">IF(COUNT(P1458:P1459)&lt;1,"",AVERAGE(P1458:P1459))</f>
        <v/>
      </c>
      <c r="R1458" s="247" t="str">
        <f>IF($X$13="/28",IF(COUNT(P1458:P1459)&lt;=1,"",ABS(P1458-P1459)),IF($X$13="/90",IF(COUNT(#REF!)&lt;=1,"",ABS(#REF!-#REF!))))</f>
        <v/>
      </c>
      <c r="S1458" s="247" t="str">
        <f>IF($X$13="/28",IF(Q1458="","",IF(AVERAGE(Q1454:Q1459)&gt;=$W$13,ROUND(AVERAGE(Q1454:Q1459),1)&amp;" ≥ "&amp;$W$13&amp;" OK",ROUND(AVERAGE(Q1454:Q1459),1)&amp;" &lt; "&amp;$W$13&amp;" NC")),IF($X$13="/90",IF(#REF!="","",IF(AVERAGE(#REF!)&gt;=$W$13,ROUND(AVERAGE(#REF!),1)&amp;" ≥ "&amp;$W$13&amp;" OK",ROUND(AVERAGE(#REF!),1)&amp;" &lt; "&amp;$W$13&amp;" NC"))))</f>
        <v/>
      </c>
      <c r="T1458" s="247" t="str">
        <f>IF($X$13="/28",IF(Q1458="","",IF(Q1458&gt;=$W$13-$S$12,ROUND((Q1458),1)&amp;" ≥ "&amp;$W$13-$S$12&amp;" OK",ROUND((Q1458),1)&amp;" &lt; "&amp;$W$13-$S$12&amp;" NC")),IF($X$13="/90",IF(#REF!="","",IF(#REF!&gt;=$W$13-$S$12,ROUND((#REF!),1)&amp;" ≥ "&amp;$W$13-$S$12&amp;" OK",ROUND((#REF!),1)&amp;" &lt; "&amp;$W$13-$S$12&amp;" NC"))))</f>
        <v/>
      </c>
      <c r="U1458" s="12"/>
      <c r="V1458" s="349"/>
      <c r="W1458" s="350"/>
      <c r="X1458" s="351"/>
      <c r="Y1458" s="244"/>
      <c r="Z1458" s="244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BP1458" s="390" t="str">
        <f>IF($X$13="/28",IF(Q1458="","",Q1458),IF($X$13="/90",IF(#REF!="","",#REF!),"Falso"))</f>
        <v/>
      </c>
      <c r="BQ1458" s="392" t="str">
        <f t="shared" si="2206"/>
        <v/>
      </c>
    </row>
    <row r="1459" spans="1:69" ht="14.25" customHeight="1" x14ac:dyDescent="0.35">
      <c r="A1459" s="294"/>
      <c r="B1459" s="296"/>
      <c r="C1459" s="298"/>
      <c r="D1459" s="300"/>
      <c r="E1459" s="302"/>
      <c r="F1459" s="304"/>
      <c r="G1459" s="276"/>
      <c r="H1459" s="277"/>
      <c r="I1459" s="290"/>
      <c r="J1459" s="290"/>
      <c r="K1459" s="291"/>
      <c r="L1459" s="17"/>
      <c r="M1459" s="286"/>
      <c r="N1459" s="21"/>
      <c r="O1459" s="286"/>
      <c r="P1459" s="21"/>
      <c r="Q1459" s="286"/>
      <c r="R1459" s="248"/>
      <c r="S1459" s="248"/>
      <c r="T1459" s="248"/>
      <c r="U1459" s="13"/>
      <c r="V1459" s="282"/>
      <c r="W1459" s="283"/>
      <c r="X1459" s="284"/>
      <c r="Y1459" s="245"/>
      <c r="Z1459" s="245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BP1459" s="391"/>
      <c r="BQ1459" s="393"/>
    </row>
    <row r="1460" spans="1:69" ht="14.25" customHeight="1" x14ac:dyDescent="0.35">
      <c r="A1460" s="293">
        <v>722</v>
      </c>
      <c r="B1460" s="295"/>
      <c r="C1460" s="297"/>
      <c r="D1460" s="299"/>
      <c r="E1460" s="301"/>
      <c r="F1460" s="303"/>
      <c r="G1460" s="288"/>
      <c r="H1460" s="289"/>
      <c r="I1460" s="290"/>
      <c r="J1460" s="290"/>
      <c r="K1460" s="291"/>
      <c r="L1460" s="18"/>
      <c r="M1460" s="285" t="str">
        <f t="shared" ref="M1460" si="2272">IF(COUNT(L1460:L1461)&lt;1,"",AVERAGE(L1460:L1461))</f>
        <v/>
      </c>
      <c r="N1460" s="22"/>
      <c r="O1460" s="285" t="str">
        <f t="shared" ref="O1460" si="2273">IF(COUNT(N1460:N1461)&lt;1,"",AVERAGE(N1460:N1461))</f>
        <v/>
      </c>
      <c r="P1460" s="22"/>
      <c r="Q1460" s="285" t="str">
        <f t="shared" ref="Q1460" si="2274">IF(COUNT(P1460:P1461)&lt;1,"",AVERAGE(P1460:P1461))</f>
        <v/>
      </c>
      <c r="R1460" s="278" t="str">
        <f>IF($X$13="/28",IF(COUNT(P1460:P1461)&lt;=1,"",ABS(P1460-P1461)),IF($X$13="/90",IF(COUNT(#REF!)&lt;=1,"",ABS(#REF!-#REF!))))</f>
        <v/>
      </c>
      <c r="S1460" s="278" t="str">
        <f>IF($X$13="/28",IF(Q1460="","",IF(AVERAGE(Q1456:Q1461)&gt;=$W$13,ROUND(AVERAGE(Q1456:Q1461),1)&amp;" ≥ "&amp;$W$13&amp;" OK",ROUND(AVERAGE(Q1456:Q1461),1)&amp;" &lt; "&amp;$W$13&amp;" NC")),IF($X$13="/90",IF(#REF!="","",IF(AVERAGE(#REF!)&gt;=$W$13,ROUND(AVERAGE(#REF!),1)&amp;" ≥ "&amp;$W$13&amp;" OK",ROUND(AVERAGE(#REF!),1)&amp;" &lt; "&amp;$W$13&amp;" NC"))))</f>
        <v/>
      </c>
      <c r="T1460" s="278" t="str">
        <f>IF($X$13="/28",IF(Q1460="","",IF(Q1460&gt;=$W$13-$S$12,ROUND((Q1460),1)&amp;" ≥ "&amp;$W$13-$S$12&amp;" OK",ROUND((Q1460),1)&amp;" &lt; "&amp;$W$13-$S$12&amp;" NC")),IF($X$13="/90",IF(#REF!="","",IF(#REF!&gt;=$W$13-$S$12,ROUND((#REF!),1)&amp;" ≥ "&amp;$W$13-$S$12&amp;" OK",ROUND((#REF!),1)&amp;" &lt; "&amp;$W$13-$S$12&amp;" NC"))))</f>
        <v/>
      </c>
      <c r="U1460" s="14"/>
      <c r="V1460" s="279"/>
      <c r="W1460" s="280"/>
      <c r="X1460" s="281"/>
      <c r="Y1460" s="246"/>
      <c r="Z1460" s="246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BP1460" s="390" t="str">
        <f>IF($X$13="/28",IF(Q1460="","",Q1460),IF($X$13="/90",IF(#REF!="","",#REF!),"Falso"))</f>
        <v/>
      </c>
      <c r="BQ1460" s="392" t="str">
        <f t="shared" si="2210"/>
        <v/>
      </c>
    </row>
    <row r="1461" spans="1:69" ht="14.25" customHeight="1" x14ac:dyDescent="0.35">
      <c r="A1461" s="294"/>
      <c r="B1461" s="296"/>
      <c r="C1461" s="298"/>
      <c r="D1461" s="300"/>
      <c r="E1461" s="302"/>
      <c r="F1461" s="304"/>
      <c r="G1461" s="276"/>
      <c r="H1461" s="277"/>
      <c r="I1461" s="290"/>
      <c r="J1461" s="290"/>
      <c r="K1461" s="291"/>
      <c r="L1461" s="17"/>
      <c r="M1461" s="286"/>
      <c r="N1461" s="21"/>
      <c r="O1461" s="286"/>
      <c r="P1461" s="21"/>
      <c r="Q1461" s="286"/>
      <c r="R1461" s="248"/>
      <c r="S1461" s="248"/>
      <c r="T1461" s="248"/>
      <c r="U1461" s="13"/>
      <c r="V1461" s="282"/>
      <c r="W1461" s="283"/>
      <c r="X1461" s="284"/>
      <c r="Y1461" s="245"/>
      <c r="Z1461" s="245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BP1461" s="391"/>
      <c r="BQ1461" s="393"/>
    </row>
    <row r="1462" spans="1:69" ht="14.25" customHeight="1" x14ac:dyDescent="0.35">
      <c r="A1462" s="293">
        <v>723</v>
      </c>
      <c r="B1462" s="295"/>
      <c r="C1462" s="297"/>
      <c r="D1462" s="299"/>
      <c r="E1462" s="301"/>
      <c r="F1462" s="303"/>
      <c r="G1462" s="288"/>
      <c r="H1462" s="289"/>
      <c r="I1462" s="290"/>
      <c r="J1462" s="290"/>
      <c r="K1462" s="291"/>
      <c r="L1462" s="18"/>
      <c r="M1462" s="285" t="str">
        <f t="shared" ref="M1462" si="2275">IF(COUNT(L1462:L1463)&lt;1,"",AVERAGE(L1462:L1463))</f>
        <v/>
      </c>
      <c r="N1462" s="22"/>
      <c r="O1462" s="285" t="str">
        <f t="shared" ref="O1462" si="2276">IF(COUNT(N1462:N1463)&lt;1,"",AVERAGE(N1462:N1463))</f>
        <v/>
      </c>
      <c r="P1462" s="22"/>
      <c r="Q1462" s="285" t="str">
        <f t="shared" ref="Q1462" si="2277">IF(COUNT(P1462:P1463)&lt;1,"",AVERAGE(P1462:P1463))</f>
        <v/>
      </c>
      <c r="R1462" s="278" t="str">
        <f>IF($X$13="/28",IF(COUNT(P1462:P1463)&lt;=1,"",ABS(P1462-P1463)),IF($X$13="/90",IF(COUNT(#REF!)&lt;=1,"",ABS(#REF!-#REF!))))</f>
        <v/>
      </c>
      <c r="S1462" s="278" t="str">
        <f>IF($X$13="/28",IF(Q1462="","",IF(AVERAGE(Q1458:Q1463)&gt;=$W$13,ROUND(AVERAGE(Q1458:Q1463),1)&amp;" ≥ "&amp;$W$13&amp;" OK",ROUND(AVERAGE(Q1458:Q1463),1)&amp;" &lt; "&amp;$W$13&amp;" NC")),IF($X$13="/90",IF(#REF!="","",IF(AVERAGE(#REF!)&gt;=$W$13,ROUND(AVERAGE(#REF!),1)&amp;" ≥ "&amp;$W$13&amp;" OK",ROUND(AVERAGE(#REF!),1)&amp;" &lt; "&amp;$W$13&amp;" NC"))))</f>
        <v/>
      </c>
      <c r="T1462" s="278" t="str">
        <f>IF($X$13="/28",IF(Q1462="","",IF(Q1462&gt;=$W$13-$S$12,ROUND((Q1462),1)&amp;" ≥ "&amp;$W$13-$S$12&amp;" OK",ROUND((Q1462),1)&amp;" &lt; "&amp;$W$13-$S$12&amp;" NC")),IF($X$13="/90",IF(#REF!="","",IF(#REF!&gt;=$W$13-$S$12,ROUND((#REF!),1)&amp;" ≥ "&amp;$W$13-$S$12&amp;" OK",ROUND((#REF!),1)&amp;" &lt; "&amp;$W$13-$S$12&amp;" NC"))))</f>
        <v/>
      </c>
      <c r="U1462" s="14"/>
      <c r="V1462" s="279"/>
      <c r="W1462" s="280"/>
      <c r="X1462" s="281"/>
      <c r="Y1462" s="246"/>
      <c r="Z1462" s="246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BP1462" s="390" t="str">
        <f>IF($X$13="/28",IF(Q1462="","",Q1462),IF($X$13="/90",IF(#REF!="","",#REF!),"Falso"))</f>
        <v/>
      </c>
      <c r="BQ1462" s="392" t="str">
        <f t="shared" si="2214"/>
        <v/>
      </c>
    </row>
    <row r="1463" spans="1:69" ht="14.25" customHeight="1" x14ac:dyDescent="0.35">
      <c r="A1463" s="294"/>
      <c r="B1463" s="296"/>
      <c r="C1463" s="298"/>
      <c r="D1463" s="300"/>
      <c r="E1463" s="302"/>
      <c r="F1463" s="304"/>
      <c r="G1463" s="276"/>
      <c r="H1463" s="277"/>
      <c r="I1463" s="290"/>
      <c r="J1463" s="290"/>
      <c r="K1463" s="291"/>
      <c r="L1463" s="17"/>
      <c r="M1463" s="286"/>
      <c r="N1463" s="21"/>
      <c r="O1463" s="286"/>
      <c r="P1463" s="21"/>
      <c r="Q1463" s="286"/>
      <c r="R1463" s="248"/>
      <c r="S1463" s="287"/>
      <c r="T1463" s="248"/>
      <c r="U1463" s="13"/>
      <c r="V1463" s="282"/>
      <c r="W1463" s="283"/>
      <c r="X1463" s="284"/>
      <c r="Y1463" s="245"/>
      <c r="Z1463" s="245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BP1463" s="391"/>
      <c r="BQ1463" s="393"/>
    </row>
    <row r="1464" spans="1:69" ht="14.25" customHeight="1" x14ac:dyDescent="0.35">
      <c r="A1464" s="293">
        <v>724</v>
      </c>
      <c r="B1464" s="295"/>
      <c r="C1464" s="297"/>
      <c r="D1464" s="299"/>
      <c r="E1464" s="301"/>
      <c r="F1464" s="303"/>
      <c r="G1464" s="288"/>
      <c r="H1464" s="289"/>
      <c r="I1464" s="290"/>
      <c r="J1464" s="290"/>
      <c r="K1464" s="291"/>
      <c r="L1464" s="18"/>
      <c r="M1464" s="285" t="str">
        <f t="shared" ref="M1464" si="2278">IF(COUNT(L1464:L1465)&lt;1,"",AVERAGE(L1464:L1465))</f>
        <v/>
      </c>
      <c r="N1464" s="22"/>
      <c r="O1464" s="285" t="str">
        <f t="shared" ref="O1464" si="2279">IF(COUNT(N1464:N1465)&lt;1,"",AVERAGE(N1464:N1465))</f>
        <v/>
      </c>
      <c r="P1464" s="22"/>
      <c r="Q1464" s="285" t="str">
        <f t="shared" ref="Q1464" si="2280">IF(COUNT(P1464:P1465)&lt;1,"",AVERAGE(P1464:P1465))</f>
        <v/>
      </c>
      <c r="R1464" s="278" t="str">
        <f>IF($X$13="/28",IF(COUNT(P1464:P1465)&lt;=1,"",ABS(P1464-P1465)),IF($X$13="/90",IF(COUNT(#REF!)&lt;=1,"",ABS(#REF!-#REF!))))</f>
        <v/>
      </c>
      <c r="S1464" s="278" t="str">
        <f>IF($X$13="/28",IF(Q1464="","",IF(AVERAGE(Q1460:Q1465)&gt;=$W$13,ROUND(AVERAGE(Q1460:Q1465),1)&amp;" ≥ "&amp;$W$13&amp;" OK",ROUND(AVERAGE(Q1460:Q1465),1)&amp;" &lt; "&amp;$W$13&amp;" NC")),IF($X$13="/90",IF(#REF!="","",IF(AVERAGE(#REF!)&gt;=$W$13,ROUND(AVERAGE(#REF!),1)&amp;" ≥ "&amp;$W$13&amp;" OK",ROUND(AVERAGE(#REF!),1)&amp;" &lt; "&amp;$W$13&amp;" NC"))))</f>
        <v/>
      </c>
      <c r="T1464" s="278" t="str">
        <f>IF($X$13="/28",IF(Q1464="","",IF(Q1464&gt;=$W$13-$S$12,ROUND((Q1464),1)&amp;" ≥ "&amp;$W$13-$S$12&amp;" OK",ROUND((Q1464),1)&amp;" &lt; "&amp;$W$13-$S$12&amp;" NC")),IF($X$13="/90",IF(#REF!="","",IF(#REF!&gt;=$W$13-$S$12,ROUND((#REF!),1)&amp;" ≥ "&amp;$W$13-$S$12&amp;" OK",ROUND((#REF!),1)&amp;" &lt; "&amp;$W$13-$S$12&amp;" NC"))))</f>
        <v/>
      </c>
      <c r="U1464" s="14"/>
      <c r="V1464" s="279"/>
      <c r="W1464" s="280"/>
      <c r="X1464" s="281"/>
      <c r="Y1464" s="246"/>
      <c r="Z1464" s="246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BP1464" s="390" t="str">
        <f>IF($X$13="/28",IF(Q1464="","",Q1464),IF($X$13="/90",IF(#REF!="","",#REF!),"Falso"))</f>
        <v/>
      </c>
      <c r="BQ1464" s="392" t="str">
        <f t="shared" si="2206"/>
        <v/>
      </c>
    </row>
    <row r="1465" spans="1:69" ht="14.25" customHeight="1" x14ac:dyDescent="0.35">
      <c r="A1465" s="294"/>
      <c r="B1465" s="296"/>
      <c r="C1465" s="298"/>
      <c r="D1465" s="300"/>
      <c r="E1465" s="302"/>
      <c r="F1465" s="304"/>
      <c r="G1465" s="276"/>
      <c r="H1465" s="277"/>
      <c r="I1465" s="290"/>
      <c r="J1465" s="290"/>
      <c r="K1465" s="291"/>
      <c r="L1465" s="17"/>
      <c r="M1465" s="286"/>
      <c r="N1465" s="21"/>
      <c r="O1465" s="286"/>
      <c r="P1465" s="21"/>
      <c r="Q1465" s="286"/>
      <c r="R1465" s="248"/>
      <c r="S1465" s="287"/>
      <c r="T1465" s="248"/>
      <c r="U1465" s="13"/>
      <c r="V1465" s="282"/>
      <c r="W1465" s="283"/>
      <c r="X1465" s="284"/>
      <c r="Y1465" s="245"/>
      <c r="Z1465" s="245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BP1465" s="391"/>
      <c r="BQ1465" s="393"/>
    </row>
    <row r="1466" spans="1:69" ht="14.25" customHeight="1" x14ac:dyDescent="0.35">
      <c r="A1466" s="293">
        <v>725</v>
      </c>
      <c r="B1466" s="295"/>
      <c r="C1466" s="297"/>
      <c r="D1466" s="299"/>
      <c r="E1466" s="301"/>
      <c r="F1466" s="303"/>
      <c r="G1466" s="288"/>
      <c r="H1466" s="289"/>
      <c r="I1466" s="290"/>
      <c r="J1466" s="290"/>
      <c r="K1466" s="291"/>
      <c r="L1466" s="18"/>
      <c r="M1466" s="285" t="str">
        <f t="shared" ref="M1466" si="2281">IF(COUNT(L1466:L1467)&lt;1,"",AVERAGE(L1466:L1467))</f>
        <v/>
      </c>
      <c r="N1466" s="22"/>
      <c r="O1466" s="285" t="str">
        <f t="shared" ref="O1466" si="2282">IF(COUNT(N1466:N1467)&lt;1,"",AVERAGE(N1466:N1467))</f>
        <v/>
      </c>
      <c r="P1466" s="22"/>
      <c r="Q1466" s="285" t="str">
        <f t="shared" ref="Q1466" si="2283">IF(COUNT(P1466:P1467)&lt;1,"",AVERAGE(P1466:P1467))</f>
        <v/>
      </c>
      <c r="R1466" s="278" t="str">
        <f>IF($X$13="/28",IF(COUNT(P1466:P1467)&lt;=1,"",ABS(P1466-P1467)),IF($X$13="/90",IF(COUNT(#REF!)&lt;=1,"",ABS(#REF!-#REF!))))</f>
        <v/>
      </c>
      <c r="S1466" s="278" t="str">
        <f>IF($X$13="/28",IF(Q1466="","",IF(AVERAGE(Q1462:Q1467)&gt;=$W$13,ROUND(AVERAGE(Q1462:Q1467),1)&amp;" ≥ "&amp;$W$13&amp;" OK",ROUND(AVERAGE(Q1462:Q1467),1)&amp;" &lt; "&amp;$W$13&amp;" NC")),IF($X$13="/90",IF(#REF!="","",IF(AVERAGE(#REF!)&gt;=$W$13,ROUND(AVERAGE(#REF!),1)&amp;" ≥ "&amp;$W$13&amp;" OK",ROUND(AVERAGE(#REF!),1)&amp;" &lt; "&amp;$W$13&amp;" NC"))))</f>
        <v/>
      </c>
      <c r="T1466" s="278" t="str">
        <f>IF($X$13="/28",IF(Q1466="","",IF(Q1466&gt;=$W$13-$S$12,ROUND((Q1466),1)&amp;" ≥ "&amp;$W$13-$S$12&amp;" OK",ROUND((Q1466),1)&amp;" &lt; "&amp;$W$13-$S$12&amp;" NC")),IF($X$13="/90",IF(#REF!="","",IF(#REF!&gt;=$W$13-$S$12,ROUND((#REF!),1)&amp;" ≥ "&amp;$W$13-$S$12&amp;" OK",ROUND((#REF!),1)&amp;" &lt; "&amp;$W$13-$S$12&amp;" NC"))))</f>
        <v/>
      </c>
      <c r="U1466" s="14"/>
      <c r="V1466" s="279"/>
      <c r="W1466" s="280"/>
      <c r="X1466" s="281"/>
      <c r="Y1466" s="246"/>
      <c r="Z1466" s="246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BP1466" s="390" t="str">
        <f>IF($X$13="/28",IF(Q1466="","",Q1466),IF($X$13="/90",IF(#REF!="","",#REF!),"Falso"))</f>
        <v/>
      </c>
      <c r="BQ1466" s="392" t="str">
        <f t="shared" si="2210"/>
        <v/>
      </c>
    </row>
    <row r="1467" spans="1:69" ht="14.25" customHeight="1" x14ac:dyDescent="0.35">
      <c r="A1467" s="294"/>
      <c r="B1467" s="296"/>
      <c r="C1467" s="298"/>
      <c r="D1467" s="300"/>
      <c r="E1467" s="302"/>
      <c r="F1467" s="304"/>
      <c r="G1467" s="276"/>
      <c r="H1467" s="277"/>
      <c r="I1467" s="290"/>
      <c r="J1467" s="290"/>
      <c r="K1467" s="291"/>
      <c r="L1467" s="17"/>
      <c r="M1467" s="286"/>
      <c r="N1467" s="21"/>
      <c r="O1467" s="286"/>
      <c r="P1467" s="21"/>
      <c r="Q1467" s="286"/>
      <c r="R1467" s="248"/>
      <c r="S1467" s="287"/>
      <c r="T1467" s="248"/>
      <c r="U1467" s="13"/>
      <c r="V1467" s="282"/>
      <c r="W1467" s="283"/>
      <c r="X1467" s="284"/>
      <c r="Y1467" s="245"/>
      <c r="Z1467" s="245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BP1467" s="391"/>
      <c r="BQ1467" s="393"/>
    </row>
    <row r="1468" spans="1:69" ht="14.25" customHeight="1" x14ac:dyDescent="0.35">
      <c r="A1468" s="293">
        <v>726</v>
      </c>
      <c r="B1468" s="295"/>
      <c r="C1468" s="297"/>
      <c r="D1468" s="299"/>
      <c r="E1468" s="301"/>
      <c r="F1468" s="303"/>
      <c r="G1468" s="288"/>
      <c r="H1468" s="289"/>
      <c r="I1468" s="290"/>
      <c r="J1468" s="290"/>
      <c r="K1468" s="291"/>
      <c r="L1468" s="18"/>
      <c r="M1468" s="285" t="str">
        <f t="shared" ref="M1468" si="2284">IF(COUNT(L1468:L1469)&lt;1,"",AVERAGE(L1468:L1469))</f>
        <v/>
      </c>
      <c r="N1468" s="22"/>
      <c r="O1468" s="285" t="str">
        <f t="shared" ref="O1468" si="2285">IF(COUNT(N1468:N1469)&lt;1,"",AVERAGE(N1468:N1469))</f>
        <v/>
      </c>
      <c r="P1468" s="22"/>
      <c r="Q1468" s="285" t="str">
        <f t="shared" ref="Q1468" si="2286">IF(COUNT(P1468:P1469)&lt;1,"",AVERAGE(P1468:P1469))</f>
        <v/>
      </c>
      <c r="R1468" s="278" t="str">
        <f>IF($X$13="/28",IF(COUNT(P1468:P1469)&lt;=1,"",ABS(P1468-P1469)),IF($X$13="/90",IF(COUNT(#REF!)&lt;=1,"",ABS(#REF!-#REF!))))</f>
        <v/>
      </c>
      <c r="S1468" s="278" t="str">
        <f>IF($X$13="/28",IF(Q1468="","",IF(AVERAGE(Q1464:Q1469)&gt;=$W$13,ROUND(AVERAGE(Q1464:Q1469),1)&amp;" ≥ "&amp;$W$13&amp;" OK",ROUND(AVERAGE(Q1464:Q1469),1)&amp;" &lt; "&amp;$W$13&amp;" NC")),IF($X$13="/90",IF(#REF!="","",IF(AVERAGE(#REF!)&gt;=$W$13,ROUND(AVERAGE(#REF!),1)&amp;" ≥ "&amp;$W$13&amp;" OK",ROUND(AVERAGE(#REF!),1)&amp;" &lt; "&amp;$W$13&amp;" NC"))))</f>
        <v/>
      </c>
      <c r="T1468" s="278" t="str">
        <f>IF($X$13="/28",IF(Q1468="","",IF(Q1468&gt;=$W$13-$S$12,ROUND((Q1468),1)&amp;" ≥ "&amp;$W$13-$S$12&amp;" OK",ROUND((Q1468),1)&amp;" &lt; "&amp;$W$13-$S$12&amp;" NC")),IF($X$13="/90",IF(#REF!="","",IF(#REF!&gt;=$W$13-$S$12,ROUND((#REF!),1)&amp;" ≥ "&amp;$W$13-$S$12&amp;" OK",ROUND((#REF!),1)&amp;" &lt; "&amp;$W$13-$S$12&amp;" NC"))))</f>
        <v/>
      </c>
      <c r="U1468" s="14"/>
      <c r="V1468" s="279"/>
      <c r="W1468" s="280"/>
      <c r="X1468" s="281"/>
      <c r="Y1468" s="246"/>
      <c r="Z1468" s="246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BP1468" s="390" t="str">
        <f>IF($X$13="/28",IF(Q1468="","",Q1468),IF($X$13="/90",IF(#REF!="","",#REF!),"Falso"))</f>
        <v/>
      </c>
      <c r="BQ1468" s="392" t="str">
        <f t="shared" si="2214"/>
        <v/>
      </c>
    </row>
    <row r="1469" spans="1:69" ht="14.25" customHeight="1" x14ac:dyDescent="0.35">
      <c r="A1469" s="294"/>
      <c r="B1469" s="296"/>
      <c r="C1469" s="298"/>
      <c r="D1469" s="300"/>
      <c r="E1469" s="302"/>
      <c r="F1469" s="304"/>
      <c r="G1469" s="276"/>
      <c r="H1469" s="277"/>
      <c r="I1469" s="290"/>
      <c r="J1469" s="290"/>
      <c r="K1469" s="291"/>
      <c r="L1469" s="17"/>
      <c r="M1469" s="286"/>
      <c r="N1469" s="21"/>
      <c r="O1469" s="286"/>
      <c r="P1469" s="21"/>
      <c r="Q1469" s="286"/>
      <c r="R1469" s="248"/>
      <c r="S1469" s="287"/>
      <c r="T1469" s="248"/>
      <c r="U1469" s="13"/>
      <c r="V1469" s="282"/>
      <c r="W1469" s="283"/>
      <c r="X1469" s="284"/>
      <c r="Y1469" s="245"/>
      <c r="Z1469" s="245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BP1469" s="391"/>
      <c r="BQ1469" s="393"/>
    </row>
    <row r="1470" spans="1:69" ht="14.25" customHeight="1" x14ac:dyDescent="0.35">
      <c r="A1470" s="293">
        <v>727</v>
      </c>
      <c r="B1470" s="295"/>
      <c r="C1470" s="297"/>
      <c r="D1470" s="299"/>
      <c r="E1470" s="301"/>
      <c r="F1470" s="303"/>
      <c r="G1470" s="288"/>
      <c r="H1470" s="289"/>
      <c r="I1470" s="290"/>
      <c r="J1470" s="290"/>
      <c r="K1470" s="291"/>
      <c r="L1470" s="18"/>
      <c r="M1470" s="285" t="str">
        <f t="shared" ref="M1470" si="2287">IF(COUNT(L1470:L1471)&lt;1,"",AVERAGE(L1470:L1471))</f>
        <v/>
      </c>
      <c r="N1470" s="22"/>
      <c r="O1470" s="285" t="str">
        <f t="shared" ref="O1470" si="2288">IF(COUNT(N1470:N1471)&lt;1,"",AVERAGE(N1470:N1471))</f>
        <v/>
      </c>
      <c r="P1470" s="22"/>
      <c r="Q1470" s="285" t="str">
        <f t="shared" ref="Q1470" si="2289">IF(COUNT(P1470:P1471)&lt;1,"",AVERAGE(P1470:P1471))</f>
        <v/>
      </c>
      <c r="R1470" s="278" t="str">
        <f>IF($X$13="/28",IF(COUNT(P1470:P1471)&lt;=1,"",ABS(P1470-P1471)),IF($X$13="/90",IF(COUNT(#REF!)&lt;=1,"",ABS(#REF!-#REF!))))</f>
        <v/>
      </c>
      <c r="S1470" s="278" t="str">
        <f>IF($X$13="/28",IF(Q1470="","",IF(AVERAGE(Q1466:Q1471)&gt;=$W$13,ROUND(AVERAGE(Q1466:Q1471),1)&amp;" ≥ "&amp;$W$13&amp;" OK",ROUND(AVERAGE(Q1466:Q1471),1)&amp;" &lt; "&amp;$W$13&amp;" NC")),IF($X$13="/90",IF(#REF!="","",IF(AVERAGE(#REF!)&gt;=$W$13,ROUND(AVERAGE(#REF!),1)&amp;" ≥ "&amp;$W$13&amp;" OK",ROUND(AVERAGE(#REF!),1)&amp;" &lt; "&amp;$W$13&amp;" NC"))))</f>
        <v/>
      </c>
      <c r="T1470" s="278" t="str">
        <f>IF($X$13="/28",IF(Q1470="","",IF(Q1470&gt;=$W$13-$S$12,ROUND((Q1470),1)&amp;" ≥ "&amp;$W$13-$S$12&amp;" OK",ROUND((Q1470),1)&amp;" &lt; "&amp;$W$13-$S$12&amp;" NC")),IF($X$13="/90",IF(#REF!="","",IF(#REF!&gt;=$W$13-$S$12,ROUND((#REF!),1)&amp;" ≥ "&amp;$W$13-$S$12&amp;" OK",ROUND((#REF!),1)&amp;" &lt; "&amp;$W$13-$S$12&amp;" NC"))))</f>
        <v/>
      </c>
      <c r="U1470" s="14"/>
      <c r="V1470" s="279"/>
      <c r="W1470" s="280"/>
      <c r="X1470" s="281"/>
      <c r="Y1470" s="246"/>
      <c r="Z1470" s="246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BP1470" s="390" t="str">
        <f>IF($X$13="/28",IF(Q1470="","",Q1470),IF($X$13="/90",IF(#REF!="","",#REF!),"Falso"))</f>
        <v/>
      </c>
      <c r="BQ1470" s="392" t="str">
        <f t="shared" si="2206"/>
        <v/>
      </c>
    </row>
    <row r="1471" spans="1:69" ht="14.25" customHeight="1" x14ac:dyDescent="0.35">
      <c r="A1471" s="294"/>
      <c r="B1471" s="296"/>
      <c r="C1471" s="298"/>
      <c r="D1471" s="300"/>
      <c r="E1471" s="302"/>
      <c r="F1471" s="304"/>
      <c r="G1471" s="276"/>
      <c r="H1471" s="277"/>
      <c r="I1471" s="290"/>
      <c r="J1471" s="290"/>
      <c r="K1471" s="291"/>
      <c r="L1471" s="17"/>
      <c r="M1471" s="286"/>
      <c r="N1471" s="21"/>
      <c r="O1471" s="286"/>
      <c r="P1471" s="21"/>
      <c r="Q1471" s="286"/>
      <c r="R1471" s="248"/>
      <c r="S1471" s="287"/>
      <c r="T1471" s="248"/>
      <c r="U1471" s="13"/>
      <c r="V1471" s="282"/>
      <c r="W1471" s="283"/>
      <c r="X1471" s="284"/>
      <c r="Y1471" s="245"/>
      <c r="Z1471" s="245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BP1471" s="391"/>
      <c r="BQ1471" s="393"/>
    </row>
    <row r="1472" spans="1:69" ht="14.25" customHeight="1" x14ac:dyDescent="0.35">
      <c r="A1472" s="293">
        <v>728</v>
      </c>
      <c r="B1472" s="295"/>
      <c r="C1472" s="297"/>
      <c r="D1472" s="299"/>
      <c r="E1472" s="301"/>
      <c r="F1472" s="303"/>
      <c r="G1472" s="288"/>
      <c r="H1472" s="289"/>
      <c r="I1472" s="290"/>
      <c r="J1472" s="290"/>
      <c r="K1472" s="291"/>
      <c r="L1472" s="18"/>
      <c r="M1472" s="285" t="str">
        <f t="shared" ref="M1472" si="2290">IF(COUNT(L1472:L1473)&lt;1,"",AVERAGE(L1472:L1473))</f>
        <v/>
      </c>
      <c r="N1472" s="22"/>
      <c r="O1472" s="285" t="str">
        <f t="shared" ref="O1472" si="2291">IF(COUNT(N1472:N1473)&lt;1,"",AVERAGE(N1472:N1473))</f>
        <v/>
      </c>
      <c r="P1472" s="22"/>
      <c r="Q1472" s="285" t="str">
        <f t="shared" ref="Q1472" si="2292">IF(COUNT(P1472:P1473)&lt;1,"",AVERAGE(P1472:P1473))</f>
        <v/>
      </c>
      <c r="R1472" s="278" t="str">
        <f>IF($X$13="/28",IF(COUNT(P1472:P1473)&lt;=1,"",ABS(P1472-P1473)),IF($X$13="/90",IF(COUNT(#REF!)&lt;=1,"",ABS(#REF!-#REF!))))</f>
        <v/>
      </c>
      <c r="S1472" s="278" t="str">
        <f>IF($X$13="/28",IF(Q1472="","",IF(AVERAGE(Q1468:Q1473)&gt;=$W$13,ROUND(AVERAGE(Q1468:Q1473),1)&amp;" ≥ "&amp;$W$13&amp;" OK",ROUND(AVERAGE(Q1468:Q1473),1)&amp;" &lt; "&amp;$W$13&amp;" NC")),IF($X$13="/90",IF(#REF!="","",IF(AVERAGE(#REF!)&gt;=$W$13,ROUND(AVERAGE(#REF!),1)&amp;" ≥ "&amp;$W$13&amp;" OK",ROUND(AVERAGE(#REF!),1)&amp;" &lt; "&amp;$W$13&amp;" NC"))))</f>
        <v/>
      </c>
      <c r="T1472" s="278" t="str">
        <f>IF($X$13="/28",IF(Q1472="","",IF(Q1472&gt;=$W$13-$S$12,ROUND((Q1472),1)&amp;" ≥ "&amp;$W$13-$S$12&amp;" OK",ROUND((Q1472),1)&amp;" &lt; "&amp;$W$13-$S$12&amp;" NC")),IF($X$13="/90",IF(#REF!="","",IF(#REF!&gt;=$W$13-$S$12,ROUND((#REF!),1)&amp;" ≥ "&amp;$W$13-$S$12&amp;" OK",ROUND((#REF!),1)&amp;" &lt; "&amp;$W$13-$S$12&amp;" NC"))))</f>
        <v/>
      </c>
      <c r="U1472" s="14"/>
      <c r="V1472" s="279"/>
      <c r="W1472" s="280"/>
      <c r="X1472" s="281"/>
      <c r="Y1472" s="246"/>
      <c r="Z1472" s="246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BP1472" s="390" t="str">
        <f>IF($X$13="/28",IF(Q1472="","",Q1472),IF($X$13="/90",IF(#REF!="","",#REF!),"Falso"))</f>
        <v/>
      </c>
      <c r="BQ1472" s="392" t="str">
        <f t="shared" si="2210"/>
        <v/>
      </c>
    </row>
    <row r="1473" spans="1:69" ht="14.25" customHeight="1" x14ac:dyDescent="0.35">
      <c r="A1473" s="294"/>
      <c r="B1473" s="296"/>
      <c r="C1473" s="298"/>
      <c r="D1473" s="300"/>
      <c r="E1473" s="302"/>
      <c r="F1473" s="304"/>
      <c r="G1473" s="276"/>
      <c r="H1473" s="277"/>
      <c r="I1473" s="290"/>
      <c r="J1473" s="290"/>
      <c r="K1473" s="291"/>
      <c r="L1473" s="17"/>
      <c r="M1473" s="286"/>
      <c r="N1473" s="21"/>
      <c r="O1473" s="286"/>
      <c r="P1473" s="21"/>
      <c r="Q1473" s="286"/>
      <c r="R1473" s="248"/>
      <c r="S1473" s="287"/>
      <c r="T1473" s="248"/>
      <c r="U1473" s="13"/>
      <c r="V1473" s="282"/>
      <c r="W1473" s="283"/>
      <c r="X1473" s="284"/>
      <c r="Y1473" s="245"/>
      <c r="Z1473" s="245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BP1473" s="391"/>
      <c r="BQ1473" s="393"/>
    </row>
    <row r="1474" spans="1:69" ht="14.25" customHeight="1" x14ac:dyDescent="0.35">
      <c r="A1474" s="293">
        <v>729</v>
      </c>
      <c r="B1474" s="295"/>
      <c r="C1474" s="297"/>
      <c r="D1474" s="299"/>
      <c r="E1474" s="301"/>
      <c r="F1474" s="303"/>
      <c r="G1474" s="288"/>
      <c r="H1474" s="289"/>
      <c r="I1474" s="290"/>
      <c r="J1474" s="290"/>
      <c r="K1474" s="291"/>
      <c r="L1474" s="18"/>
      <c r="M1474" s="285" t="str">
        <f t="shared" ref="M1474" si="2293">IF(COUNT(L1474:L1475)&lt;1,"",AVERAGE(L1474:L1475))</f>
        <v/>
      </c>
      <c r="N1474" s="22"/>
      <c r="O1474" s="285" t="str">
        <f t="shared" ref="O1474" si="2294">IF(COUNT(N1474:N1475)&lt;1,"",AVERAGE(N1474:N1475))</f>
        <v/>
      </c>
      <c r="P1474" s="22"/>
      <c r="Q1474" s="285" t="str">
        <f t="shared" ref="Q1474" si="2295">IF(COUNT(P1474:P1475)&lt;1,"",AVERAGE(P1474:P1475))</f>
        <v/>
      </c>
      <c r="R1474" s="278" t="str">
        <f>IF($X$13="/28",IF(COUNT(P1474:P1475)&lt;=1,"",ABS(P1474-P1475)),IF($X$13="/90",IF(COUNT(#REF!)&lt;=1,"",ABS(#REF!-#REF!))))</f>
        <v/>
      </c>
      <c r="S1474" s="278" t="str">
        <f>IF($X$13="/28",IF(Q1474="","",IF(AVERAGE(Q1470:Q1475)&gt;=$W$13,ROUND(AVERAGE(Q1470:Q1475),1)&amp;" ≥ "&amp;$W$13&amp;" OK",ROUND(AVERAGE(Q1470:Q1475),1)&amp;" &lt; "&amp;$W$13&amp;" NC")),IF($X$13="/90",IF(#REF!="","",IF(AVERAGE(#REF!)&gt;=$W$13,ROUND(AVERAGE(#REF!),1)&amp;" ≥ "&amp;$W$13&amp;" OK",ROUND(AVERAGE(#REF!),1)&amp;" &lt; "&amp;$W$13&amp;" NC"))))</f>
        <v/>
      </c>
      <c r="T1474" s="278" t="str">
        <f>IF($X$13="/28",IF(Q1474="","",IF(Q1474&gt;=$W$13-$S$12,ROUND((Q1474),1)&amp;" ≥ "&amp;$W$13-$S$12&amp;" OK",ROUND((Q1474),1)&amp;" &lt; "&amp;$W$13-$S$12&amp;" NC")),IF($X$13="/90",IF(#REF!="","",IF(#REF!&gt;=$W$13-$S$12,ROUND((#REF!),1)&amp;" ≥ "&amp;$W$13-$S$12&amp;" OK",ROUND((#REF!),1)&amp;" &lt; "&amp;$W$13-$S$12&amp;" NC"))))</f>
        <v/>
      </c>
      <c r="U1474" s="14"/>
      <c r="V1474" s="279"/>
      <c r="W1474" s="280"/>
      <c r="X1474" s="281"/>
      <c r="Y1474" s="246"/>
      <c r="Z1474" s="246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BP1474" s="390" t="str">
        <f>IF($X$13="/28",IF(Q1474="","",Q1474),IF($X$13="/90",IF(#REF!="","",#REF!),"Falso"))</f>
        <v/>
      </c>
      <c r="BQ1474" s="392" t="str">
        <f t="shared" si="2214"/>
        <v/>
      </c>
    </row>
    <row r="1475" spans="1:69" ht="14.25" customHeight="1" x14ac:dyDescent="0.35">
      <c r="A1475" s="294"/>
      <c r="B1475" s="296"/>
      <c r="C1475" s="298"/>
      <c r="D1475" s="300"/>
      <c r="E1475" s="302"/>
      <c r="F1475" s="304"/>
      <c r="G1475" s="276"/>
      <c r="H1475" s="277"/>
      <c r="I1475" s="290"/>
      <c r="J1475" s="290"/>
      <c r="K1475" s="291"/>
      <c r="L1475" s="17"/>
      <c r="M1475" s="286"/>
      <c r="N1475" s="21"/>
      <c r="O1475" s="286"/>
      <c r="P1475" s="21"/>
      <c r="Q1475" s="286"/>
      <c r="R1475" s="248"/>
      <c r="S1475" s="287"/>
      <c r="T1475" s="248"/>
      <c r="U1475" s="13"/>
      <c r="V1475" s="282"/>
      <c r="W1475" s="283"/>
      <c r="X1475" s="284"/>
      <c r="Y1475" s="245"/>
      <c r="Z1475" s="245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BP1475" s="391"/>
      <c r="BQ1475" s="393"/>
    </row>
    <row r="1476" spans="1:69" ht="14.25" customHeight="1" x14ac:dyDescent="0.35">
      <c r="A1476" s="293">
        <v>730</v>
      </c>
      <c r="B1476" s="295"/>
      <c r="C1476" s="297"/>
      <c r="D1476" s="299"/>
      <c r="E1476" s="301"/>
      <c r="F1476" s="303"/>
      <c r="G1476" s="288"/>
      <c r="H1476" s="289"/>
      <c r="I1476" s="290"/>
      <c r="J1476" s="290"/>
      <c r="K1476" s="291"/>
      <c r="L1476" s="18"/>
      <c r="M1476" s="285" t="str">
        <f t="shared" ref="M1476" si="2296">IF(COUNT(L1476:L1477)&lt;1,"",AVERAGE(L1476:L1477))</f>
        <v/>
      </c>
      <c r="N1476" s="22"/>
      <c r="O1476" s="285" t="str">
        <f t="shared" ref="O1476" si="2297">IF(COUNT(N1476:N1477)&lt;1,"",AVERAGE(N1476:N1477))</f>
        <v/>
      </c>
      <c r="P1476" s="22"/>
      <c r="Q1476" s="285" t="str">
        <f t="shared" ref="Q1476" si="2298">IF(COUNT(P1476:P1477)&lt;1,"",AVERAGE(P1476:P1477))</f>
        <v/>
      </c>
      <c r="R1476" s="278" t="str">
        <f>IF($X$13="/28",IF(COUNT(P1476:P1477)&lt;=1,"",ABS(P1476-P1477)),IF($X$13="/90",IF(COUNT(#REF!)&lt;=1,"",ABS(#REF!-#REF!))))</f>
        <v/>
      </c>
      <c r="S1476" s="278" t="str">
        <f>IF($X$13="/28",IF(Q1476="","",IF(AVERAGE(Q1472:Q1477)&gt;=$W$13,ROUND(AVERAGE(Q1472:Q1477),1)&amp;" ≥ "&amp;$W$13&amp;" OK",ROUND(AVERAGE(Q1472:Q1477),1)&amp;" &lt; "&amp;$W$13&amp;" NC")),IF($X$13="/90",IF(#REF!="","",IF(AVERAGE(#REF!)&gt;=$W$13,ROUND(AVERAGE(#REF!),1)&amp;" ≥ "&amp;$W$13&amp;" OK",ROUND(AVERAGE(#REF!),1)&amp;" &lt; "&amp;$W$13&amp;" NC"))))</f>
        <v/>
      </c>
      <c r="T1476" s="278" t="str">
        <f>IF($X$13="/28",IF(Q1476="","",IF(Q1476&gt;=$W$13-$S$12,ROUND((Q1476),1)&amp;" ≥ "&amp;$W$13-$S$12&amp;" OK",ROUND((Q1476),1)&amp;" &lt; "&amp;$W$13-$S$12&amp;" NC")),IF($X$13="/90",IF(#REF!="","",IF(#REF!&gt;=$W$13-$S$12,ROUND((#REF!),1)&amp;" ≥ "&amp;$W$13-$S$12&amp;" OK",ROUND((#REF!),1)&amp;" &lt; "&amp;$W$13-$S$12&amp;" NC"))))</f>
        <v/>
      </c>
      <c r="U1476" s="14"/>
      <c r="V1476" s="279"/>
      <c r="W1476" s="280"/>
      <c r="X1476" s="281"/>
      <c r="Y1476" s="246"/>
      <c r="Z1476" s="246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BP1476" s="390" t="str">
        <f>IF($X$13="/28",IF(Q1476="","",Q1476),IF($X$13="/90",IF(#REF!="","",#REF!),"Falso"))</f>
        <v/>
      </c>
      <c r="BQ1476" s="392" t="str">
        <f t="shared" si="2206"/>
        <v/>
      </c>
    </row>
    <row r="1477" spans="1:69" ht="14.25" customHeight="1" x14ac:dyDescent="0.35">
      <c r="A1477" s="294"/>
      <c r="B1477" s="296"/>
      <c r="C1477" s="298"/>
      <c r="D1477" s="300"/>
      <c r="E1477" s="302"/>
      <c r="F1477" s="304"/>
      <c r="G1477" s="276"/>
      <c r="H1477" s="277"/>
      <c r="I1477" s="290"/>
      <c r="J1477" s="290"/>
      <c r="K1477" s="291"/>
      <c r="L1477" s="17"/>
      <c r="M1477" s="286"/>
      <c r="N1477" s="21"/>
      <c r="O1477" s="286"/>
      <c r="P1477" s="21"/>
      <c r="Q1477" s="286"/>
      <c r="R1477" s="248"/>
      <c r="S1477" s="287"/>
      <c r="T1477" s="248"/>
      <c r="U1477" s="13"/>
      <c r="V1477" s="282"/>
      <c r="W1477" s="283"/>
      <c r="X1477" s="284"/>
      <c r="Y1477" s="245"/>
      <c r="Z1477" s="245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BP1477" s="391"/>
      <c r="BQ1477" s="393"/>
    </row>
    <row r="1478" spans="1:69" ht="14.25" customHeight="1" x14ac:dyDescent="0.35">
      <c r="A1478" s="293">
        <v>731</v>
      </c>
      <c r="B1478" s="295"/>
      <c r="C1478" s="297"/>
      <c r="D1478" s="299"/>
      <c r="E1478" s="301"/>
      <c r="F1478" s="303"/>
      <c r="G1478" s="288"/>
      <c r="H1478" s="289"/>
      <c r="I1478" s="290"/>
      <c r="J1478" s="290"/>
      <c r="K1478" s="291"/>
      <c r="L1478" s="18"/>
      <c r="M1478" s="285" t="str">
        <f t="shared" ref="M1478" si="2299">IF(COUNT(L1478:L1479)&lt;1,"",AVERAGE(L1478:L1479))</f>
        <v/>
      </c>
      <c r="N1478" s="22"/>
      <c r="O1478" s="285" t="str">
        <f t="shared" ref="O1478" si="2300">IF(COUNT(N1478:N1479)&lt;1,"",AVERAGE(N1478:N1479))</f>
        <v/>
      </c>
      <c r="P1478" s="22"/>
      <c r="Q1478" s="285" t="str">
        <f t="shared" ref="Q1478" si="2301">IF(COUNT(P1478:P1479)&lt;1,"",AVERAGE(P1478:P1479))</f>
        <v/>
      </c>
      <c r="R1478" s="278" t="str">
        <f>IF($X$13="/28",IF(COUNT(P1478:P1479)&lt;=1,"",ABS(P1478-P1479)),IF($X$13="/90",IF(COUNT(#REF!)&lt;=1,"",ABS(#REF!-#REF!))))</f>
        <v/>
      </c>
      <c r="S1478" s="278" t="str">
        <f>IF($X$13="/28",IF(Q1478="","",IF(AVERAGE(Q1474:Q1479)&gt;=$W$13,ROUND(AVERAGE(Q1474:Q1479),1)&amp;" ≥ "&amp;$W$13&amp;" OK",ROUND(AVERAGE(Q1474:Q1479),1)&amp;" &lt; "&amp;$W$13&amp;" NC")),IF($X$13="/90",IF(#REF!="","",IF(AVERAGE(#REF!)&gt;=$W$13,ROUND(AVERAGE(#REF!),1)&amp;" ≥ "&amp;$W$13&amp;" OK",ROUND(AVERAGE(#REF!),1)&amp;" &lt; "&amp;$W$13&amp;" NC"))))</f>
        <v/>
      </c>
      <c r="T1478" s="278" t="str">
        <f>IF($X$13="/28",IF(Q1478="","",IF(Q1478&gt;=$W$13-$S$12,ROUND((Q1478),1)&amp;" ≥ "&amp;$W$13-$S$12&amp;" OK",ROUND((Q1478),1)&amp;" &lt; "&amp;$W$13-$S$12&amp;" NC")),IF($X$13="/90",IF(#REF!="","",IF(#REF!&gt;=$W$13-$S$12,ROUND((#REF!),1)&amp;" ≥ "&amp;$W$13-$S$12&amp;" OK",ROUND((#REF!),1)&amp;" &lt; "&amp;$W$13-$S$12&amp;" NC"))))</f>
        <v/>
      </c>
      <c r="U1478" s="14"/>
      <c r="V1478" s="279"/>
      <c r="W1478" s="280"/>
      <c r="X1478" s="281"/>
      <c r="Y1478" s="246"/>
      <c r="Z1478" s="246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BP1478" s="390" t="str">
        <f>IF($X$13="/28",IF(Q1478="","",Q1478),IF($X$13="/90",IF(#REF!="","",#REF!),"Falso"))</f>
        <v/>
      </c>
      <c r="BQ1478" s="392" t="str">
        <f t="shared" si="2210"/>
        <v/>
      </c>
    </row>
    <row r="1479" spans="1:69" ht="14.25" customHeight="1" x14ac:dyDescent="0.35">
      <c r="A1479" s="294"/>
      <c r="B1479" s="296"/>
      <c r="C1479" s="298"/>
      <c r="D1479" s="300"/>
      <c r="E1479" s="302"/>
      <c r="F1479" s="304"/>
      <c r="G1479" s="276"/>
      <c r="H1479" s="277"/>
      <c r="I1479" s="290"/>
      <c r="J1479" s="290"/>
      <c r="K1479" s="291"/>
      <c r="L1479" s="17"/>
      <c r="M1479" s="286"/>
      <c r="N1479" s="21"/>
      <c r="O1479" s="286"/>
      <c r="P1479" s="21"/>
      <c r="Q1479" s="286"/>
      <c r="R1479" s="248"/>
      <c r="S1479" s="287"/>
      <c r="T1479" s="248"/>
      <c r="U1479" s="13"/>
      <c r="V1479" s="282"/>
      <c r="W1479" s="283"/>
      <c r="X1479" s="284"/>
      <c r="Y1479" s="245"/>
      <c r="Z1479" s="245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BP1479" s="391"/>
      <c r="BQ1479" s="393"/>
    </row>
    <row r="1480" spans="1:69" ht="14.25" customHeight="1" x14ac:dyDescent="0.35">
      <c r="A1480" s="293">
        <v>732</v>
      </c>
      <c r="B1480" s="295"/>
      <c r="C1480" s="297"/>
      <c r="D1480" s="299"/>
      <c r="E1480" s="301"/>
      <c r="F1480" s="303"/>
      <c r="G1480" s="288"/>
      <c r="H1480" s="289"/>
      <c r="I1480" s="290"/>
      <c r="J1480" s="290"/>
      <c r="K1480" s="291"/>
      <c r="L1480" s="18"/>
      <c r="M1480" s="285" t="str">
        <f t="shared" ref="M1480" si="2302">IF(COUNT(L1480:L1481)&lt;1,"",AVERAGE(L1480:L1481))</f>
        <v/>
      </c>
      <c r="N1480" s="22"/>
      <c r="O1480" s="285" t="str">
        <f t="shared" ref="O1480" si="2303">IF(COUNT(N1480:N1481)&lt;1,"",AVERAGE(N1480:N1481))</f>
        <v/>
      </c>
      <c r="P1480" s="22"/>
      <c r="Q1480" s="285" t="str">
        <f t="shared" ref="Q1480" si="2304">IF(COUNT(P1480:P1481)&lt;1,"",AVERAGE(P1480:P1481))</f>
        <v/>
      </c>
      <c r="R1480" s="278" t="str">
        <f>IF($X$13="/28",IF(COUNT(P1480:P1481)&lt;=1,"",ABS(P1480-P1481)),IF($X$13="/90",IF(COUNT(#REF!)&lt;=1,"",ABS(#REF!-#REF!))))</f>
        <v/>
      </c>
      <c r="S1480" s="278" t="str">
        <f>IF($X$13="/28",IF(Q1480="","",IF(AVERAGE(Q1476:Q1481)&gt;=$W$13,ROUND(AVERAGE(Q1476:Q1481),1)&amp;" ≥ "&amp;$W$13&amp;" OK",ROUND(AVERAGE(Q1476:Q1481),1)&amp;" &lt; "&amp;$W$13&amp;" NC")),IF($X$13="/90",IF(#REF!="","",IF(AVERAGE(#REF!)&gt;=$W$13,ROUND(AVERAGE(#REF!),1)&amp;" ≥ "&amp;$W$13&amp;" OK",ROUND(AVERAGE(#REF!),1)&amp;" &lt; "&amp;$W$13&amp;" NC"))))</f>
        <v/>
      </c>
      <c r="T1480" s="278" t="str">
        <f>IF($X$13="/28",IF(Q1480="","",IF(Q1480&gt;=$W$13-$S$12,ROUND((Q1480),1)&amp;" ≥ "&amp;$W$13-$S$12&amp;" OK",ROUND((Q1480),1)&amp;" &lt; "&amp;$W$13-$S$12&amp;" NC")),IF($X$13="/90",IF(#REF!="","",IF(#REF!&gt;=$W$13-$S$12,ROUND((#REF!),1)&amp;" ≥ "&amp;$W$13-$S$12&amp;" OK",ROUND((#REF!),1)&amp;" &lt; "&amp;$W$13-$S$12&amp;" NC"))))</f>
        <v/>
      </c>
      <c r="U1480" s="14"/>
      <c r="V1480" s="279"/>
      <c r="W1480" s="280"/>
      <c r="X1480" s="281"/>
      <c r="Y1480" s="246"/>
      <c r="Z1480" s="246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BP1480" s="390" t="str">
        <f>IF($X$13="/28",IF(Q1480="","",Q1480),IF($X$13="/90",IF(#REF!="","",#REF!),"Falso"))</f>
        <v/>
      </c>
      <c r="BQ1480" s="392" t="str">
        <f t="shared" si="2214"/>
        <v/>
      </c>
    </row>
    <row r="1481" spans="1:69" ht="14.25" customHeight="1" x14ac:dyDescent="0.35">
      <c r="A1481" s="294"/>
      <c r="B1481" s="296"/>
      <c r="C1481" s="298"/>
      <c r="D1481" s="300"/>
      <c r="E1481" s="302"/>
      <c r="F1481" s="304"/>
      <c r="G1481" s="276"/>
      <c r="H1481" s="277"/>
      <c r="I1481" s="290"/>
      <c r="J1481" s="290"/>
      <c r="K1481" s="291"/>
      <c r="L1481" s="17"/>
      <c r="M1481" s="286"/>
      <c r="N1481" s="21"/>
      <c r="O1481" s="286"/>
      <c r="P1481" s="21"/>
      <c r="Q1481" s="286"/>
      <c r="R1481" s="248"/>
      <c r="S1481" s="287"/>
      <c r="T1481" s="248"/>
      <c r="U1481" s="13"/>
      <c r="V1481" s="282"/>
      <c r="W1481" s="283"/>
      <c r="X1481" s="284"/>
      <c r="Y1481" s="245"/>
      <c r="Z1481" s="245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BP1481" s="391"/>
      <c r="BQ1481" s="393"/>
    </row>
    <row r="1482" spans="1:69" ht="14.25" customHeight="1" x14ac:dyDescent="0.35">
      <c r="A1482" s="293">
        <v>733</v>
      </c>
      <c r="B1482" s="295"/>
      <c r="C1482" s="297"/>
      <c r="D1482" s="299"/>
      <c r="E1482" s="301"/>
      <c r="F1482" s="303"/>
      <c r="G1482" s="288"/>
      <c r="H1482" s="289"/>
      <c r="I1482" s="290"/>
      <c r="J1482" s="290"/>
      <c r="K1482" s="291"/>
      <c r="L1482" s="18"/>
      <c r="M1482" s="285" t="str">
        <f t="shared" ref="M1482" si="2305">IF(COUNT(L1482:L1483)&lt;1,"",AVERAGE(L1482:L1483))</f>
        <v/>
      </c>
      <c r="N1482" s="22"/>
      <c r="O1482" s="285" t="str">
        <f t="shared" ref="O1482" si="2306">IF(COUNT(N1482:N1483)&lt;1,"",AVERAGE(N1482:N1483))</f>
        <v/>
      </c>
      <c r="P1482" s="22"/>
      <c r="Q1482" s="285" t="str">
        <f t="shared" ref="Q1482" si="2307">IF(COUNT(P1482:P1483)&lt;1,"",AVERAGE(P1482:P1483))</f>
        <v/>
      </c>
      <c r="R1482" s="278" t="str">
        <f>IF($X$13="/28",IF(COUNT(P1482:P1483)&lt;=1,"",ABS(P1482-P1483)),IF($X$13="/90",IF(COUNT(#REF!)&lt;=1,"",ABS(#REF!-#REF!))))</f>
        <v/>
      </c>
      <c r="S1482" s="278" t="str">
        <f>IF($X$13="/28",IF(Q1482="","",IF(AVERAGE(Q1478:Q1483)&gt;=$W$13,ROUND(AVERAGE(Q1478:Q1483),1)&amp;" ≥ "&amp;$W$13&amp;" OK",ROUND(AVERAGE(Q1478:Q1483),1)&amp;" &lt; "&amp;$W$13&amp;" NC")),IF($X$13="/90",IF(#REF!="","",IF(AVERAGE(#REF!)&gt;=$W$13,ROUND(AVERAGE(#REF!),1)&amp;" ≥ "&amp;$W$13&amp;" OK",ROUND(AVERAGE(#REF!),1)&amp;" &lt; "&amp;$W$13&amp;" NC"))))</f>
        <v/>
      </c>
      <c r="T1482" s="278" t="str">
        <f>IF($X$13="/28",IF(Q1482="","",IF(Q1482&gt;=$W$13-$S$12,ROUND((Q1482),1)&amp;" ≥ "&amp;$W$13-$S$12&amp;" OK",ROUND((Q1482),1)&amp;" &lt; "&amp;$W$13-$S$12&amp;" NC")),IF($X$13="/90",IF(#REF!="","",IF(#REF!&gt;=$W$13-$S$12,ROUND((#REF!),1)&amp;" ≥ "&amp;$W$13-$S$12&amp;" OK",ROUND((#REF!),1)&amp;" &lt; "&amp;$W$13-$S$12&amp;" NC"))))</f>
        <v/>
      </c>
      <c r="U1482" s="14"/>
      <c r="V1482" s="279"/>
      <c r="W1482" s="280"/>
      <c r="X1482" s="281"/>
      <c r="Y1482" s="246"/>
      <c r="Z1482" s="246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BP1482" s="390" t="str">
        <f>IF($X$13="/28",IF(Q1482="","",Q1482),IF($X$13="/90",IF(#REF!="","",#REF!),"Falso"))</f>
        <v/>
      </c>
      <c r="BQ1482" s="392" t="str">
        <f t="shared" ref="BQ1482:BQ1542" si="2308">IF(BP1482="","",BQ1480+1)</f>
        <v/>
      </c>
    </row>
    <row r="1483" spans="1:69" ht="14.25" customHeight="1" x14ac:dyDescent="0.35">
      <c r="A1483" s="294"/>
      <c r="B1483" s="296"/>
      <c r="C1483" s="298"/>
      <c r="D1483" s="300"/>
      <c r="E1483" s="302"/>
      <c r="F1483" s="304"/>
      <c r="G1483" s="276"/>
      <c r="H1483" s="277"/>
      <c r="I1483" s="290"/>
      <c r="J1483" s="290"/>
      <c r="K1483" s="291"/>
      <c r="L1483" s="17"/>
      <c r="M1483" s="286"/>
      <c r="N1483" s="21"/>
      <c r="O1483" s="286"/>
      <c r="P1483" s="21"/>
      <c r="Q1483" s="286"/>
      <c r="R1483" s="248"/>
      <c r="S1483" s="287"/>
      <c r="T1483" s="248"/>
      <c r="U1483" s="13"/>
      <c r="V1483" s="282"/>
      <c r="W1483" s="283"/>
      <c r="X1483" s="284"/>
      <c r="Y1483" s="245"/>
      <c r="Z1483" s="245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BP1483" s="391"/>
      <c r="BQ1483" s="393"/>
    </row>
    <row r="1484" spans="1:69" ht="14.25" customHeight="1" x14ac:dyDescent="0.35">
      <c r="A1484" s="293">
        <v>734</v>
      </c>
      <c r="B1484" s="295"/>
      <c r="C1484" s="297"/>
      <c r="D1484" s="299"/>
      <c r="E1484" s="301"/>
      <c r="F1484" s="303"/>
      <c r="G1484" s="288"/>
      <c r="H1484" s="289"/>
      <c r="I1484" s="290"/>
      <c r="J1484" s="290"/>
      <c r="K1484" s="291"/>
      <c r="L1484" s="18"/>
      <c r="M1484" s="285" t="str">
        <f t="shared" ref="M1484" si="2309">IF(COUNT(L1484:L1485)&lt;1,"",AVERAGE(L1484:L1485))</f>
        <v/>
      </c>
      <c r="N1484" s="22"/>
      <c r="O1484" s="285" t="str">
        <f t="shared" ref="O1484" si="2310">IF(COUNT(N1484:N1485)&lt;1,"",AVERAGE(N1484:N1485))</f>
        <v/>
      </c>
      <c r="P1484" s="22"/>
      <c r="Q1484" s="285" t="str">
        <f t="shared" ref="Q1484" si="2311">IF(COUNT(P1484:P1485)&lt;1,"",AVERAGE(P1484:P1485))</f>
        <v/>
      </c>
      <c r="R1484" s="278" t="str">
        <f>IF($X$13="/28",IF(COUNT(P1484:P1485)&lt;=1,"",ABS(P1484-P1485)),IF($X$13="/90",IF(COUNT(#REF!)&lt;=1,"",ABS(#REF!-#REF!))))</f>
        <v/>
      </c>
      <c r="S1484" s="278" t="str">
        <f>IF($X$13="/28",IF(Q1484="","",IF(AVERAGE(Q1480:Q1485)&gt;=$W$13,ROUND(AVERAGE(Q1480:Q1485),1)&amp;" ≥ "&amp;$W$13&amp;" OK",ROUND(AVERAGE(Q1480:Q1485),1)&amp;" &lt; "&amp;$W$13&amp;" NC")),IF($X$13="/90",IF(#REF!="","",IF(AVERAGE(#REF!)&gt;=$W$13,ROUND(AVERAGE(#REF!),1)&amp;" ≥ "&amp;$W$13&amp;" OK",ROUND(AVERAGE(#REF!),1)&amp;" &lt; "&amp;$W$13&amp;" NC"))))</f>
        <v/>
      </c>
      <c r="T1484" s="278" t="str">
        <f>IF($X$13="/28",IF(Q1484="","",IF(Q1484&gt;=$W$13-$S$12,ROUND((Q1484),1)&amp;" ≥ "&amp;$W$13-$S$12&amp;" OK",ROUND((Q1484),1)&amp;" &lt; "&amp;$W$13-$S$12&amp;" NC")),IF($X$13="/90",IF(#REF!="","",IF(#REF!&gt;=$W$13-$S$12,ROUND((#REF!),1)&amp;" ≥ "&amp;$W$13-$S$12&amp;" OK",ROUND((#REF!),1)&amp;" &lt; "&amp;$W$13-$S$12&amp;" NC"))))</f>
        <v/>
      </c>
      <c r="U1484" s="14"/>
      <c r="V1484" s="279"/>
      <c r="W1484" s="280"/>
      <c r="X1484" s="281"/>
      <c r="Y1484" s="246"/>
      <c r="Z1484" s="246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BP1484" s="390" t="str">
        <f>IF($X$13="/28",IF(Q1484="","",Q1484),IF($X$13="/90",IF(#REF!="","",#REF!),"Falso"))</f>
        <v/>
      </c>
      <c r="BQ1484" s="392" t="str">
        <f t="shared" ref="BQ1484:BQ1544" si="2312">IF(BP1484="","",BQ1482+1)</f>
        <v/>
      </c>
    </row>
    <row r="1485" spans="1:69" ht="14.25" customHeight="1" x14ac:dyDescent="0.35">
      <c r="A1485" s="294"/>
      <c r="B1485" s="296"/>
      <c r="C1485" s="298"/>
      <c r="D1485" s="300"/>
      <c r="E1485" s="302"/>
      <c r="F1485" s="304"/>
      <c r="G1485" s="276"/>
      <c r="H1485" s="277"/>
      <c r="I1485" s="290"/>
      <c r="J1485" s="290"/>
      <c r="K1485" s="291"/>
      <c r="L1485" s="17"/>
      <c r="M1485" s="286"/>
      <c r="N1485" s="21"/>
      <c r="O1485" s="286"/>
      <c r="P1485" s="21"/>
      <c r="Q1485" s="286"/>
      <c r="R1485" s="248"/>
      <c r="S1485" s="287"/>
      <c r="T1485" s="248"/>
      <c r="U1485" s="13"/>
      <c r="V1485" s="282"/>
      <c r="W1485" s="283"/>
      <c r="X1485" s="284"/>
      <c r="Y1485" s="245"/>
      <c r="Z1485" s="245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BP1485" s="391"/>
      <c r="BQ1485" s="393"/>
    </row>
    <row r="1486" spans="1:69" ht="14.25" customHeight="1" x14ac:dyDescent="0.35">
      <c r="A1486" s="293">
        <v>735</v>
      </c>
      <c r="B1486" s="295"/>
      <c r="C1486" s="297"/>
      <c r="D1486" s="299"/>
      <c r="E1486" s="301"/>
      <c r="F1486" s="303"/>
      <c r="G1486" s="288"/>
      <c r="H1486" s="289"/>
      <c r="I1486" s="290"/>
      <c r="J1486" s="290"/>
      <c r="K1486" s="291"/>
      <c r="L1486" s="18"/>
      <c r="M1486" s="285" t="str">
        <f t="shared" ref="M1486" si="2313">IF(COUNT(L1486:L1487)&lt;1,"",AVERAGE(L1486:L1487))</f>
        <v/>
      </c>
      <c r="N1486" s="22"/>
      <c r="O1486" s="285" t="str">
        <f t="shared" ref="O1486" si="2314">IF(COUNT(N1486:N1487)&lt;1,"",AVERAGE(N1486:N1487))</f>
        <v/>
      </c>
      <c r="P1486" s="22"/>
      <c r="Q1486" s="285" t="str">
        <f t="shared" ref="Q1486" si="2315">IF(COUNT(P1486:P1487)&lt;1,"",AVERAGE(P1486:P1487))</f>
        <v/>
      </c>
      <c r="R1486" s="278" t="str">
        <f>IF($X$13="/28",IF(COUNT(P1486:P1487)&lt;=1,"",ABS(P1486-P1487)),IF($X$13="/90",IF(COUNT(#REF!)&lt;=1,"",ABS(#REF!-#REF!))))</f>
        <v/>
      </c>
      <c r="S1486" s="278" t="str">
        <f>IF($X$13="/28",IF(Q1486="","",IF(AVERAGE(Q1482:Q1487)&gt;=$W$13,ROUND(AVERAGE(Q1482:Q1487),1)&amp;" ≥ "&amp;$W$13&amp;" OK",ROUND(AVERAGE(Q1482:Q1487),1)&amp;" &lt; "&amp;$W$13&amp;" NC")),IF($X$13="/90",IF(#REF!="","",IF(AVERAGE(#REF!)&gt;=$W$13,ROUND(AVERAGE(#REF!),1)&amp;" ≥ "&amp;$W$13&amp;" OK",ROUND(AVERAGE(#REF!),1)&amp;" &lt; "&amp;$W$13&amp;" NC"))))</f>
        <v/>
      </c>
      <c r="T1486" s="278" t="str">
        <f>IF($X$13="/28",IF(Q1486="","",IF(Q1486&gt;=$W$13-$S$12,ROUND((Q1486),1)&amp;" ≥ "&amp;$W$13-$S$12&amp;" OK",ROUND((Q1486),1)&amp;" &lt; "&amp;$W$13-$S$12&amp;" NC")),IF($X$13="/90",IF(#REF!="","",IF(#REF!&gt;=$W$13-$S$12,ROUND((#REF!),1)&amp;" ≥ "&amp;$W$13-$S$12&amp;" OK",ROUND((#REF!),1)&amp;" &lt; "&amp;$W$13-$S$12&amp;" NC"))))</f>
        <v/>
      </c>
      <c r="U1486" s="14"/>
      <c r="V1486" s="279"/>
      <c r="W1486" s="280"/>
      <c r="X1486" s="281"/>
      <c r="Y1486" s="246"/>
      <c r="Z1486" s="246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BP1486" s="390" t="str">
        <f>IF($X$13="/28",IF(Q1486="","",Q1486),IF($X$13="/90",IF(#REF!="","",#REF!),"Falso"))</f>
        <v/>
      </c>
      <c r="BQ1486" s="392" t="str">
        <f t="shared" ref="BQ1486:BQ1546" si="2316">IF(BP1486="","",BQ1484+1)</f>
        <v/>
      </c>
    </row>
    <row r="1487" spans="1:69" ht="14.25" customHeight="1" x14ac:dyDescent="0.35">
      <c r="A1487" s="294"/>
      <c r="B1487" s="296"/>
      <c r="C1487" s="298"/>
      <c r="D1487" s="300"/>
      <c r="E1487" s="302"/>
      <c r="F1487" s="304"/>
      <c r="G1487" s="276"/>
      <c r="H1487" s="277"/>
      <c r="I1487" s="290"/>
      <c r="J1487" s="290"/>
      <c r="K1487" s="291"/>
      <c r="L1487" s="17"/>
      <c r="M1487" s="286"/>
      <c r="N1487" s="21"/>
      <c r="O1487" s="286"/>
      <c r="P1487" s="21"/>
      <c r="Q1487" s="286"/>
      <c r="R1487" s="248"/>
      <c r="S1487" s="287"/>
      <c r="T1487" s="248"/>
      <c r="U1487" s="13"/>
      <c r="V1487" s="282"/>
      <c r="W1487" s="283"/>
      <c r="X1487" s="284"/>
      <c r="Y1487" s="245"/>
      <c r="Z1487" s="245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BP1487" s="391"/>
      <c r="BQ1487" s="393"/>
    </row>
    <row r="1488" spans="1:69" ht="14.25" customHeight="1" x14ac:dyDescent="0.35">
      <c r="A1488" s="293">
        <v>736</v>
      </c>
      <c r="B1488" s="295"/>
      <c r="C1488" s="297"/>
      <c r="D1488" s="299"/>
      <c r="E1488" s="301"/>
      <c r="F1488" s="303"/>
      <c r="G1488" s="288"/>
      <c r="H1488" s="289"/>
      <c r="I1488" s="290"/>
      <c r="J1488" s="290"/>
      <c r="K1488" s="291"/>
      <c r="L1488" s="18"/>
      <c r="M1488" s="285" t="str">
        <f t="shared" ref="M1488" si="2317">IF(COUNT(L1488:L1489)&lt;1,"",AVERAGE(L1488:L1489))</f>
        <v/>
      </c>
      <c r="N1488" s="22"/>
      <c r="O1488" s="285" t="str">
        <f t="shared" ref="O1488" si="2318">IF(COUNT(N1488:N1489)&lt;1,"",AVERAGE(N1488:N1489))</f>
        <v/>
      </c>
      <c r="P1488" s="22"/>
      <c r="Q1488" s="285" t="str">
        <f t="shared" ref="Q1488" si="2319">IF(COUNT(P1488:P1489)&lt;1,"",AVERAGE(P1488:P1489))</f>
        <v/>
      </c>
      <c r="R1488" s="278" t="str">
        <f>IF($X$13="/28",IF(COUNT(P1488:P1489)&lt;=1,"",ABS(P1488-P1489)),IF($X$13="/90",IF(COUNT(#REF!)&lt;=1,"",ABS(#REF!-#REF!))))</f>
        <v/>
      </c>
      <c r="S1488" s="278" t="str">
        <f>IF($X$13="/28",IF(Q1488="","",IF(AVERAGE(Q1484:Q1489)&gt;=$W$13,ROUND(AVERAGE(Q1484:Q1489),1)&amp;" ≥ "&amp;$W$13&amp;" OK",ROUND(AVERAGE(Q1484:Q1489),1)&amp;" &lt; "&amp;$W$13&amp;" NC")),IF($X$13="/90",IF(#REF!="","",IF(AVERAGE(#REF!)&gt;=$W$13,ROUND(AVERAGE(#REF!),1)&amp;" ≥ "&amp;$W$13&amp;" OK",ROUND(AVERAGE(#REF!),1)&amp;" &lt; "&amp;$W$13&amp;" NC"))))</f>
        <v/>
      </c>
      <c r="T1488" s="278" t="str">
        <f>IF($X$13="/28",IF(Q1488="","",IF(Q1488&gt;=$W$13-$S$12,ROUND((Q1488),1)&amp;" ≥ "&amp;$W$13-$S$12&amp;" OK",ROUND((Q1488),1)&amp;" &lt; "&amp;$W$13-$S$12&amp;" NC")),IF($X$13="/90",IF(#REF!="","",IF(#REF!&gt;=$W$13-$S$12,ROUND((#REF!),1)&amp;" ≥ "&amp;$W$13-$S$12&amp;" OK",ROUND((#REF!),1)&amp;" &lt; "&amp;$W$13-$S$12&amp;" NC"))))</f>
        <v/>
      </c>
      <c r="U1488" s="14"/>
      <c r="V1488" s="279"/>
      <c r="W1488" s="280"/>
      <c r="X1488" s="281"/>
      <c r="Y1488" s="246"/>
      <c r="Z1488" s="246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BP1488" s="390" t="str">
        <f>IF($X$13="/28",IF(Q1488="","",Q1488),IF($X$13="/90",IF(#REF!="","",#REF!),"Falso"))</f>
        <v/>
      </c>
      <c r="BQ1488" s="392" t="str">
        <f t="shared" si="2308"/>
        <v/>
      </c>
    </row>
    <row r="1489" spans="1:69" ht="14.25" customHeight="1" x14ac:dyDescent="0.35">
      <c r="A1489" s="294"/>
      <c r="B1489" s="296"/>
      <c r="C1489" s="298"/>
      <c r="D1489" s="300"/>
      <c r="E1489" s="302"/>
      <c r="F1489" s="304"/>
      <c r="G1489" s="276"/>
      <c r="H1489" s="277"/>
      <c r="I1489" s="290"/>
      <c r="J1489" s="290"/>
      <c r="K1489" s="291"/>
      <c r="L1489" s="17"/>
      <c r="M1489" s="286"/>
      <c r="N1489" s="21"/>
      <c r="O1489" s="286"/>
      <c r="P1489" s="21"/>
      <c r="Q1489" s="286"/>
      <c r="R1489" s="248"/>
      <c r="S1489" s="287"/>
      <c r="T1489" s="248"/>
      <c r="U1489" s="13"/>
      <c r="V1489" s="282"/>
      <c r="W1489" s="283"/>
      <c r="X1489" s="284"/>
      <c r="Y1489" s="245"/>
      <c r="Z1489" s="245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BP1489" s="391"/>
      <c r="BQ1489" s="393"/>
    </row>
    <row r="1490" spans="1:69" ht="14.25" customHeight="1" x14ac:dyDescent="0.35">
      <c r="A1490" s="293">
        <v>737</v>
      </c>
      <c r="B1490" s="295"/>
      <c r="C1490" s="297"/>
      <c r="D1490" s="299"/>
      <c r="E1490" s="301"/>
      <c r="F1490" s="303"/>
      <c r="G1490" s="288"/>
      <c r="H1490" s="289"/>
      <c r="I1490" s="290"/>
      <c r="J1490" s="290"/>
      <c r="K1490" s="291"/>
      <c r="L1490" s="18"/>
      <c r="M1490" s="285" t="str">
        <f t="shared" ref="M1490" si="2320">IF(COUNT(L1490:L1491)&lt;1,"",AVERAGE(L1490:L1491))</f>
        <v/>
      </c>
      <c r="N1490" s="22"/>
      <c r="O1490" s="285" t="str">
        <f t="shared" ref="O1490" si="2321">IF(COUNT(N1490:N1491)&lt;1,"",AVERAGE(N1490:N1491))</f>
        <v/>
      </c>
      <c r="P1490" s="22"/>
      <c r="Q1490" s="285" t="str">
        <f t="shared" ref="Q1490" si="2322">IF(COUNT(P1490:P1491)&lt;1,"",AVERAGE(P1490:P1491))</f>
        <v/>
      </c>
      <c r="R1490" s="278" t="str">
        <f>IF($X$13="/28",IF(COUNT(P1490:P1491)&lt;=1,"",ABS(P1490-P1491)),IF($X$13="/90",IF(COUNT(#REF!)&lt;=1,"",ABS(#REF!-#REF!))))</f>
        <v/>
      </c>
      <c r="S1490" s="278" t="str">
        <f>IF($X$13="/28",IF(Q1490="","",IF(AVERAGE(Q1486:Q1491)&gt;=$W$13,ROUND(AVERAGE(Q1486:Q1491),1)&amp;" ≥ "&amp;$W$13&amp;" OK",ROUND(AVERAGE(Q1486:Q1491),1)&amp;" &lt; "&amp;$W$13&amp;" NC")),IF($X$13="/90",IF(#REF!="","",IF(AVERAGE(#REF!)&gt;=$W$13,ROUND(AVERAGE(#REF!),1)&amp;" ≥ "&amp;$W$13&amp;" OK",ROUND(AVERAGE(#REF!),1)&amp;" &lt; "&amp;$W$13&amp;" NC"))))</f>
        <v/>
      </c>
      <c r="T1490" s="278" t="str">
        <f>IF($X$13="/28",IF(Q1490="","",IF(Q1490&gt;=$W$13-$S$12,ROUND((Q1490),1)&amp;" ≥ "&amp;$W$13-$S$12&amp;" OK",ROUND((Q1490),1)&amp;" &lt; "&amp;$W$13-$S$12&amp;" NC")),IF($X$13="/90",IF(#REF!="","",IF(#REF!&gt;=$W$13-$S$12,ROUND((#REF!),1)&amp;" ≥ "&amp;$W$13-$S$12&amp;" OK",ROUND((#REF!),1)&amp;" &lt; "&amp;$W$13-$S$12&amp;" NC"))))</f>
        <v/>
      </c>
      <c r="U1490" s="14"/>
      <c r="V1490" s="279"/>
      <c r="W1490" s="280"/>
      <c r="X1490" s="281"/>
      <c r="Y1490" s="246"/>
      <c r="Z1490" s="246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BP1490" s="390" t="str">
        <f>IF($X$13="/28",IF(Q1490="","",Q1490),IF($X$13="/90",IF(#REF!="","",#REF!),"Falso"))</f>
        <v/>
      </c>
      <c r="BQ1490" s="392" t="str">
        <f t="shared" si="2312"/>
        <v/>
      </c>
    </row>
    <row r="1491" spans="1:69" ht="14.25" customHeight="1" x14ac:dyDescent="0.35">
      <c r="A1491" s="294"/>
      <c r="B1491" s="296"/>
      <c r="C1491" s="298"/>
      <c r="D1491" s="300"/>
      <c r="E1491" s="302"/>
      <c r="F1491" s="304"/>
      <c r="G1491" s="276"/>
      <c r="H1491" s="277"/>
      <c r="I1491" s="290"/>
      <c r="J1491" s="290"/>
      <c r="K1491" s="291"/>
      <c r="L1491" s="17"/>
      <c r="M1491" s="286"/>
      <c r="N1491" s="21"/>
      <c r="O1491" s="286"/>
      <c r="P1491" s="21"/>
      <c r="Q1491" s="286"/>
      <c r="R1491" s="248"/>
      <c r="S1491" s="287"/>
      <c r="T1491" s="248"/>
      <c r="U1491" s="13"/>
      <c r="V1491" s="282"/>
      <c r="W1491" s="283"/>
      <c r="X1491" s="284"/>
      <c r="Y1491" s="245"/>
      <c r="Z1491" s="245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BP1491" s="391"/>
      <c r="BQ1491" s="393"/>
    </row>
    <row r="1492" spans="1:69" ht="14.25" customHeight="1" x14ac:dyDescent="0.35">
      <c r="A1492" s="293">
        <v>738</v>
      </c>
      <c r="B1492" s="295"/>
      <c r="C1492" s="297"/>
      <c r="D1492" s="299"/>
      <c r="E1492" s="301"/>
      <c r="F1492" s="303"/>
      <c r="G1492" s="288"/>
      <c r="H1492" s="289"/>
      <c r="I1492" s="290"/>
      <c r="J1492" s="290"/>
      <c r="K1492" s="291"/>
      <c r="L1492" s="18"/>
      <c r="M1492" s="285" t="str">
        <f t="shared" ref="M1492" si="2323">IF(COUNT(L1492:L1493)&lt;1,"",AVERAGE(L1492:L1493))</f>
        <v/>
      </c>
      <c r="N1492" s="22"/>
      <c r="O1492" s="285" t="str">
        <f t="shared" ref="O1492" si="2324">IF(COUNT(N1492:N1493)&lt;1,"",AVERAGE(N1492:N1493))</f>
        <v/>
      </c>
      <c r="P1492" s="22"/>
      <c r="Q1492" s="285" t="str">
        <f t="shared" ref="Q1492" si="2325">IF(COUNT(P1492:P1493)&lt;1,"",AVERAGE(P1492:P1493))</f>
        <v/>
      </c>
      <c r="R1492" s="278" t="str">
        <f>IF($X$13="/28",IF(COUNT(P1492:P1493)&lt;=1,"",ABS(P1492-P1493)),IF($X$13="/90",IF(COUNT(#REF!)&lt;=1,"",ABS(#REF!-#REF!))))</f>
        <v/>
      </c>
      <c r="S1492" s="278" t="str">
        <f>IF($X$13="/28",IF(Q1492="","",IF(AVERAGE(Q1488:Q1493)&gt;=$W$13,ROUND(AVERAGE(Q1488:Q1493),1)&amp;" ≥ "&amp;$W$13&amp;" OK",ROUND(AVERAGE(Q1488:Q1493),1)&amp;" &lt; "&amp;$W$13&amp;" NC")),IF($X$13="/90",IF(#REF!="","",IF(AVERAGE(#REF!)&gt;=$W$13,ROUND(AVERAGE(#REF!),1)&amp;" ≥ "&amp;$W$13&amp;" OK",ROUND(AVERAGE(#REF!),1)&amp;" &lt; "&amp;$W$13&amp;" NC"))))</f>
        <v/>
      </c>
      <c r="T1492" s="278" t="str">
        <f>IF($X$13="/28",IF(Q1492="","",IF(Q1492&gt;=$W$13-$S$12,ROUND((Q1492),1)&amp;" ≥ "&amp;$W$13-$S$12&amp;" OK",ROUND((Q1492),1)&amp;" &lt; "&amp;$W$13-$S$12&amp;" NC")),IF($X$13="/90",IF(#REF!="","",IF(#REF!&gt;=$W$13-$S$12,ROUND((#REF!),1)&amp;" ≥ "&amp;$W$13-$S$12&amp;" OK",ROUND((#REF!),1)&amp;" &lt; "&amp;$W$13-$S$12&amp;" NC"))))</f>
        <v/>
      </c>
      <c r="U1492" s="14"/>
      <c r="V1492" s="279"/>
      <c r="W1492" s="280"/>
      <c r="X1492" s="281"/>
      <c r="Y1492" s="246"/>
      <c r="Z1492" s="246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BP1492" s="390" t="str">
        <f>IF($X$13="/28",IF(Q1492="","",Q1492),IF($X$13="/90",IF(#REF!="","",#REF!),"Falso"))</f>
        <v/>
      </c>
      <c r="BQ1492" s="392" t="str">
        <f t="shared" si="2316"/>
        <v/>
      </c>
    </row>
    <row r="1493" spans="1:69" ht="14.25" customHeight="1" x14ac:dyDescent="0.35">
      <c r="A1493" s="294"/>
      <c r="B1493" s="296"/>
      <c r="C1493" s="298"/>
      <c r="D1493" s="300"/>
      <c r="E1493" s="302"/>
      <c r="F1493" s="304"/>
      <c r="G1493" s="276"/>
      <c r="H1493" s="277"/>
      <c r="I1493" s="290"/>
      <c r="J1493" s="290"/>
      <c r="K1493" s="291"/>
      <c r="L1493" s="17"/>
      <c r="M1493" s="286"/>
      <c r="N1493" s="21"/>
      <c r="O1493" s="286"/>
      <c r="P1493" s="21"/>
      <c r="Q1493" s="286"/>
      <c r="R1493" s="248"/>
      <c r="S1493" s="287"/>
      <c r="T1493" s="248"/>
      <c r="U1493" s="13"/>
      <c r="V1493" s="282"/>
      <c r="W1493" s="283"/>
      <c r="X1493" s="284"/>
      <c r="Y1493" s="245"/>
      <c r="Z1493" s="245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BP1493" s="391"/>
      <c r="BQ1493" s="393"/>
    </row>
    <row r="1494" spans="1:69" ht="14.25" customHeight="1" x14ac:dyDescent="0.35">
      <c r="A1494" s="293">
        <v>739</v>
      </c>
      <c r="B1494" s="295"/>
      <c r="C1494" s="297"/>
      <c r="D1494" s="299"/>
      <c r="E1494" s="301"/>
      <c r="F1494" s="303"/>
      <c r="G1494" s="288"/>
      <c r="H1494" s="289"/>
      <c r="I1494" s="290"/>
      <c r="J1494" s="290"/>
      <c r="K1494" s="291"/>
      <c r="L1494" s="18"/>
      <c r="M1494" s="285" t="str">
        <f t="shared" ref="M1494" si="2326">IF(COUNT(L1494:L1495)&lt;1,"",AVERAGE(L1494:L1495))</f>
        <v/>
      </c>
      <c r="N1494" s="22"/>
      <c r="O1494" s="285" t="str">
        <f t="shared" ref="O1494" si="2327">IF(COUNT(N1494:N1495)&lt;1,"",AVERAGE(N1494:N1495))</f>
        <v/>
      </c>
      <c r="P1494" s="22"/>
      <c r="Q1494" s="285" t="str">
        <f t="shared" ref="Q1494" si="2328">IF(COUNT(P1494:P1495)&lt;1,"",AVERAGE(P1494:P1495))</f>
        <v/>
      </c>
      <c r="R1494" s="278" t="str">
        <f>IF($X$13="/28",IF(COUNT(P1494:P1495)&lt;=1,"",ABS(P1494-P1495)),IF($X$13="/90",IF(COUNT(#REF!)&lt;=1,"",ABS(#REF!-#REF!))))</f>
        <v/>
      </c>
      <c r="S1494" s="278" t="str">
        <f>IF($X$13="/28",IF(Q1494="","",IF(AVERAGE(Q1490:Q1495)&gt;=$W$13,ROUND(AVERAGE(Q1490:Q1495),1)&amp;" ≥ "&amp;$W$13&amp;" OK",ROUND(AVERAGE(Q1490:Q1495),1)&amp;" &lt; "&amp;$W$13&amp;" NC")),IF($X$13="/90",IF(#REF!="","",IF(AVERAGE(#REF!)&gt;=$W$13,ROUND(AVERAGE(#REF!),1)&amp;" ≥ "&amp;$W$13&amp;" OK",ROUND(AVERAGE(#REF!),1)&amp;" &lt; "&amp;$W$13&amp;" NC"))))</f>
        <v/>
      </c>
      <c r="T1494" s="278" t="str">
        <f>IF($X$13="/28",IF(Q1494="","",IF(Q1494&gt;=$W$13-$S$12,ROUND((Q1494),1)&amp;" ≥ "&amp;$W$13-$S$12&amp;" OK",ROUND((Q1494),1)&amp;" &lt; "&amp;$W$13-$S$12&amp;" NC")),IF($X$13="/90",IF(#REF!="","",IF(#REF!&gt;=$W$13-$S$12,ROUND((#REF!),1)&amp;" ≥ "&amp;$W$13-$S$12&amp;" OK",ROUND((#REF!),1)&amp;" &lt; "&amp;$W$13-$S$12&amp;" NC"))))</f>
        <v/>
      </c>
      <c r="U1494" s="14"/>
      <c r="V1494" s="279"/>
      <c r="W1494" s="280"/>
      <c r="X1494" s="281"/>
      <c r="Y1494" s="246"/>
      <c r="Z1494" s="246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BP1494" s="390" t="str">
        <f>IF($X$13="/28",IF(Q1494="","",Q1494),IF($X$13="/90",IF(#REF!="","",#REF!),"Falso"))</f>
        <v/>
      </c>
      <c r="BQ1494" s="392" t="str">
        <f t="shared" si="2308"/>
        <v/>
      </c>
    </row>
    <row r="1495" spans="1:69" ht="14.25" customHeight="1" x14ac:dyDescent="0.35">
      <c r="A1495" s="294"/>
      <c r="B1495" s="296"/>
      <c r="C1495" s="298"/>
      <c r="D1495" s="300"/>
      <c r="E1495" s="302"/>
      <c r="F1495" s="304"/>
      <c r="G1495" s="276"/>
      <c r="H1495" s="277"/>
      <c r="I1495" s="290"/>
      <c r="J1495" s="290"/>
      <c r="K1495" s="291"/>
      <c r="L1495" s="17"/>
      <c r="M1495" s="286"/>
      <c r="N1495" s="21"/>
      <c r="O1495" s="286"/>
      <c r="P1495" s="21"/>
      <c r="Q1495" s="286"/>
      <c r="R1495" s="248"/>
      <c r="S1495" s="287"/>
      <c r="T1495" s="248"/>
      <c r="U1495" s="13"/>
      <c r="V1495" s="282"/>
      <c r="W1495" s="283"/>
      <c r="X1495" s="284"/>
      <c r="Y1495" s="245"/>
      <c r="Z1495" s="245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BP1495" s="391"/>
      <c r="BQ1495" s="393"/>
    </row>
    <row r="1496" spans="1:69" ht="14.25" customHeight="1" x14ac:dyDescent="0.35">
      <c r="A1496" s="293">
        <v>740</v>
      </c>
      <c r="B1496" s="295"/>
      <c r="C1496" s="297"/>
      <c r="D1496" s="299"/>
      <c r="E1496" s="301"/>
      <c r="F1496" s="303"/>
      <c r="G1496" s="288"/>
      <c r="H1496" s="289"/>
      <c r="I1496" s="290"/>
      <c r="J1496" s="290"/>
      <c r="K1496" s="291"/>
      <c r="L1496" s="18"/>
      <c r="M1496" s="285" t="str">
        <f t="shared" ref="M1496" si="2329">IF(COUNT(L1496:L1497)&lt;1,"",AVERAGE(L1496:L1497))</f>
        <v/>
      </c>
      <c r="N1496" s="22"/>
      <c r="O1496" s="285" t="str">
        <f t="shared" ref="O1496" si="2330">IF(COUNT(N1496:N1497)&lt;1,"",AVERAGE(N1496:N1497))</f>
        <v/>
      </c>
      <c r="P1496" s="22"/>
      <c r="Q1496" s="285" t="str">
        <f t="shared" ref="Q1496" si="2331">IF(COUNT(P1496:P1497)&lt;1,"",AVERAGE(P1496:P1497))</f>
        <v/>
      </c>
      <c r="R1496" s="278" t="str">
        <f>IF($X$13="/28",IF(COUNT(P1496:P1497)&lt;=1,"",ABS(P1496-P1497)),IF($X$13="/90",IF(COUNT(#REF!)&lt;=1,"",ABS(#REF!-#REF!))))</f>
        <v/>
      </c>
      <c r="S1496" s="278" t="str">
        <f>IF($X$13="/28",IF(Q1496="","",IF(AVERAGE(Q1492:Q1497)&gt;=$W$13,ROUND(AVERAGE(Q1492:Q1497),1)&amp;" ≥ "&amp;$W$13&amp;" OK",ROUND(AVERAGE(Q1492:Q1497),1)&amp;" &lt; "&amp;$W$13&amp;" NC")),IF($X$13="/90",IF(#REF!="","",IF(AVERAGE(#REF!)&gt;=$W$13,ROUND(AVERAGE(#REF!),1)&amp;" ≥ "&amp;$W$13&amp;" OK",ROUND(AVERAGE(#REF!),1)&amp;" &lt; "&amp;$W$13&amp;" NC"))))</f>
        <v/>
      </c>
      <c r="T1496" s="278" t="str">
        <f>IF($X$13="/28",IF(Q1496="","",IF(Q1496&gt;=$W$13-$S$12,ROUND((Q1496),1)&amp;" ≥ "&amp;$W$13-$S$12&amp;" OK",ROUND((Q1496),1)&amp;" &lt; "&amp;$W$13-$S$12&amp;" NC")),IF($X$13="/90",IF(#REF!="","",IF(#REF!&gt;=$W$13-$S$12,ROUND((#REF!),1)&amp;" ≥ "&amp;$W$13-$S$12&amp;" OK",ROUND((#REF!),1)&amp;" &lt; "&amp;$W$13-$S$12&amp;" NC"))))</f>
        <v/>
      </c>
      <c r="U1496" s="14"/>
      <c r="V1496" s="279"/>
      <c r="W1496" s="280"/>
      <c r="X1496" s="281"/>
      <c r="Y1496" s="246"/>
      <c r="Z1496" s="246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BP1496" s="390" t="str">
        <f>IF($X$13="/28",IF(Q1496="","",Q1496),IF($X$13="/90",IF(#REF!="","",#REF!),"Falso"))</f>
        <v/>
      </c>
      <c r="BQ1496" s="392" t="str">
        <f t="shared" si="2312"/>
        <v/>
      </c>
    </row>
    <row r="1497" spans="1:69" ht="14.25" customHeight="1" x14ac:dyDescent="0.35">
      <c r="A1497" s="294"/>
      <c r="B1497" s="296"/>
      <c r="C1497" s="298"/>
      <c r="D1497" s="300"/>
      <c r="E1497" s="302"/>
      <c r="F1497" s="304"/>
      <c r="G1497" s="276"/>
      <c r="H1497" s="277"/>
      <c r="I1497" s="290"/>
      <c r="J1497" s="290"/>
      <c r="K1497" s="291"/>
      <c r="L1497" s="17"/>
      <c r="M1497" s="286"/>
      <c r="N1497" s="21"/>
      <c r="O1497" s="286"/>
      <c r="P1497" s="21"/>
      <c r="Q1497" s="286"/>
      <c r="R1497" s="248"/>
      <c r="S1497" s="287"/>
      <c r="T1497" s="248"/>
      <c r="U1497" s="13"/>
      <c r="V1497" s="282"/>
      <c r="W1497" s="283"/>
      <c r="X1497" s="284"/>
      <c r="Y1497" s="245"/>
      <c r="Z1497" s="245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BP1497" s="391"/>
      <c r="BQ1497" s="393"/>
    </row>
    <row r="1498" spans="1:69" ht="14.25" customHeight="1" x14ac:dyDescent="0.35">
      <c r="A1498" s="293">
        <v>741</v>
      </c>
      <c r="B1498" s="295"/>
      <c r="C1498" s="297"/>
      <c r="D1498" s="299"/>
      <c r="E1498" s="301"/>
      <c r="F1498" s="303"/>
      <c r="G1498" s="288"/>
      <c r="H1498" s="289"/>
      <c r="I1498" s="290"/>
      <c r="J1498" s="290"/>
      <c r="K1498" s="291"/>
      <c r="L1498" s="18"/>
      <c r="M1498" s="285" t="str">
        <f t="shared" ref="M1498" si="2332">IF(COUNT(L1498:L1499)&lt;1,"",AVERAGE(L1498:L1499))</f>
        <v/>
      </c>
      <c r="N1498" s="22"/>
      <c r="O1498" s="285" t="str">
        <f t="shared" ref="O1498" si="2333">IF(COUNT(N1498:N1499)&lt;1,"",AVERAGE(N1498:N1499))</f>
        <v/>
      </c>
      <c r="P1498" s="22"/>
      <c r="Q1498" s="285" t="str">
        <f t="shared" ref="Q1498" si="2334">IF(COUNT(P1498:P1499)&lt;1,"",AVERAGE(P1498:P1499))</f>
        <v/>
      </c>
      <c r="R1498" s="278" t="str">
        <f>IF($X$13="/28",IF(COUNT(P1498:P1499)&lt;=1,"",ABS(P1498-P1499)),IF($X$13="/90",IF(COUNT(#REF!)&lt;=1,"",ABS(#REF!-#REF!))))</f>
        <v/>
      </c>
      <c r="S1498" s="278" t="str">
        <f>IF($X$13="/28",IF(Q1498="","",IF(AVERAGE(Q1494:Q1499)&gt;=$W$13,ROUND(AVERAGE(Q1494:Q1499),1)&amp;" ≥ "&amp;$W$13&amp;" OK",ROUND(AVERAGE(Q1494:Q1499),1)&amp;" &lt; "&amp;$W$13&amp;" NC")),IF($X$13="/90",IF(#REF!="","",IF(AVERAGE(#REF!)&gt;=$W$13,ROUND(AVERAGE(#REF!),1)&amp;" ≥ "&amp;$W$13&amp;" OK",ROUND(AVERAGE(#REF!),1)&amp;" &lt; "&amp;$W$13&amp;" NC"))))</f>
        <v/>
      </c>
      <c r="T1498" s="278" t="str">
        <f>IF($X$13="/28",IF(Q1498="","",IF(Q1498&gt;=$W$13-$S$12,ROUND((Q1498),1)&amp;" ≥ "&amp;$W$13-$S$12&amp;" OK",ROUND((Q1498),1)&amp;" &lt; "&amp;$W$13-$S$12&amp;" NC")),IF($X$13="/90",IF(#REF!="","",IF(#REF!&gt;=$W$13-$S$12,ROUND((#REF!),1)&amp;" ≥ "&amp;$W$13-$S$12&amp;" OK",ROUND((#REF!),1)&amp;" &lt; "&amp;$W$13-$S$12&amp;" NC"))))</f>
        <v/>
      </c>
      <c r="U1498" s="14"/>
      <c r="V1498" s="279"/>
      <c r="W1498" s="280"/>
      <c r="X1498" s="281"/>
      <c r="Y1498" s="246"/>
      <c r="Z1498" s="246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BP1498" s="390" t="str">
        <f>IF($X$13="/28",IF(Q1498="","",Q1498),IF($X$13="/90",IF(#REF!="","",#REF!),"Falso"))</f>
        <v/>
      </c>
      <c r="BQ1498" s="392" t="str">
        <f t="shared" si="2316"/>
        <v/>
      </c>
    </row>
    <row r="1499" spans="1:69" ht="14.25" customHeight="1" x14ac:dyDescent="0.35">
      <c r="A1499" s="294"/>
      <c r="B1499" s="296"/>
      <c r="C1499" s="298"/>
      <c r="D1499" s="300"/>
      <c r="E1499" s="302"/>
      <c r="F1499" s="304"/>
      <c r="G1499" s="276"/>
      <c r="H1499" s="277"/>
      <c r="I1499" s="290"/>
      <c r="J1499" s="290"/>
      <c r="K1499" s="291"/>
      <c r="L1499" s="17"/>
      <c r="M1499" s="286"/>
      <c r="N1499" s="21"/>
      <c r="O1499" s="286"/>
      <c r="P1499" s="21"/>
      <c r="Q1499" s="286"/>
      <c r="R1499" s="248"/>
      <c r="S1499" s="287"/>
      <c r="T1499" s="248"/>
      <c r="U1499" s="13"/>
      <c r="V1499" s="282"/>
      <c r="W1499" s="283"/>
      <c r="X1499" s="284"/>
      <c r="Y1499" s="245"/>
      <c r="Z1499" s="245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BP1499" s="391"/>
      <c r="BQ1499" s="393"/>
    </row>
    <row r="1500" spans="1:69" ht="14.25" customHeight="1" x14ac:dyDescent="0.35">
      <c r="A1500" s="293">
        <v>742</v>
      </c>
      <c r="B1500" s="295"/>
      <c r="C1500" s="297"/>
      <c r="D1500" s="299"/>
      <c r="E1500" s="301"/>
      <c r="F1500" s="303"/>
      <c r="G1500" s="288"/>
      <c r="H1500" s="289"/>
      <c r="I1500" s="290"/>
      <c r="J1500" s="290"/>
      <c r="K1500" s="291"/>
      <c r="L1500" s="18"/>
      <c r="M1500" s="285" t="str">
        <f t="shared" ref="M1500" si="2335">IF(COUNT(L1500:L1501)&lt;1,"",AVERAGE(L1500:L1501))</f>
        <v/>
      </c>
      <c r="N1500" s="22"/>
      <c r="O1500" s="285" t="str">
        <f t="shared" ref="O1500" si="2336">IF(COUNT(N1500:N1501)&lt;1,"",AVERAGE(N1500:N1501))</f>
        <v/>
      </c>
      <c r="P1500" s="22"/>
      <c r="Q1500" s="285" t="str">
        <f t="shared" ref="Q1500" si="2337">IF(COUNT(P1500:P1501)&lt;1,"",AVERAGE(P1500:P1501))</f>
        <v/>
      </c>
      <c r="R1500" s="278" t="str">
        <f>IF($X$13="/28",IF(COUNT(P1500:P1501)&lt;=1,"",ABS(P1500-P1501)),IF($X$13="/90",IF(COUNT(#REF!)&lt;=1,"",ABS(#REF!-#REF!))))</f>
        <v/>
      </c>
      <c r="S1500" s="278" t="str">
        <f>IF($X$13="/28",IF(Q1500="","",IF(AVERAGE(Q1496:Q1501)&gt;=$W$13,ROUND(AVERAGE(Q1496:Q1501),1)&amp;" ≥ "&amp;$W$13&amp;" OK",ROUND(AVERAGE(Q1496:Q1501),1)&amp;" &lt; "&amp;$W$13&amp;" NC")),IF($X$13="/90",IF(#REF!="","",IF(AVERAGE(#REF!)&gt;=$W$13,ROUND(AVERAGE(#REF!),1)&amp;" ≥ "&amp;$W$13&amp;" OK",ROUND(AVERAGE(#REF!),1)&amp;" &lt; "&amp;$W$13&amp;" NC"))))</f>
        <v/>
      </c>
      <c r="T1500" s="278" t="str">
        <f>IF($X$13="/28",IF(Q1500="","",IF(Q1500&gt;=$W$13-$S$12,ROUND((Q1500),1)&amp;" ≥ "&amp;$W$13-$S$12&amp;" OK",ROUND((Q1500),1)&amp;" &lt; "&amp;$W$13-$S$12&amp;" NC")),IF($X$13="/90",IF(#REF!="","",IF(#REF!&gt;=$W$13-$S$12,ROUND((#REF!),1)&amp;" ≥ "&amp;$W$13-$S$12&amp;" OK",ROUND((#REF!),1)&amp;" &lt; "&amp;$W$13-$S$12&amp;" NC"))))</f>
        <v/>
      </c>
      <c r="U1500" s="14"/>
      <c r="V1500" s="279"/>
      <c r="W1500" s="280"/>
      <c r="X1500" s="281"/>
      <c r="Y1500" s="246"/>
      <c r="Z1500" s="246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BP1500" s="390" t="str">
        <f>IF($X$13="/28",IF(Q1500="","",Q1500),IF($X$13="/90",IF(#REF!="","",#REF!),"Falso"))</f>
        <v/>
      </c>
      <c r="BQ1500" s="392" t="str">
        <f t="shared" si="2308"/>
        <v/>
      </c>
    </row>
    <row r="1501" spans="1:69" ht="14.25" customHeight="1" x14ac:dyDescent="0.35">
      <c r="A1501" s="294"/>
      <c r="B1501" s="296"/>
      <c r="C1501" s="298"/>
      <c r="D1501" s="300"/>
      <c r="E1501" s="302"/>
      <c r="F1501" s="304"/>
      <c r="G1501" s="276"/>
      <c r="H1501" s="277"/>
      <c r="I1501" s="290"/>
      <c r="J1501" s="290"/>
      <c r="K1501" s="291"/>
      <c r="L1501" s="17"/>
      <c r="M1501" s="286"/>
      <c r="N1501" s="21"/>
      <c r="O1501" s="286"/>
      <c r="P1501" s="21"/>
      <c r="Q1501" s="286"/>
      <c r="R1501" s="248"/>
      <c r="S1501" s="287"/>
      <c r="T1501" s="248"/>
      <c r="U1501" s="13"/>
      <c r="V1501" s="282"/>
      <c r="W1501" s="283"/>
      <c r="X1501" s="284"/>
      <c r="Y1501" s="245"/>
      <c r="Z1501" s="245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BP1501" s="391"/>
      <c r="BQ1501" s="393"/>
    </row>
    <row r="1502" spans="1:69" ht="14.25" customHeight="1" x14ac:dyDescent="0.35">
      <c r="A1502" s="293">
        <v>743</v>
      </c>
      <c r="B1502" s="295"/>
      <c r="C1502" s="297"/>
      <c r="D1502" s="299"/>
      <c r="E1502" s="301"/>
      <c r="F1502" s="303"/>
      <c r="G1502" s="288"/>
      <c r="H1502" s="289"/>
      <c r="I1502" s="290"/>
      <c r="J1502" s="290"/>
      <c r="K1502" s="291"/>
      <c r="L1502" s="18"/>
      <c r="M1502" s="285" t="str">
        <f t="shared" ref="M1502" si="2338">IF(COUNT(L1502:L1503)&lt;1,"",AVERAGE(L1502:L1503))</f>
        <v/>
      </c>
      <c r="N1502" s="22"/>
      <c r="O1502" s="285" t="str">
        <f t="shared" ref="O1502" si="2339">IF(COUNT(N1502:N1503)&lt;1,"",AVERAGE(N1502:N1503))</f>
        <v/>
      </c>
      <c r="P1502" s="22"/>
      <c r="Q1502" s="285" t="str">
        <f t="shared" ref="Q1502" si="2340">IF(COUNT(P1502:P1503)&lt;1,"",AVERAGE(P1502:P1503))</f>
        <v/>
      </c>
      <c r="R1502" s="278" t="str">
        <f>IF($X$13="/28",IF(COUNT(P1502:P1503)&lt;=1,"",ABS(P1502-P1503)),IF($X$13="/90",IF(COUNT(#REF!)&lt;=1,"",ABS(#REF!-#REF!))))</f>
        <v/>
      </c>
      <c r="S1502" s="278" t="str">
        <f>IF($X$13="/28",IF(Q1502="","",IF(AVERAGE(Q1498:Q1503)&gt;=$W$13,ROUND(AVERAGE(Q1498:Q1503),1)&amp;" ≥ "&amp;$W$13&amp;" OK",ROUND(AVERAGE(Q1498:Q1503),1)&amp;" &lt; "&amp;$W$13&amp;" NC")),IF($X$13="/90",IF(#REF!="","",IF(AVERAGE(#REF!)&gt;=$W$13,ROUND(AVERAGE(#REF!),1)&amp;" ≥ "&amp;$W$13&amp;" OK",ROUND(AVERAGE(#REF!),1)&amp;" &lt; "&amp;$W$13&amp;" NC"))))</f>
        <v/>
      </c>
      <c r="T1502" s="278" t="str">
        <f>IF($X$13="/28",IF(Q1502="","",IF(Q1502&gt;=$W$13-$S$12,ROUND((Q1502),1)&amp;" ≥ "&amp;$W$13-$S$12&amp;" OK",ROUND((Q1502),1)&amp;" &lt; "&amp;$W$13-$S$12&amp;" NC")),IF($X$13="/90",IF(#REF!="","",IF(#REF!&gt;=$W$13-$S$12,ROUND((#REF!),1)&amp;" ≥ "&amp;$W$13-$S$12&amp;" OK",ROUND((#REF!),1)&amp;" &lt; "&amp;$W$13-$S$12&amp;" NC"))))</f>
        <v/>
      </c>
      <c r="U1502" s="14"/>
      <c r="V1502" s="279"/>
      <c r="W1502" s="280"/>
      <c r="X1502" s="281"/>
      <c r="Y1502" s="246"/>
      <c r="Z1502" s="246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BP1502" s="390" t="str">
        <f>IF($X$13="/28",IF(Q1502="","",Q1502),IF($X$13="/90",IF(#REF!="","",#REF!),"Falso"))</f>
        <v/>
      </c>
      <c r="BQ1502" s="392" t="str">
        <f t="shared" si="2312"/>
        <v/>
      </c>
    </row>
    <row r="1503" spans="1:69" ht="14.25" customHeight="1" x14ac:dyDescent="0.35">
      <c r="A1503" s="294"/>
      <c r="B1503" s="296"/>
      <c r="C1503" s="298"/>
      <c r="D1503" s="300"/>
      <c r="E1503" s="302"/>
      <c r="F1503" s="304"/>
      <c r="G1503" s="276"/>
      <c r="H1503" s="277"/>
      <c r="I1503" s="290"/>
      <c r="J1503" s="290"/>
      <c r="K1503" s="291"/>
      <c r="L1503" s="17"/>
      <c r="M1503" s="286"/>
      <c r="N1503" s="21"/>
      <c r="O1503" s="286"/>
      <c r="P1503" s="21"/>
      <c r="Q1503" s="286"/>
      <c r="R1503" s="248"/>
      <c r="S1503" s="287"/>
      <c r="T1503" s="248"/>
      <c r="U1503" s="13"/>
      <c r="V1503" s="282"/>
      <c r="W1503" s="283"/>
      <c r="X1503" s="284"/>
      <c r="Y1503" s="245"/>
      <c r="Z1503" s="245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BP1503" s="391"/>
      <c r="BQ1503" s="393"/>
    </row>
    <row r="1504" spans="1:69" ht="14.25" customHeight="1" x14ac:dyDescent="0.35">
      <c r="A1504" s="293">
        <v>744</v>
      </c>
      <c r="B1504" s="295"/>
      <c r="C1504" s="297"/>
      <c r="D1504" s="299"/>
      <c r="E1504" s="301"/>
      <c r="F1504" s="303"/>
      <c r="G1504" s="288"/>
      <c r="H1504" s="289"/>
      <c r="I1504" s="290"/>
      <c r="J1504" s="290"/>
      <c r="K1504" s="291"/>
      <c r="L1504" s="18"/>
      <c r="M1504" s="285" t="str">
        <f t="shared" ref="M1504" si="2341">IF(COUNT(L1504:L1505)&lt;1,"",AVERAGE(L1504:L1505))</f>
        <v/>
      </c>
      <c r="N1504" s="22"/>
      <c r="O1504" s="285" t="str">
        <f t="shared" ref="O1504" si="2342">IF(COUNT(N1504:N1505)&lt;1,"",AVERAGE(N1504:N1505))</f>
        <v/>
      </c>
      <c r="P1504" s="22"/>
      <c r="Q1504" s="285" t="str">
        <f t="shared" ref="Q1504" si="2343">IF(COUNT(P1504:P1505)&lt;1,"",AVERAGE(P1504:P1505))</f>
        <v/>
      </c>
      <c r="R1504" s="278" t="str">
        <f>IF($X$13="/28",IF(COUNT(P1504:P1505)&lt;=1,"",ABS(P1504-P1505)),IF($X$13="/90",IF(COUNT(#REF!)&lt;=1,"",ABS(#REF!-#REF!))))</f>
        <v/>
      </c>
      <c r="S1504" s="278" t="str">
        <f>IF($X$13="/28",IF(Q1504="","",IF(AVERAGE(Q1500:Q1505)&gt;=$W$13,ROUND(AVERAGE(Q1500:Q1505),1)&amp;" ≥ "&amp;$W$13&amp;" OK",ROUND(AVERAGE(Q1500:Q1505),1)&amp;" &lt; "&amp;$W$13&amp;" NC")),IF($X$13="/90",IF(#REF!="","",IF(AVERAGE(#REF!)&gt;=$W$13,ROUND(AVERAGE(#REF!),1)&amp;" ≥ "&amp;$W$13&amp;" OK",ROUND(AVERAGE(#REF!),1)&amp;" &lt; "&amp;$W$13&amp;" NC"))))</f>
        <v/>
      </c>
      <c r="T1504" s="278" t="str">
        <f>IF($X$13="/28",IF(Q1504="","",IF(Q1504&gt;=$W$13-$S$12,ROUND((Q1504),1)&amp;" ≥ "&amp;$W$13-$S$12&amp;" OK",ROUND((Q1504),1)&amp;" &lt; "&amp;$W$13-$S$12&amp;" NC")),IF($X$13="/90",IF(#REF!="","",IF(#REF!&gt;=$W$13-$S$12,ROUND((#REF!),1)&amp;" ≥ "&amp;$W$13-$S$12&amp;" OK",ROUND((#REF!),1)&amp;" &lt; "&amp;$W$13-$S$12&amp;" NC"))))</f>
        <v/>
      </c>
      <c r="U1504" s="14"/>
      <c r="V1504" s="279"/>
      <c r="W1504" s="280"/>
      <c r="X1504" s="281"/>
      <c r="Y1504" s="246"/>
      <c r="Z1504" s="246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BP1504" s="390" t="str">
        <f>IF($X$13="/28",IF(Q1504="","",Q1504),IF($X$13="/90",IF(#REF!="","",#REF!),"Falso"))</f>
        <v/>
      </c>
      <c r="BQ1504" s="392" t="str">
        <f t="shared" si="2316"/>
        <v/>
      </c>
    </row>
    <row r="1505" spans="1:69" ht="14.25" customHeight="1" x14ac:dyDescent="0.35">
      <c r="A1505" s="294"/>
      <c r="B1505" s="296"/>
      <c r="C1505" s="298"/>
      <c r="D1505" s="300"/>
      <c r="E1505" s="302"/>
      <c r="F1505" s="304"/>
      <c r="G1505" s="276"/>
      <c r="H1505" s="277"/>
      <c r="I1505" s="290"/>
      <c r="J1505" s="290"/>
      <c r="K1505" s="291"/>
      <c r="L1505" s="17"/>
      <c r="M1505" s="286"/>
      <c r="N1505" s="21"/>
      <c r="O1505" s="286"/>
      <c r="P1505" s="21"/>
      <c r="Q1505" s="286"/>
      <c r="R1505" s="248"/>
      <c r="S1505" s="287"/>
      <c r="T1505" s="248"/>
      <c r="U1505" s="13"/>
      <c r="V1505" s="282"/>
      <c r="W1505" s="283"/>
      <c r="X1505" s="284"/>
      <c r="Y1505" s="245"/>
      <c r="Z1505" s="245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BP1505" s="391"/>
      <c r="BQ1505" s="393"/>
    </row>
    <row r="1506" spans="1:69" ht="14.25" customHeight="1" x14ac:dyDescent="0.35">
      <c r="A1506" s="293">
        <v>745</v>
      </c>
      <c r="B1506" s="295"/>
      <c r="C1506" s="297"/>
      <c r="D1506" s="299"/>
      <c r="E1506" s="301"/>
      <c r="F1506" s="303"/>
      <c r="G1506" s="288"/>
      <c r="H1506" s="289"/>
      <c r="I1506" s="290"/>
      <c r="J1506" s="290"/>
      <c r="K1506" s="291"/>
      <c r="L1506" s="18"/>
      <c r="M1506" s="285" t="str">
        <f t="shared" ref="M1506" si="2344">IF(COUNT(L1506:L1507)&lt;1,"",AVERAGE(L1506:L1507))</f>
        <v/>
      </c>
      <c r="N1506" s="22"/>
      <c r="O1506" s="285" t="str">
        <f t="shared" ref="O1506" si="2345">IF(COUNT(N1506:N1507)&lt;1,"",AVERAGE(N1506:N1507))</f>
        <v/>
      </c>
      <c r="P1506" s="22"/>
      <c r="Q1506" s="285" t="str">
        <f t="shared" ref="Q1506" si="2346">IF(COUNT(P1506:P1507)&lt;1,"",AVERAGE(P1506:P1507))</f>
        <v/>
      </c>
      <c r="R1506" s="278" t="str">
        <f>IF($X$13="/28",IF(COUNT(P1506:P1507)&lt;=1,"",ABS(P1506-P1507)),IF($X$13="/90",IF(COUNT(#REF!)&lt;=1,"",ABS(#REF!-#REF!))))</f>
        <v/>
      </c>
      <c r="S1506" s="278" t="str">
        <f>IF($X$13="/28",IF(Q1506="","",IF(AVERAGE(Q1502:Q1507)&gt;=$W$13,ROUND(AVERAGE(Q1502:Q1507),1)&amp;" ≥ "&amp;$W$13&amp;" OK",ROUND(AVERAGE(Q1502:Q1507),1)&amp;" &lt; "&amp;$W$13&amp;" NC")),IF($X$13="/90",IF(#REF!="","",IF(AVERAGE(#REF!)&gt;=$W$13,ROUND(AVERAGE(#REF!),1)&amp;" ≥ "&amp;$W$13&amp;" OK",ROUND(AVERAGE(#REF!),1)&amp;" &lt; "&amp;$W$13&amp;" NC"))))</f>
        <v/>
      </c>
      <c r="T1506" s="278" t="str">
        <f>IF($X$13="/28",IF(Q1506="","",IF(Q1506&gt;=$W$13-$S$12,ROUND((Q1506),1)&amp;" ≥ "&amp;$W$13-$S$12&amp;" OK",ROUND((Q1506),1)&amp;" &lt; "&amp;$W$13-$S$12&amp;" NC")),IF($X$13="/90",IF(#REF!="","",IF(#REF!&gt;=$W$13-$S$12,ROUND((#REF!),1)&amp;" ≥ "&amp;$W$13-$S$12&amp;" OK",ROUND((#REF!),1)&amp;" &lt; "&amp;$W$13-$S$12&amp;" NC"))))</f>
        <v/>
      </c>
      <c r="U1506" s="14"/>
      <c r="V1506" s="279"/>
      <c r="W1506" s="280"/>
      <c r="X1506" s="281"/>
      <c r="Y1506" s="246"/>
      <c r="Z1506" s="246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BP1506" s="390" t="str">
        <f>IF($X$13="/28",IF(Q1506="","",Q1506),IF($X$13="/90",IF(#REF!="","",#REF!),"Falso"))</f>
        <v/>
      </c>
      <c r="BQ1506" s="392" t="str">
        <f t="shared" si="2308"/>
        <v/>
      </c>
    </row>
    <row r="1507" spans="1:69" ht="14.25" customHeight="1" x14ac:dyDescent="0.35">
      <c r="A1507" s="294"/>
      <c r="B1507" s="296"/>
      <c r="C1507" s="298"/>
      <c r="D1507" s="300"/>
      <c r="E1507" s="302"/>
      <c r="F1507" s="304"/>
      <c r="G1507" s="276"/>
      <c r="H1507" s="277"/>
      <c r="I1507" s="290"/>
      <c r="J1507" s="290"/>
      <c r="K1507" s="291"/>
      <c r="L1507" s="17"/>
      <c r="M1507" s="286"/>
      <c r="N1507" s="21"/>
      <c r="O1507" s="286"/>
      <c r="P1507" s="21"/>
      <c r="Q1507" s="286"/>
      <c r="R1507" s="248"/>
      <c r="S1507" s="287"/>
      <c r="T1507" s="248"/>
      <c r="U1507" s="13"/>
      <c r="V1507" s="282"/>
      <c r="W1507" s="283"/>
      <c r="X1507" s="284"/>
      <c r="Y1507" s="245"/>
      <c r="Z1507" s="245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BP1507" s="391"/>
      <c r="BQ1507" s="393"/>
    </row>
    <row r="1508" spans="1:69" ht="14.25" customHeight="1" x14ac:dyDescent="0.35">
      <c r="A1508" s="293">
        <v>746</v>
      </c>
      <c r="B1508" s="295"/>
      <c r="C1508" s="297"/>
      <c r="D1508" s="299"/>
      <c r="E1508" s="301"/>
      <c r="F1508" s="303"/>
      <c r="G1508" s="288"/>
      <c r="H1508" s="289"/>
      <c r="I1508" s="290"/>
      <c r="J1508" s="290"/>
      <c r="K1508" s="291"/>
      <c r="L1508" s="18"/>
      <c r="M1508" s="285" t="str">
        <f t="shared" ref="M1508" si="2347">IF(COUNT(L1508:L1509)&lt;1,"",AVERAGE(L1508:L1509))</f>
        <v/>
      </c>
      <c r="N1508" s="22"/>
      <c r="O1508" s="285" t="str">
        <f t="shared" ref="O1508" si="2348">IF(COUNT(N1508:N1509)&lt;1,"",AVERAGE(N1508:N1509))</f>
        <v/>
      </c>
      <c r="P1508" s="22"/>
      <c r="Q1508" s="285" t="str">
        <f t="shared" ref="Q1508" si="2349">IF(COUNT(P1508:P1509)&lt;1,"",AVERAGE(P1508:P1509))</f>
        <v/>
      </c>
      <c r="R1508" s="278" t="str">
        <f>IF($X$13="/28",IF(COUNT(P1508:P1509)&lt;=1,"",ABS(P1508-P1509)),IF($X$13="/90",IF(COUNT(#REF!)&lt;=1,"",ABS(#REF!-#REF!))))</f>
        <v/>
      </c>
      <c r="S1508" s="278" t="str">
        <f>IF($X$13="/28",IF(Q1508="","",IF(AVERAGE(Q1504:Q1509)&gt;=$W$13,ROUND(AVERAGE(Q1504:Q1509),1)&amp;" ≥ "&amp;$W$13&amp;" OK",ROUND(AVERAGE(Q1504:Q1509),1)&amp;" &lt; "&amp;$W$13&amp;" NC")),IF($X$13="/90",IF(#REF!="","",IF(AVERAGE(#REF!)&gt;=$W$13,ROUND(AVERAGE(#REF!),1)&amp;" ≥ "&amp;$W$13&amp;" OK",ROUND(AVERAGE(#REF!),1)&amp;" &lt; "&amp;$W$13&amp;" NC"))))</f>
        <v/>
      </c>
      <c r="T1508" s="278" t="str">
        <f>IF($X$13="/28",IF(Q1508="","",IF(Q1508&gt;=$W$13-$S$12,ROUND((Q1508),1)&amp;" ≥ "&amp;$W$13-$S$12&amp;" OK",ROUND((Q1508),1)&amp;" &lt; "&amp;$W$13-$S$12&amp;" NC")),IF($X$13="/90",IF(#REF!="","",IF(#REF!&gt;=$W$13-$S$12,ROUND((#REF!),1)&amp;" ≥ "&amp;$W$13-$S$12&amp;" OK",ROUND((#REF!),1)&amp;" &lt; "&amp;$W$13-$S$12&amp;" NC"))))</f>
        <v/>
      </c>
      <c r="U1508" s="14"/>
      <c r="V1508" s="279"/>
      <c r="W1508" s="280"/>
      <c r="X1508" s="281"/>
      <c r="Y1508" s="246"/>
      <c r="Z1508" s="246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BP1508" s="390" t="str">
        <f>IF($X$13="/28",IF(Q1508="","",Q1508),IF($X$13="/90",IF(#REF!="","",#REF!),"Falso"))</f>
        <v/>
      </c>
      <c r="BQ1508" s="392" t="str">
        <f t="shared" si="2312"/>
        <v/>
      </c>
    </row>
    <row r="1509" spans="1:69" ht="14.25" customHeight="1" x14ac:dyDescent="0.35">
      <c r="A1509" s="294"/>
      <c r="B1509" s="296"/>
      <c r="C1509" s="298"/>
      <c r="D1509" s="300"/>
      <c r="E1509" s="302"/>
      <c r="F1509" s="304"/>
      <c r="G1509" s="276"/>
      <c r="H1509" s="277"/>
      <c r="I1509" s="290"/>
      <c r="J1509" s="290"/>
      <c r="K1509" s="291"/>
      <c r="L1509" s="17"/>
      <c r="M1509" s="286"/>
      <c r="N1509" s="21"/>
      <c r="O1509" s="286"/>
      <c r="P1509" s="21"/>
      <c r="Q1509" s="286"/>
      <c r="R1509" s="248"/>
      <c r="S1509" s="287"/>
      <c r="T1509" s="248"/>
      <c r="U1509" s="13"/>
      <c r="V1509" s="282"/>
      <c r="W1509" s="283"/>
      <c r="X1509" s="284"/>
      <c r="Y1509" s="245"/>
      <c r="Z1509" s="245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BP1509" s="391"/>
      <c r="BQ1509" s="393"/>
    </row>
    <row r="1510" spans="1:69" ht="14.25" customHeight="1" x14ac:dyDescent="0.35">
      <c r="A1510" s="293">
        <v>747</v>
      </c>
      <c r="B1510" s="295"/>
      <c r="C1510" s="297"/>
      <c r="D1510" s="299"/>
      <c r="E1510" s="301"/>
      <c r="F1510" s="303"/>
      <c r="G1510" s="288"/>
      <c r="H1510" s="289"/>
      <c r="I1510" s="290"/>
      <c r="J1510" s="290"/>
      <c r="K1510" s="291"/>
      <c r="L1510" s="18"/>
      <c r="M1510" s="285" t="str">
        <f t="shared" ref="M1510" si="2350">IF(COUNT(L1510:L1511)&lt;1,"",AVERAGE(L1510:L1511))</f>
        <v/>
      </c>
      <c r="N1510" s="22"/>
      <c r="O1510" s="285" t="str">
        <f t="shared" ref="O1510" si="2351">IF(COUNT(N1510:N1511)&lt;1,"",AVERAGE(N1510:N1511))</f>
        <v/>
      </c>
      <c r="P1510" s="22"/>
      <c r="Q1510" s="285" t="str">
        <f t="shared" ref="Q1510" si="2352">IF(COUNT(P1510:P1511)&lt;1,"",AVERAGE(P1510:P1511))</f>
        <v/>
      </c>
      <c r="R1510" s="278" t="str">
        <f>IF($X$13="/28",IF(COUNT(P1510:P1511)&lt;=1,"",ABS(P1510-P1511)),IF($X$13="/90",IF(COUNT(#REF!)&lt;=1,"",ABS(#REF!-#REF!))))</f>
        <v/>
      </c>
      <c r="S1510" s="278" t="str">
        <f>IF($X$13="/28",IF(Q1510="","",IF(AVERAGE(Q1506:Q1511)&gt;=$W$13,ROUND(AVERAGE(Q1506:Q1511),1)&amp;" ≥ "&amp;$W$13&amp;" OK",ROUND(AVERAGE(Q1506:Q1511),1)&amp;" &lt; "&amp;$W$13&amp;" NC")),IF($X$13="/90",IF(#REF!="","",IF(AVERAGE(#REF!)&gt;=$W$13,ROUND(AVERAGE(#REF!),1)&amp;" ≥ "&amp;$W$13&amp;" OK",ROUND(AVERAGE(#REF!),1)&amp;" &lt; "&amp;$W$13&amp;" NC"))))</f>
        <v/>
      </c>
      <c r="T1510" s="278" t="str">
        <f>IF($X$13="/28",IF(Q1510="","",IF(Q1510&gt;=$W$13-$S$12,ROUND((Q1510),1)&amp;" ≥ "&amp;$W$13-$S$12&amp;" OK",ROUND((Q1510),1)&amp;" &lt; "&amp;$W$13-$S$12&amp;" NC")),IF($X$13="/90",IF(#REF!="","",IF(#REF!&gt;=$W$13-$S$12,ROUND((#REF!),1)&amp;" ≥ "&amp;$W$13-$S$12&amp;" OK",ROUND((#REF!),1)&amp;" &lt; "&amp;$W$13-$S$12&amp;" NC"))))</f>
        <v/>
      </c>
      <c r="U1510" s="14"/>
      <c r="V1510" s="279"/>
      <c r="W1510" s="280"/>
      <c r="X1510" s="281"/>
      <c r="Y1510" s="246"/>
      <c r="Z1510" s="246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BP1510" s="390" t="str">
        <f>IF($X$13="/28",IF(Q1510="","",Q1510),IF($X$13="/90",IF(#REF!="","",#REF!),"Falso"))</f>
        <v/>
      </c>
      <c r="BQ1510" s="392" t="str">
        <f t="shared" si="2316"/>
        <v/>
      </c>
    </row>
    <row r="1511" spans="1:69" ht="14.25" customHeight="1" x14ac:dyDescent="0.35">
      <c r="A1511" s="294"/>
      <c r="B1511" s="296"/>
      <c r="C1511" s="298"/>
      <c r="D1511" s="300"/>
      <c r="E1511" s="302"/>
      <c r="F1511" s="304"/>
      <c r="G1511" s="276"/>
      <c r="H1511" s="277"/>
      <c r="I1511" s="290"/>
      <c r="J1511" s="290"/>
      <c r="K1511" s="291"/>
      <c r="L1511" s="17"/>
      <c r="M1511" s="286"/>
      <c r="N1511" s="21"/>
      <c r="O1511" s="286"/>
      <c r="P1511" s="21"/>
      <c r="Q1511" s="286"/>
      <c r="R1511" s="248"/>
      <c r="S1511" s="287"/>
      <c r="T1511" s="248"/>
      <c r="U1511" s="13"/>
      <c r="V1511" s="282"/>
      <c r="W1511" s="283"/>
      <c r="X1511" s="284"/>
      <c r="Y1511" s="245"/>
      <c r="Z1511" s="245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BP1511" s="391"/>
      <c r="BQ1511" s="393"/>
    </row>
    <row r="1512" spans="1:69" ht="14.25" customHeight="1" x14ac:dyDescent="0.35">
      <c r="A1512" s="293">
        <v>748</v>
      </c>
      <c r="B1512" s="295"/>
      <c r="C1512" s="297"/>
      <c r="D1512" s="299"/>
      <c r="E1512" s="301"/>
      <c r="F1512" s="303"/>
      <c r="G1512" s="288"/>
      <c r="H1512" s="289"/>
      <c r="I1512" s="290"/>
      <c r="J1512" s="290"/>
      <c r="K1512" s="291"/>
      <c r="L1512" s="18"/>
      <c r="M1512" s="285" t="str">
        <f t="shared" ref="M1512" si="2353">IF(COUNT(L1512:L1513)&lt;1,"",AVERAGE(L1512:L1513))</f>
        <v/>
      </c>
      <c r="N1512" s="22"/>
      <c r="O1512" s="285" t="str">
        <f t="shared" ref="O1512" si="2354">IF(COUNT(N1512:N1513)&lt;1,"",AVERAGE(N1512:N1513))</f>
        <v/>
      </c>
      <c r="P1512" s="22"/>
      <c r="Q1512" s="285" t="str">
        <f t="shared" ref="Q1512" si="2355">IF(COUNT(P1512:P1513)&lt;1,"",AVERAGE(P1512:P1513))</f>
        <v/>
      </c>
      <c r="R1512" s="278" t="str">
        <f>IF($X$13="/28",IF(COUNT(P1512:P1513)&lt;=1,"",ABS(P1512-P1513)),IF($X$13="/90",IF(COUNT(#REF!)&lt;=1,"",ABS(#REF!-#REF!))))</f>
        <v/>
      </c>
      <c r="S1512" s="278" t="str">
        <f>IF($X$13="/28",IF(Q1512="","",IF(AVERAGE(Q1508:Q1513)&gt;=$W$13,ROUND(AVERAGE(Q1508:Q1513),1)&amp;" ≥ "&amp;$W$13&amp;" OK",ROUND(AVERAGE(Q1508:Q1513),1)&amp;" &lt; "&amp;$W$13&amp;" NC")),IF($X$13="/90",IF(#REF!="","",IF(AVERAGE(#REF!)&gt;=$W$13,ROUND(AVERAGE(#REF!),1)&amp;" ≥ "&amp;$W$13&amp;" OK",ROUND(AVERAGE(#REF!),1)&amp;" &lt; "&amp;$W$13&amp;" NC"))))</f>
        <v/>
      </c>
      <c r="T1512" s="278" t="str">
        <f>IF($X$13="/28",IF(Q1512="","",IF(Q1512&gt;=$W$13-$S$12,ROUND((Q1512),1)&amp;" ≥ "&amp;$W$13-$S$12&amp;" OK",ROUND((Q1512),1)&amp;" &lt; "&amp;$W$13-$S$12&amp;" NC")),IF($X$13="/90",IF(#REF!="","",IF(#REF!&gt;=$W$13-$S$12,ROUND((#REF!),1)&amp;" ≥ "&amp;$W$13-$S$12&amp;" OK",ROUND((#REF!),1)&amp;" &lt; "&amp;$W$13-$S$12&amp;" NC"))))</f>
        <v/>
      </c>
      <c r="U1512" s="14"/>
      <c r="V1512" s="279"/>
      <c r="W1512" s="280"/>
      <c r="X1512" s="281"/>
      <c r="Y1512" s="246"/>
      <c r="Z1512" s="246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BP1512" s="390" t="str">
        <f>IF($X$13="/28",IF(Q1512="","",Q1512),IF($X$13="/90",IF(#REF!="","",#REF!),"Falso"))</f>
        <v/>
      </c>
      <c r="BQ1512" s="392" t="str">
        <f t="shared" si="2308"/>
        <v/>
      </c>
    </row>
    <row r="1513" spans="1:69" ht="14.25" customHeight="1" x14ac:dyDescent="0.35">
      <c r="A1513" s="294"/>
      <c r="B1513" s="296"/>
      <c r="C1513" s="298"/>
      <c r="D1513" s="300"/>
      <c r="E1513" s="302"/>
      <c r="F1513" s="304"/>
      <c r="G1513" s="276"/>
      <c r="H1513" s="277"/>
      <c r="I1513" s="290"/>
      <c r="J1513" s="290"/>
      <c r="K1513" s="291"/>
      <c r="L1513" s="17"/>
      <c r="M1513" s="286"/>
      <c r="N1513" s="21"/>
      <c r="O1513" s="286"/>
      <c r="P1513" s="21"/>
      <c r="Q1513" s="286"/>
      <c r="R1513" s="248"/>
      <c r="S1513" s="287"/>
      <c r="T1513" s="248"/>
      <c r="U1513" s="13"/>
      <c r="V1513" s="282"/>
      <c r="W1513" s="283"/>
      <c r="X1513" s="284"/>
      <c r="Y1513" s="245"/>
      <c r="Z1513" s="245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BP1513" s="391"/>
      <c r="BQ1513" s="393"/>
    </row>
    <row r="1514" spans="1:69" ht="14.25" customHeight="1" x14ac:dyDescent="0.35">
      <c r="A1514" s="293">
        <v>749</v>
      </c>
      <c r="B1514" s="295"/>
      <c r="C1514" s="297"/>
      <c r="D1514" s="299"/>
      <c r="E1514" s="301"/>
      <c r="F1514" s="303"/>
      <c r="G1514" s="288"/>
      <c r="H1514" s="289"/>
      <c r="I1514" s="290"/>
      <c r="J1514" s="290"/>
      <c r="K1514" s="291"/>
      <c r="L1514" s="18"/>
      <c r="M1514" s="285" t="str">
        <f t="shared" ref="M1514" si="2356">IF(COUNT(L1514:L1515)&lt;1,"",AVERAGE(L1514:L1515))</f>
        <v/>
      </c>
      <c r="N1514" s="22"/>
      <c r="O1514" s="285" t="str">
        <f t="shared" ref="O1514" si="2357">IF(COUNT(N1514:N1515)&lt;1,"",AVERAGE(N1514:N1515))</f>
        <v/>
      </c>
      <c r="P1514" s="22"/>
      <c r="Q1514" s="285" t="str">
        <f t="shared" ref="Q1514" si="2358">IF(COUNT(P1514:P1515)&lt;1,"",AVERAGE(P1514:P1515))</f>
        <v/>
      </c>
      <c r="R1514" s="278" t="str">
        <f>IF($X$13="/28",IF(COUNT(P1514:P1515)&lt;=1,"",ABS(P1514-P1515)),IF($X$13="/90",IF(COUNT(#REF!)&lt;=1,"",ABS(#REF!-#REF!))))</f>
        <v/>
      </c>
      <c r="S1514" s="278" t="str">
        <f>IF($X$13="/28",IF(Q1514="","",IF(AVERAGE(Q1510:Q1515)&gt;=$W$13,ROUND(AVERAGE(Q1510:Q1515),1)&amp;" ≥ "&amp;$W$13&amp;" OK",ROUND(AVERAGE(Q1510:Q1515),1)&amp;" &lt; "&amp;$W$13&amp;" NC")),IF($X$13="/90",IF(#REF!="","",IF(AVERAGE(#REF!)&gt;=$W$13,ROUND(AVERAGE(#REF!),1)&amp;" ≥ "&amp;$W$13&amp;" OK",ROUND(AVERAGE(#REF!),1)&amp;" &lt; "&amp;$W$13&amp;" NC"))))</f>
        <v/>
      </c>
      <c r="T1514" s="278" t="str">
        <f>IF($X$13="/28",IF(Q1514="","",IF(Q1514&gt;=$W$13-$S$12,ROUND((Q1514),1)&amp;" ≥ "&amp;$W$13-$S$12&amp;" OK",ROUND((Q1514),1)&amp;" &lt; "&amp;$W$13-$S$12&amp;" NC")),IF($X$13="/90",IF(#REF!="","",IF(#REF!&gt;=$W$13-$S$12,ROUND((#REF!),1)&amp;" ≥ "&amp;$W$13-$S$12&amp;" OK",ROUND((#REF!),1)&amp;" &lt; "&amp;$W$13-$S$12&amp;" NC"))))</f>
        <v/>
      </c>
      <c r="U1514" s="14"/>
      <c r="V1514" s="279"/>
      <c r="W1514" s="280"/>
      <c r="X1514" s="281"/>
      <c r="Y1514" s="246"/>
      <c r="Z1514" s="246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BP1514" s="390" t="str">
        <f>IF($X$13="/28",IF(Q1514="","",Q1514),IF($X$13="/90",IF(#REF!="","",#REF!),"Falso"))</f>
        <v/>
      </c>
      <c r="BQ1514" s="392" t="str">
        <f t="shared" si="2312"/>
        <v/>
      </c>
    </row>
    <row r="1515" spans="1:69" ht="14.25" customHeight="1" x14ac:dyDescent="0.35">
      <c r="A1515" s="294"/>
      <c r="B1515" s="296"/>
      <c r="C1515" s="298"/>
      <c r="D1515" s="300"/>
      <c r="E1515" s="302"/>
      <c r="F1515" s="304"/>
      <c r="G1515" s="276"/>
      <c r="H1515" s="277"/>
      <c r="I1515" s="290"/>
      <c r="J1515" s="290"/>
      <c r="K1515" s="291"/>
      <c r="L1515" s="17"/>
      <c r="M1515" s="286"/>
      <c r="N1515" s="21"/>
      <c r="O1515" s="286"/>
      <c r="P1515" s="21"/>
      <c r="Q1515" s="286"/>
      <c r="R1515" s="248"/>
      <c r="S1515" s="287"/>
      <c r="T1515" s="248"/>
      <c r="U1515" s="13"/>
      <c r="V1515" s="282"/>
      <c r="W1515" s="283"/>
      <c r="X1515" s="284"/>
      <c r="Y1515" s="245"/>
      <c r="Z1515" s="245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BP1515" s="391"/>
      <c r="BQ1515" s="393"/>
    </row>
    <row r="1516" spans="1:69" ht="14.25" customHeight="1" x14ac:dyDescent="0.35">
      <c r="A1516" s="293">
        <v>750</v>
      </c>
      <c r="B1516" s="295"/>
      <c r="C1516" s="297"/>
      <c r="D1516" s="299"/>
      <c r="E1516" s="301"/>
      <c r="F1516" s="303"/>
      <c r="G1516" s="288"/>
      <c r="H1516" s="289"/>
      <c r="I1516" s="290"/>
      <c r="J1516" s="290"/>
      <c r="K1516" s="291"/>
      <c r="L1516" s="18"/>
      <c r="M1516" s="285" t="str">
        <f t="shared" ref="M1516" si="2359">IF(COUNT(L1516:L1517)&lt;1,"",AVERAGE(L1516:L1517))</f>
        <v/>
      </c>
      <c r="N1516" s="22"/>
      <c r="O1516" s="285" t="str">
        <f t="shared" ref="O1516" si="2360">IF(COUNT(N1516:N1517)&lt;1,"",AVERAGE(N1516:N1517))</f>
        <v/>
      </c>
      <c r="P1516" s="22"/>
      <c r="Q1516" s="285" t="str">
        <f t="shared" ref="Q1516" si="2361">IF(COUNT(P1516:P1517)&lt;1,"",AVERAGE(P1516:P1517))</f>
        <v/>
      </c>
      <c r="R1516" s="278" t="str">
        <f>IF($X$13="/28",IF(COUNT(P1516:P1517)&lt;=1,"",ABS(P1516-P1517)),IF($X$13="/90",IF(COUNT(#REF!)&lt;=1,"",ABS(#REF!-#REF!))))</f>
        <v/>
      </c>
      <c r="S1516" s="278" t="str">
        <f>IF($X$13="/28",IF(Q1516="","",IF(AVERAGE(Q1512:Q1517)&gt;=$W$13,ROUND(AVERAGE(Q1512:Q1517),1)&amp;" ≥ "&amp;$W$13&amp;" OK",ROUND(AVERAGE(Q1512:Q1517),1)&amp;" &lt; "&amp;$W$13&amp;" NC")),IF($X$13="/90",IF(#REF!="","",IF(AVERAGE(#REF!)&gt;=$W$13,ROUND(AVERAGE(#REF!),1)&amp;" ≥ "&amp;$W$13&amp;" OK",ROUND(AVERAGE(#REF!),1)&amp;" &lt; "&amp;$W$13&amp;" NC"))))</f>
        <v/>
      </c>
      <c r="T1516" s="278" t="str">
        <f>IF($X$13="/28",IF(Q1516="","",IF(Q1516&gt;=$W$13-$S$12,ROUND((Q1516),1)&amp;" ≥ "&amp;$W$13-$S$12&amp;" OK",ROUND((Q1516),1)&amp;" &lt; "&amp;$W$13-$S$12&amp;" NC")),IF($X$13="/90",IF(#REF!="","",IF(#REF!&gt;=$W$13-$S$12,ROUND((#REF!),1)&amp;" ≥ "&amp;$W$13-$S$12&amp;" OK",ROUND((#REF!),1)&amp;" &lt; "&amp;$W$13-$S$12&amp;" NC"))))</f>
        <v/>
      </c>
      <c r="U1516" s="14"/>
      <c r="V1516" s="279"/>
      <c r="W1516" s="280"/>
      <c r="X1516" s="281"/>
      <c r="Y1516" s="246"/>
      <c r="Z1516" s="246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BP1516" s="390" t="str">
        <f>IF($X$13="/28",IF(Q1516="","",Q1516),IF($X$13="/90",IF(#REF!="","",#REF!),"Falso"))</f>
        <v/>
      </c>
      <c r="BQ1516" s="392" t="str">
        <f t="shared" si="2316"/>
        <v/>
      </c>
    </row>
    <row r="1517" spans="1:69" ht="14.25" customHeight="1" thickBot="1" x14ac:dyDescent="0.4">
      <c r="A1517" s="384"/>
      <c r="B1517" s="385"/>
      <c r="C1517" s="386"/>
      <c r="D1517" s="387"/>
      <c r="E1517" s="388"/>
      <c r="F1517" s="389"/>
      <c r="G1517" s="377"/>
      <c r="H1517" s="378"/>
      <c r="I1517" s="382"/>
      <c r="J1517" s="382"/>
      <c r="K1517" s="383"/>
      <c r="L1517" s="19"/>
      <c r="M1517" s="379"/>
      <c r="N1517" s="23"/>
      <c r="O1517" s="379"/>
      <c r="P1517" s="23"/>
      <c r="Q1517" s="379"/>
      <c r="R1517" s="380"/>
      <c r="S1517" s="381"/>
      <c r="T1517" s="380"/>
      <c r="U1517" s="15"/>
      <c r="V1517" s="373"/>
      <c r="W1517" s="374"/>
      <c r="X1517" s="375"/>
      <c r="Y1517" s="376"/>
      <c r="Z1517" s="376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BP1517" s="391"/>
      <c r="BQ1517" s="393"/>
    </row>
    <row r="1518" spans="1:69" ht="14.25" customHeight="1" x14ac:dyDescent="0.35">
      <c r="A1518" s="311">
        <v>751</v>
      </c>
      <c r="B1518" s="312"/>
      <c r="C1518" s="313"/>
      <c r="D1518" s="314"/>
      <c r="E1518" s="315"/>
      <c r="F1518" s="353"/>
      <c r="G1518" s="354"/>
      <c r="H1518" s="355"/>
      <c r="I1518" s="356"/>
      <c r="J1518" s="356"/>
      <c r="K1518" s="357"/>
      <c r="L1518" s="16"/>
      <c r="M1518" s="352" t="str">
        <f t="shared" ref="M1518" si="2362">IF(COUNT(L1518:L1519)&lt;1,"",AVERAGE(L1518:L1519))</f>
        <v/>
      </c>
      <c r="N1518" s="20"/>
      <c r="O1518" s="352" t="str">
        <f t="shared" ref="O1518" si="2363">IF(COUNT(N1518:N1519)&lt;1,"",AVERAGE(N1518:N1519))</f>
        <v/>
      </c>
      <c r="P1518" s="20"/>
      <c r="Q1518" s="352" t="str">
        <f t="shared" ref="Q1518" si="2364">IF(COUNT(P1518:P1519)&lt;1,"",AVERAGE(P1518:P1519))</f>
        <v/>
      </c>
      <c r="R1518" s="247" t="str">
        <f>IF($X$13="/28",IF(COUNT(P1518:P1519)&lt;=1,"",ABS(P1518-P1519)),IF($X$13="/90",IF(COUNT(#REF!)&lt;=1,"",ABS(#REF!-#REF!))))</f>
        <v/>
      </c>
      <c r="S1518" s="247" t="str">
        <f>IF($X$13="/28",IF(Q1518="","",IF(AVERAGE(Q1514:Q1519)&gt;=$W$13,ROUND(AVERAGE(Q1514:Q1519),1)&amp;" ≥ "&amp;$W$13&amp;" OK",ROUND(AVERAGE(Q1514:Q1519),1)&amp;" &lt; "&amp;$W$13&amp;" NC")),IF($X$13="/90",IF(#REF!="","",IF(AVERAGE(#REF!)&gt;=$W$13,ROUND(AVERAGE(#REF!),1)&amp;" ≥ "&amp;$W$13&amp;" OK",ROUND(AVERAGE(#REF!),1)&amp;" &lt; "&amp;$W$13&amp;" NC"))))</f>
        <v/>
      </c>
      <c r="T1518" s="247" t="str">
        <f>IF($X$13="/28",IF(Q1518="","",IF(Q1518&gt;=$W$13-$S$12,ROUND((Q1518),1)&amp;" ≥ "&amp;$W$13-$S$12&amp;" OK",ROUND((Q1518),1)&amp;" &lt; "&amp;$W$13-$S$12&amp;" NC")),IF($X$13="/90",IF(#REF!="","",IF(#REF!&gt;=$W$13-$S$12,ROUND((#REF!),1)&amp;" ≥ "&amp;$W$13-$S$12&amp;" OK",ROUND((#REF!),1)&amp;" &lt; "&amp;$W$13-$S$12&amp;" NC"))))</f>
        <v/>
      </c>
      <c r="U1518" s="12"/>
      <c r="V1518" s="349"/>
      <c r="W1518" s="350"/>
      <c r="X1518" s="351"/>
      <c r="Y1518" s="244"/>
      <c r="Z1518" s="244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BP1518" s="390" t="str">
        <f>IF($X$13="/28",IF(Q1518="","",Q1518),IF($X$13="/90",IF(#REF!="","",#REF!),"Falso"))</f>
        <v/>
      </c>
      <c r="BQ1518" s="392" t="str">
        <f t="shared" si="2308"/>
        <v/>
      </c>
    </row>
    <row r="1519" spans="1:69" ht="14.25" customHeight="1" x14ac:dyDescent="0.35">
      <c r="A1519" s="294"/>
      <c r="B1519" s="296"/>
      <c r="C1519" s="298"/>
      <c r="D1519" s="300"/>
      <c r="E1519" s="302"/>
      <c r="F1519" s="304"/>
      <c r="G1519" s="276"/>
      <c r="H1519" s="277"/>
      <c r="I1519" s="290"/>
      <c r="J1519" s="290"/>
      <c r="K1519" s="291"/>
      <c r="L1519" s="17"/>
      <c r="M1519" s="286"/>
      <c r="N1519" s="21"/>
      <c r="O1519" s="286"/>
      <c r="P1519" s="21"/>
      <c r="Q1519" s="286"/>
      <c r="R1519" s="248"/>
      <c r="S1519" s="248"/>
      <c r="T1519" s="248"/>
      <c r="U1519" s="13"/>
      <c r="V1519" s="282"/>
      <c r="W1519" s="283"/>
      <c r="X1519" s="284"/>
      <c r="Y1519" s="245"/>
      <c r="Z1519" s="245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BP1519" s="391"/>
      <c r="BQ1519" s="393"/>
    </row>
    <row r="1520" spans="1:69" ht="14.25" customHeight="1" x14ac:dyDescent="0.35">
      <c r="A1520" s="293">
        <v>752</v>
      </c>
      <c r="B1520" s="295"/>
      <c r="C1520" s="297"/>
      <c r="D1520" s="299"/>
      <c r="E1520" s="301"/>
      <c r="F1520" s="303"/>
      <c r="G1520" s="288"/>
      <c r="H1520" s="289"/>
      <c r="I1520" s="290"/>
      <c r="J1520" s="290"/>
      <c r="K1520" s="291"/>
      <c r="L1520" s="18"/>
      <c r="M1520" s="285" t="str">
        <f t="shared" ref="M1520" si="2365">IF(COUNT(L1520:L1521)&lt;1,"",AVERAGE(L1520:L1521))</f>
        <v/>
      </c>
      <c r="N1520" s="22"/>
      <c r="O1520" s="285" t="str">
        <f t="shared" ref="O1520" si="2366">IF(COUNT(N1520:N1521)&lt;1,"",AVERAGE(N1520:N1521))</f>
        <v/>
      </c>
      <c r="P1520" s="22"/>
      <c r="Q1520" s="285" t="str">
        <f t="shared" ref="Q1520" si="2367">IF(COUNT(P1520:P1521)&lt;1,"",AVERAGE(P1520:P1521))</f>
        <v/>
      </c>
      <c r="R1520" s="278" t="str">
        <f>IF($X$13="/28",IF(COUNT(P1520:P1521)&lt;=1,"",ABS(P1520-P1521)),IF($X$13="/90",IF(COUNT(#REF!)&lt;=1,"",ABS(#REF!-#REF!))))</f>
        <v/>
      </c>
      <c r="S1520" s="278" t="str">
        <f>IF($X$13="/28",IF(Q1520="","",IF(AVERAGE(Q1516:Q1521)&gt;=$W$13,ROUND(AVERAGE(Q1516:Q1521),1)&amp;" ≥ "&amp;$W$13&amp;" OK",ROUND(AVERAGE(Q1516:Q1521),1)&amp;" &lt; "&amp;$W$13&amp;" NC")),IF($X$13="/90",IF(#REF!="","",IF(AVERAGE(#REF!)&gt;=$W$13,ROUND(AVERAGE(#REF!),1)&amp;" ≥ "&amp;$W$13&amp;" OK",ROUND(AVERAGE(#REF!),1)&amp;" &lt; "&amp;$W$13&amp;" NC"))))</f>
        <v/>
      </c>
      <c r="T1520" s="278" t="str">
        <f>IF($X$13="/28",IF(Q1520="","",IF(Q1520&gt;=$W$13-$S$12,ROUND((Q1520),1)&amp;" ≥ "&amp;$W$13-$S$12&amp;" OK",ROUND((Q1520),1)&amp;" &lt; "&amp;$W$13-$S$12&amp;" NC")),IF($X$13="/90",IF(#REF!="","",IF(#REF!&gt;=$W$13-$S$12,ROUND((#REF!),1)&amp;" ≥ "&amp;$W$13-$S$12&amp;" OK",ROUND((#REF!),1)&amp;" &lt; "&amp;$W$13-$S$12&amp;" NC"))))</f>
        <v/>
      </c>
      <c r="U1520" s="14"/>
      <c r="V1520" s="279"/>
      <c r="W1520" s="280"/>
      <c r="X1520" s="281"/>
      <c r="Y1520" s="246"/>
      <c r="Z1520" s="246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BP1520" s="390" t="str">
        <f>IF($X$13="/28",IF(Q1520="","",Q1520),IF($X$13="/90",IF(#REF!="","",#REF!),"Falso"))</f>
        <v/>
      </c>
      <c r="BQ1520" s="392" t="str">
        <f t="shared" si="2312"/>
        <v/>
      </c>
    </row>
    <row r="1521" spans="1:69" ht="14.25" customHeight="1" x14ac:dyDescent="0.35">
      <c r="A1521" s="294"/>
      <c r="B1521" s="296"/>
      <c r="C1521" s="298"/>
      <c r="D1521" s="300"/>
      <c r="E1521" s="302"/>
      <c r="F1521" s="304"/>
      <c r="G1521" s="276"/>
      <c r="H1521" s="277"/>
      <c r="I1521" s="290"/>
      <c r="J1521" s="290"/>
      <c r="K1521" s="291"/>
      <c r="L1521" s="17"/>
      <c r="M1521" s="286"/>
      <c r="N1521" s="21"/>
      <c r="O1521" s="286"/>
      <c r="P1521" s="21"/>
      <c r="Q1521" s="286"/>
      <c r="R1521" s="248"/>
      <c r="S1521" s="248"/>
      <c r="T1521" s="248"/>
      <c r="U1521" s="13"/>
      <c r="V1521" s="282"/>
      <c r="W1521" s="283"/>
      <c r="X1521" s="284"/>
      <c r="Y1521" s="245"/>
      <c r="Z1521" s="245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BP1521" s="391"/>
      <c r="BQ1521" s="393"/>
    </row>
    <row r="1522" spans="1:69" ht="14.25" customHeight="1" x14ac:dyDescent="0.35">
      <c r="A1522" s="293">
        <v>753</v>
      </c>
      <c r="B1522" s="295"/>
      <c r="C1522" s="297"/>
      <c r="D1522" s="299"/>
      <c r="E1522" s="301"/>
      <c r="F1522" s="303"/>
      <c r="G1522" s="288"/>
      <c r="H1522" s="289"/>
      <c r="I1522" s="290"/>
      <c r="J1522" s="290"/>
      <c r="K1522" s="291"/>
      <c r="L1522" s="18"/>
      <c r="M1522" s="285" t="str">
        <f t="shared" ref="M1522" si="2368">IF(COUNT(L1522:L1523)&lt;1,"",AVERAGE(L1522:L1523))</f>
        <v/>
      </c>
      <c r="N1522" s="22"/>
      <c r="O1522" s="285" t="str">
        <f t="shared" ref="O1522" si="2369">IF(COUNT(N1522:N1523)&lt;1,"",AVERAGE(N1522:N1523))</f>
        <v/>
      </c>
      <c r="P1522" s="22"/>
      <c r="Q1522" s="285" t="str">
        <f t="shared" ref="Q1522" si="2370">IF(COUNT(P1522:P1523)&lt;1,"",AVERAGE(P1522:P1523))</f>
        <v/>
      </c>
      <c r="R1522" s="278" t="str">
        <f>IF($X$13="/28",IF(COUNT(P1522:P1523)&lt;=1,"",ABS(P1522-P1523)),IF($X$13="/90",IF(COUNT(#REF!)&lt;=1,"",ABS(#REF!-#REF!))))</f>
        <v/>
      </c>
      <c r="S1522" s="278" t="str">
        <f>IF($X$13="/28",IF(Q1522="","",IF(AVERAGE(Q1518:Q1523)&gt;=$W$13,ROUND(AVERAGE(Q1518:Q1523),1)&amp;" ≥ "&amp;$W$13&amp;" OK",ROUND(AVERAGE(Q1518:Q1523),1)&amp;" &lt; "&amp;$W$13&amp;" NC")),IF($X$13="/90",IF(#REF!="","",IF(AVERAGE(#REF!)&gt;=$W$13,ROUND(AVERAGE(#REF!),1)&amp;" ≥ "&amp;$W$13&amp;" OK",ROUND(AVERAGE(#REF!),1)&amp;" &lt; "&amp;$W$13&amp;" NC"))))</f>
        <v/>
      </c>
      <c r="T1522" s="278" t="str">
        <f>IF($X$13="/28",IF(Q1522="","",IF(Q1522&gt;=$W$13-$S$12,ROUND((Q1522),1)&amp;" ≥ "&amp;$W$13-$S$12&amp;" OK",ROUND((Q1522),1)&amp;" &lt; "&amp;$W$13-$S$12&amp;" NC")),IF($X$13="/90",IF(#REF!="","",IF(#REF!&gt;=$W$13-$S$12,ROUND((#REF!),1)&amp;" ≥ "&amp;$W$13-$S$12&amp;" OK",ROUND((#REF!),1)&amp;" &lt; "&amp;$W$13-$S$12&amp;" NC"))))</f>
        <v/>
      </c>
      <c r="U1522" s="14"/>
      <c r="V1522" s="279"/>
      <c r="W1522" s="280"/>
      <c r="X1522" s="281"/>
      <c r="Y1522" s="246"/>
      <c r="Z1522" s="246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BP1522" s="390" t="str">
        <f>IF($X$13="/28",IF(Q1522="","",Q1522),IF($X$13="/90",IF(#REF!="","",#REF!),"Falso"))</f>
        <v/>
      </c>
      <c r="BQ1522" s="392" t="str">
        <f t="shared" si="2316"/>
        <v/>
      </c>
    </row>
    <row r="1523" spans="1:69" ht="14.25" customHeight="1" x14ac:dyDescent="0.35">
      <c r="A1523" s="294"/>
      <c r="B1523" s="296"/>
      <c r="C1523" s="298"/>
      <c r="D1523" s="300"/>
      <c r="E1523" s="302"/>
      <c r="F1523" s="304"/>
      <c r="G1523" s="276"/>
      <c r="H1523" s="277"/>
      <c r="I1523" s="290"/>
      <c r="J1523" s="290"/>
      <c r="K1523" s="291"/>
      <c r="L1523" s="17"/>
      <c r="M1523" s="286"/>
      <c r="N1523" s="21"/>
      <c r="O1523" s="286"/>
      <c r="P1523" s="21"/>
      <c r="Q1523" s="286"/>
      <c r="R1523" s="248"/>
      <c r="S1523" s="287"/>
      <c r="T1523" s="248"/>
      <c r="U1523" s="13"/>
      <c r="V1523" s="282"/>
      <c r="W1523" s="283"/>
      <c r="X1523" s="284"/>
      <c r="Y1523" s="245"/>
      <c r="Z1523" s="245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BP1523" s="391"/>
      <c r="BQ1523" s="393"/>
    </row>
    <row r="1524" spans="1:69" ht="14.25" customHeight="1" x14ac:dyDescent="0.35">
      <c r="A1524" s="293">
        <v>754</v>
      </c>
      <c r="B1524" s="295"/>
      <c r="C1524" s="297"/>
      <c r="D1524" s="299"/>
      <c r="E1524" s="301"/>
      <c r="F1524" s="303"/>
      <c r="G1524" s="288"/>
      <c r="H1524" s="289"/>
      <c r="I1524" s="290"/>
      <c r="J1524" s="290"/>
      <c r="K1524" s="291"/>
      <c r="L1524" s="18"/>
      <c r="M1524" s="285" t="str">
        <f t="shared" ref="M1524" si="2371">IF(COUNT(L1524:L1525)&lt;1,"",AVERAGE(L1524:L1525))</f>
        <v/>
      </c>
      <c r="N1524" s="22"/>
      <c r="O1524" s="285" t="str">
        <f t="shared" ref="O1524" si="2372">IF(COUNT(N1524:N1525)&lt;1,"",AVERAGE(N1524:N1525))</f>
        <v/>
      </c>
      <c r="P1524" s="22"/>
      <c r="Q1524" s="285" t="str">
        <f t="shared" ref="Q1524" si="2373">IF(COUNT(P1524:P1525)&lt;1,"",AVERAGE(P1524:P1525))</f>
        <v/>
      </c>
      <c r="R1524" s="278" t="str">
        <f>IF($X$13="/28",IF(COUNT(P1524:P1525)&lt;=1,"",ABS(P1524-P1525)),IF($X$13="/90",IF(COUNT(#REF!)&lt;=1,"",ABS(#REF!-#REF!))))</f>
        <v/>
      </c>
      <c r="S1524" s="278" t="str">
        <f>IF($X$13="/28",IF(Q1524="","",IF(AVERAGE(Q1520:Q1525)&gt;=$W$13,ROUND(AVERAGE(Q1520:Q1525),1)&amp;" ≥ "&amp;$W$13&amp;" OK",ROUND(AVERAGE(Q1520:Q1525),1)&amp;" &lt; "&amp;$W$13&amp;" NC")),IF($X$13="/90",IF(#REF!="","",IF(AVERAGE(#REF!)&gt;=$W$13,ROUND(AVERAGE(#REF!),1)&amp;" ≥ "&amp;$W$13&amp;" OK",ROUND(AVERAGE(#REF!),1)&amp;" &lt; "&amp;$W$13&amp;" NC"))))</f>
        <v/>
      </c>
      <c r="T1524" s="278" t="str">
        <f>IF($X$13="/28",IF(Q1524="","",IF(Q1524&gt;=$W$13-$S$12,ROUND((Q1524),1)&amp;" ≥ "&amp;$W$13-$S$12&amp;" OK",ROUND((Q1524),1)&amp;" &lt; "&amp;$W$13-$S$12&amp;" NC")),IF($X$13="/90",IF(#REF!="","",IF(#REF!&gt;=$W$13-$S$12,ROUND((#REF!),1)&amp;" ≥ "&amp;$W$13-$S$12&amp;" OK",ROUND((#REF!),1)&amp;" &lt; "&amp;$W$13-$S$12&amp;" NC"))))</f>
        <v/>
      </c>
      <c r="U1524" s="14"/>
      <c r="V1524" s="279"/>
      <c r="W1524" s="280"/>
      <c r="X1524" s="281"/>
      <c r="Y1524" s="246"/>
      <c r="Z1524" s="246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BP1524" s="390" t="str">
        <f>IF($X$13="/28",IF(Q1524="","",Q1524),IF($X$13="/90",IF(#REF!="","",#REF!),"Falso"))</f>
        <v/>
      </c>
      <c r="BQ1524" s="392" t="str">
        <f t="shared" si="2308"/>
        <v/>
      </c>
    </row>
    <row r="1525" spans="1:69" ht="14.25" customHeight="1" x14ac:dyDescent="0.35">
      <c r="A1525" s="294"/>
      <c r="B1525" s="296"/>
      <c r="C1525" s="298"/>
      <c r="D1525" s="300"/>
      <c r="E1525" s="302"/>
      <c r="F1525" s="304"/>
      <c r="G1525" s="276"/>
      <c r="H1525" s="277"/>
      <c r="I1525" s="290"/>
      <c r="J1525" s="290"/>
      <c r="K1525" s="291"/>
      <c r="L1525" s="17"/>
      <c r="M1525" s="286"/>
      <c r="N1525" s="21"/>
      <c r="O1525" s="286"/>
      <c r="P1525" s="21"/>
      <c r="Q1525" s="286"/>
      <c r="R1525" s="248"/>
      <c r="S1525" s="287"/>
      <c r="T1525" s="248"/>
      <c r="U1525" s="13"/>
      <c r="V1525" s="282"/>
      <c r="W1525" s="283"/>
      <c r="X1525" s="284"/>
      <c r="Y1525" s="245"/>
      <c r="Z1525" s="245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BP1525" s="391"/>
      <c r="BQ1525" s="393"/>
    </row>
    <row r="1526" spans="1:69" ht="14.25" customHeight="1" x14ac:dyDescent="0.35">
      <c r="A1526" s="293">
        <v>755</v>
      </c>
      <c r="B1526" s="295"/>
      <c r="C1526" s="297"/>
      <c r="D1526" s="299"/>
      <c r="E1526" s="301"/>
      <c r="F1526" s="303"/>
      <c r="G1526" s="288"/>
      <c r="H1526" s="289"/>
      <c r="I1526" s="290"/>
      <c r="J1526" s="290"/>
      <c r="K1526" s="291"/>
      <c r="L1526" s="18"/>
      <c r="M1526" s="285" t="str">
        <f t="shared" ref="M1526" si="2374">IF(COUNT(L1526:L1527)&lt;1,"",AVERAGE(L1526:L1527))</f>
        <v/>
      </c>
      <c r="N1526" s="22"/>
      <c r="O1526" s="285" t="str">
        <f t="shared" ref="O1526" si="2375">IF(COUNT(N1526:N1527)&lt;1,"",AVERAGE(N1526:N1527))</f>
        <v/>
      </c>
      <c r="P1526" s="22"/>
      <c r="Q1526" s="285" t="str">
        <f t="shared" ref="Q1526" si="2376">IF(COUNT(P1526:P1527)&lt;1,"",AVERAGE(P1526:P1527))</f>
        <v/>
      </c>
      <c r="R1526" s="278" t="str">
        <f>IF($X$13="/28",IF(COUNT(P1526:P1527)&lt;=1,"",ABS(P1526-P1527)),IF($X$13="/90",IF(COUNT(#REF!)&lt;=1,"",ABS(#REF!-#REF!))))</f>
        <v/>
      </c>
      <c r="S1526" s="278" t="str">
        <f>IF($X$13="/28",IF(Q1526="","",IF(AVERAGE(Q1522:Q1527)&gt;=$W$13,ROUND(AVERAGE(Q1522:Q1527),1)&amp;" ≥ "&amp;$W$13&amp;" OK",ROUND(AVERAGE(Q1522:Q1527),1)&amp;" &lt; "&amp;$W$13&amp;" NC")),IF($X$13="/90",IF(#REF!="","",IF(AVERAGE(#REF!)&gt;=$W$13,ROUND(AVERAGE(#REF!),1)&amp;" ≥ "&amp;$W$13&amp;" OK",ROUND(AVERAGE(#REF!),1)&amp;" &lt; "&amp;$W$13&amp;" NC"))))</f>
        <v/>
      </c>
      <c r="T1526" s="278" t="str">
        <f>IF($X$13="/28",IF(Q1526="","",IF(Q1526&gt;=$W$13-$S$12,ROUND((Q1526),1)&amp;" ≥ "&amp;$W$13-$S$12&amp;" OK",ROUND((Q1526),1)&amp;" &lt; "&amp;$W$13-$S$12&amp;" NC")),IF($X$13="/90",IF(#REF!="","",IF(#REF!&gt;=$W$13-$S$12,ROUND((#REF!),1)&amp;" ≥ "&amp;$W$13-$S$12&amp;" OK",ROUND((#REF!),1)&amp;" &lt; "&amp;$W$13-$S$12&amp;" NC"))))</f>
        <v/>
      </c>
      <c r="U1526" s="14"/>
      <c r="V1526" s="279"/>
      <c r="W1526" s="280"/>
      <c r="X1526" s="281"/>
      <c r="Y1526" s="246"/>
      <c r="Z1526" s="246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BP1526" s="390" t="str">
        <f>IF($X$13="/28",IF(Q1526="","",Q1526),IF($X$13="/90",IF(#REF!="","",#REF!),"Falso"))</f>
        <v/>
      </c>
      <c r="BQ1526" s="392" t="str">
        <f t="shared" si="2312"/>
        <v/>
      </c>
    </row>
    <row r="1527" spans="1:69" ht="14.25" customHeight="1" x14ac:dyDescent="0.35">
      <c r="A1527" s="294"/>
      <c r="B1527" s="296"/>
      <c r="C1527" s="298"/>
      <c r="D1527" s="300"/>
      <c r="E1527" s="302"/>
      <c r="F1527" s="304"/>
      <c r="G1527" s="276"/>
      <c r="H1527" s="277"/>
      <c r="I1527" s="290"/>
      <c r="J1527" s="290"/>
      <c r="K1527" s="291"/>
      <c r="L1527" s="17"/>
      <c r="M1527" s="286"/>
      <c r="N1527" s="21"/>
      <c r="O1527" s="286"/>
      <c r="P1527" s="21"/>
      <c r="Q1527" s="286"/>
      <c r="R1527" s="248"/>
      <c r="S1527" s="287"/>
      <c r="T1527" s="248"/>
      <c r="U1527" s="13"/>
      <c r="V1527" s="282"/>
      <c r="W1527" s="283"/>
      <c r="X1527" s="284"/>
      <c r="Y1527" s="245"/>
      <c r="Z1527" s="245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BP1527" s="391"/>
      <c r="BQ1527" s="393"/>
    </row>
    <row r="1528" spans="1:69" ht="14.25" customHeight="1" x14ac:dyDescent="0.35">
      <c r="A1528" s="293">
        <v>756</v>
      </c>
      <c r="B1528" s="295"/>
      <c r="C1528" s="297"/>
      <c r="D1528" s="299"/>
      <c r="E1528" s="301"/>
      <c r="F1528" s="303"/>
      <c r="G1528" s="288"/>
      <c r="H1528" s="289"/>
      <c r="I1528" s="290"/>
      <c r="J1528" s="290"/>
      <c r="K1528" s="291"/>
      <c r="L1528" s="18"/>
      <c r="M1528" s="285" t="str">
        <f t="shared" ref="M1528" si="2377">IF(COUNT(L1528:L1529)&lt;1,"",AVERAGE(L1528:L1529))</f>
        <v/>
      </c>
      <c r="N1528" s="22"/>
      <c r="O1528" s="285" t="str">
        <f t="shared" ref="O1528" si="2378">IF(COUNT(N1528:N1529)&lt;1,"",AVERAGE(N1528:N1529))</f>
        <v/>
      </c>
      <c r="P1528" s="22"/>
      <c r="Q1528" s="285" t="str">
        <f t="shared" ref="Q1528" si="2379">IF(COUNT(P1528:P1529)&lt;1,"",AVERAGE(P1528:P1529))</f>
        <v/>
      </c>
      <c r="R1528" s="278" t="str">
        <f>IF($X$13="/28",IF(COUNT(P1528:P1529)&lt;=1,"",ABS(P1528-P1529)),IF($X$13="/90",IF(COUNT(#REF!)&lt;=1,"",ABS(#REF!-#REF!))))</f>
        <v/>
      </c>
      <c r="S1528" s="278" t="str">
        <f>IF($X$13="/28",IF(Q1528="","",IF(AVERAGE(Q1524:Q1529)&gt;=$W$13,ROUND(AVERAGE(Q1524:Q1529),1)&amp;" ≥ "&amp;$W$13&amp;" OK",ROUND(AVERAGE(Q1524:Q1529),1)&amp;" &lt; "&amp;$W$13&amp;" NC")),IF($X$13="/90",IF(#REF!="","",IF(AVERAGE(#REF!)&gt;=$W$13,ROUND(AVERAGE(#REF!),1)&amp;" ≥ "&amp;$W$13&amp;" OK",ROUND(AVERAGE(#REF!),1)&amp;" &lt; "&amp;$W$13&amp;" NC"))))</f>
        <v/>
      </c>
      <c r="T1528" s="278" t="str">
        <f>IF($X$13="/28",IF(Q1528="","",IF(Q1528&gt;=$W$13-$S$12,ROUND((Q1528),1)&amp;" ≥ "&amp;$W$13-$S$12&amp;" OK",ROUND((Q1528),1)&amp;" &lt; "&amp;$W$13-$S$12&amp;" NC")),IF($X$13="/90",IF(#REF!="","",IF(#REF!&gt;=$W$13-$S$12,ROUND((#REF!),1)&amp;" ≥ "&amp;$W$13-$S$12&amp;" OK",ROUND((#REF!),1)&amp;" &lt; "&amp;$W$13-$S$12&amp;" NC"))))</f>
        <v/>
      </c>
      <c r="U1528" s="14"/>
      <c r="V1528" s="279"/>
      <c r="W1528" s="280"/>
      <c r="X1528" s="281"/>
      <c r="Y1528" s="246"/>
      <c r="Z1528" s="246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BP1528" s="390" t="str">
        <f>IF($X$13="/28",IF(Q1528="","",Q1528),IF($X$13="/90",IF(#REF!="","",#REF!),"Falso"))</f>
        <v/>
      </c>
      <c r="BQ1528" s="392" t="str">
        <f t="shared" si="2316"/>
        <v/>
      </c>
    </row>
    <row r="1529" spans="1:69" ht="14.25" customHeight="1" x14ac:dyDescent="0.35">
      <c r="A1529" s="294"/>
      <c r="B1529" s="296"/>
      <c r="C1529" s="298"/>
      <c r="D1529" s="300"/>
      <c r="E1529" s="302"/>
      <c r="F1529" s="304"/>
      <c r="G1529" s="276"/>
      <c r="H1529" s="277"/>
      <c r="I1529" s="290"/>
      <c r="J1529" s="290"/>
      <c r="K1529" s="291"/>
      <c r="L1529" s="17"/>
      <c r="M1529" s="286"/>
      <c r="N1529" s="21"/>
      <c r="O1529" s="286"/>
      <c r="P1529" s="21"/>
      <c r="Q1529" s="286"/>
      <c r="R1529" s="248"/>
      <c r="S1529" s="287"/>
      <c r="T1529" s="248"/>
      <c r="U1529" s="13"/>
      <c r="V1529" s="282"/>
      <c r="W1529" s="283"/>
      <c r="X1529" s="284"/>
      <c r="Y1529" s="245"/>
      <c r="Z1529" s="245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BP1529" s="391"/>
      <c r="BQ1529" s="393"/>
    </row>
    <row r="1530" spans="1:69" ht="14.25" customHeight="1" x14ac:dyDescent="0.35">
      <c r="A1530" s="293">
        <v>757</v>
      </c>
      <c r="B1530" s="295"/>
      <c r="C1530" s="297"/>
      <c r="D1530" s="299"/>
      <c r="E1530" s="301"/>
      <c r="F1530" s="303"/>
      <c r="G1530" s="288"/>
      <c r="H1530" s="289"/>
      <c r="I1530" s="290"/>
      <c r="J1530" s="290"/>
      <c r="K1530" s="291"/>
      <c r="L1530" s="18"/>
      <c r="M1530" s="285" t="str">
        <f t="shared" ref="M1530" si="2380">IF(COUNT(L1530:L1531)&lt;1,"",AVERAGE(L1530:L1531))</f>
        <v/>
      </c>
      <c r="N1530" s="22"/>
      <c r="O1530" s="285" t="str">
        <f t="shared" ref="O1530" si="2381">IF(COUNT(N1530:N1531)&lt;1,"",AVERAGE(N1530:N1531))</f>
        <v/>
      </c>
      <c r="P1530" s="22"/>
      <c r="Q1530" s="285" t="str">
        <f t="shared" ref="Q1530" si="2382">IF(COUNT(P1530:P1531)&lt;1,"",AVERAGE(P1530:P1531))</f>
        <v/>
      </c>
      <c r="R1530" s="278" t="str">
        <f>IF($X$13="/28",IF(COUNT(P1530:P1531)&lt;=1,"",ABS(P1530-P1531)),IF($X$13="/90",IF(COUNT(#REF!)&lt;=1,"",ABS(#REF!-#REF!))))</f>
        <v/>
      </c>
      <c r="S1530" s="278" t="str">
        <f>IF($X$13="/28",IF(Q1530="","",IF(AVERAGE(Q1526:Q1531)&gt;=$W$13,ROUND(AVERAGE(Q1526:Q1531),1)&amp;" ≥ "&amp;$W$13&amp;" OK",ROUND(AVERAGE(Q1526:Q1531),1)&amp;" &lt; "&amp;$W$13&amp;" NC")),IF($X$13="/90",IF(#REF!="","",IF(AVERAGE(#REF!)&gt;=$W$13,ROUND(AVERAGE(#REF!),1)&amp;" ≥ "&amp;$W$13&amp;" OK",ROUND(AVERAGE(#REF!),1)&amp;" &lt; "&amp;$W$13&amp;" NC"))))</f>
        <v/>
      </c>
      <c r="T1530" s="278" t="str">
        <f>IF($X$13="/28",IF(Q1530="","",IF(Q1530&gt;=$W$13-$S$12,ROUND((Q1530),1)&amp;" ≥ "&amp;$W$13-$S$12&amp;" OK",ROUND((Q1530),1)&amp;" &lt; "&amp;$W$13-$S$12&amp;" NC")),IF($X$13="/90",IF(#REF!="","",IF(#REF!&gt;=$W$13-$S$12,ROUND((#REF!),1)&amp;" ≥ "&amp;$W$13-$S$12&amp;" OK",ROUND((#REF!),1)&amp;" &lt; "&amp;$W$13-$S$12&amp;" NC"))))</f>
        <v/>
      </c>
      <c r="U1530" s="14"/>
      <c r="V1530" s="279"/>
      <c r="W1530" s="280"/>
      <c r="X1530" s="281"/>
      <c r="Y1530" s="246"/>
      <c r="Z1530" s="246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BP1530" s="390" t="str">
        <f>IF($X$13="/28",IF(Q1530="","",Q1530),IF($X$13="/90",IF(#REF!="","",#REF!),"Falso"))</f>
        <v/>
      </c>
      <c r="BQ1530" s="392" t="str">
        <f t="shared" si="2308"/>
        <v/>
      </c>
    </row>
    <row r="1531" spans="1:69" ht="14.25" customHeight="1" x14ac:dyDescent="0.35">
      <c r="A1531" s="294"/>
      <c r="B1531" s="296"/>
      <c r="C1531" s="298"/>
      <c r="D1531" s="300"/>
      <c r="E1531" s="302"/>
      <c r="F1531" s="304"/>
      <c r="G1531" s="276"/>
      <c r="H1531" s="277"/>
      <c r="I1531" s="290"/>
      <c r="J1531" s="290"/>
      <c r="K1531" s="291"/>
      <c r="L1531" s="17"/>
      <c r="M1531" s="286"/>
      <c r="N1531" s="21"/>
      <c r="O1531" s="286"/>
      <c r="P1531" s="21"/>
      <c r="Q1531" s="286"/>
      <c r="R1531" s="248"/>
      <c r="S1531" s="287"/>
      <c r="T1531" s="248"/>
      <c r="U1531" s="13"/>
      <c r="V1531" s="282"/>
      <c r="W1531" s="283"/>
      <c r="X1531" s="284"/>
      <c r="Y1531" s="245"/>
      <c r="Z1531" s="245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BP1531" s="391"/>
      <c r="BQ1531" s="393"/>
    </row>
    <row r="1532" spans="1:69" ht="14.25" customHeight="1" x14ac:dyDescent="0.35">
      <c r="A1532" s="293">
        <v>758</v>
      </c>
      <c r="B1532" s="295"/>
      <c r="C1532" s="297"/>
      <c r="D1532" s="299"/>
      <c r="E1532" s="301"/>
      <c r="F1532" s="303"/>
      <c r="G1532" s="288"/>
      <c r="H1532" s="289"/>
      <c r="I1532" s="290"/>
      <c r="J1532" s="290"/>
      <c r="K1532" s="291"/>
      <c r="L1532" s="18"/>
      <c r="M1532" s="285" t="str">
        <f t="shared" ref="M1532" si="2383">IF(COUNT(L1532:L1533)&lt;1,"",AVERAGE(L1532:L1533))</f>
        <v/>
      </c>
      <c r="N1532" s="22"/>
      <c r="O1532" s="285" t="str">
        <f t="shared" ref="O1532" si="2384">IF(COUNT(N1532:N1533)&lt;1,"",AVERAGE(N1532:N1533))</f>
        <v/>
      </c>
      <c r="P1532" s="22"/>
      <c r="Q1532" s="285" t="str">
        <f t="shared" ref="Q1532" si="2385">IF(COUNT(P1532:P1533)&lt;1,"",AVERAGE(P1532:P1533))</f>
        <v/>
      </c>
      <c r="R1532" s="278" t="str">
        <f>IF($X$13="/28",IF(COUNT(P1532:P1533)&lt;=1,"",ABS(P1532-P1533)),IF($X$13="/90",IF(COUNT(#REF!)&lt;=1,"",ABS(#REF!-#REF!))))</f>
        <v/>
      </c>
      <c r="S1532" s="278" t="str">
        <f>IF($X$13="/28",IF(Q1532="","",IF(AVERAGE(Q1528:Q1533)&gt;=$W$13,ROUND(AVERAGE(Q1528:Q1533),1)&amp;" ≥ "&amp;$W$13&amp;" OK",ROUND(AVERAGE(Q1528:Q1533),1)&amp;" &lt; "&amp;$W$13&amp;" NC")),IF($X$13="/90",IF(#REF!="","",IF(AVERAGE(#REF!)&gt;=$W$13,ROUND(AVERAGE(#REF!),1)&amp;" ≥ "&amp;$W$13&amp;" OK",ROUND(AVERAGE(#REF!),1)&amp;" &lt; "&amp;$W$13&amp;" NC"))))</f>
        <v/>
      </c>
      <c r="T1532" s="278" t="str">
        <f>IF($X$13="/28",IF(Q1532="","",IF(Q1532&gt;=$W$13-$S$12,ROUND((Q1532),1)&amp;" ≥ "&amp;$W$13-$S$12&amp;" OK",ROUND((Q1532),1)&amp;" &lt; "&amp;$W$13-$S$12&amp;" NC")),IF($X$13="/90",IF(#REF!="","",IF(#REF!&gt;=$W$13-$S$12,ROUND((#REF!),1)&amp;" ≥ "&amp;$W$13-$S$12&amp;" OK",ROUND((#REF!),1)&amp;" &lt; "&amp;$W$13-$S$12&amp;" NC"))))</f>
        <v/>
      </c>
      <c r="U1532" s="14"/>
      <c r="V1532" s="279"/>
      <c r="W1532" s="280"/>
      <c r="X1532" s="281"/>
      <c r="Y1532" s="246"/>
      <c r="Z1532" s="246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BP1532" s="390" t="str">
        <f>IF($X$13="/28",IF(Q1532="","",Q1532),IF($X$13="/90",IF(#REF!="","",#REF!),"Falso"))</f>
        <v/>
      </c>
      <c r="BQ1532" s="392" t="str">
        <f t="shared" si="2312"/>
        <v/>
      </c>
    </row>
    <row r="1533" spans="1:69" ht="14.25" customHeight="1" x14ac:dyDescent="0.35">
      <c r="A1533" s="294"/>
      <c r="B1533" s="296"/>
      <c r="C1533" s="298"/>
      <c r="D1533" s="300"/>
      <c r="E1533" s="302"/>
      <c r="F1533" s="304"/>
      <c r="G1533" s="276"/>
      <c r="H1533" s="277"/>
      <c r="I1533" s="290"/>
      <c r="J1533" s="290"/>
      <c r="K1533" s="291"/>
      <c r="L1533" s="17"/>
      <c r="M1533" s="286"/>
      <c r="N1533" s="21"/>
      <c r="O1533" s="286"/>
      <c r="P1533" s="21"/>
      <c r="Q1533" s="286"/>
      <c r="R1533" s="248"/>
      <c r="S1533" s="287"/>
      <c r="T1533" s="248"/>
      <c r="U1533" s="13"/>
      <c r="V1533" s="282"/>
      <c r="W1533" s="283"/>
      <c r="X1533" s="284"/>
      <c r="Y1533" s="245"/>
      <c r="Z1533" s="245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BP1533" s="391"/>
      <c r="BQ1533" s="393"/>
    </row>
    <row r="1534" spans="1:69" ht="14.25" customHeight="1" x14ac:dyDescent="0.35">
      <c r="A1534" s="293">
        <v>759</v>
      </c>
      <c r="B1534" s="295"/>
      <c r="C1534" s="297"/>
      <c r="D1534" s="299"/>
      <c r="E1534" s="301"/>
      <c r="F1534" s="303"/>
      <c r="G1534" s="288"/>
      <c r="H1534" s="289"/>
      <c r="I1534" s="290"/>
      <c r="J1534" s="290"/>
      <c r="K1534" s="291"/>
      <c r="L1534" s="18"/>
      <c r="M1534" s="285" t="str">
        <f t="shared" ref="M1534" si="2386">IF(COUNT(L1534:L1535)&lt;1,"",AVERAGE(L1534:L1535))</f>
        <v/>
      </c>
      <c r="N1534" s="22"/>
      <c r="O1534" s="285" t="str">
        <f t="shared" ref="O1534" si="2387">IF(COUNT(N1534:N1535)&lt;1,"",AVERAGE(N1534:N1535))</f>
        <v/>
      </c>
      <c r="P1534" s="22"/>
      <c r="Q1534" s="285" t="str">
        <f t="shared" ref="Q1534" si="2388">IF(COUNT(P1534:P1535)&lt;1,"",AVERAGE(P1534:P1535))</f>
        <v/>
      </c>
      <c r="R1534" s="278" t="str">
        <f>IF($X$13="/28",IF(COUNT(P1534:P1535)&lt;=1,"",ABS(P1534-P1535)),IF($X$13="/90",IF(COUNT(#REF!)&lt;=1,"",ABS(#REF!-#REF!))))</f>
        <v/>
      </c>
      <c r="S1534" s="278" t="str">
        <f>IF($X$13="/28",IF(Q1534="","",IF(AVERAGE(Q1530:Q1535)&gt;=$W$13,ROUND(AVERAGE(Q1530:Q1535),1)&amp;" ≥ "&amp;$W$13&amp;" OK",ROUND(AVERAGE(Q1530:Q1535),1)&amp;" &lt; "&amp;$W$13&amp;" NC")),IF($X$13="/90",IF(#REF!="","",IF(AVERAGE(#REF!)&gt;=$W$13,ROUND(AVERAGE(#REF!),1)&amp;" ≥ "&amp;$W$13&amp;" OK",ROUND(AVERAGE(#REF!),1)&amp;" &lt; "&amp;$W$13&amp;" NC"))))</f>
        <v/>
      </c>
      <c r="T1534" s="278" t="str">
        <f>IF($X$13="/28",IF(Q1534="","",IF(Q1534&gt;=$W$13-$S$12,ROUND((Q1534),1)&amp;" ≥ "&amp;$W$13-$S$12&amp;" OK",ROUND((Q1534),1)&amp;" &lt; "&amp;$W$13-$S$12&amp;" NC")),IF($X$13="/90",IF(#REF!="","",IF(#REF!&gt;=$W$13-$S$12,ROUND((#REF!),1)&amp;" ≥ "&amp;$W$13-$S$12&amp;" OK",ROUND((#REF!),1)&amp;" &lt; "&amp;$W$13-$S$12&amp;" NC"))))</f>
        <v/>
      </c>
      <c r="U1534" s="14"/>
      <c r="V1534" s="279"/>
      <c r="W1534" s="280"/>
      <c r="X1534" s="281"/>
      <c r="Y1534" s="246"/>
      <c r="Z1534" s="246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BP1534" s="390" t="str">
        <f>IF($X$13="/28",IF(Q1534="","",Q1534),IF($X$13="/90",IF(#REF!="","",#REF!),"Falso"))</f>
        <v/>
      </c>
      <c r="BQ1534" s="392" t="str">
        <f t="shared" si="2316"/>
        <v/>
      </c>
    </row>
    <row r="1535" spans="1:69" ht="14.25" customHeight="1" x14ac:dyDescent="0.35">
      <c r="A1535" s="294"/>
      <c r="B1535" s="296"/>
      <c r="C1535" s="298"/>
      <c r="D1535" s="300"/>
      <c r="E1535" s="302"/>
      <c r="F1535" s="304"/>
      <c r="G1535" s="276"/>
      <c r="H1535" s="277"/>
      <c r="I1535" s="290"/>
      <c r="J1535" s="290"/>
      <c r="K1535" s="291"/>
      <c r="L1535" s="17"/>
      <c r="M1535" s="286"/>
      <c r="N1535" s="21"/>
      <c r="O1535" s="286"/>
      <c r="P1535" s="21"/>
      <c r="Q1535" s="286"/>
      <c r="R1535" s="248"/>
      <c r="S1535" s="287"/>
      <c r="T1535" s="248"/>
      <c r="U1535" s="13"/>
      <c r="V1535" s="282"/>
      <c r="W1535" s="283"/>
      <c r="X1535" s="284"/>
      <c r="Y1535" s="245"/>
      <c r="Z1535" s="245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BP1535" s="391"/>
      <c r="BQ1535" s="393"/>
    </row>
    <row r="1536" spans="1:69" ht="14.25" customHeight="1" x14ac:dyDescent="0.35">
      <c r="A1536" s="293">
        <v>760</v>
      </c>
      <c r="B1536" s="295"/>
      <c r="C1536" s="297"/>
      <c r="D1536" s="299"/>
      <c r="E1536" s="301"/>
      <c r="F1536" s="303"/>
      <c r="G1536" s="288"/>
      <c r="H1536" s="289"/>
      <c r="I1536" s="290"/>
      <c r="J1536" s="290"/>
      <c r="K1536" s="291"/>
      <c r="L1536" s="18"/>
      <c r="M1536" s="285" t="str">
        <f t="shared" ref="M1536" si="2389">IF(COUNT(L1536:L1537)&lt;1,"",AVERAGE(L1536:L1537))</f>
        <v/>
      </c>
      <c r="N1536" s="22"/>
      <c r="O1536" s="285" t="str">
        <f t="shared" ref="O1536" si="2390">IF(COUNT(N1536:N1537)&lt;1,"",AVERAGE(N1536:N1537))</f>
        <v/>
      </c>
      <c r="P1536" s="22"/>
      <c r="Q1536" s="285" t="str">
        <f t="shared" ref="Q1536" si="2391">IF(COUNT(P1536:P1537)&lt;1,"",AVERAGE(P1536:P1537))</f>
        <v/>
      </c>
      <c r="R1536" s="278" t="str">
        <f>IF($X$13="/28",IF(COUNT(P1536:P1537)&lt;=1,"",ABS(P1536-P1537)),IF($X$13="/90",IF(COUNT(#REF!)&lt;=1,"",ABS(#REF!-#REF!))))</f>
        <v/>
      </c>
      <c r="S1536" s="278" t="str">
        <f>IF($X$13="/28",IF(Q1536="","",IF(AVERAGE(Q1532:Q1537)&gt;=$W$13,ROUND(AVERAGE(Q1532:Q1537),1)&amp;" ≥ "&amp;$W$13&amp;" OK",ROUND(AVERAGE(Q1532:Q1537),1)&amp;" &lt; "&amp;$W$13&amp;" NC")),IF($X$13="/90",IF(#REF!="","",IF(AVERAGE(#REF!)&gt;=$W$13,ROUND(AVERAGE(#REF!),1)&amp;" ≥ "&amp;$W$13&amp;" OK",ROUND(AVERAGE(#REF!),1)&amp;" &lt; "&amp;$W$13&amp;" NC"))))</f>
        <v/>
      </c>
      <c r="T1536" s="278" t="str">
        <f>IF($X$13="/28",IF(Q1536="","",IF(Q1536&gt;=$W$13-$S$12,ROUND((Q1536),1)&amp;" ≥ "&amp;$W$13-$S$12&amp;" OK",ROUND((Q1536),1)&amp;" &lt; "&amp;$W$13-$S$12&amp;" NC")),IF($X$13="/90",IF(#REF!="","",IF(#REF!&gt;=$W$13-$S$12,ROUND((#REF!),1)&amp;" ≥ "&amp;$W$13-$S$12&amp;" OK",ROUND((#REF!),1)&amp;" &lt; "&amp;$W$13-$S$12&amp;" NC"))))</f>
        <v/>
      </c>
      <c r="U1536" s="14"/>
      <c r="V1536" s="279"/>
      <c r="W1536" s="280"/>
      <c r="X1536" s="281"/>
      <c r="Y1536" s="246"/>
      <c r="Z1536" s="246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BP1536" s="390" t="str">
        <f>IF($X$13="/28",IF(Q1536="","",Q1536),IF($X$13="/90",IF(#REF!="","",#REF!),"Falso"))</f>
        <v/>
      </c>
      <c r="BQ1536" s="392" t="str">
        <f t="shared" si="2308"/>
        <v/>
      </c>
    </row>
    <row r="1537" spans="1:69" ht="14.25" customHeight="1" x14ac:dyDescent="0.35">
      <c r="A1537" s="294"/>
      <c r="B1537" s="296"/>
      <c r="C1537" s="298"/>
      <c r="D1537" s="300"/>
      <c r="E1537" s="302"/>
      <c r="F1537" s="304"/>
      <c r="G1537" s="276"/>
      <c r="H1537" s="277"/>
      <c r="I1537" s="290"/>
      <c r="J1537" s="290"/>
      <c r="K1537" s="291"/>
      <c r="L1537" s="17"/>
      <c r="M1537" s="286"/>
      <c r="N1537" s="21"/>
      <c r="O1537" s="286"/>
      <c r="P1537" s="21"/>
      <c r="Q1537" s="286"/>
      <c r="R1537" s="248"/>
      <c r="S1537" s="287"/>
      <c r="T1537" s="248"/>
      <c r="U1537" s="13"/>
      <c r="V1537" s="282"/>
      <c r="W1537" s="283"/>
      <c r="X1537" s="284"/>
      <c r="Y1537" s="245"/>
      <c r="Z1537" s="245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BP1537" s="391"/>
      <c r="BQ1537" s="393"/>
    </row>
    <row r="1538" spans="1:69" ht="14.25" customHeight="1" x14ac:dyDescent="0.35">
      <c r="A1538" s="293">
        <v>761</v>
      </c>
      <c r="B1538" s="295"/>
      <c r="C1538" s="297"/>
      <c r="D1538" s="299"/>
      <c r="E1538" s="301"/>
      <c r="F1538" s="303"/>
      <c r="G1538" s="288"/>
      <c r="H1538" s="289"/>
      <c r="I1538" s="290"/>
      <c r="J1538" s="290"/>
      <c r="K1538" s="291"/>
      <c r="L1538" s="18"/>
      <c r="M1538" s="285" t="str">
        <f t="shared" ref="M1538" si="2392">IF(COUNT(L1538:L1539)&lt;1,"",AVERAGE(L1538:L1539))</f>
        <v/>
      </c>
      <c r="N1538" s="22"/>
      <c r="O1538" s="285" t="str">
        <f t="shared" ref="O1538" si="2393">IF(COUNT(N1538:N1539)&lt;1,"",AVERAGE(N1538:N1539))</f>
        <v/>
      </c>
      <c r="P1538" s="22"/>
      <c r="Q1538" s="285" t="str">
        <f t="shared" ref="Q1538" si="2394">IF(COUNT(P1538:P1539)&lt;1,"",AVERAGE(P1538:P1539))</f>
        <v/>
      </c>
      <c r="R1538" s="278" t="str">
        <f>IF($X$13="/28",IF(COUNT(P1538:P1539)&lt;=1,"",ABS(P1538-P1539)),IF($X$13="/90",IF(COUNT(#REF!)&lt;=1,"",ABS(#REF!-#REF!))))</f>
        <v/>
      </c>
      <c r="S1538" s="278" t="str">
        <f>IF($X$13="/28",IF(Q1538="","",IF(AVERAGE(Q1534:Q1539)&gt;=$W$13,ROUND(AVERAGE(Q1534:Q1539),1)&amp;" ≥ "&amp;$W$13&amp;" OK",ROUND(AVERAGE(Q1534:Q1539),1)&amp;" &lt; "&amp;$W$13&amp;" NC")),IF($X$13="/90",IF(#REF!="","",IF(AVERAGE(#REF!)&gt;=$W$13,ROUND(AVERAGE(#REF!),1)&amp;" ≥ "&amp;$W$13&amp;" OK",ROUND(AVERAGE(#REF!),1)&amp;" &lt; "&amp;$W$13&amp;" NC"))))</f>
        <v/>
      </c>
      <c r="T1538" s="278" t="str">
        <f>IF($X$13="/28",IF(Q1538="","",IF(Q1538&gt;=$W$13-$S$12,ROUND((Q1538),1)&amp;" ≥ "&amp;$W$13-$S$12&amp;" OK",ROUND((Q1538),1)&amp;" &lt; "&amp;$W$13-$S$12&amp;" NC")),IF($X$13="/90",IF(#REF!="","",IF(#REF!&gt;=$W$13-$S$12,ROUND((#REF!),1)&amp;" ≥ "&amp;$W$13-$S$12&amp;" OK",ROUND((#REF!),1)&amp;" &lt; "&amp;$W$13-$S$12&amp;" NC"))))</f>
        <v/>
      </c>
      <c r="U1538" s="14"/>
      <c r="V1538" s="279"/>
      <c r="W1538" s="280"/>
      <c r="X1538" s="281"/>
      <c r="Y1538" s="246"/>
      <c r="Z1538" s="246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BP1538" s="390" t="str">
        <f>IF($X$13="/28",IF(Q1538="","",Q1538),IF($X$13="/90",IF(#REF!="","",#REF!),"Falso"))</f>
        <v/>
      </c>
      <c r="BQ1538" s="392" t="str">
        <f t="shared" si="2312"/>
        <v/>
      </c>
    </row>
    <row r="1539" spans="1:69" ht="14.25" customHeight="1" x14ac:dyDescent="0.35">
      <c r="A1539" s="294"/>
      <c r="B1539" s="296"/>
      <c r="C1539" s="298"/>
      <c r="D1539" s="300"/>
      <c r="E1539" s="302"/>
      <c r="F1539" s="304"/>
      <c r="G1539" s="276"/>
      <c r="H1539" s="277"/>
      <c r="I1539" s="290"/>
      <c r="J1539" s="290"/>
      <c r="K1539" s="291"/>
      <c r="L1539" s="17"/>
      <c r="M1539" s="286"/>
      <c r="N1539" s="21"/>
      <c r="O1539" s="286"/>
      <c r="P1539" s="21"/>
      <c r="Q1539" s="286"/>
      <c r="R1539" s="248"/>
      <c r="S1539" s="287"/>
      <c r="T1539" s="248"/>
      <c r="U1539" s="13"/>
      <c r="V1539" s="282"/>
      <c r="W1539" s="283"/>
      <c r="X1539" s="284"/>
      <c r="Y1539" s="245"/>
      <c r="Z1539" s="245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BP1539" s="391"/>
      <c r="BQ1539" s="393"/>
    </row>
    <row r="1540" spans="1:69" ht="14.25" customHeight="1" x14ac:dyDescent="0.35">
      <c r="A1540" s="293">
        <v>762</v>
      </c>
      <c r="B1540" s="295"/>
      <c r="C1540" s="297"/>
      <c r="D1540" s="299"/>
      <c r="E1540" s="301"/>
      <c r="F1540" s="303"/>
      <c r="G1540" s="288"/>
      <c r="H1540" s="289"/>
      <c r="I1540" s="290"/>
      <c r="J1540" s="290"/>
      <c r="K1540" s="291"/>
      <c r="L1540" s="18"/>
      <c r="M1540" s="285" t="str">
        <f t="shared" ref="M1540" si="2395">IF(COUNT(L1540:L1541)&lt;1,"",AVERAGE(L1540:L1541))</f>
        <v/>
      </c>
      <c r="N1540" s="22"/>
      <c r="O1540" s="285" t="str">
        <f t="shared" ref="O1540" si="2396">IF(COUNT(N1540:N1541)&lt;1,"",AVERAGE(N1540:N1541))</f>
        <v/>
      </c>
      <c r="P1540" s="22"/>
      <c r="Q1540" s="285" t="str">
        <f t="shared" ref="Q1540" si="2397">IF(COUNT(P1540:P1541)&lt;1,"",AVERAGE(P1540:P1541))</f>
        <v/>
      </c>
      <c r="R1540" s="278" t="str">
        <f>IF($X$13="/28",IF(COUNT(P1540:P1541)&lt;=1,"",ABS(P1540-P1541)),IF($X$13="/90",IF(COUNT(#REF!)&lt;=1,"",ABS(#REF!-#REF!))))</f>
        <v/>
      </c>
      <c r="S1540" s="278" t="str">
        <f>IF($X$13="/28",IF(Q1540="","",IF(AVERAGE(Q1536:Q1541)&gt;=$W$13,ROUND(AVERAGE(Q1536:Q1541),1)&amp;" ≥ "&amp;$W$13&amp;" OK",ROUND(AVERAGE(Q1536:Q1541),1)&amp;" &lt; "&amp;$W$13&amp;" NC")),IF($X$13="/90",IF(#REF!="","",IF(AVERAGE(#REF!)&gt;=$W$13,ROUND(AVERAGE(#REF!),1)&amp;" ≥ "&amp;$W$13&amp;" OK",ROUND(AVERAGE(#REF!),1)&amp;" &lt; "&amp;$W$13&amp;" NC"))))</f>
        <v/>
      </c>
      <c r="T1540" s="278" t="str">
        <f>IF($X$13="/28",IF(Q1540="","",IF(Q1540&gt;=$W$13-$S$12,ROUND((Q1540),1)&amp;" ≥ "&amp;$W$13-$S$12&amp;" OK",ROUND((Q1540),1)&amp;" &lt; "&amp;$W$13-$S$12&amp;" NC")),IF($X$13="/90",IF(#REF!="","",IF(#REF!&gt;=$W$13-$S$12,ROUND((#REF!),1)&amp;" ≥ "&amp;$W$13-$S$12&amp;" OK",ROUND((#REF!),1)&amp;" &lt; "&amp;$W$13-$S$12&amp;" NC"))))</f>
        <v/>
      </c>
      <c r="U1540" s="14"/>
      <c r="V1540" s="279"/>
      <c r="W1540" s="280"/>
      <c r="X1540" s="281"/>
      <c r="Y1540" s="246"/>
      <c r="Z1540" s="246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BP1540" s="390" t="str">
        <f>IF($X$13="/28",IF(Q1540="","",Q1540),IF($X$13="/90",IF(#REF!="","",#REF!),"Falso"))</f>
        <v/>
      </c>
      <c r="BQ1540" s="392" t="str">
        <f t="shared" si="2316"/>
        <v/>
      </c>
    </row>
    <row r="1541" spans="1:69" ht="14.25" customHeight="1" x14ac:dyDescent="0.35">
      <c r="A1541" s="294"/>
      <c r="B1541" s="296"/>
      <c r="C1541" s="298"/>
      <c r="D1541" s="300"/>
      <c r="E1541" s="302"/>
      <c r="F1541" s="304"/>
      <c r="G1541" s="276"/>
      <c r="H1541" s="277"/>
      <c r="I1541" s="290"/>
      <c r="J1541" s="290"/>
      <c r="K1541" s="291"/>
      <c r="L1541" s="17"/>
      <c r="M1541" s="286"/>
      <c r="N1541" s="21"/>
      <c r="O1541" s="286"/>
      <c r="P1541" s="21"/>
      <c r="Q1541" s="286"/>
      <c r="R1541" s="248"/>
      <c r="S1541" s="287"/>
      <c r="T1541" s="248"/>
      <c r="U1541" s="13"/>
      <c r="V1541" s="282"/>
      <c r="W1541" s="283"/>
      <c r="X1541" s="284"/>
      <c r="Y1541" s="245"/>
      <c r="Z1541" s="245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BP1541" s="391"/>
      <c r="BQ1541" s="393"/>
    </row>
    <row r="1542" spans="1:69" ht="14.25" customHeight="1" x14ac:dyDescent="0.35">
      <c r="A1542" s="293">
        <v>763</v>
      </c>
      <c r="B1542" s="295"/>
      <c r="C1542" s="297"/>
      <c r="D1542" s="299"/>
      <c r="E1542" s="301"/>
      <c r="F1542" s="303"/>
      <c r="G1542" s="288"/>
      <c r="H1542" s="289"/>
      <c r="I1542" s="290"/>
      <c r="J1542" s="290"/>
      <c r="K1542" s="291"/>
      <c r="L1542" s="18"/>
      <c r="M1542" s="285" t="str">
        <f t="shared" ref="M1542" si="2398">IF(COUNT(L1542:L1543)&lt;1,"",AVERAGE(L1542:L1543))</f>
        <v/>
      </c>
      <c r="N1542" s="22"/>
      <c r="O1542" s="285" t="str">
        <f t="shared" ref="O1542" si="2399">IF(COUNT(N1542:N1543)&lt;1,"",AVERAGE(N1542:N1543))</f>
        <v/>
      </c>
      <c r="P1542" s="22"/>
      <c r="Q1542" s="285" t="str">
        <f t="shared" ref="Q1542" si="2400">IF(COUNT(P1542:P1543)&lt;1,"",AVERAGE(P1542:P1543))</f>
        <v/>
      </c>
      <c r="R1542" s="278" t="str">
        <f>IF($X$13="/28",IF(COUNT(P1542:P1543)&lt;=1,"",ABS(P1542-P1543)),IF($X$13="/90",IF(COUNT(#REF!)&lt;=1,"",ABS(#REF!-#REF!))))</f>
        <v/>
      </c>
      <c r="S1542" s="278" t="str">
        <f>IF($X$13="/28",IF(Q1542="","",IF(AVERAGE(Q1538:Q1543)&gt;=$W$13,ROUND(AVERAGE(Q1538:Q1543),1)&amp;" ≥ "&amp;$W$13&amp;" OK",ROUND(AVERAGE(Q1538:Q1543),1)&amp;" &lt; "&amp;$W$13&amp;" NC")),IF($X$13="/90",IF(#REF!="","",IF(AVERAGE(#REF!)&gt;=$W$13,ROUND(AVERAGE(#REF!),1)&amp;" ≥ "&amp;$W$13&amp;" OK",ROUND(AVERAGE(#REF!),1)&amp;" &lt; "&amp;$W$13&amp;" NC"))))</f>
        <v/>
      </c>
      <c r="T1542" s="278" t="str">
        <f>IF($X$13="/28",IF(Q1542="","",IF(Q1542&gt;=$W$13-$S$12,ROUND((Q1542),1)&amp;" ≥ "&amp;$W$13-$S$12&amp;" OK",ROUND((Q1542),1)&amp;" &lt; "&amp;$W$13-$S$12&amp;" NC")),IF($X$13="/90",IF(#REF!="","",IF(#REF!&gt;=$W$13-$S$12,ROUND((#REF!),1)&amp;" ≥ "&amp;$W$13-$S$12&amp;" OK",ROUND((#REF!),1)&amp;" &lt; "&amp;$W$13-$S$12&amp;" NC"))))</f>
        <v/>
      </c>
      <c r="U1542" s="14"/>
      <c r="V1542" s="279"/>
      <c r="W1542" s="280"/>
      <c r="X1542" s="281"/>
      <c r="Y1542" s="246"/>
      <c r="Z1542" s="246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BP1542" s="390" t="str">
        <f>IF($X$13="/28",IF(Q1542="","",Q1542),IF($X$13="/90",IF(#REF!="","",#REF!),"Falso"))</f>
        <v/>
      </c>
      <c r="BQ1542" s="392" t="str">
        <f t="shared" si="2308"/>
        <v/>
      </c>
    </row>
    <row r="1543" spans="1:69" ht="14.25" customHeight="1" x14ac:dyDescent="0.35">
      <c r="A1543" s="294"/>
      <c r="B1543" s="296"/>
      <c r="C1543" s="298"/>
      <c r="D1543" s="300"/>
      <c r="E1543" s="302"/>
      <c r="F1543" s="304"/>
      <c r="G1543" s="276"/>
      <c r="H1543" s="277"/>
      <c r="I1543" s="290"/>
      <c r="J1543" s="290"/>
      <c r="K1543" s="291"/>
      <c r="L1543" s="17"/>
      <c r="M1543" s="286"/>
      <c r="N1543" s="21"/>
      <c r="O1543" s="286"/>
      <c r="P1543" s="21"/>
      <c r="Q1543" s="286"/>
      <c r="R1543" s="248"/>
      <c r="S1543" s="287"/>
      <c r="T1543" s="248"/>
      <c r="U1543" s="13"/>
      <c r="V1543" s="282"/>
      <c r="W1543" s="283"/>
      <c r="X1543" s="284"/>
      <c r="Y1543" s="245"/>
      <c r="Z1543" s="245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BP1543" s="391"/>
      <c r="BQ1543" s="393"/>
    </row>
    <row r="1544" spans="1:69" ht="14.25" customHeight="1" x14ac:dyDescent="0.35">
      <c r="A1544" s="293">
        <v>764</v>
      </c>
      <c r="B1544" s="295"/>
      <c r="C1544" s="297"/>
      <c r="D1544" s="299"/>
      <c r="E1544" s="301"/>
      <c r="F1544" s="303"/>
      <c r="G1544" s="288"/>
      <c r="H1544" s="289"/>
      <c r="I1544" s="290"/>
      <c r="J1544" s="290"/>
      <c r="K1544" s="291"/>
      <c r="L1544" s="18"/>
      <c r="M1544" s="285" t="str">
        <f t="shared" ref="M1544" si="2401">IF(COUNT(L1544:L1545)&lt;1,"",AVERAGE(L1544:L1545))</f>
        <v/>
      </c>
      <c r="N1544" s="22"/>
      <c r="O1544" s="285" t="str">
        <f t="shared" ref="O1544" si="2402">IF(COUNT(N1544:N1545)&lt;1,"",AVERAGE(N1544:N1545))</f>
        <v/>
      </c>
      <c r="P1544" s="22"/>
      <c r="Q1544" s="285" t="str">
        <f t="shared" ref="Q1544" si="2403">IF(COUNT(P1544:P1545)&lt;1,"",AVERAGE(P1544:P1545))</f>
        <v/>
      </c>
      <c r="R1544" s="278" t="str">
        <f>IF($X$13="/28",IF(COUNT(P1544:P1545)&lt;=1,"",ABS(P1544-P1545)),IF($X$13="/90",IF(COUNT(#REF!)&lt;=1,"",ABS(#REF!-#REF!))))</f>
        <v/>
      </c>
      <c r="S1544" s="278" t="str">
        <f>IF($X$13="/28",IF(Q1544="","",IF(AVERAGE(Q1540:Q1545)&gt;=$W$13,ROUND(AVERAGE(Q1540:Q1545),1)&amp;" ≥ "&amp;$W$13&amp;" OK",ROUND(AVERAGE(Q1540:Q1545),1)&amp;" &lt; "&amp;$W$13&amp;" NC")),IF($X$13="/90",IF(#REF!="","",IF(AVERAGE(#REF!)&gt;=$W$13,ROUND(AVERAGE(#REF!),1)&amp;" ≥ "&amp;$W$13&amp;" OK",ROUND(AVERAGE(#REF!),1)&amp;" &lt; "&amp;$W$13&amp;" NC"))))</f>
        <v/>
      </c>
      <c r="T1544" s="278" t="str">
        <f>IF($X$13="/28",IF(Q1544="","",IF(Q1544&gt;=$W$13-$S$12,ROUND((Q1544),1)&amp;" ≥ "&amp;$W$13-$S$12&amp;" OK",ROUND((Q1544),1)&amp;" &lt; "&amp;$W$13-$S$12&amp;" NC")),IF($X$13="/90",IF(#REF!="","",IF(#REF!&gt;=$W$13-$S$12,ROUND((#REF!),1)&amp;" ≥ "&amp;$W$13-$S$12&amp;" OK",ROUND((#REF!),1)&amp;" &lt; "&amp;$W$13-$S$12&amp;" NC"))))</f>
        <v/>
      </c>
      <c r="U1544" s="14"/>
      <c r="V1544" s="279"/>
      <c r="W1544" s="280"/>
      <c r="X1544" s="281"/>
      <c r="Y1544" s="246"/>
      <c r="Z1544" s="246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BP1544" s="390" t="str">
        <f>IF($X$13="/28",IF(Q1544="","",Q1544),IF($X$13="/90",IF(#REF!="","",#REF!),"Falso"))</f>
        <v/>
      </c>
      <c r="BQ1544" s="392" t="str">
        <f t="shared" si="2312"/>
        <v/>
      </c>
    </row>
    <row r="1545" spans="1:69" ht="14.25" customHeight="1" x14ac:dyDescent="0.35">
      <c r="A1545" s="294"/>
      <c r="B1545" s="296"/>
      <c r="C1545" s="298"/>
      <c r="D1545" s="300"/>
      <c r="E1545" s="302"/>
      <c r="F1545" s="304"/>
      <c r="G1545" s="276"/>
      <c r="H1545" s="277"/>
      <c r="I1545" s="290"/>
      <c r="J1545" s="290"/>
      <c r="K1545" s="291"/>
      <c r="L1545" s="17"/>
      <c r="M1545" s="286"/>
      <c r="N1545" s="21"/>
      <c r="O1545" s="286"/>
      <c r="P1545" s="21"/>
      <c r="Q1545" s="286"/>
      <c r="R1545" s="248"/>
      <c r="S1545" s="287"/>
      <c r="T1545" s="248"/>
      <c r="U1545" s="13"/>
      <c r="V1545" s="282"/>
      <c r="W1545" s="283"/>
      <c r="X1545" s="284"/>
      <c r="Y1545" s="245"/>
      <c r="Z1545" s="245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BP1545" s="391"/>
      <c r="BQ1545" s="393"/>
    </row>
    <row r="1546" spans="1:69" ht="14.25" customHeight="1" x14ac:dyDescent="0.35">
      <c r="A1546" s="293">
        <v>765</v>
      </c>
      <c r="B1546" s="295"/>
      <c r="C1546" s="297"/>
      <c r="D1546" s="299"/>
      <c r="E1546" s="301"/>
      <c r="F1546" s="303"/>
      <c r="G1546" s="288"/>
      <c r="H1546" s="289"/>
      <c r="I1546" s="290"/>
      <c r="J1546" s="290"/>
      <c r="K1546" s="291"/>
      <c r="L1546" s="18"/>
      <c r="M1546" s="285" t="str">
        <f t="shared" ref="M1546" si="2404">IF(COUNT(L1546:L1547)&lt;1,"",AVERAGE(L1546:L1547))</f>
        <v/>
      </c>
      <c r="N1546" s="22"/>
      <c r="O1546" s="285" t="str">
        <f t="shared" ref="O1546" si="2405">IF(COUNT(N1546:N1547)&lt;1,"",AVERAGE(N1546:N1547))</f>
        <v/>
      </c>
      <c r="P1546" s="22"/>
      <c r="Q1546" s="285" t="str">
        <f t="shared" ref="Q1546" si="2406">IF(COUNT(P1546:P1547)&lt;1,"",AVERAGE(P1546:P1547))</f>
        <v/>
      </c>
      <c r="R1546" s="278" t="str">
        <f>IF($X$13="/28",IF(COUNT(P1546:P1547)&lt;=1,"",ABS(P1546-P1547)),IF($X$13="/90",IF(COUNT(#REF!)&lt;=1,"",ABS(#REF!-#REF!))))</f>
        <v/>
      </c>
      <c r="S1546" s="278" t="str">
        <f>IF($X$13="/28",IF(Q1546="","",IF(AVERAGE(Q1542:Q1547)&gt;=$W$13,ROUND(AVERAGE(Q1542:Q1547),1)&amp;" ≥ "&amp;$W$13&amp;" OK",ROUND(AVERAGE(Q1542:Q1547),1)&amp;" &lt; "&amp;$W$13&amp;" NC")),IF($X$13="/90",IF(#REF!="","",IF(AVERAGE(#REF!)&gt;=$W$13,ROUND(AVERAGE(#REF!),1)&amp;" ≥ "&amp;$W$13&amp;" OK",ROUND(AVERAGE(#REF!),1)&amp;" &lt; "&amp;$W$13&amp;" NC"))))</f>
        <v/>
      </c>
      <c r="T1546" s="278" t="str">
        <f>IF($X$13="/28",IF(Q1546="","",IF(Q1546&gt;=$W$13-$S$12,ROUND((Q1546),1)&amp;" ≥ "&amp;$W$13-$S$12&amp;" OK",ROUND((Q1546),1)&amp;" &lt; "&amp;$W$13-$S$12&amp;" NC")),IF($X$13="/90",IF(#REF!="","",IF(#REF!&gt;=$W$13-$S$12,ROUND((#REF!),1)&amp;" ≥ "&amp;$W$13-$S$12&amp;" OK",ROUND((#REF!),1)&amp;" &lt; "&amp;$W$13-$S$12&amp;" NC"))))</f>
        <v/>
      </c>
      <c r="U1546" s="14"/>
      <c r="V1546" s="279"/>
      <c r="W1546" s="280"/>
      <c r="X1546" s="281"/>
      <c r="Y1546" s="246"/>
      <c r="Z1546" s="246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BP1546" s="390" t="str">
        <f>IF($X$13="/28",IF(Q1546="","",Q1546),IF($X$13="/90",IF(#REF!="","",#REF!),"Falso"))</f>
        <v/>
      </c>
      <c r="BQ1546" s="392" t="str">
        <f t="shared" si="2316"/>
        <v/>
      </c>
    </row>
    <row r="1547" spans="1:69" ht="14.25" customHeight="1" x14ac:dyDescent="0.35">
      <c r="A1547" s="294"/>
      <c r="B1547" s="296"/>
      <c r="C1547" s="298"/>
      <c r="D1547" s="300"/>
      <c r="E1547" s="302"/>
      <c r="F1547" s="304"/>
      <c r="G1547" s="276"/>
      <c r="H1547" s="277"/>
      <c r="I1547" s="290"/>
      <c r="J1547" s="290"/>
      <c r="K1547" s="291"/>
      <c r="L1547" s="17"/>
      <c r="M1547" s="286"/>
      <c r="N1547" s="21"/>
      <c r="O1547" s="286"/>
      <c r="P1547" s="21"/>
      <c r="Q1547" s="286"/>
      <c r="R1547" s="248"/>
      <c r="S1547" s="287"/>
      <c r="T1547" s="248"/>
      <c r="U1547" s="13"/>
      <c r="V1547" s="282"/>
      <c r="W1547" s="283"/>
      <c r="X1547" s="284"/>
      <c r="Y1547" s="245"/>
      <c r="Z1547" s="245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BP1547" s="391"/>
      <c r="BQ1547" s="393"/>
    </row>
    <row r="1548" spans="1:69" ht="14.25" customHeight="1" x14ac:dyDescent="0.35">
      <c r="A1548" s="293">
        <v>766</v>
      </c>
      <c r="B1548" s="295"/>
      <c r="C1548" s="297"/>
      <c r="D1548" s="299"/>
      <c r="E1548" s="301"/>
      <c r="F1548" s="303"/>
      <c r="G1548" s="288"/>
      <c r="H1548" s="289"/>
      <c r="I1548" s="290"/>
      <c r="J1548" s="290"/>
      <c r="K1548" s="291"/>
      <c r="L1548" s="18"/>
      <c r="M1548" s="285" t="str">
        <f t="shared" ref="M1548" si="2407">IF(COUNT(L1548:L1549)&lt;1,"",AVERAGE(L1548:L1549))</f>
        <v/>
      </c>
      <c r="N1548" s="22"/>
      <c r="O1548" s="285" t="str">
        <f t="shared" ref="O1548" si="2408">IF(COUNT(N1548:N1549)&lt;1,"",AVERAGE(N1548:N1549))</f>
        <v/>
      </c>
      <c r="P1548" s="22"/>
      <c r="Q1548" s="285" t="str">
        <f t="shared" ref="Q1548" si="2409">IF(COUNT(P1548:P1549)&lt;1,"",AVERAGE(P1548:P1549))</f>
        <v/>
      </c>
      <c r="R1548" s="278" t="str">
        <f>IF($X$13="/28",IF(COUNT(P1548:P1549)&lt;=1,"",ABS(P1548-P1549)),IF($X$13="/90",IF(COUNT(#REF!)&lt;=1,"",ABS(#REF!-#REF!))))</f>
        <v/>
      </c>
      <c r="S1548" s="278" t="str">
        <f>IF($X$13="/28",IF(Q1548="","",IF(AVERAGE(Q1544:Q1549)&gt;=$W$13,ROUND(AVERAGE(Q1544:Q1549),1)&amp;" ≥ "&amp;$W$13&amp;" OK",ROUND(AVERAGE(Q1544:Q1549),1)&amp;" &lt; "&amp;$W$13&amp;" NC")),IF($X$13="/90",IF(#REF!="","",IF(AVERAGE(#REF!)&gt;=$W$13,ROUND(AVERAGE(#REF!),1)&amp;" ≥ "&amp;$W$13&amp;" OK",ROUND(AVERAGE(#REF!),1)&amp;" &lt; "&amp;$W$13&amp;" NC"))))</f>
        <v/>
      </c>
      <c r="T1548" s="278" t="str">
        <f>IF($X$13="/28",IF(Q1548="","",IF(Q1548&gt;=$W$13-$S$12,ROUND((Q1548),1)&amp;" ≥ "&amp;$W$13-$S$12&amp;" OK",ROUND((Q1548),1)&amp;" &lt; "&amp;$W$13-$S$12&amp;" NC")),IF($X$13="/90",IF(#REF!="","",IF(#REF!&gt;=$W$13-$S$12,ROUND((#REF!),1)&amp;" ≥ "&amp;$W$13-$S$12&amp;" OK",ROUND((#REF!),1)&amp;" &lt; "&amp;$W$13-$S$12&amp;" NC"))))</f>
        <v/>
      </c>
      <c r="U1548" s="14"/>
      <c r="V1548" s="279"/>
      <c r="W1548" s="280"/>
      <c r="X1548" s="281"/>
      <c r="Y1548" s="246"/>
      <c r="Z1548" s="246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BP1548" s="390" t="str">
        <f>IF($X$13="/28",IF(Q1548="","",Q1548),IF($X$13="/90",IF(#REF!="","",#REF!),"Falso"))</f>
        <v/>
      </c>
      <c r="BQ1548" s="392" t="str">
        <f t="shared" ref="BQ1548:BQ1608" si="2410">IF(BP1548="","",BQ1546+1)</f>
        <v/>
      </c>
    </row>
    <row r="1549" spans="1:69" ht="14.25" customHeight="1" x14ac:dyDescent="0.35">
      <c r="A1549" s="294"/>
      <c r="B1549" s="296"/>
      <c r="C1549" s="298"/>
      <c r="D1549" s="300"/>
      <c r="E1549" s="302"/>
      <c r="F1549" s="304"/>
      <c r="G1549" s="276"/>
      <c r="H1549" s="277"/>
      <c r="I1549" s="290"/>
      <c r="J1549" s="290"/>
      <c r="K1549" s="291"/>
      <c r="L1549" s="17"/>
      <c r="M1549" s="286"/>
      <c r="N1549" s="21"/>
      <c r="O1549" s="286"/>
      <c r="P1549" s="21"/>
      <c r="Q1549" s="286"/>
      <c r="R1549" s="248"/>
      <c r="S1549" s="287"/>
      <c r="T1549" s="248"/>
      <c r="U1549" s="13"/>
      <c r="V1549" s="282"/>
      <c r="W1549" s="283"/>
      <c r="X1549" s="284"/>
      <c r="Y1549" s="245"/>
      <c r="Z1549" s="245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BP1549" s="391"/>
      <c r="BQ1549" s="393"/>
    </row>
    <row r="1550" spans="1:69" ht="14.25" customHeight="1" x14ac:dyDescent="0.35">
      <c r="A1550" s="293">
        <v>767</v>
      </c>
      <c r="B1550" s="295"/>
      <c r="C1550" s="297"/>
      <c r="D1550" s="299"/>
      <c r="E1550" s="301"/>
      <c r="F1550" s="303"/>
      <c r="G1550" s="288"/>
      <c r="H1550" s="289"/>
      <c r="I1550" s="290"/>
      <c r="J1550" s="290"/>
      <c r="K1550" s="291"/>
      <c r="L1550" s="18"/>
      <c r="M1550" s="285" t="str">
        <f t="shared" ref="M1550" si="2411">IF(COUNT(L1550:L1551)&lt;1,"",AVERAGE(L1550:L1551))</f>
        <v/>
      </c>
      <c r="N1550" s="22"/>
      <c r="O1550" s="285" t="str">
        <f t="shared" ref="O1550" si="2412">IF(COUNT(N1550:N1551)&lt;1,"",AVERAGE(N1550:N1551))</f>
        <v/>
      </c>
      <c r="P1550" s="22"/>
      <c r="Q1550" s="285" t="str">
        <f t="shared" ref="Q1550" si="2413">IF(COUNT(P1550:P1551)&lt;1,"",AVERAGE(P1550:P1551))</f>
        <v/>
      </c>
      <c r="R1550" s="278" t="str">
        <f>IF($X$13="/28",IF(COUNT(P1550:P1551)&lt;=1,"",ABS(P1550-P1551)),IF($X$13="/90",IF(COUNT(#REF!)&lt;=1,"",ABS(#REF!-#REF!))))</f>
        <v/>
      </c>
      <c r="S1550" s="278" t="str">
        <f>IF($X$13="/28",IF(Q1550="","",IF(AVERAGE(Q1546:Q1551)&gt;=$W$13,ROUND(AVERAGE(Q1546:Q1551),1)&amp;" ≥ "&amp;$W$13&amp;" OK",ROUND(AVERAGE(Q1546:Q1551),1)&amp;" &lt; "&amp;$W$13&amp;" NC")),IF($X$13="/90",IF(#REF!="","",IF(AVERAGE(#REF!)&gt;=$W$13,ROUND(AVERAGE(#REF!),1)&amp;" ≥ "&amp;$W$13&amp;" OK",ROUND(AVERAGE(#REF!),1)&amp;" &lt; "&amp;$W$13&amp;" NC"))))</f>
        <v/>
      </c>
      <c r="T1550" s="278" t="str">
        <f>IF($X$13="/28",IF(Q1550="","",IF(Q1550&gt;=$W$13-$S$12,ROUND((Q1550),1)&amp;" ≥ "&amp;$W$13-$S$12&amp;" OK",ROUND((Q1550),1)&amp;" &lt; "&amp;$W$13-$S$12&amp;" NC")),IF($X$13="/90",IF(#REF!="","",IF(#REF!&gt;=$W$13-$S$12,ROUND((#REF!),1)&amp;" ≥ "&amp;$W$13-$S$12&amp;" OK",ROUND((#REF!),1)&amp;" &lt; "&amp;$W$13-$S$12&amp;" NC"))))</f>
        <v/>
      </c>
      <c r="U1550" s="14"/>
      <c r="V1550" s="279"/>
      <c r="W1550" s="280"/>
      <c r="X1550" s="281"/>
      <c r="Y1550" s="246"/>
      <c r="Z1550" s="246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BP1550" s="390" t="str">
        <f>IF($X$13="/28",IF(Q1550="","",Q1550),IF($X$13="/90",IF(#REF!="","",#REF!),"Falso"))</f>
        <v/>
      </c>
      <c r="BQ1550" s="392" t="str">
        <f t="shared" ref="BQ1550:BQ1610" si="2414">IF(BP1550="","",BQ1548+1)</f>
        <v/>
      </c>
    </row>
    <row r="1551" spans="1:69" ht="14.25" customHeight="1" x14ac:dyDescent="0.35">
      <c r="A1551" s="294"/>
      <c r="B1551" s="296"/>
      <c r="C1551" s="298"/>
      <c r="D1551" s="300"/>
      <c r="E1551" s="302"/>
      <c r="F1551" s="304"/>
      <c r="G1551" s="276"/>
      <c r="H1551" s="277"/>
      <c r="I1551" s="290"/>
      <c r="J1551" s="290"/>
      <c r="K1551" s="291"/>
      <c r="L1551" s="17"/>
      <c r="M1551" s="286"/>
      <c r="N1551" s="21"/>
      <c r="O1551" s="286"/>
      <c r="P1551" s="21"/>
      <c r="Q1551" s="286"/>
      <c r="R1551" s="248"/>
      <c r="S1551" s="287"/>
      <c r="T1551" s="248"/>
      <c r="U1551" s="13"/>
      <c r="V1551" s="282"/>
      <c r="W1551" s="283"/>
      <c r="X1551" s="284"/>
      <c r="Y1551" s="245"/>
      <c r="Z1551" s="245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BP1551" s="391"/>
      <c r="BQ1551" s="393"/>
    </row>
    <row r="1552" spans="1:69" ht="14.25" customHeight="1" x14ac:dyDescent="0.35">
      <c r="A1552" s="293">
        <v>768</v>
      </c>
      <c r="B1552" s="295"/>
      <c r="C1552" s="297"/>
      <c r="D1552" s="299"/>
      <c r="E1552" s="301"/>
      <c r="F1552" s="303"/>
      <c r="G1552" s="288"/>
      <c r="H1552" s="289"/>
      <c r="I1552" s="290"/>
      <c r="J1552" s="290"/>
      <c r="K1552" s="291"/>
      <c r="L1552" s="18"/>
      <c r="M1552" s="285" t="str">
        <f t="shared" ref="M1552" si="2415">IF(COUNT(L1552:L1553)&lt;1,"",AVERAGE(L1552:L1553))</f>
        <v/>
      </c>
      <c r="N1552" s="22"/>
      <c r="O1552" s="285" t="str">
        <f t="shared" ref="O1552" si="2416">IF(COUNT(N1552:N1553)&lt;1,"",AVERAGE(N1552:N1553))</f>
        <v/>
      </c>
      <c r="P1552" s="22"/>
      <c r="Q1552" s="285" t="str">
        <f t="shared" ref="Q1552" si="2417">IF(COUNT(P1552:P1553)&lt;1,"",AVERAGE(P1552:P1553))</f>
        <v/>
      </c>
      <c r="R1552" s="278" t="str">
        <f>IF($X$13="/28",IF(COUNT(P1552:P1553)&lt;=1,"",ABS(P1552-P1553)),IF($X$13="/90",IF(COUNT(#REF!)&lt;=1,"",ABS(#REF!-#REF!))))</f>
        <v/>
      </c>
      <c r="S1552" s="278" t="str">
        <f>IF($X$13="/28",IF(Q1552="","",IF(AVERAGE(Q1548:Q1553)&gt;=$W$13,ROUND(AVERAGE(Q1548:Q1553),1)&amp;" ≥ "&amp;$W$13&amp;" OK",ROUND(AVERAGE(Q1548:Q1553),1)&amp;" &lt; "&amp;$W$13&amp;" NC")),IF($X$13="/90",IF(#REF!="","",IF(AVERAGE(#REF!)&gt;=$W$13,ROUND(AVERAGE(#REF!),1)&amp;" ≥ "&amp;$W$13&amp;" OK",ROUND(AVERAGE(#REF!),1)&amp;" &lt; "&amp;$W$13&amp;" NC"))))</f>
        <v/>
      </c>
      <c r="T1552" s="278" t="str">
        <f>IF($X$13="/28",IF(Q1552="","",IF(Q1552&gt;=$W$13-$S$12,ROUND((Q1552),1)&amp;" ≥ "&amp;$W$13-$S$12&amp;" OK",ROUND((Q1552),1)&amp;" &lt; "&amp;$W$13-$S$12&amp;" NC")),IF($X$13="/90",IF(#REF!="","",IF(#REF!&gt;=$W$13-$S$12,ROUND((#REF!),1)&amp;" ≥ "&amp;$W$13-$S$12&amp;" OK",ROUND((#REF!),1)&amp;" &lt; "&amp;$W$13-$S$12&amp;" NC"))))</f>
        <v/>
      </c>
      <c r="U1552" s="14"/>
      <c r="V1552" s="279"/>
      <c r="W1552" s="280"/>
      <c r="X1552" s="281"/>
      <c r="Y1552" s="246"/>
      <c r="Z1552" s="246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BP1552" s="390" t="str">
        <f>IF($X$13="/28",IF(Q1552="","",Q1552),IF($X$13="/90",IF(#REF!="","",#REF!),"Falso"))</f>
        <v/>
      </c>
      <c r="BQ1552" s="392" t="str">
        <f t="shared" ref="BQ1552:BQ1612" si="2418">IF(BP1552="","",BQ1550+1)</f>
        <v/>
      </c>
    </row>
    <row r="1553" spans="1:69" ht="14.25" customHeight="1" x14ac:dyDescent="0.35">
      <c r="A1553" s="294"/>
      <c r="B1553" s="296"/>
      <c r="C1553" s="298"/>
      <c r="D1553" s="300"/>
      <c r="E1553" s="302"/>
      <c r="F1553" s="304"/>
      <c r="G1553" s="276"/>
      <c r="H1553" s="277"/>
      <c r="I1553" s="290"/>
      <c r="J1553" s="290"/>
      <c r="K1553" s="291"/>
      <c r="L1553" s="17"/>
      <c r="M1553" s="286"/>
      <c r="N1553" s="21"/>
      <c r="O1553" s="286"/>
      <c r="P1553" s="21"/>
      <c r="Q1553" s="286"/>
      <c r="R1553" s="248"/>
      <c r="S1553" s="287"/>
      <c r="T1553" s="248"/>
      <c r="U1553" s="13"/>
      <c r="V1553" s="282"/>
      <c r="W1553" s="283"/>
      <c r="X1553" s="284"/>
      <c r="Y1553" s="245"/>
      <c r="Z1553" s="245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BP1553" s="391"/>
      <c r="BQ1553" s="393"/>
    </row>
    <row r="1554" spans="1:69" ht="14.25" customHeight="1" x14ac:dyDescent="0.35">
      <c r="A1554" s="293">
        <v>769</v>
      </c>
      <c r="B1554" s="295"/>
      <c r="C1554" s="297"/>
      <c r="D1554" s="299"/>
      <c r="E1554" s="301"/>
      <c r="F1554" s="303"/>
      <c r="G1554" s="288"/>
      <c r="H1554" s="289"/>
      <c r="I1554" s="290"/>
      <c r="J1554" s="290"/>
      <c r="K1554" s="291"/>
      <c r="L1554" s="18"/>
      <c r="M1554" s="285" t="str">
        <f t="shared" ref="M1554" si="2419">IF(COUNT(L1554:L1555)&lt;1,"",AVERAGE(L1554:L1555))</f>
        <v/>
      </c>
      <c r="N1554" s="22"/>
      <c r="O1554" s="285" t="str">
        <f t="shared" ref="O1554" si="2420">IF(COUNT(N1554:N1555)&lt;1,"",AVERAGE(N1554:N1555))</f>
        <v/>
      </c>
      <c r="P1554" s="22"/>
      <c r="Q1554" s="285" t="str">
        <f t="shared" ref="Q1554" si="2421">IF(COUNT(P1554:P1555)&lt;1,"",AVERAGE(P1554:P1555))</f>
        <v/>
      </c>
      <c r="R1554" s="278" t="str">
        <f>IF($X$13="/28",IF(COUNT(P1554:P1555)&lt;=1,"",ABS(P1554-P1555)),IF($X$13="/90",IF(COUNT(#REF!)&lt;=1,"",ABS(#REF!-#REF!))))</f>
        <v/>
      </c>
      <c r="S1554" s="278" t="str">
        <f>IF($X$13="/28",IF(Q1554="","",IF(AVERAGE(Q1550:Q1555)&gt;=$W$13,ROUND(AVERAGE(Q1550:Q1555),1)&amp;" ≥ "&amp;$W$13&amp;" OK",ROUND(AVERAGE(Q1550:Q1555),1)&amp;" &lt; "&amp;$W$13&amp;" NC")),IF($X$13="/90",IF(#REF!="","",IF(AVERAGE(#REF!)&gt;=$W$13,ROUND(AVERAGE(#REF!),1)&amp;" ≥ "&amp;$W$13&amp;" OK",ROUND(AVERAGE(#REF!),1)&amp;" &lt; "&amp;$W$13&amp;" NC"))))</f>
        <v/>
      </c>
      <c r="T1554" s="278" t="str">
        <f>IF($X$13="/28",IF(Q1554="","",IF(Q1554&gt;=$W$13-$S$12,ROUND((Q1554),1)&amp;" ≥ "&amp;$W$13-$S$12&amp;" OK",ROUND((Q1554),1)&amp;" &lt; "&amp;$W$13-$S$12&amp;" NC")),IF($X$13="/90",IF(#REF!="","",IF(#REF!&gt;=$W$13-$S$12,ROUND((#REF!),1)&amp;" ≥ "&amp;$W$13-$S$12&amp;" OK",ROUND((#REF!),1)&amp;" &lt; "&amp;$W$13-$S$12&amp;" NC"))))</f>
        <v/>
      </c>
      <c r="U1554" s="14"/>
      <c r="V1554" s="279"/>
      <c r="W1554" s="280"/>
      <c r="X1554" s="281"/>
      <c r="Y1554" s="246"/>
      <c r="Z1554" s="246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BP1554" s="390" t="str">
        <f>IF($X$13="/28",IF(Q1554="","",Q1554),IF($X$13="/90",IF(#REF!="","",#REF!),"Falso"))</f>
        <v/>
      </c>
      <c r="BQ1554" s="392" t="str">
        <f t="shared" si="2410"/>
        <v/>
      </c>
    </row>
    <row r="1555" spans="1:69" ht="14.25" customHeight="1" x14ac:dyDescent="0.35">
      <c r="A1555" s="294"/>
      <c r="B1555" s="296"/>
      <c r="C1555" s="298"/>
      <c r="D1555" s="300"/>
      <c r="E1555" s="302"/>
      <c r="F1555" s="304"/>
      <c r="G1555" s="276"/>
      <c r="H1555" s="277"/>
      <c r="I1555" s="290"/>
      <c r="J1555" s="290"/>
      <c r="K1555" s="291"/>
      <c r="L1555" s="17"/>
      <c r="M1555" s="286"/>
      <c r="N1555" s="21"/>
      <c r="O1555" s="286"/>
      <c r="P1555" s="21"/>
      <c r="Q1555" s="286"/>
      <c r="R1555" s="248"/>
      <c r="S1555" s="287"/>
      <c r="T1555" s="248"/>
      <c r="U1555" s="13"/>
      <c r="V1555" s="282"/>
      <c r="W1555" s="283"/>
      <c r="X1555" s="284"/>
      <c r="Y1555" s="245"/>
      <c r="Z1555" s="245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BP1555" s="391"/>
      <c r="BQ1555" s="393"/>
    </row>
    <row r="1556" spans="1:69" ht="14.25" customHeight="1" x14ac:dyDescent="0.35">
      <c r="A1556" s="293">
        <v>770</v>
      </c>
      <c r="B1556" s="295"/>
      <c r="C1556" s="297"/>
      <c r="D1556" s="299"/>
      <c r="E1556" s="301"/>
      <c r="F1556" s="303"/>
      <c r="G1556" s="288"/>
      <c r="H1556" s="289"/>
      <c r="I1556" s="290"/>
      <c r="J1556" s="290"/>
      <c r="K1556" s="291"/>
      <c r="L1556" s="18"/>
      <c r="M1556" s="285" t="str">
        <f t="shared" ref="M1556" si="2422">IF(COUNT(L1556:L1557)&lt;1,"",AVERAGE(L1556:L1557))</f>
        <v/>
      </c>
      <c r="N1556" s="22"/>
      <c r="O1556" s="285" t="str">
        <f t="shared" ref="O1556" si="2423">IF(COUNT(N1556:N1557)&lt;1,"",AVERAGE(N1556:N1557))</f>
        <v/>
      </c>
      <c r="P1556" s="22"/>
      <c r="Q1556" s="285" t="str">
        <f t="shared" ref="Q1556" si="2424">IF(COUNT(P1556:P1557)&lt;1,"",AVERAGE(P1556:P1557))</f>
        <v/>
      </c>
      <c r="R1556" s="278" t="str">
        <f>IF($X$13="/28",IF(COUNT(P1556:P1557)&lt;=1,"",ABS(P1556-P1557)),IF($X$13="/90",IF(COUNT(#REF!)&lt;=1,"",ABS(#REF!-#REF!))))</f>
        <v/>
      </c>
      <c r="S1556" s="278" t="str">
        <f>IF($X$13="/28",IF(Q1556="","",IF(AVERAGE(Q1552:Q1557)&gt;=$W$13,ROUND(AVERAGE(Q1552:Q1557),1)&amp;" ≥ "&amp;$W$13&amp;" OK",ROUND(AVERAGE(Q1552:Q1557),1)&amp;" &lt; "&amp;$W$13&amp;" NC")),IF($X$13="/90",IF(#REF!="","",IF(AVERAGE(#REF!)&gt;=$W$13,ROUND(AVERAGE(#REF!),1)&amp;" ≥ "&amp;$W$13&amp;" OK",ROUND(AVERAGE(#REF!),1)&amp;" &lt; "&amp;$W$13&amp;" NC"))))</f>
        <v/>
      </c>
      <c r="T1556" s="278" t="str">
        <f>IF($X$13="/28",IF(Q1556="","",IF(Q1556&gt;=$W$13-$S$12,ROUND((Q1556),1)&amp;" ≥ "&amp;$W$13-$S$12&amp;" OK",ROUND((Q1556),1)&amp;" &lt; "&amp;$W$13-$S$12&amp;" NC")),IF($X$13="/90",IF(#REF!="","",IF(#REF!&gt;=$W$13-$S$12,ROUND((#REF!),1)&amp;" ≥ "&amp;$W$13-$S$12&amp;" OK",ROUND((#REF!),1)&amp;" &lt; "&amp;$W$13-$S$12&amp;" NC"))))</f>
        <v/>
      </c>
      <c r="U1556" s="14"/>
      <c r="V1556" s="279"/>
      <c r="W1556" s="280"/>
      <c r="X1556" s="281"/>
      <c r="Y1556" s="246"/>
      <c r="Z1556" s="246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BP1556" s="390" t="str">
        <f>IF($X$13="/28",IF(Q1556="","",Q1556),IF($X$13="/90",IF(#REF!="","",#REF!),"Falso"))</f>
        <v/>
      </c>
      <c r="BQ1556" s="392" t="str">
        <f t="shared" si="2414"/>
        <v/>
      </c>
    </row>
    <row r="1557" spans="1:69" ht="14.25" customHeight="1" x14ac:dyDescent="0.35">
      <c r="A1557" s="294"/>
      <c r="B1557" s="296"/>
      <c r="C1557" s="298"/>
      <c r="D1557" s="300"/>
      <c r="E1557" s="302"/>
      <c r="F1557" s="304"/>
      <c r="G1557" s="276"/>
      <c r="H1557" s="277"/>
      <c r="I1557" s="290"/>
      <c r="J1557" s="290"/>
      <c r="K1557" s="291"/>
      <c r="L1557" s="17"/>
      <c r="M1557" s="286"/>
      <c r="N1557" s="21"/>
      <c r="O1557" s="286"/>
      <c r="P1557" s="21"/>
      <c r="Q1557" s="286"/>
      <c r="R1557" s="248"/>
      <c r="S1557" s="287"/>
      <c r="T1557" s="248"/>
      <c r="U1557" s="13"/>
      <c r="V1557" s="282"/>
      <c r="W1557" s="283"/>
      <c r="X1557" s="284"/>
      <c r="Y1557" s="245"/>
      <c r="Z1557" s="245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BP1557" s="391"/>
      <c r="BQ1557" s="393"/>
    </row>
    <row r="1558" spans="1:69" ht="14.25" customHeight="1" x14ac:dyDescent="0.35">
      <c r="A1558" s="293">
        <v>771</v>
      </c>
      <c r="B1558" s="295"/>
      <c r="C1558" s="297"/>
      <c r="D1558" s="299"/>
      <c r="E1558" s="301"/>
      <c r="F1558" s="303"/>
      <c r="G1558" s="288"/>
      <c r="H1558" s="289"/>
      <c r="I1558" s="290"/>
      <c r="J1558" s="290"/>
      <c r="K1558" s="291"/>
      <c r="L1558" s="18"/>
      <c r="M1558" s="285" t="str">
        <f t="shared" ref="M1558" si="2425">IF(COUNT(L1558:L1559)&lt;1,"",AVERAGE(L1558:L1559))</f>
        <v/>
      </c>
      <c r="N1558" s="22"/>
      <c r="O1558" s="285" t="str">
        <f t="shared" ref="O1558" si="2426">IF(COUNT(N1558:N1559)&lt;1,"",AVERAGE(N1558:N1559))</f>
        <v/>
      </c>
      <c r="P1558" s="22"/>
      <c r="Q1558" s="285" t="str">
        <f t="shared" ref="Q1558" si="2427">IF(COUNT(P1558:P1559)&lt;1,"",AVERAGE(P1558:P1559))</f>
        <v/>
      </c>
      <c r="R1558" s="278" t="str">
        <f>IF($X$13="/28",IF(COUNT(P1558:P1559)&lt;=1,"",ABS(P1558-P1559)),IF($X$13="/90",IF(COUNT(#REF!)&lt;=1,"",ABS(#REF!-#REF!))))</f>
        <v/>
      </c>
      <c r="S1558" s="278" t="str">
        <f>IF($X$13="/28",IF(Q1558="","",IF(AVERAGE(Q1554:Q1559)&gt;=$W$13,ROUND(AVERAGE(Q1554:Q1559),1)&amp;" ≥ "&amp;$W$13&amp;" OK",ROUND(AVERAGE(Q1554:Q1559),1)&amp;" &lt; "&amp;$W$13&amp;" NC")),IF($X$13="/90",IF(#REF!="","",IF(AVERAGE(#REF!)&gt;=$W$13,ROUND(AVERAGE(#REF!),1)&amp;" ≥ "&amp;$W$13&amp;" OK",ROUND(AVERAGE(#REF!),1)&amp;" &lt; "&amp;$W$13&amp;" NC"))))</f>
        <v/>
      </c>
      <c r="T1558" s="278" t="str">
        <f>IF($X$13="/28",IF(Q1558="","",IF(Q1558&gt;=$W$13-$S$12,ROUND((Q1558),1)&amp;" ≥ "&amp;$W$13-$S$12&amp;" OK",ROUND((Q1558),1)&amp;" &lt; "&amp;$W$13-$S$12&amp;" NC")),IF($X$13="/90",IF(#REF!="","",IF(#REF!&gt;=$W$13-$S$12,ROUND((#REF!),1)&amp;" ≥ "&amp;$W$13-$S$12&amp;" OK",ROUND((#REF!),1)&amp;" &lt; "&amp;$W$13-$S$12&amp;" NC"))))</f>
        <v/>
      </c>
      <c r="U1558" s="14"/>
      <c r="V1558" s="279"/>
      <c r="W1558" s="280"/>
      <c r="X1558" s="281"/>
      <c r="Y1558" s="246"/>
      <c r="Z1558" s="246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BP1558" s="390" t="str">
        <f>IF($X$13="/28",IF(Q1558="","",Q1558),IF($X$13="/90",IF(#REF!="","",#REF!),"Falso"))</f>
        <v/>
      </c>
      <c r="BQ1558" s="392" t="str">
        <f t="shared" si="2418"/>
        <v/>
      </c>
    </row>
    <row r="1559" spans="1:69" ht="14.25" customHeight="1" x14ac:dyDescent="0.35">
      <c r="A1559" s="294"/>
      <c r="B1559" s="296"/>
      <c r="C1559" s="298"/>
      <c r="D1559" s="300"/>
      <c r="E1559" s="302"/>
      <c r="F1559" s="304"/>
      <c r="G1559" s="276"/>
      <c r="H1559" s="277"/>
      <c r="I1559" s="290"/>
      <c r="J1559" s="290"/>
      <c r="K1559" s="291"/>
      <c r="L1559" s="17"/>
      <c r="M1559" s="286"/>
      <c r="N1559" s="21"/>
      <c r="O1559" s="286"/>
      <c r="P1559" s="21"/>
      <c r="Q1559" s="286"/>
      <c r="R1559" s="248"/>
      <c r="S1559" s="287"/>
      <c r="T1559" s="248"/>
      <c r="U1559" s="13"/>
      <c r="V1559" s="282"/>
      <c r="W1559" s="283"/>
      <c r="X1559" s="284"/>
      <c r="Y1559" s="245"/>
      <c r="Z1559" s="245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BP1559" s="391"/>
      <c r="BQ1559" s="393"/>
    </row>
    <row r="1560" spans="1:69" ht="14.25" customHeight="1" x14ac:dyDescent="0.35">
      <c r="A1560" s="293">
        <v>772</v>
      </c>
      <c r="B1560" s="295"/>
      <c r="C1560" s="297"/>
      <c r="D1560" s="299"/>
      <c r="E1560" s="301"/>
      <c r="F1560" s="303"/>
      <c r="G1560" s="288"/>
      <c r="H1560" s="289"/>
      <c r="I1560" s="290"/>
      <c r="J1560" s="290"/>
      <c r="K1560" s="291"/>
      <c r="L1560" s="18"/>
      <c r="M1560" s="285" t="str">
        <f t="shared" ref="M1560" si="2428">IF(COUNT(L1560:L1561)&lt;1,"",AVERAGE(L1560:L1561))</f>
        <v/>
      </c>
      <c r="N1560" s="22"/>
      <c r="O1560" s="285" t="str">
        <f t="shared" ref="O1560" si="2429">IF(COUNT(N1560:N1561)&lt;1,"",AVERAGE(N1560:N1561))</f>
        <v/>
      </c>
      <c r="P1560" s="22"/>
      <c r="Q1560" s="285" t="str">
        <f t="shared" ref="Q1560" si="2430">IF(COUNT(P1560:P1561)&lt;1,"",AVERAGE(P1560:P1561))</f>
        <v/>
      </c>
      <c r="R1560" s="278" t="str">
        <f>IF($X$13="/28",IF(COUNT(P1560:P1561)&lt;=1,"",ABS(P1560-P1561)),IF($X$13="/90",IF(COUNT(#REF!)&lt;=1,"",ABS(#REF!-#REF!))))</f>
        <v/>
      </c>
      <c r="S1560" s="278" t="str">
        <f>IF($X$13="/28",IF(Q1560="","",IF(AVERAGE(Q1556:Q1561)&gt;=$W$13,ROUND(AVERAGE(Q1556:Q1561),1)&amp;" ≥ "&amp;$W$13&amp;" OK",ROUND(AVERAGE(Q1556:Q1561),1)&amp;" &lt; "&amp;$W$13&amp;" NC")),IF($X$13="/90",IF(#REF!="","",IF(AVERAGE(#REF!)&gt;=$W$13,ROUND(AVERAGE(#REF!),1)&amp;" ≥ "&amp;$W$13&amp;" OK",ROUND(AVERAGE(#REF!),1)&amp;" &lt; "&amp;$W$13&amp;" NC"))))</f>
        <v/>
      </c>
      <c r="T1560" s="278" t="str">
        <f>IF($X$13="/28",IF(Q1560="","",IF(Q1560&gt;=$W$13-$S$12,ROUND((Q1560),1)&amp;" ≥ "&amp;$W$13-$S$12&amp;" OK",ROUND((Q1560),1)&amp;" &lt; "&amp;$W$13-$S$12&amp;" NC")),IF($X$13="/90",IF(#REF!="","",IF(#REF!&gt;=$W$13-$S$12,ROUND((#REF!),1)&amp;" ≥ "&amp;$W$13-$S$12&amp;" OK",ROUND((#REF!),1)&amp;" &lt; "&amp;$W$13-$S$12&amp;" NC"))))</f>
        <v/>
      </c>
      <c r="U1560" s="14"/>
      <c r="V1560" s="279"/>
      <c r="W1560" s="280"/>
      <c r="X1560" s="281"/>
      <c r="Y1560" s="246"/>
      <c r="Z1560" s="246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BP1560" s="390" t="str">
        <f>IF($X$13="/28",IF(Q1560="","",Q1560),IF($X$13="/90",IF(#REF!="","",#REF!),"Falso"))</f>
        <v/>
      </c>
      <c r="BQ1560" s="392" t="str">
        <f t="shared" si="2410"/>
        <v/>
      </c>
    </row>
    <row r="1561" spans="1:69" ht="14.25" customHeight="1" x14ac:dyDescent="0.35">
      <c r="A1561" s="294"/>
      <c r="B1561" s="296"/>
      <c r="C1561" s="298"/>
      <c r="D1561" s="300"/>
      <c r="E1561" s="302"/>
      <c r="F1561" s="304"/>
      <c r="G1561" s="276"/>
      <c r="H1561" s="277"/>
      <c r="I1561" s="290"/>
      <c r="J1561" s="290"/>
      <c r="K1561" s="291"/>
      <c r="L1561" s="17"/>
      <c r="M1561" s="286"/>
      <c r="N1561" s="21"/>
      <c r="O1561" s="286"/>
      <c r="P1561" s="21"/>
      <c r="Q1561" s="286"/>
      <c r="R1561" s="248"/>
      <c r="S1561" s="287"/>
      <c r="T1561" s="248"/>
      <c r="U1561" s="13"/>
      <c r="V1561" s="282"/>
      <c r="W1561" s="283"/>
      <c r="X1561" s="284"/>
      <c r="Y1561" s="245"/>
      <c r="Z1561" s="245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BP1561" s="391"/>
      <c r="BQ1561" s="393"/>
    </row>
    <row r="1562" spans="1:69" ht="14.25" customHeight="1" x14ac:dyDescent="0.35">
      <c r="A1562" s="293">
        <v>773</v>
      </c>
      <c r="B1562" s="295"/>
      <c r="C1562" s="297"/>
      <c r="D1562" s="299"/>
      <c r="E1562" s="301"/>
      <c r="F1562" s="303"/>
      <c r="G1562" s="288"/>
      <c r="H1562" s="289"/>
      <c r="I1562" s="290"/>
      <c r="J1562" s="290"/>
      <c r="K1562" s="291"/>
      <c r="L1562" s="18"/>
      <c r="M1562" s="285" t="str">
        <f t="shared" ref="M1562" si="2431">IF(COUNT(L1562:L1563)&lt;1,"",AVERAGE(L1562:L1563))</f>
        <v/>
      </c>
      <c r="N1562" s="22"/>
      <c r="O1562" s="285" t="str">
        <f t="shared" ref="O1562" si="2432">IF(COUNT(N1562:N1563)&lt;1,"",AVERAGE(N1562:N1563))</f>
        <v/>
      </c>
      <c r="P1562" s="22"/>
      <c r="Q1562" s="285" t="str">
        <f t="shared" ref="Q1562" si="2433">IF(COUNT(P1562:P1563)&lt;1,"",AVERAGE(P1562:P1563))</f>
        <v/>
      </c>
      <c r="R1562" s="278" t="str">
        <f>IF($X$13="/28",IF(COUNT(P1562:P1563)&lt;=1,"",ABS(P1562-P1563)),IF($X$13="/90",IF(COUNT(#REF!)&lt;=1,"",ABS(#REF!-#REF!))))</f>
        <v/>
      </c>
      <c r="S1562" s="278" t="str">
        <f>IF($X$13="/28",IF(Q1562="","",IF(AVERAGE(Q1558:Q1563)&gt;=$W$13,ROUND(AVERAGE(Q1558:Q1563),1)&amp;" ≥ "&amp;$W$13&amp;" OK",ROUND(AVERAGE(Q1558:Q1563),1)&amp;" &lt; "&amp;$W$13&amp;" NC")),IF($X$13="/90",IF(#REF!="","",IF(AVERAGE(#REF!)&gt;=$W$13,ROUND(AVERAGE(#REF!),1)&amp;" ≥ "&amp;$W$13&amp;" OK",ROUND(AVERAGE(#REF!),1)&amp;" &lt; "&amp;$W$13&amp;" NC"))))</f>
        <v/>
      </c>
      <c r="T1562" s="278" t="str">
        <f>IF($X$13="/28",IF(Q1562="","",IF(Q1562&gt;=$W$13-$S$12,ROUND((Q1562),1)&amp;" ≥ "&amp;$W$13-$S$12&amp;" OK",ROUND((Q1562),1)&amp;" &lt; "&amp;$W$13-$S$12&amp;" NC")),IF($X$13="/90",IF(#REF!="","",IF(#REF!&gt;=$W$13-$S$12,ROUND((#REF!),1)&amp;" ≥ "&amp;$W$13-$S$12&amp;" OK",ROUND((#REF!),1)&amp;" &lt; "&amp;$W$13-$S$12&amp;" NC"))))</f>
        <v/>
      </c>
      <c r="U1562" s="14"/>
      <c r="V1562" s="279"/>
      <c r="W1562" s="280"/>
      <c r="X1562" s="281"/>
      <c r="Y1562" s="246"/>
      <c r="Z1562" s="246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BP1562" s="390" t="str">
        <f>IF($X$13="/28",IF(Q1562="","",Q1562),IF($X$13="/90",IF(#REF!="","",#REF!),"Falso"))</f>
        <v/>
      </c>
      <c r="BQ1562" s="392" t="str">
        <f t="shared" si="2414"/>
        <v/>
      </c>
    </row>
    <row r="1563" spans="1:69" ht="14.25" customHeight="1" x14ac:dyDescent="0.35">
      <c r="A1563" s="294"/>
      <c r="B1563" s="296"/>
      <c r="C1563" s="298"/>
      <c r="D1563" s="300"/>
      <c r="E1563" s="302"/>
      <c r="F1563" s="304"/>
      <c r="G1563" s="276"/>
      <c r="H1563" s="277"/>
      <c r="I1563" s="290"/>
      <c r="J1563" s="290"/>
      <c r="K1563" s="291"/>
      <c r="L1563" s="17"/>
      <c r="M1563" s="286"/>
      <c r="N1563" s="21"/>
      <c r="O1563" s="286"/>
      <c r="P1563" s="21"/>
      <c r="Q1563" s="286"/>
      <c r="R1563" s="248"/>
      <c r="S1563" s="287"/>
      <c r="T1563" s="248"/>
      <c r="U1563" s="13"/>
      <c r="V1563" s="282"/>
      <c r="W1563" s="283"/>
      <c r="X1563" s="284"/>
      <c r="Y1563" s="245"/>
      <c r="Z1563" s="245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BP1563" s="391"/>
      <c r="BQ1563" s="393"/>
    </row>
    <row r="1564" spans="1:69" ht="14.25" customHeight="1" x14ac:dyDescent="0.35">
      <c r="A1564" s="293">
        <v>774</v>
      </c>
      <c r="B1564" s="295"/>
      <c r="C1564" s="297"/>
      <c r="D1564" s="299"/>
      <c r="E1564" s="301"/>
      <c r="F1564" s="303"/>
      <c r="G1564" s="288"/>
      <c r="H1564" s="289"/>
      <c r="I1564" s="290"/>
      <c r="J1564" s="290"/>
      <c r="K1564" s="291"/>
      <c r="L1564" s="18"/>
      <c r="M1564" s="285" t="str">
        <f t="shared" ref="M1564" si="2434">IF(COUNT(L1564:L1565)&lt;1,"",AVERAGE(L1564:L1565))</f>
        <v/>
      </c>
      <c r="N1564" s="22"/>
      <c r="O1564" s="285" t="str">
        <f t="shared" ref="O1564" si="2435">IF(COUNT(N1564:N1565)&lt;1,"",AVERAGE(N1564:N1565))</f>
        <v/>
      </c>
      <c r="P1564" s="22"/>
      <c r="Q1564" s="285" t="str">
        <f t="shared" ref="Q1564" si="2436">IF(COUNT(P1564:P1565)&lt;1,"",AVERAGE(P1564:P1565))</f>
        <v/>
      </c>
      <c r="R1564" s="278" t="str">
        <f>IF($X$13="/28",IF(COUNT(P1564:P1565)&lt;=1,"",ABS(P1564-P1565)),IF($X$13="/90",IF(COUNT(#REF!)&lt;=1,"",ABS(#REF!-#REF!))))</f>
        <v/>
      </c>
      <c r="S1564" s="278" t="str">
        <f>IF($X$13="/28",IF(Q1564="","",IF(AVERAGE(Q1560:Q1565)&gt;=$W$13,ROUND(AVERAGE(Q1560:Q1565),1)&amp;" ≥ "&amp;$W$13&amp;" OK",ROUND(AVERAGE(Q1560:Q1565),1)&amp;" &lt; "&amp;$W$13&amp;" NC")),IF($X$13="/90",IF(#REF!="","",IF(AVERAGE(#REF!)&gt;=$W$13,ROUND(AVERAGE(#REF!),1)&amp;" ≥ "&amp;$W$13&amp;" OK",ROUND(AVERAGE(#REF!),1)&amp;" &lt; "&amp;$W$13&amp;" NC"))))</f>
        <v/>
      </c>
      <c r="T1564" s="278" t="str">
        <f>IF($X$13="/28",IF(Q1564="","",IF(Q1564&gt;=$W$13-$S$12,ROUND((Q1564),1)&amp;" ≥ "&amp;$W$13-$S$12&amp;" OK",ROUND((Q1564),1)&amp;" &lt; "&amp;$W$13-$S$12&amp;" NC")),IF($X$13="/90",IF(#REF!="","",IF(#REF!&gt;=$W$13-$S$12,ROUND((#REF!),1)&amp;" ≥ "&amp;$W$13-$S$12&amp;" OK",ROUND((#REF!),1)&amp;" &lt; "&amp;$W$13-$S$12&amp;" NC"))))</f>
        <v/>
      </c>
      <c r="U1564" s="14"/>
      <c r="V1564" s="279"/>
      <c r="W1564" s="280"/>
      <c r="X1564" s="281"/>
      <c r="Y1564" s="246"/>
      <c r="Z1564" s="246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BP1564" s="390" t="str">
        <f>IF($X$13="/28",IF(Q1564="","",Q1564),IF($X$13="/90",IF(#REF!="","",#REF!),"Falso"))</f>
        <v/>
      </c>
      <c r="BQ1564" s="392" t="str">
        <f t="shared" si="2418"/>
        <v/>
      </c>
    </row>
    <row r="1565" spans="1:69" ht="14.25" customHeight="1" x14ac:dyDescent="0.35">
      <c r="A1565" s="294"/>
      <c r="B1565" s="296"/>
      <c r="C1565" s="298"/>
      <c r="D1565" s="300"/>
      <c r="E1565" s="302"/>
      <c r="F1565" s="304"/>
      <c r="G1565" s="276"/>
      <c r="H1565" s="277"/>
      <c r="I1565" s="290"/>
      <c r="J1565" s="290"/>
      <c r="K1565" s="291"/>
      <c r="L1565" s="17"/>
      <c r="M1565" s="286"/>
      <c r="N1565" s="21"/>
      <c r="O1565" s="286"/>
      <c r="P1565" s="21"/>
      <c r="Q1565" s="286"/>
      <c r="R1565" s="248"/>
      <c r="S1565" s="287"/>
      <c r="T1565" s="248"/>
      <c r="U1565" s="13"/>
      <c r="V1565" s="282"/>
      <c r="W1565" s="283"/>
      <c r="X1565" s="284"/>
      <c r="Y1565" s="245"/>
      <c r="Z1565" s="245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BP1565" s="391"/>
      <c r="BQ1565" s="393"/>
    </row>
    <row r="1566" spans="1:69" ht="14.25" customHeight="1" x14ac:dyDescent="0.35">
      <c r="A1566" s="293">
        <v>775</v>
      </c>
      <c r="B1566" s="295"/>
      <c r="C1566" s="297"/>
      <c r="D1566" s="299"/>
      <c r="E1566" s="301"/>
      <c r="F1566" s="303"/>
      <c r="G1566" s="288"/>
      <c r="H1566" s="289"/>
      <c r="I1566" s="290"/>
      <c r="J1566" s="290"/>
      <c r="K1566" s="291"/>
      <c r="L1566" s="18"/>
      <c r="M1566" s="285" t="str">
        <f t="shared" ref="M1566" si="2437">IF(COUNT(L1566:L1567)&lt;1,"",AVERAGE(L1566:L1567))</f>
        <v/>
      </c>
      <c r="N1566" s="22"/>
      <c r="O1566" s="285" t="str">
        <f t="shared" ref="O1566" si="2438">IF(COUNT(N1566:N1567)&lt;1,"",AVERAGE(N1566:N1567))</f>
        <v/>
      </c>
      <c r="P1566" s="22"/>
      <c r="Q1566" s="285" t="str">
        <f t="shared" ref="Q1566" si="2439">IF(COUNT(P1566:P1567)&lt;1,"",AVERAGE(P1566:P1567))</f>
        <v/>
      </c>
      <c r="R1566" s="278" t="str">
        <f>IF($X$13="/28",IF(COUNT(P1566:P1567)&lt;=1,"",ABS(P1566-P1567)),IF($X$13="/90",IF(COUNT(#REF!)&lt;=1,"",ABS(#REF!-#REF!))))</f>
        <v/>
      </c>
      <c r="S1566" s="278" t="str">
        <f>IF($X$13="/28",IF(Q1566="","",IF(AVERAGE(Q1562:Q1567)&gt;=$W$13,ROUND(AVERAGE(Q1562:Q1567),1)&amp;" ≥ "&amp;$W$13&amp;" OK",ROUND(AVERAGE(Q1562:Q1567),1)&amp;" &lt; "&amp;$W$13&amp;" NC")),IF($X$13="/90",IF(#REF!="","",IF(AVERAGE(#REF!)&gt;=$W$13,ROUND(AVERAGE(#REF!),1)&amp;" ≥ "&amp;$W$13&amp;" OK",ROUND(AVERAGE(#REF!),1)&amp;" &lt; "&amp;$W$13&amp;" NC"))))</f>
        <v/>
      </c>
      <c r="T1566" s="278" t="str">
        <f>IF($X$13="/28",IF(Q1566="","",IF(Q1566&gt;=$W$13-$S$12,ROUND((Q1566),1)&amp;" ≥ "&amp;$W$13-$S$12&amp;" OK",ROUND((Q1566),1)&amp;" &lt; "&amp;$W$13-$S$12&amp;" NC")),IF($X$13="/90",IF(#REF!="","",IF(#REF!&gt;=$W$13-$S$12,ROUND((#REF!),1)&amp;" ≥ "&amp;$W$13-$S$12&amp;" OK",ROUND((#REF!),1)&amp;" &lt; "&amp;$W$13-$S$12&amp;" NC"))))</f>
        <v/>
      </c>
      <c r="U1566" s="14"/>
      <c r="V1566" s="279"/>
      <c r="W1566" s="280"/>
      <c r="X1566" s="281"/>
      <c r="Y1566" s="246"/>
      <c r="Z1566" s="246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BP1566" s="390" t="str">
        <f>IF($X$13="/28",IF(Q1566="","",Q1566),IF($X$13="/90",IF(#REF!="","",#REF!),"Falso"))</f>
        <v/>
      </c>
      <c r="BQ1566" s="392" t="str">
        <f t="shared" si="2410"/>
        <v/>
      </c>
    </row>
    <row r="1567" spans="1:69" ht="14.25" customHeight="1" x14ac:dyDescent="0.35">
      <c r="A1567" s="294"/>
      <c r="B1567" s="296"/>
      <c r="C1567" s="298"/>
      <c r="D1567" s="300"/>
      <c r="E1567" s="302"/>
      <c r="F1567" s="304"/>
      <c r="G1567" s="276"/>
      <c r="H1567" s="277"/>
      <c r="I1567" s="290"/>
      <c r="J1567" s="290"/>
      <c r="K1567" s="291"/>
      <c r="L1567" s="17"/>
      <c r="M1567" s="286"/>
      <c r="N1567" s="21"/>
      <c r="O1567" s="286"/>
      <c r="P1567" s="21"/>
      <c r="Q1567" s="286"/>
      <c r="R1567" s="248"/>
      <c r="S1567" s="287"/>
      <c r="T1567" s="248"/>
      <c r="U1567" s="13"/>
      <c r="V1567" s="282"/>
      <c r="W1567" s="283"/>
      <c r="X1567" s="284"/>
      <c r="Y1567" s="245"/>
      <c r="Z1567" s="245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BP1567" s="391"/>
      <c r="BQ1567" s="393"/>
    </row>
    <row r="1568" spans="1:69" ht="14.25" customHeight="1" x14ac:dyDescent="0.35">
      <c r="A1568" s="293">
        <v>776</v>
      </c>
      <c r="B1568" s="295"/>
      <c r="C1568" s="297"/>
      <c r="D1568" s="299"/>
      <c r="E1568" s="301"/>
      <c r="F1568" s="303"/>
      <c r="G1568" s="288"/>
      <c r="H1568" s="289"/>
      <c r="I1568" s="290"/>
      <c r="J1568" s="290"/>
      <c r="K1568" s="291"/>
      <c r="L1568" s="18"/>
      <c r="M1568" s="285" t="str">
        <f t="shared" ref="M1568" si="2440">IF(COUNT(L1568:L1569)&lt;1,"",AVERAGE(L1568:L1569))</f>
        <v/>
      </c>
      <c r="N1568" s="22"/>
      <c r="O1568" s="285" t="str">
        <f t="shared" ref="O1568" si="2441">IF(COUNT(N1568:N1569)&lt;1,"",AVERAGE(N1568:N1569))</f>
        <v/>
      </c>
      <c r="P1568" s="22"/>
      <c r="Q1568" s="285" t="str">
        <f t="shared" ref="Q1568" si="2442">IF(COUNT(P1568:P1569)&lt;1,"",AVERAGE(P1568:P1569))</f>
        <v/>
      </c>
      <c r="R1568" s="278" t="str">
        <f>IF($X$13="/28",IF(COUNT(P1568:P1569)&lt;=1,"",ABS(P1568-P1569)),IF($X$13="/90",IF(COUNT(#REF!)&lt;=1,"",ABS(#REF!-#REF!))))</f>
        <v/>
      </c>
      <c r="S1568" s="278" t="str">
        <f>IF($X$13="/28",IF(Q1568="","",IF(AVERAGE(Q1564:Q1569)&gt;=$W$13,ROUND(AVERAGE(Q1564:Q1569),1)&amp;" ≥ "&amp;$W$13&amp;" OK",ROUND(AVERAGE(Q1564:Q1569),1)&amp;" &lt; "&amp;$W$13&amp;" NC")),IF($X$13="/90",IF(#REF!="","",IF(AVERAGE(#REF!)&gt;=$W$13,ROUND(AVERAGE(#REF!),1)&amp;" ≥ "&amp;$W$13&amp;" OK",ROUND(AVERAGE(#REF!),1)&amp;" &lt; "&amp;$W$13&amp;" NC"))))</f>
        <v/>
      </c>
      <c r="T1568" s="278" t="str">
        <f>IF($X$13="/28",IF(Q1568="","",IF(Q1568&gt;=$W$13-$S$12,ROUND((Q1568),1)&amp;" ≥ "&amp;$W$13-$S$12&amp;" OK",ROUND((Q1568),1)&amp;" &lt; "&amp;$W$13-$S$12&amp;" NC")),IF($X$13="/90",IF(#REF!="","",IF(#REF!&gt;=$W$13-$S$12,ROUND((#REF!),1)&amp;" ≥ "&amp;$W$13-$S$12&amp;" OK",ROUND((#REF!),1)&amp;" &lt; "&amp;$W$13-$S$12&amp;" NC"))))</f>
        <v/>
      </c>
      <c r="U1568" s="14"/>
      <c r="V1568" s="279"/>
      <c r="W1568" s="280"/>
      <c r="X1568" s="281"/>
      <c r="Y1568" s="246"/>
      <c r="Z1568" s="246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BP1568" s="390" t="str">
        <f>IF($X$13="/28",IF(Q1568="","",Q1568),IF($X$13="/90",IF(#REF!="","",#REF!),"Falso"))</f>
        <v/>
      </c>
      <c r="BQ1568" s="392" t="str">
        <f t="shared" si="2414"/>
        <v/>
      </c>
    </row>
    <row r="1569" spans="1:69" ht="14.25" customHeight="1" x14ac:dyDescent="0.35">
      <c r="A1569" s="294"/>
      <c r="B1569" s="296"/>
      <c r="C1569" s="298"/>
      <c r="D1569" s="300"/>
      <c r="E1569" s="302"/>
      <c r="F1569" s="304"/>
      <c r="G1569" s="276"/>
      <c r="H1569" s="277"/>
      <c r="I1569" s="290"/>
      <c r="J1569" s="290"/>
      <c r="K1569" s="291"/>
      <c r="L1569" s="17"/>
      <c r="M1569" s="286"/>
      <c r="N1569" s="21"/>
      <c r="O1569" s="286"/>
      <c r="P1569" s="21"/>
      <c r="Q1569" s="286"/>
      <c r="R1569" s="248"/>
      <c r="S1569" s="287"/>
      <c r="T1569" s="248"/>
      <c r="U1569" s="13"/>
      <c r="V1569" s="282"/>
      <c r="W1569" s="283"/>
      <c r="X1569" s="284"/>
      <c r="Y1569" s="245"/>
      <c r="Z1569" s="245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BP1569" s="391"/>
      <c r="BQ1569" s="393"/>
    </row>
    <row r="1570" spans="1:69" ht="14.25" customHeight="1" x14ac:dyDescent="0.35">
      <c r="A1570" s="293">
        <v>777</v>
      </c>
      <c r="B1570" s="295"/>
      <c r="C1570" s="297"/>
      <c r="D1570" s="299"/>
      <c r="E1570" s="301"/>
      <c r="F1570" s="303"/>
      <c r="G1570" s="288"/>
      <c r="H1570" s="289"/>
      <c r="I1570" s="290"/>
      <c r="J1570" s="290"/>
      <c r="K1570" s="291"/>
      <c r="L1570" s="18"/>
      <c r="M1570" s="285" t="str">
        <f t="shared" ref="M1570" si="2443">IF(COUNT(L1570:L1571)&lt;1,"",AVERAGE(L1570:L1571))</f>
        <v/>
      </c>
      <c r="N1570" s="22"/>
      <c r="O1570" s="285" t="str">
        <f t="shared" ref="O1570" si="2444">IF(COUNT(N1570:N1571)&lt;1,"",AVERAGE(N1570:N1571))</f>
        <v/>
      </c>
      <c r="P1570" s="22"/>
      <c r="Q1570" s="285" t="str">
        <f t="shared" ref="Q1570" si="2445">IF(COUNT(P1570:P1571)&lt;1,"",AVERAGE(P1570:P1571))</f>
        <v/>
      </c>
      <c r="R1570" s="278" t="str">
        <f>IF($X$13="/28",IF(COUNT(P1570:P1571)&lt;=1,"",ABS(P1570-P1571)),IF($X$13="/90",IF(COUNT(#REF!)&lt;=1,"",ABS(#REF!-#REF!))))</f>
        <v/>
      </c>
      <c r="S1570" s="278" t="str">
        <f>IF($X$13="/28",IF(Q1570="","",IF(AVERAGE(Q1566:Q1571)&gt;=$W$13,ROUND(AVERAGE(Q1566:Q1571),1)&amp;" ≥ "&amp;$W$13&amp;" OK",ROUND(AVERAGE(Q1566:Q1571),1)&amp;" &lt; "&amp;$W$13&amp;" NC")),IF($X$13="/90",IF(#REF!="","",IF(AVERAGE(#REF!)&gt;=$W$13,ROUND(AVERAGE(#REF!),1)&amp;" ≥ "&amp;$W$13&amp;" OK",ROUND(AVERAGE(#REF!),1)&amp;" &lt; "&amp;$W$13&amp;" NC"))))</f>
        <v/>
      </c>
      <c r="T1570" s="278" t="str">
        <f>IF($X$13="/28",IF(Q1570="","",IF(Q1570&gt;=$W$13-$S$12,ROUND((Q1570),1)&amp;" ≥ "&amp;$W$13-$S$12&amp;" OK",ROUND((Q1570),1)&amp;" &lt; "&amp;$W$13-$S$12&amp;" NC")),IF($X$13="/90",IF(#REF!="","",IF(#REF!&gt;=$W$13-$S$12,ROUND((#REF!),1)&amp;" ≥ "&amp;$W$13-$S$12&amp;" OK",ROUND((#REF!),1)&amp;" &lt; "&amp;$W$13-$S$12&amp;" NC"))))</f>
        <v/>
      </c>
      <c r="U1570" s="14"/>
      <c r="V1570" s="279"/>
      <c r="W1570" s="280"/>
      <c r="X1570" s="281"/>
      <c r="Y1570" s="246"/>
      <c r="Z1570" s="246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BP1570" s="390" t="str">
        <f>IF($X$13="/28",IF(Q1570="","",Q1570),IF($X$13="/90",IF(#REF!="","",#REF!),"Falso"))</f>
        <v/>
      </c>
      <c r="BQ1570" s="392" t="str">
        <f t="shared" si="2418"/>
        <v/>
      </c>
    </row>
    <row r="1571" spans="1:69" ht="14.25" customHeight="1" x14ac:dyDescent="0.35">
      <c r="A1571" s="294"/>
      <c r="B1571" s="296"/>
      <c r="C1571" s="298"/>
      <c r="D1571" s="300"/>
      <c r="E1571" s="302"/>
      <c r="F1571" s="304"/>
      <c r="G1571" s="276"/>
      <c r="H1571" s="277"/>
      <c r="I1571" s="290"/>
      <c r="J1571" s="290"/>
      <c r="K1571" s="291"/>
      <c r="L1571" s="17"/>
      <c r="M1571" s="286"/>
      <c r="N1571" s="21"/>
      <c r="O1571" s="286"/>
      <c r="P1571" s="21"/>
      <c r="Q1571" s="286"/>
      <c r="R1571" s="248"/>
      <c r="S1571" s="287"/>
      <c r="T1571" s="248"/>
      <c r="U1571" s="13"/>
      <c r="V1571" s="282"/>
      <c r="W1571" s="283"/>
      <c r="X1571" s="284"/>
      <c r="Y1571" s="245"/>
      <c r="Z1571" s="245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BP1571" s="391"/>
      <c r="BQ1571" s="393"/>
    </row>
    <row r="1572" spans="1:69" ht="14.25" customHeight="1" x14ac:dyDescent="0.35">
      <c r="A1572" s="293">
        <v>778</v>
      </c>
      <c r="B1572" s="295"/>
      <c r="C1572" s="297"/>
      <c r="D1572" s="299"/>
      <c r="E1572" s="301"/>
      <c r="F1572" s="303"/>
      <c r="G1572" s="288"/>
      <c r="H1572" s="289"/>
      <c r="I1572" s="290"/>
      <c r="J1572" s="290"/>
      <c r="K1572" s="291"/>
      <c r="L1572" s="18"/>
      <c r="M1572" s="285" t="str">
        <f t="shared" ref="M1572" si="2446">IF(COUNT(L1572:L1573)&lt;1,"",AVERAGE(L1572:L1573))</f>
        <v/>
      </c>
      <c r="N1572" s="22"/>
      <c r="O1572" s="285" t="str">
        <f t="shared" ref="O1572" si="2447">IF(COUNT(N1572:N1573)&lt;1,"",AVERAGE(N1572:N1573))</f>
        <v/>
      </c>
      <c r="P1572" s="22"/>
      <c r="Q1572" s="285" t="str">
        <f t="shared" ref="Q1572" si="2448">IF(COUNT(P1572:P1573)&lt;1,"",AVERAGE(P1572:P1573))</f>
        <v/>
      </c>
      <c r="R1572" s="278" t="str">
        <f>IF($X$13="/28",IF(COUNT(P1572:P1573)&lt;=1,"",ABS(P1572-P1573)),IF($X$13="/90",IF(COUNT(#REF!)&lt;=1,"",ABS(#REF!-#REF!))))</f>
        <v/>
      </c>
      <c r="S1572" s="278" t="str">
        <f>IF($X$13="/28",IF(Q1572="","",IF(AVERAGE(Q1568:Q1573)&gt;=$W$13,ROUND(AVERAGE(Q1568:Q1573),1)&amp;" ≥ "&amp;$W$13&amp;" OK",ROUND(AVERAGE(Q1568:Q1573),1)&amp;" &lt; "&amp;$W$13&amp;" NC")),IF($X$13="/90",IF(#REF!="","",IF(AVERAGE(#REF!)&gt;=$W$13,ROUND(AVERAGE(#REF!),1)&amp;" ≥ "&amp;$W$13&amp;" OK",ROUND(AVERAGE(#REF!),1)&amp;" &lt; "&amp;$W$13&amp;" NC"))))</f>
        <v/>
      </c>
      <c r="T1572" s="278" t="str">
        <f>IF($X$13="/28",IF(Q1572="","",IF(Q1572&gt;=$W$13-$S$12,ROUND((Q1572),1)&amp;" ≥ "&amp;$W$13-$S$12&amp;" OK",ROUND((Q1572),1)&amp;" &lt; "&amp;$W$13-$S$12&amp;" NC")),IF($X$13="/90",IF(#REF!="","",IF(#REF!&gt;=$W$13-$S$12,ROUND((#REF!),1)&amp;" ≥ "&amp;$W$13-$S$12&amp;" OK",ROUND((#REF!),1)&amp;" &lt; "&amp;$W$13-$S$12&amp;" NC"))))</f>
        <v/>
      </c>
      <c r="U1572" s="14"/>
      <c r="V1572" s="279"/>
      <c r="W1572" s="280"/>
      <c r="X1572" s="281"/>
      <c r="Y1572" s="246"/>
      <c r="Z1572" s="246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BP1572" s="390" t="str">
        <f>IF($X$13="/28",IF(Q1572="","",Q1572),IF($X$13="/90",IF(#REF!="","",#REF!),"Falso"))</f>
        <v/>
      </c>
      <c r="BQ1572" s="392" t="str">
        <f t="shared" si="2410"/>
        <v/>
      </c>
    </row>
    <row r="1573" spans="1:69" ht="14.25" customHeight="1" x14ac:dyDescent="0.35">
      <c r="A1573" s="294"/>
      <c r="B1573" s="296"/>
      <c r="C1573" s="298"/>
      <c r="D1573" s="300"/>
      <c r="E1573" s="302"/>
      <c r="F1573" s="304"/>
      <c r="G1573" s="276"/>
      <c r="H1573" s="277"/>
      <c r="I1573" s="290"/>
      <c r="J1573" s="290"/>
      <c r="K1573" s="291"/>
      <c r="L1573" s="17"/>
      <c r="M1573" s="286"/>
      <c r="N1573" s="21"/>
      <c r="O1573" s="286"/>
      <c r="P1573" s="21"/>
      <c r="Q1573" s="286"/>
      <c r="R1573" s="248"/>
      <c r="S1573" s="287"/>
      <c r="T1573" s="248"/>
      <c r="U1573" s="13"/>
      <c r="V1573" s="282"/>
      <c r="W1573" s="283"/>
      <c r="X1573" s="284"/>
      <c r="Y1573" s="245"/>
      <c r="Z1573" s="245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BP1573" s="391"/>
      <c r="BQ1573" s="393"/>
    </row>
    <row r="1574" spans="1:69" ht="14.25" customHeight="1" x14ac:dyDescent="0.35">
      <c r="A1574" s="293">
        <v>779</v>
      </c>
      <c r="B1574" s="295"/>
      <c r="C1574" s="297"/>
      <c r="D1574" s="299"/>
      <c r="E1574" s="301"/>
      <c r="F1574" s="303"/>
      <c r="G1574" s="288"/>
      <c r="H1574" s="289"/>
      <c r="I1574" s="290"/>
      <c r="J1574" s="290"/>
      <c r="K1574" s="291"/>
      <c r="L1574" s="18"/>
      <c r="M1574" s="285" t="str">
        <f t="shared" ref="M1574" si="2449">IF(COUNT(L1574:L1575)&lt;1,"",AVERAGE(L1574:L1575))</f>
        <v/>
      </c>
      <c r="N1574" s="22"/>
      <c r="O1574" s="285" t="str">
        <f t="shared" ref="O1574" si="2450">IF(COUNT(N1574:N1575)&lt;1,"",AVERAGE(N1574:N1575))</f>
        <v/>
      </c>
      <c r="P1574" s="22"/>
      <c r="Q1574" s="285" t="str">
        <f t="shared" ref="Q1574" si="2451">IF(COUNT(P1574:P1575)&lt;1,"",AVERAGE(P1574:P1575))</f>
        <v/>
      </c>
      <c r="R1574" s="278" t="str">
        <f>IF($X$13="/28",IF(COUNT(P1574:P1575)&lt;=1,"",ABS(P1574-P1575)),IF($X$13="/90",IF(COUNT(#REF!)&lt;=1,"",ABS(#REF!-#REF!))))</f>
        <v/>
      </c>
      <c r="S1574" s="278" t="str">
        <f>IF($X$13="/28",IF(Q1574="","",IF(AVERAGE(Q1570:Q1575)&gt;=$W$13,ROUND(AVERAGE(Q1570:Q1575),1)&amp;" ≥ "&amp;$W$13&amp;" OK",ROUND(AVERAGE(Q1570:Q1575),1)&amp;" &lt; "&amp;$W$13&amp;" NC")),IF($X$13="/90",IF(#REF!="","",IF(AVERAGE(#REF!)&gt;=$W$13,ROUND(AVERAGE(#REF!),1)&amp;" ≥ "&amp;$W$13&amp;" OK",ROUND(AVERAGE(#REF!),1)&amp;" &lt; "&amp;$W$13&amp;" NC"))))</f>
        <v/>
      </c>
      <c r="T1574" s="278" t="str">
        <f>IF($X$13="/28",IF(Q1574="","",IF(Q1574&gt;=$W$13-$S$12,ROUND((Q1574),1)&amp;" ≥ "&amp;$W$13-$S$12&amp;" OK",ROUND((Q1574),1)&amp;" &lt; "&amp;$W$13-$S$12&amp;" NC")),IF($X$13="/90",IF(#REF!="","",IF(#REF!&gt;=$W$13-$S$12,ROUND((#REF!),1)&amp;" ≥ "&amp;$W$13-$S$12&amp;" OK",ROUND((#REF!),1)&amp;" &lt; "&amp;$W$13-$S$12&amp;" NC"))))</f>
        <v/>
      </c>
      <c r="U1574" s="14"/>
      <c r="V1574" s="279"/>
      <c r="W1574" s="280"/>
      <c r="X1574" s="281"/>
      <c r="Y1574" s="246"/>
      <c r="Z1574" s="246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BP1574" s="390" t="str">
        <f>IF($X$13="/28",IF(Q1574="","",Q1574),IF($X$13="/90",IF(#REF!="","",#REF!),"Falso"))</f>
        <v/>
      </c>
      <c r="BQ1574" s="392" t="str">
        <f t="shared" si="2414"/>
        <v/>
      </c>
    </row>
    <row r="1575" spans="1:69" ht="14.25" customHeight="1" x14ac:dyDescent="0.35">
      <c r="A1575" s="294"/>
      <c r="B1575" s="296"/>
      <c r="C1575" s="298"/>
      <c r="D1575" s="300"/>
      <c r="E1575" s="302"/>
      <c r="F1575" s="304"/>
      <c r="G1575" s="276"/>
      <c r="H1575" s="277"/>
      <c r="I1575" s="290"/>
      <c r="J1575" s="290"/>
      <c r="K1575" s="291"/>
      <c r="L1575" s="17"/>
      <c r="M1575" s="286"/>
      <c r="N1575" s="21"/>
      <c r="O1575" s="286"/>
      <c r="P1575" s="21"/>
      <c r="Q1575" s="286"/>
      <c r="R1575" s="248"/>
      <c r="S1575" s="287"/>
      <c r="T1575" s="248"/>
      <c r="U1575" s="13"/>
      <c r="V1575" s="282"/>
      <c r="W1575" s="283"/>
      <c r="X1575" s="284"/>
      <c r="Y1575" s="245"/>
      <c r="Z1575" s="245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BP1575" s="391"/>
      <c r="BQ1575" s="393"/>
    </row>
    <row r="1576" spans="1:69" ht="14.25" customHeight="1" x14ac:dyDescent="0.35">
      <c r="A1576" s="293">
        <v>780</v>
      </c>
      <c r="B1576" s="295"/>
      <c r="C1576" s="297"/>
      <c r="D1576" s="299"/>
      <c r="E1576" s="301"/>
      <c r="F1576" s="303"/>
      <c r="G1576" s="288"/>
      <c r="H1576" s="289"/>
      <c r="I1576" s="290"/>
      <c r="J1576" s="290"/>
      <c r="K1576" s="291"/>
      <c r="L1576" s="18"/>
      <c r="M1576" s="285" t="str">
        <f t="shared" ref="M1576" si="2452">IF(COUNT(L1576:L1577)&lt;1,"",AVERAGE(L1576:L1577))</f>
        <v/>
      </c>
      <c r="N1576" s="22"/>
      <c r="O1576" s="285" t="str">
        <f t="shared" ref="O1576" si="2453">IF(COUNT(N1576:N1577)&lt;1,"",AVERAGE(N1576:N1577))</f>
        <v/>
      </c>
      <c r="P1576" s="22"/>
      <c r="Q1576" s="285" t="str">
        <f t="shared" ref="Q1576" si="2454">IF(COUNT(P1576:P1577)&lt;1,"",AVERAGE(P1576:P1577))</f>
        <v/>
      </c>
      <c r="R1576" s="278" t="str">
        <f>IF($X$13="/28",IF(COUNT(P1576:P1577)&lt;=1,"",ABS(P1576-P1577)),IF($X$13="/90",IF(COUNT(#REF!)&lt;=1,"",ABS(#REF!-#REF!))))</f>
        <v/>
      </c>
      <c r="S1576" s="278" t="str">
        <f>IF($X$13="/28",IF(Q1576="","",IF(AVERAGE(Q1572:Q1577)&gt;=$W$13,ROUND(AVERAGE(Q1572:Q1577),1)&amp;" ≥ "&amp;$W$13&amp;" OK",ROUND(AVERAGE(Q1572:Q1577),1)&amp;" &lt; "&amp;$W$13&amp;" NC")),IF($X$13="/90",IF(#REF!="","",IF(AVERAGE(#REF!)&gt;=$W$13,ROUND(AVERAGE(#REF!),1)&amp;" ≥ "&amp;$W$13&amp;" OK",ROUND(AVERAGE(#REF!),1)&amp;" &lt; "&amp;$W$13&amp;" NC"))))</f>
        <v/>
      </c>
      <c r="T1576" s="278" t="str">
        <f>IF($X$13="/28",IF(Q1576="","",IF(Q1576&gt;=$W$13-$S$12,ROUND((Q1576),1)&amp;" ≥ "&amp;$W$13-$S$12&amp;" OK",ROUND((Q1576),1)&amp;" &lt; "&amp;$W$13-$S$12&amp;" NC")),IF($X$13="/90",IF(#REF!="","",IF(#REF!&gt;=$W$13-$S$12,ROUND((#REF!),1)&amp;" ≥ "&amp;$W$13-$S$12&amp;" OK",ROUND((#REF!),1)&amp;" &lt; "&amp;$W$13-$S$12&amp;" NC"))))</f>
        <v/>
      </c>
      <c r="U1576" s="14"/>
      <c r="V1576" s="279"/>
      <c r="W1576" s="280"/>
      <c r="X1576" s="281"/>
      <c r="Y1576" s="246"/>
      <c r="Z1576" s="246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BP1576" s="390" t="str">
        <f>IF($X$13="/28",IF(Q1576="","",Q1576),IF($X$13="/90",IF(#REF!="","",#REF!),"Falso"))</f>
        <v/>
      </c>
      <c r="BQ1576" s="392" t="str">
        <f t="shared" si="2418"/>
        <v/>
      </c>
    </row>
    <row r="1577" spans="1:69" ht="14.25" customHeight="1" thickBot="1" x14ac:dyDescent="0.4">
      <c r="A1577" s="384"/>
      <c r="B1577" s="385"/>
      <c r="C1577" s="386"/>
      <c r="D1577" s="387"/>
      <c r="E1577" s="388"/>
      <c r="F1577" s="389"/>
      <c r="G1577" s="377"/>
      <c r="H1577" s="378"/>
      <c r="I1577" s="382"/>
      <c r="J1577" s="382"/>
      <c r="K1577" s="383"/>
      <c r="L1577" s="19"/>
      <c r="M1577" s="379"/>
      <c r="N1577" s="23"/>
      <c r="O1577" s="379"/>
      <c r="P1577" s="23"/>
      <c r="Q1577" s="379"/>
      <c r="R1577" s="380"/>
      <c r="S1577" s="381"/>
      <c r="T1577" s="380"/>
      <c r="U1577" s="15"/>
      <c r="V1577" s="373"/>
      <c r="W1577" s="374"/>
      <c r="X1577" s="375"/>
      <c r="Y1577" s="376"/>
      <c r="Z1577" s="376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BP1577" s="391"/>
      <c r="BQ1577" s="393"/>
    </row>
    <row r="1578" spans="1:69" ht="14.25" customHeight="1" x14ac:dyDescent="0.35">
      <c r="A1578" s="311">
        <v>781</v>
      </c>
      <c r="B1578" s="312"/>
      <c r="C1578" s="313"/>
      <c r="D1578" s="314"/>
      <c r="E1578" s="315"/>
      <c r="F1578" s="353"/>
      <c r="G1578" s="354"/>
      <c r="H1578" s="355"/>
      <c r="I1578" s="356"/>
      <c r="J1578" s="356"/>
      <c r="K1578" s="357"/>
      <c r="L1578" s="16"/>
      <c r="M1578" s="352" t="str">
        <f t="shared" ref="M1578" si="2455">IF(COUNT(L1578:L1579)&lt;1,"",AVERAGE(L1578:L1579))</f>
        <v/>
      </c>
      <c r="N1578" s="20"/>
      <c r="O1578" s="352" t="str">
        <f t="shared" ref="O1578" si="2456">IF(COUNT(N1578:N1579)&lt;1,"",AVERAGE(N1578:N1579))</f>
        <v/>
      </c>
      <c r="P1578" s="20"/>
      <c r="Q1578" s="352" t="str">
        <f t="shared" ref="Q1578" si="2457">IF(COUNT(P1578:P1579)&lt;1,"",AVERAGE(P1578:P1579))</f>
        <v/>
      </c>
      <c r="R1578" s="247" t="str">
        <f>IF($X$13="/28",IF(COUNT(P1578:P1579)&lt;=1,"",ABS(P1578-P1579)),IF($X$13="/90",IF(COUNT(#REF!)&lt;=1,"",ABS(#REF!-#REF!))))</f>
        <v/>
      </c>
      <c r="S1578" s="247" t="str">
        <f>IF($X$13="/28",IF(Q1578="","",IF(AVERAGE(Q1574:Q1579)&gt;=$W$13,ROUND(AVERAGE(Q1574:Q1579),1)&amp;" ≥ "&amp;$W$13&amp;" OK",ROUND(AVERAGE(Q1574:Q1579),1)&amp;" &lt; "&amp;$W$13&amp;" NC")),IF($X$13="/90",IF(#REF!="","",IF(AVERAGE(#REF!)&gt;=$W$13,ROUND(AVERAGE(#REF!),1)&amp;" ≥ "&amp;$W$13&amp;" OK",ROUND(AVERAGE(#REF!),1)&amp;" &lt; "&amp;$W$13&amp;" NC"))))</f>
        <v/>
      </c>
      <c r="T1578" s="247" t="str">
        <f>IF($X$13="/28",IF(Q1578="","",IF(Q1578&gt;=$W$13-$S$12,ROUND((Q1578),1)&amp;" ≥ "&amp;$W$13-$S$12&amp;" OK",ROUND((Q1578),1)&amp;" &lt; "&amp;$W$13-$S$12&amp;" NC")),IF($X$13="/90",IF(#REF!="","",IF(#REF!&gt;=$W$13-$S$12,ROUND((#REF!),1)&amp;" ≥ "&amp;$W$13-$S$12&amp;" OK",ROUND((#REF!),1)&amp;" &lt; "&amp;$W$13-$S$12&amp;" NC"))))</f>
        <v/>
      </c>
      <c r="U1578" s="12"/>
      <c r="V1578" s="349"/>
      <c r="W1578" s="350"/>
      <c r="X1578" s="351"/>
      <c r="Y1578" s="244"/>
      <c r="Z1578" s="244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BP1578" s="390" t="str">
        <f>IF($X$13="/28",IF(Q1578="","",Q1578),IF($X$13="/90",IF(#REF!="","",#REF!),"Falso"))</f>
        <v/>
      </c>
      <c r="BQ1578" s="392" t="str">
        <f t="shared" si="2410"/>
        <v/>
      </c>
    </row>
    <row r="1579" spans="1:69" ht="14.25" customHeight="1" x14ac:dyDescent="0.35">
      <c r="A1579" s="294"/>
      <c r="B1579" s="296"/>
      <c r="C1579" s="298"/>
      <c r="D1579" s="300"/>
      <c r="E1579" s="302"/>
      <c r="F1579" s="304"/>
      <c r="G1579" s="276"/>
      <c r="H1579" s="277"/>
      <c r="I1579" s="290"/>
      <c r="J1579" s="290"/>
      <c r="K1579" s="291"/>
      <c r="L1579" s="17"/>
      <c r="M1579" s="286"/>
      <c r="N1579" s="21"/>
      <c r="O1579" s="286"/>
      <c r="P1579" s="21"/>
      <c r="Q1579" s="286"/>
      <c r="R1579" s="248"/>
      <c r="S1579" s="248"/>
      <c r="T1579" s="248"/>
      <c r="U1579" s="13"/>
      <c r="V1579" s="282"/>
      <c r="W1579" s="283"/>
      <c r="X1579" s="284"/>
      <c r="Y1579" s="245"/>
      <c r="Z1579" s="245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BP1579" s="391"/>
      <c r="BQ1579" s="393"/>
    </row>
    <row r="1580" spans="1:69" ht="14.25" customHeight="1" x14ac:dyDescent="0.35">
      <c r="A1580" s="293">
        <v>782</v>
      </c>
      <c r="B1580" s="295"/>
      <c r="C1580" s="297"/>
      <c r="D1580" s="299"/>
      <c r="E1580" s="301"/>
      <c r="F1580" s="303"/>
      <c r="G1580" s="288"/>
      <c r="H1580" s="289"/>
      <c r="I1580" s="290"/>
      <c r="J1580" s="290"/>
      <c r="K1580" s="291"/>
      <c r="L1580" s="18"/>
      <c r="M1580" s="285" t="str">
        <f t="shared" ref="M1580" si="2458">IF(COUNT(L1580:L1581)&lt;1,"",AVERAGE(L1580:L1581))</f>
        <v/>
      </c>
      <c r="N1580" s="22"/>
      <c r="O1580" s="285" t="str">
        <f t="shared" ref="O1580" si="2459">IF(COUNT(N1580:N1581)&lt;1,"",AVERAGE(N1580:N1581))</f>
        <v/>
      </c>
      <c r="P1580" s="22"/>
      <c r="Q1580" s="285" t="str">
        <f t="shared" ref="Q1580" si="2460">IF(COUNT(P1580:P1581)&lt;1,"",AVERAGE(P1580:P1581))</f>
        <v/>
      </c>
      <c r="R1580" s="278" t="str">
        <f>IF($X$13="/28",IF(COUNT(P1580:P1581)&lt;=1,"",ABS(P1580-P1581)),IF($X$13="/90",IF(COUNT(#REF!)&lt;=1,"",ABS(#REF!-#REF!))))</f>
        <v/>
      </c>
      <c r="S1580" s="278" t="str">
        <f>IF($X$13="/28",IF(Q1580="","",IF(AVERAGE(Q1576:Q1581)&gt;=$W$13,ROUND(AVERAGE(Q1576:Q1581),1)&amp;" ≥ "&amp;$W$13&amp;" OK",ROUND(AVERAGE(Q1576:Q1581),1)&amp;" &lt; "&amp;$W$13&amp;" NC")),IF($X$13="/90",IF(#REF!="","",IF(AVERAGE(#REF!)&gt;=$W$13,ROUND(AVERAGE(#REF!),1)&amp;" ≥ "&amp;$W$13&amp;" OK",ROUND(AVERAGE(#REF!),1)&amp;" &lt; "&amp;$W$13&amp;" NC"))))</f>
        <v/>
      </c>
      <c r="T1580" s="278" t="str">
        <f>IF($X$13="/28",IF(Q1580="","",IF(Q1580&gt;=$W$13-$S$12,ROUND((Q1580),1)&amp;" ≥ "&amp;$W$13-$S$12&amp;" OK",ROUND((Q1580),1)&amp;" &lt; "&amp;$W$13-$S$12&amp;" NC")),IF($X$13="/90",IF(#REF!="","",IF(#REF!&gt;=$W$13-$S$12,ROUND((#REF!),1)&amp;" ≥ "&amp;$W$13-$S$12&amp;" OK",ROUND((#REF!),1)&amp;" &lt; "&amp;$W$13-$S$12&amp;" NC"))))</f>
        <v/>
      </c>
      <c r="U1580" s="14"/>
      <c r="V1580" s="279"/>
      <c r="W1580" s="280"/>
      <c r="X1580" s="281"/>
      <c r="Y1580" s="246"/>
      <c r="Z1580" s="246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BP1580" s="390" t="str">
        <f>IF($X$13="/28",IF(Q1580="","",Q1580),IF($X$13="/90",IF(#REF!="","",#REF!),"Falso"))</f>
        <v/>
      </c>
      <c r="BQ1580" s="392" t="str">
        <f t="shared" si="2414"/>
        <v/>
      </c>
    </row>
    <row r="1581" spans="1:69" ht="14.25" customHeight="1" x14ac:dyDescent="0.35">
      <c r="A1581" s="294"/>
      <c r="B1581" s="296"/>
      <c r="C1581" s="298"/>
      <c r="D1581" s="300"/>
      <c r="E1581" s="302"/>
      <c r="F1581" s="304"/>
      <c r="G1581" s="276"/>
      <c r="H1581" s="277"/>
      <c r="I1581" s="290"/>
      <c r="J1581" s="290"/>
      <c r="K1581" s="291"/>
      <c r="L1581" s="17"/>
      <c r="M1581" s="286"/>
      <c r="N1581" s="21"/>
      <c r="O1581" s="286"/>
      <c r="P1581" s="21"/>
      <c r="Q1581" s="286"/>
      <c r="R1581" s="248"/>
      <c r="S1581" s="248"/>
      <c r="T1581" s="248"/>
      <c r="U1581" s="13"/>
      <c r="V1581" s="282"/>
      <c r="W1581" s="283"/>
      <c r="X1581" s="284"/>
      <c r="Y1581" s="245"/>
      <c r="Z1581" s="245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BP1581" s="391"/>
      <c r="BQ1581" s="393"/>
    </row>
    <row r="1582" spans="1:69" ht="14.25" customHeight="1" x14ac:dyDescent="0.35">
      <c r="A1582" s="293">
        <v>783</v>
      </c>
      <c r="B1582" s="295"/>
      <c r="C1582" s="297"/>
      <c r="D1582" s="299"/>
      <c r="E1582" s="301"/>
      <c r="F1582" s="303"/>
      <c r="G1582" s="288"/>
      <c r="H1582" s="289"/>
      <c r="I1582" s="290"/>
      <c r="J1582" s="290"/>
      <c r="K1582" s="291"/>
      <c r="L1582" s="18"/>
      <c r="M1582" s="285" t="str">
        <f t="shared" ref="M1582" si="2461">IF(COUNT(L1582:L1583)&lt;1,"",AVERAGE(L1582:L1583))</f>
        <v/>
      </c>
      <c r="N1582" s="22"/>
      <c r="O1582" s="285" t="str">
        <f t="shared" ref="O1582" si="2462">IF(COUNT(N1582:N1583)&lt;1,"",AVERAGE(N1582:N1583))</f>
        <v/>
      </c>
      <c r="P1582" s="22"/>
      <c r="Q1582" s="285" t="str">
        <f t="shared" ref="Q1582" si="2463">IF(COUNT(P1582:P1583)&lt;1,"",AVERAGE(P1582:P1583))</f>
        <v/>
      </c>
      <c r="R1582" s="278" t="str">
        <f>IF($X$13="/28",IF(COUNT(P1582:P1583)&lt;=1,"",ABS(P1582-P1583)),IF($X$13="/90",IF(COUNT(#REF!)&lt;=1,"",ABS(#REF!-#REF!))))</f>
        <v/>
      </c>
      <c r="S1582" s="278" t="str">
        <f>IF($X$13="/28",IF(Q1582="","",IF(AVERAGE(Q1578:Q1583)&gt;=$W$13,ROUND(AVERAGE(Q1578:Q1583),1)&amp;" ≥ "&amp;$W$13&amp;" OK",ROUND(AVERAGE(Q1578:Q1583),1)&amp;" &lt; "&amp;$W$13&amp;" NC")),IF($X$13="/90",IF(#REF!="","",IF(AVERAGE(#REF!)&gt;=$W$13,ROUND(AVERAGE(#REF!),1)&amp;" ≥ "&amp;$W$13&amp;" OK",ROUND(AVERAGE(#REF!),1)&amp;" &lt; "&amp;$W$13&amp;" NC"))))</f>
        <v/>
      </c>
      <c r="T1582" s="278" t="str">
        <f>IF($X$13="/28",IF(Q1582="","",IF(Q1582&gt;=$W$13-$S$12,ROUND((Q1582),1)&amp;" ≥ "&amp;$W$13-$S$12&amp;" OK",ROUND((Q1582),1)&amp;" &lt; "&amp;$W$13-$S$12&amp;" NC")),IF($X$13="/90",IF(#REF!="","",IF(#REF!&gt;=$W$13-$S$12,ROUND((#REF!),1)&amp;" ≥ "&amp;$W$13-$S$12&amp;" OK",ROUND((#REF!),1)&amp;" &lt; "&amp;$W$13-$S$12&amp;" NC"))))</f>
        <v/>
      </c>
      <c r="U1582" s="14"/>
      <c r="V1582" s="279"/>
      <c r="W1582" s="280"/>
      <c r="X1582" s="281"/>
      <c r="Y1582" s="246"/>
      <c r="Z1582" s="246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BP1582" s="390" t="str">
        <f>IF($X$13="/28",IF(Q1582="","",Q1582),IF($X$13="/90",IF(#REF!="","",#REF!),"Falso"))</f>
        <v/>
      </c>
      <c r="BQ1582" s="392" t="str">
        <f t="shared" si="2418"/>
        <v/>
      </c>
    </row>
    <row r="1583" spans="1:69" ht="14.25" customHeight="1" x14ac:dyDescent="0.35">
      <c r="A1583" s="294"/>
      <c r="B1583" s="296"/>
      <c r="C1583" s="298"/>
      <c r="D1583" s="300"/>
      <c r="E1583" s="302"/>
      <c r="F1583" s="304"/>
      <c r="G1583" s="276"/>
      <c r="H1583" s="277"/>
      <c r="I1583" s="290"/>
      <c r="J1583" s="290"/>
      <c r="K1583" s="291"/>
      <c r="L1583" s="17"/>
      <c r="M1583" s="286"/>
      <c r="N1583" s="21"/>
      <c r="O1583" s="286"/>
      <c r="P1583" s="21"/>
      <c r="Q1583" s="286"/>
      <c r="R1583" s="248"/>
      <c r="S1583" s="287"/>
      <c r="T1583" s="248"/>
      <c r="U1583" s="13"/>
      <c r="V1583" s="282"/>
      <c r="W1583" s="283"/>
      <c r="X1583" s="284"/>
      <c r="Y1583" s="245"/>
      <c r="Z1583" s="245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BP1583" s="391"/>
      <c r="BQ1583" s="393"/>
    </row>
    <row r="1584" spans="1:69" ht="14.25" customHeight="1" x14ac:dyDescent="0.35">
      <c r="A1584" s="293">
        <v>784</v>
      </c>
      <c r="B1584" s="295"/>
      <c r="C1584" s="297"/>
      <c r="D1584" s="299"/>
      <c r="E1584" s="301"/>
      <c r="F1584" s="303"/>
      <c r="G1584" s="288"/>
      <c r="H1584" s="289"/>
      <c r="I1584" s="290"/>
      <c r="J1584" s="290"/>
      <c r="K1584" s="291"/>
      <c r="L1584" s="18"/>
      <c r="M1584" s="285" t="str">
        <f t="shared" ref="M1584" si="2464">IF(COUNT(L1584:L1585)&lt;1,"",AVERAGE(L1584:L1585))</f>
        <v/>
      </c>
      <c r="N1584" s="22"/>
      <c r="O1584" s="285" t="str">
        <f t="shared" ref="O1584" si="2465">IF(COUNT(N1584:N1585)&lt;1,"",AVERAGE(N1584:N1585))</f>
        <v/>
      </c>
      <c r="P1584" s="22"/>
      <c r="Q1584" s="285" t="str">
        <f t="shared" ref="Q1584" si="2466">IF(COUNT(P1584:P1585)&lt;1,"",AVERAGE(P1584:P1585))</f>
        <v/>
      </c>
      <c r="R1584" s="278" t="str">
        <f>IF($X$13="/28",IF(COUNT(P1584:P1585)&lt;=1,"",ABS(P1584-P1585)),IF($X$13="/90",IF(COUNT(#REF!)&lt;=1,"",ABS(#REF!-#REF!))))</f>
        <v/>
      </c>
      <c r="S1584" s="278" t="str">
        <f>IF($X$13="/28",IF(Q1584="","",IF(AVERAGE(Q1580:Q1585)&gt;=$W$13,ROUND(AVERAGE(Q1580:Q1585),1)&amp;" ≥ "&amp;$W$13&amp;" OK",ROUND(AVERAGE(Q1580:Q1585),1)&amp;" &lt; "&amp;$W$13&amp;" NC")),IF($X$13="/90",IF(#REF!="","",IF(AVERAGE(#REF!)&gt;=$W$13,ROUND(AVERAGE(#REF!),1)&amp;" ≥ "&amp;$W$13&amp;" OK",ROUND(AVERAGE(#REF!),1)&amp;" &lt; "&amp;$W$13&amp;" NC"))))</f>
        <v/>
      </c>
      <c r="T1584" s="278" t="str">
        <f>IF($X$13="/28",IF(Q1584="","",IF(Q1584&gt;=$W$13-$S$12,ROUND((Q1584),1)&amp;" ≥ "&amp;$W$13-$S$12&amp;" OK",ROUND((Q1584),1)&amp;" &lt; "&amp;$W$13-$S$12&amp;" NC")),IF($X$13="/90",IF(#REF!="","",IF(#REF!&gt;=$W$13-$S$12,ROUND((#REF!),1)&amp;" ≥ "&amp;$W$13-$S$12&amp;" OK",ROUND((#REF!),1)&amp;" &lt; "&amp;$W$13-$S$12&amp;" NC"))))</f>
        <v/>
      </c>
      <c r="U1584" s="14"/>
      <c r="V1584" s="279"/>
      <c r="W1584" s="280"/>
      <c r="X1584" s="281"/>
      <c r="Y1584" s="246"/>
      <c r="Z1584" s="246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BP1584" s="390" t="str">
        <f>IF($X$13="/28",IF(Q1584="","",Q1584),IF($X$13="/90",IF(#REF!="","",#REF!),"Falso"))</f>
        <v/>
      </c>
      <c r="BQ1584" s="392" t="str">
        <f t="shared" si="2410"/>
        <v/>
      </c>
    </row>
    <row r="1585" spans="1:69" ht="14.25" customHeight="1" x14ac:dyDescent="0.35">
      <c r="A1585" s="294"/>
      <c r="B1585" s="296"/>
      <c r="C1585" s="298"/>
      <c r="D1585" s="300"/>
      <c r="E1585" s="302"/>
      <c r="F1585" s="304"/>
      <c r="G1585" s="276"/>
      <c r="H1585" s="277"/>
      <c r="I1585" s="290"/>
      <c r="J1585" s="290"/>
      <c r="K1585" s="291"/>
      <c r="L1585" s="17"/>
      <c r="M1585" s="286"/>
      <c r="N1585" s="21"/>
      <c r="O1585" s="286"/>
      <c r="P1585" s="21"/>
      <c r="Q1585" s="286"/>
      <c r="R1585" s="248"/>
      <c r="S1585" s="287"/>
      <c r="T1585" s="248"/>
      <c r="U1585" s="13"/>
      <c r="V1585" s="282"/>
      <c r="W1585" s="283"/>
      <c r="X1585" s="284"/>
      <c r="Y1585" s="245"/>
      <c r="Z1585" s="245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BP1585" s="391"/>
      <c r="BQ1585" s="393"/>
    </row>
    <row r="1586" spans="1:69" ht="14.25" customHeight="1" x14ac:dyDescent="0.35">
      <c r="A1586" s="293">
        <v>785</v>
      </c>
      <c r="B1586" s="295"/>
      <c r="C1586" s="297"/>
      <c r="D1586" s="299"/>
      <c r="E1586" s="301"/>
      <c r="F1586" s="303"/>
      <c r="G1586" s="288"/>
      <c r="H1586" s="289"/>
      <c r="I1586" s="290"/>
      <c r="J1586" s="290"/>
      <c r="K1586" s="291"/>
      <c r="L1586" s="18"/>
      <c r="M1586" s="285" t="str">
        <f t="shared" ref="M1586" si="2467">IF(COUNT(L1586:L1587)&lt;1,"",AVERAGE(L1586:L1587))</f>
        <v/>
      </c>
      <c r="N1586" s="22"/>
      <c r="O1586" s="285" t="str">
        <f t="shared" ref="O1586" si="2468">IF(COUNT(N1586:N1587)&lt;1,"",AVERAGE(N1586:N1587))</f>
        <v/>
      </c>
      <c r="P1586" s="22"/>
      <c r="Q1586" s="285" t="str">
        <f t="shared" ref="Q1586" si="2469">IF(COUNT(P1586:P1587)&lt;1,"",AVERAGE(P1586:P1587))</f>
        <v/>
      </c>
      <c r="R1586" s="278" t="str">
        <f>IF($X$13="/28",IF(COUNT(P1586:P1587)&lt;=1,"",ABS(P1586-P1587)),IF($X$13="/90",IF(COUNT(#REF!)&lt;=1,"",ABS(#REF!-#REF!))))</f>
        <v/>
      </c>
      <c r="S1586" s="278" t="str">
        <f>IF($X$13="/28",IF(Q1586="","",IF(AVERAGE(Q1582:Q1587)&gt;=$W$13,ROUND(AVERAGE(Q1582:Q1587),1)&amp;" ≥ "&amp;$W$13&amp;" OK",ROUND(AVERAGE(Q1582:Q1587),1)&amp;" &lt; "&amp;$W$13&amp;" NC")),IF($X$13="/90",IF(#REF!="","",IF(AVERAGE(#REF!)&gt;=$W$13,ROUND(AVERAGE(#REF!),1)&amp;" ≥ "&amp;$W$13&amp;" OK",ROUND(AVERAGE(#REF!),1)&amp;" &lt; "&amp;$W$13&amp;" NC"))))</f>
        <v/>
      </c>
      <c r="T1586" s="278" t="str">
        <f>IF($X$13="/28",IF(Q1586="","",IF(Q1586&gt;=$W$13-$S$12,ROUND((Q1586),1)&amp;" ≥ "&amp;$W$13-$S$12&amp;" OK",ROUND((Q1586),1)&amp;" &lt; "&amp;$W$13-$S$12&amp;" NC")),IF($X$13="/90",IF(#REF!="","",IF(#REF!&gt;=$W$13-$S$12,ROUND((#REF!),1)&amp;" ≥ "&amp;$W$13-$S$12&amp;" OK",ROUND((#REF!),1)&amp;" &lt; "&amp;$W$13-$S$12&amp;" NC"))))</f>
        <v/>
      </c>
      <c r="U1586" s="14"/>
      <c r="V1586" s="279"/>
      <c r="W1586" s="280"/>
      <c r="X1586" s="281"/>
      <c r="Y1586" s="246"/>
      <c r="Z1586" s="246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BP1586" s="390" t="str">
        <f>IF($X$13="/28",IF(Q1586="","",Q1586),IF($X$13="/90",IF(#REF!="","",#REF!),"Falso"))</f>
        <v/>
      </c>
      <c r="BQ1586" s="392" t="str">
        <f t="shared" si="2414"/>
        <v/>
      </c>
    </row>
    <row r="1587" spans="1:69" ht="14.25" customHeight="1" x14ac:dyDescent="0.35">
      <c r="A1587" s="294"/>
      <c r="B1587" s="296"/>
      <c r="C1587" s="298"/>
      <c r="D1587" s="300"/>
      <c r="E1587" s="302"/>
      <c r="F1587" s="304"/>
      <c r="G1587" s="276"/>
      <c r="H1587" s="277"/>
      <c r="I1587" s="290"/>
      <c r="J1587" s="290"/>
      <c r="K1587" s="291"/>
      <c r="L1587" s="17"/>
      <c r="M1587" s="286"/>
      <c r="N1587" s="21"/>
      <c r="O1587" s="286"/>
      <c r="P1587" s="21"/>
      <c r="Q1587" s="286"/>
      <c r="R1587" s="248"/>
      <c r="S1587" s="287"/>
      <c r="T1587" s="248"/>
      <c r="U1587" s="13"/>
      <c r="V1587" s="282"/>
      <c r="W1587" s="283"/>
      <c r="X1587" s="284"/>
      <c r="Y1587" s="245"/>
      <c r="Z1587" s="245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BP1587" s="391"/>
      <c r="BQ1587" s="393"/>
    </row>
    <row r="1588" spans="1:69" ht="14.25" customHeight="1" x14ac:dyDescent="0.35">
      <c r="A1588" s="293">
        <v>786</v>
      </c>
      <c r="B1588" s="295"/>
      <c r="C1588" s="297"/>
      <c r="D1588" s="299"/>
      <c r="E1588" s="301"/>
      <c r="F1588" s="303"/>
      <c r="G1588" s="288"/>
      <c r="H1588" s="289"/>
      <c r="I1588" s="290"/>
      <c r="J1588" s="290"/>
      <c r="K1588" s="291"/>
      <c r="L1588" s="18"/>
      <c r="M1588" s="285" t="str">
        <f t="shared" ref="M1588" si="2470">IF(COUNT(L1588:L1589)&lt;1,"",AVERAGE(L1588:L1589))</f>
        <v/>
      </c>
      <c r="N1588" s="22"/>
      <c r="O1588" s="285" t="str">
        <f t="shared" ref="O1588" si="2471">IF(COUNT(N1588:N1589)&lt;1,"",AVERAGE(N1588:N1589))</f>
        <v/>
      </c>
      <c r="P1588" s="22"/>
      <c r="Q1588" s="285" t="str">
        <f t="shared" ref="Q1588" si="2472">IF(COUNT(P1588:P1589)&lt;1,"",AVERAGE(P1588:P1589))</f>
        <v/>
      </c>
      <c r="R1588" s="278" t="str">
        <f>IF($X$13="/28",IF(COUNT(P1588:P1589)&lt;=1,"",ABS(P1588-P1589)),IF($X$13="/90",IF(COUNT(#REF!)&lt;=1,"",ABS(#REF!-#REF!))))</f>
        <v/>
      </c>
      <c r="S1588" s="278" t="str">
        <f>IF($X$13="/28",IF(Q1588="","",IF(AVERAGE(Q1584:Q1589)&gt;=$W$13,ROUND(AVERAGE(Q1584:Q1589),1)&amp;" ≥ "&amp;$W$13&amp;" OK",ROUND(AVERAGE(Q1584:Q1589),1)&amp;" &lt; "&amp;$W$13&amp;" NC")),IF($X$13="/90",IF(#REF!="","",IF(AVERAGE(#REF!)&gt;=$W$13,ROUND(AVERAGE(#REF!),1)&amp;" ≥ "&amp;$W$13&amp;" OK",ROUND(AVERAGE(#REF!),1)&amp;" &lt; "&amp;$W$13&amp;" NC"))))</f>
        <v/>
      </c>
      <c r="T1588" s="278" t="str">
        <f>IF($X$13="/28",IF(Q1588="","",IF(Q1588&gt;=$W$13-$S$12,ROUND((Q1588),1)&amp;" ≥ "&amp;$W$13-$S$12&amp;" OK",ROUND((Q1588),1)&amp;" &lt; "&amp;$W$13-$S$12&amp;" NC")),IF($X$13="/90",IF(#REF!="","",IF(#REF!&gt;=$W$13-$S$12,ROUND((#REF!),1)&amp;" ≥ "&amp;$W$13-$S$12&amp;" OK",ROUND((#REF!),1)&amp;" &lt; "&amp;$W$13-$S$12&amp;" NC"))))</f>
        <v/>
      </c>
      <c r="U1588" s="14"/>
      <c r="V1588" s="279"/>
      <c r="W1588" s="280"/>
      <c r="X1588" s="281"/>
      <c r="Y1588" s="246"/>
      <c r="Z1588" s="246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BP1588" s="390" t="str">
        <f>IF($X$13="/28",IF(Q1588="","",Q1588),IF($X$13="/90",IF(#REF!="","",#REF!),"Falso"))</f>
        <v/>
      </c>
      <c r="BQ1588" s="392" t="str">
        <f t="shared" si="2418"/>
        <v/>
      </c>
    </row>
    <row r="1589" spans="1:69" ht="14.25" customHeight="1" x14ac:dyDescent="0.35">
      <c r="A1589" s="294"/>
      <c r="B1589" s="296"/>
      <c r="C1589" s="298"/>
      <c r="D1589" s="300"/>
      <c r="E1589" s="302"/>
      <c r="F1589" s="304"/>
      <c r="G1589" s="276"/>
      <c r="H1589" s="277"/>
      <c r="I1589" s="290"/>
      <c r="J1589" s="290"/>
      <c r="K1589" s="291"/>
      <c r="L1589" s="17"/>
      <c r="M1589" s="286"/>
      <c r="N1589" s="21"/>
      <c r="O1589" s="286"/>
      <c r="P1589" s="21"/>
      <c r="Q1589" s="286"/>
      <c r="R1589" s="248"/>
      <c r="S1589" s="287"/>
      <c r="T1589" s="248"/>
      <c r="U1589" s="13"/>
      <c r="V1589" s="282"/>
      <c r="W1589" s="283"/>
      <c r="X1589" s="284"/>
      <c r="Y1589" s="245"/>
      <c r="Z1589" s="245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BP1589" s="391"/>
      <c r="BQ1589" s="393"/>
    </row>
    <row r="1590" spans="1:69" ht="14.25" customHeight="1" x14ac:dyDescent="0.35">
      <c r="A1590" s="293">
        <v>787</v>
      </c>
      <c r="B1590" s="295"/>
      <c r="C1590" s="297"/>
      <c r="D1590" s="299"/>
      <c r="E1590" s="301"/>
      <c r="F1590" s="303"/>
      <c r="G1590" s="288"/>
      <c r="H1590" s="289"/>
      <c r="I1590" s="290"/>
      <c r="J1590" s="290"/>
      <c r="K1590" s="291"/>
      <c r="L1590" s="18"/>
      <c r="M1590" s="285" t="str">
        <f t="shared" ref="M1590" si="2473">IF(COUNT(L1590:L1591)&lt;1,"",AVERAGE(L1590:L1591))</f>
        <v/>
      </c>
      <c r="N1590" s="22"/>
      <c r="O1590" s="285" t="str">
        <f t="shared" ref="O1590" si="2474">IF(COUNT(N1590:N1591)&lt;1,"",AVERAGE(N1590:N1591))</f>
        <v/>
      </c>
      <c r="P1590" s="22"/>
      <c r="Q1590" s="285" t="str">
        <f t="shared" ref="Q1590" si="2475">IF(COUNT(P1590:P1591)&lt;1,"",AVERAGE(P1590:P1591))</f>
        <v/>
      </c>
      <c r="R1590" s="278" t="str">
        <f>IF($X$13="/28",IF(COUNT(P1590:P1591)&lt;=1,"",ABS(P1590-P1591)),IF($X$13="/90",IF(COUNT(#REF!)&lt;=1,"",ABS(#REF!-#REF!))))</f>
        <v/>
      </c>
      <c r="S1590" s="278" t="str">
        <f>IF($X$13="/28",IF(Q1590="","",IF(AVERAGE(Q1586:Q1591)&gt;=$W$13,ROUND(AVERAGE(Q1586:Q1591),1)&amp;" ≥ "&amp;$W$13&amp;" OK",ROUND(AVERAGE(Q1586:Q1591),1)&amp;" &lt; "&amp;$W$13&amp;" NC")),IF($X$13="/90",IF(#REF!="","",IF(AVERAGE(#REF!)&gt;=$W$13,ROUND(AVERAGE(#REF!),1)&amp;" ≥ "&amp;$W$13&amp;" OK",ROUND(AVERAGE(#REF!),1)&amp;" &lt; "&amp;$W$13&amp;" NC"))))</f>
        <v/>
      </c>
      <c r="T1590" s="278" t="str">
        <f>IF($X$13="/28",IF(Q1590="","",IF(Q1590&gt;=$W$13-$S$12,ROUND((Q1590),1)&amp;" ≥ "&amp;$W$13-$S$12&amp;" OK",ROUND((Q1590),1)&amp;" &lt; "&amp;$W$13-$S$12&amp;" NC")),IF($X$13="/90",IF(#REF!="","",IF(#REF!&gt;=$W$13-$S$12,ROUND((#REF!),1)&amp;" ≥ "&amp;$W$13-$S$12&amp;" OK",ROUND((#REF!),1)&amp;" &lt; "&amp;$W$13-$S$12&amp;" NC"))))</f>
        <v/>
      </c>
      <c r="U1590" s="14"/>
      <c r="V1590" s="279"/>
      <c r="W1590" s="280"/>
      <c r="X1590" s="281"/>
      <c r="Y1590" s="246"/>
      <c r="Z1590" s="246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BP1590" s="390" t="str">
        <f>IF($X$13="/28",IF(Q1590="","",Q1590),IF($X$13="/90",IF(#REF!="","",#REF!),"Falso"))</f>
        <v/>
      </c>
      <c r="BQ1590" s="392" t="str">
        <f t="shared" si="2410"/>
        <v/>
      </c>
    </row>
    <row r="1591" spans="1:69" ht="14.25" customHeight="1" x14ac:dyDescent="0.35">
      <c r="A1591" s="294"/>
      <c r="B1591" s="296"/>
      <c r="C1591" s="298"/>
      <c r="D1591" s="300"/>
      <c r="E1591" s="302"/>
      <c r="F1591" s="304"/>
      <c r="G1591" s="276"/>
      <c r="H1591" s="277"/>
      <c r="I1591" s="290"/>
      <c r="J1591" s="290"/>
      <c r="K1591" s="291"/>
      <c r="L1591" s="17"/>
      <c r="M1591" s="286"/>
      <c r="N1591" s="21"/>
      <c r="O1591" s="286"/>
      <c r="P1591" s="21"/>
      <c r="Q1591" s="286"/>
      <c r="R1591" s="248"/>
      <c r="S1591" s="287"/>
      <c r="T1591" s="248"/>
      <c r="U1591" s="13"/>
      <c r="V1591" s="282"/>
      <c r="W1591" s="283"/>
      <c r="X1591" s="284"/>
      <c r="Y1591" s="245"/>
      <c r="Z1591" s="245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BP1591" s="391"/>
      <c r="BQ1591" s="393"/>
    </row>
    <row r="1592" spans="1:69" ht="14.25" customHeight="1" x14ac:dyDescent="0.35">
      <c r="A1592" s="293">
        <v>788</v>
      </c>
      <c r="B1592" s="295"/>
      <c r="C1592" s="297"/>
      <c r="D1592" s="299"/>
      <c r="E1592" s="301"/>
      <c r="F1592" s="303"/>
      <c r="G1592" s="288"/>
      <c r="H1592" s="289"/>
      <c r="I1592" s="290"/>
      <c r="J1592" s="290"/>
      <c r="K1592" s="291"/>
      <c r="L1592" s="18"/>
      <c r="M1592" s="285" t="str">
        <f t="shared" ref="M1592" si="2476">IF(COUNT(L1592:L1593)&lt;1,"",AVERAGE(L1592:L1593))</f>
        <v/>
      </c>
      <c r="N1592" s="22"/>
      <c r="O1592" s="285" t="str">
        <f t="shared" ref="O1592" si="2477">IF(COUNT(N1592:N1593)&lt;1,"",AVERAGE(N1592:N1593))</f>
        <v/>
      </c>
      <c r="P1592" s="22"/>
      <c r="Q1592" s="285" t="str">
        <f t="shared" ref="Q1592" si="2478">IF(COUNT(P1592:P1593)&lt;1,"",AVERAGE(P1592:P1593))</f>
        <v/>
      </c>
      <c r="R1592" s="278" t="str">
        <f>IF($X$13="/28",IF(COUNT(P1592:P1593)&lt;=1,"",ABS(P1592-P1593)),IF($X$13="/90",IF(COUNT(#REF!)&lt;=1,"",ABS(#REF!-#REF!))))</f>
        <v/>
      </c>
      <c r="S1592" s="278" t="str">
        <f>IF($X$13="/28",IF(Q1592="","",IF(AVERAGE(Q1588:Q1593)&gt;=$W$13,ROUND(AVERAGE(Q1588:Q1593),1)&amp;" ≥ "&amp;$W$13&amp;" OK",ROUND(AVERAGE(Q1588:Q1593),1)&amp;" &lt; "&amp;$W$13&amp;" NC")),IF($X$13="/90",IF(#REF!="","",IF(AVERAGE(#REF!)&gt;=$W$13,ROUND(AVERAGE(#REF!),1)&amp;" ≥ "&amp;$W$13&amp;" OK",ROUND(AVERAGE(#REF!),1)&amp;" &lt; "&amp;$W$13&amp;" NC"))))</f>
        <v/>
      </c>
      <c r="T1592" s="278" t="str">
        <f>IF($X$13="/28",IF(Q1592="","",IF(Q1592&gt;=$W$13-$S$12,ROUND((Q1592),1)&amp;" ≥ "&amp;$W$13-$S$12&amp;" OK",ROUND((Q1592),1)&amp;" &lt; "&amp;$W$13-$S$12&amp;" NC")),IF($X$13="/90",IF(#REF!="","",IF(#REF!&gt;=$W$13-$S$12,ROUND((#REF!),1)&amp;" ≥ "&amp;$W$13-$S$12&amp;" OK",ROUND((#REF!),1)&amp;" &lt; "&amp;$W$13-$S$12&amp;" NC"))))</f>
        <v/>
      </c>
      <c r="U1592" s="14"/>
      <c r="V1592" s="279"/>
      <c r="W1592" s="280"/>
      <c r="X1592" s="281"/>
      <c r="Y1592" s="246"/>
      <c r="Z1592" s="246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BP1592" s="390" t="str">
        <f>IF($X$13="/28",IF(Q1592="","",Q1592),IF($X$13="/90",IF(#REF!="","",#REF!),"Falso"))</f>
        <v/>
      </c>
      <c r="BQ1592" s="392" t="str">
        <f t="shared" si="2414"/>
        <v/>
      </c>
    </row>
    <row r="1593" spans="1:69" ht="14.25" customHeight="1" x14ac:dyDescent="0.35">
      <c r="A1593" s="294"/>
      <c r="B1593" s="296"/>
      <c r="C1593" s="298"/>
      <c r="D1593" s="300"/>
      <c r="E1593" s="302"/>
      <c r="F1593" s="304"/>
      <c r="G1593" s="276"/>
      <c r="H1593" s="277"/>
      <c r="I1593" s="290"/>
      <c r="J1593" s="290"/>
      <c r="K1593" s="291"/>
      <c r="L1593" s="17"/>
      <c r="M1593" s="286"/>
      <c r="N1593" s="21"/>
      <c r="O1593" s="286"/>
      <c r="P1593" s="21"/>
      <c r="Q1593" s="286"/>
      <c r="R1593" s="248"/>
      <c r="S1593" s="287"/>
      <c r="T1593" s="248"/>
      <c r="U1593" s="13"/>
      <c r="V1593" s="282"/>
      <c r="W1593" s="283"/>
      <c r="X1593" s="284"/>
      <c r="Y1593" s="245"/>
      <c r="Z1593" s="245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BP1593" s="391"/>
      <c r="BQ1593" s="393"/>
    </row>
    <row r="1594" spans="1:69" ht="14.25" customHeight="1" x14ac:dyDescent="0.35">
      <c r="A1594" s="293">
        <v>789</v>
      </c>
      <c r="B1594" s="295"/>
      <c r="C1594" s="297"/>
      <c r="D1594" s="299"/>
      <c r="E1594" s="301"/>
      <c r="F1594" s="303"/>
      <c r="G1594" s="288"/>
      <c r="H1594" s="289"/>
      <c r="I1594" s="290"/>
      <c r="J1594" s="290"/>
      <c r="K1594" s="291"/>
      <c r="L1594" s="18"/>
      <c r="M1594" s="285" t="str">
        <f t="shared" ref="M1594" si="2479">IF(COUNT(L1594:L1595)&lt;1,"",AVERAGE(L1594:L1595))</f>
        <v/>
      </c>
      <c r="N1594" s="22"/>
      <c r="O1594" s="285" t="str">
        <f t="shared" ref="O1594" si="2480">IF(COUNT(N1594:N1595)&lt;1,"",AVERAGE(N1594:N1595))</f>
        <v/>
      </c>
      <c r="P1594" s="22"/>
      <c r="Q1594" s="285" t="str">
        <f t="shared" ref="Q1594" si="2481">IF(COUNT(P1594:P1595)&lt;1,"",AVERAGE(P1594:P1595))</f>
        <v/>
      </c>
      <c r="R1594" s="278" t="str">
        <f>IF($X$13="/28",IF(COUNT(P1594:P1595)&lt;=1,"",ABS(P1594-P1595)),IF($X$13="/90",IF(COUNT(#REF!)&lt;=1,"",ABS(#REF!-#REF!))))</f>
        <v/>
      </c>
      <c r="S1594" s="278" t="str">
        <f>IF($X$13="/28",IF(Q1594="","",IF(AVERAGE(Q1590:Q1595)&gt;=$W$13,ROUND(AVERAGE(Q1590:Q1595),1)&amp;" ≥ "&amp;$W$13&amp;" OK",ROUND(AVERAGE(Q1590:Q1595),1)&amp;" &lt; "&amp;$W$13&amp;" NC")),IF($X$13="/90",IF(#REF!="","",IF(AVERAGE(#REF!)&gt;=$W$13,ROUND(AVERAGE(#REF!),1)&amp;" ≥ "&amp;$W$13&amp;" OK",ROUND(AVERAGE(#REF!),1)&amp;" &lt; "&amp;$W$13&amp;" NC"))))</f>
        <v/>
      </c>
      <c r="T1594" s="278" t="str">
        <f>IF($X$13="/28",IF(Q1594="","",IF(Q1594&gt;=$W$13-$S$12,ROUND((Q1594),1)&amp;" ≥ "&amp;$W$13-$S$12&amp;" OK",ROUND((Q1594),1)&amp;" &lt; "&amp;$W$13-$S$12&amp;" NC")),IF($X$13="/90",IF(#REF!="","",IF(#REF!&gt;=$W$13-$S$12,ROUND((#REF!),1)&amp;" ≥ "&amp;$W$13-$S$12&amp;" OK",ROUND((#REF!),1)&amp;" &lt; "&amp;$W$13-$S$12&amp;" NC"))))</f>
        <v/>
      </c>
      <c r="U1594" s="14"/>
      <c r="V1594" s="279"/>
      <c r="W1594" s="280"/>
      <c r="X1594" s="281"/>
      <c r="Y1594" s="246"/>
      <c r="Z1594" s="246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BP1594" s="390" t="str">
        <f>IF($X$13="/28",IF(Q1594="","",Q1594),IF($X$13="/90",IF(#REF!="","",#REF!),"Falso"))</f>
        <v/>
      </c>
      <c r="BQ1594" s="392" t="str">
        <f t="shared" si="2418"/>
        <v/>
      </c>
    </row>
    <row r="1595" spans="1:69" ht="14.25" customHeight="1" x14ac:dyDescent="0.35">
      <c r="A1595" s="294"/>
      <c r="B1595" s="296"/>
      <c r="C1595" s="298"/>
      <c r="D1595" s="300"/>
      <c r="E1595" s="302"/>
      <c r="F1595" s="304"/>
      <c r="G1595" s="276"/>
      <c r="H1595" s="277"/>
      <c r="I1595" s="290"/>
      <c r="J1595" s="290"/>
      <c r="K1595" s="291"/>
      <c r="L1595" s="17"/>
      <c r="M1595" s="286"/>
      <c r="N1595" s="21"/>
      <c r="O1595" s="286"/>
      <c r="P1595" s="21"/>
      <c r="Q1595" s="286"/>
      <c r="R1595" s="248"/>
      <c r="S1595" s="287"/>
      <c r="T1595" s="248"/>
      <c r="U1595" s="13"/>
      <c r="V1595" s="282"/>
      <c r="W1595" s="283"/>
      <c r="X1595" s="284"/>
      <c r="Y1595" s="245"/>
      <c r="Z1595" s="245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BP1595" s="391"/>
      <c r="BQ1595" s="393"/>
    </row>
    <row r="1596" spans="1:69" ht="14.25" customHeight="1" x14ac:dyDescent="0.35">
      <c r="A1596" s="293">
        <v>790</v>
      </c>
      <c r="B1596" s="295"/>
      <c r="C1596" s="297"/>
      <c r="D1596" s="299"/>
      <c r="E1596" s="301"/>
      <c r="F1596" s="303"/>
      <c r="G1596" s="288"/>
      <c r="H1596" s="289"/>
      <c r="I1596" s="290"/>
      <c r="J1596" s="290"/>
      <c r="K1596" s="291"/>
      <c r="L1596" s="18"/>
      <c r="M1596" s="285" t="str">
        <f t="shared" ref="M1596" si="2482">IF(COUNT(L1596:L1597)&lt;1,"",AVERAGE(L1596:L1597))</f>
        <v/>
      </c>
      <c r="N1596" s="22"/>
      <c r="O1596" s="285" t="str">
        <f t="shared" ref="O1596" si="2483">IF(COUNT(N1596:N1597)&lt;1,"",AVERAGE(N1596:N1597))</f>
        <v/>
      </c>
      <c r="P1596" s="22"/>
      <c r="Q1596" s="285" t="str">
        <f t="shared" ref="Q1596" si="2484">IF(COUNT(P1596:P1597)&lt;1,"",AVERAGE(P1596:P1597))</f>
        <v/>
      </c>
      <c r="R1596" s="278" t="str">
        <f>IF($X$13="/28",IF(COUNT(P1596:P1597)&lt;=1,"",ABS(P1596-P1597)),IF($X$13="/90",IF(COUNT(#REF!)&lt;=1,"",ABS(#REF!-#REF!))))</f>
        <v/>
      </c>
      <c r="S1596" s="278" t="str">
        <f>IF($X$13="/28",IF(Q1596="","",IF(AVERAGE(Q1592:Q1597)&gt;=$W$13,ROUND(AVERAGE(Q1592:Q1597),1)&amp;" ≥ "&amp;$W$13&amp;" OK",ROUND(AVERAGE(Q1592:Q1597),1)&amp;" &lt; "&amp;$W$13&amp;" NC")),IF($X$13="/90",IF(#REF!="","",IF(AVERAGE(#REF!)&gt;=$W$13,ROUND(AVERAGE(#REF!),1)&amp;" ≥ "&amp;$W$13&amp;" OK",ROUND(AVERAGE(#REF!),1)&amp;" &lt; "&amp;$W$13&amp;" NC"))))</f>
        <v/>
      </c>
      <c r="T1596" s="278" t="str">
        <f>IF($X$13="/28",IF(Q1596="","",IF(Q1596&gt;=$W$13-$S$12,ROUND((Q1596),1)&amp;" ≥ "&amp;$W$13-$S$12&amp;" OK",ROUND((Q1596),1)&amp;" &lt; "&amp;$W$13-$S$12&amp;" NC")),IF($X$13="/90",IF(#REF!="","",IF(#REF!&gt;=$W$13-$S$12,ROUND((#REF!),1)&amp;" ≥ "&amp;$W$13-$S$12&amp;" OK",ROUND((#REF!),1)&amp;" &lt; "&amp;$W$13-$S$12&amp;" NC"))))</f>
        <v/>
      </c>
      <c r="U1596" s="14"/>
      <c r="V1596" s="279"/>
      <c r="W1596" s="280"/>
      <c r="X1596" s="281"/>
      <c r="Y1596" s="246"/>
      <c r="Z1596" s="246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BP1596" s="390" t="str">
        <f>IF($X$13="/28",IF(Q1596="","",Q1596),IF($X$13="/90",IF(#REF!="","",#REF!),"Falso"))</f>
        <v/>
      </c>
      <c r="BQ1596" s="392" t="str">
        <f t="shared" si="2410"/>
        <v/>
      </c>
    </row>
    <row r="1597" spans="1:69" ht="14.25" customHeight="1" x14ac:dyDescent="0.35">
      <c r="A1597" s="294"/>
      <c r="B1597" s="296"/>
      <c r="C1597" s="298"/>
      <c r="D1597" s="300"/>
      <c r="E1597" s="302"/>
      <c r="F1597" s="304"/>
      <c r="G1597" s="276"/>
      <c r="H1597" s="277"/>
      <c r="I1597" s="290"/>
      <c r="J1597" s="290"/>
      <c r="K1597" s="291"/>
      <c r="L1597" s="17"/>
      <c r="M1597" s="286"/>
      <c r="N1597" s="21"/>
      <c r="O1597" s="286"/>
      <c r="P1597" s="21"/>
      <c r="Q1597" s="286"/>
      <c r="R1597" s="248"/>
      <c r="S1597" s="287"/>
      <c r="T1597" s="248"/>
      <c r="U1597" s="13"/>
      <c r="V1597" s="282"/>
      <c r="W1597" s="283"/>
      <c r="X1597" s="284"/>
      <c r="Y1597" s="245"/>
      <c r="Z1597" s="245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BP1597" s="391"/>
      <c r="BQ1597" s="393"/>
    </row>
    <row r="1598" spans="1:69" ht="14.25" customHeight="1" x14ac:dyDescent="0.35">
      <c r="A1598" s="293">
        <v>791</v>
      </c>
      <c r="B1598" s="295"/>
      <c r="C1598" s="297"/>
      <c r="D1598" s="299"/>
      <c r="E1598" s="301"/>
      <c r="F1598" s="303"/>
      <c r="G1598" s="288"/>
      <c r="H1598" s="289"/>
      <c r="I1598" s="290"/>
      <c r="J1598" s="290"/>
      <c r="K1598" s="291"/>
      <c r="L1598" s="18"/>
      <c r="M1598" s="285" t="str">
        <f t="shared" ref="M1598" si="2485">IF(COUNT(L1598:L1599)&lt;1,"",AVERAGE(L1598:L1599))</f>
        <v/>
      </c>
      <c r="N1598" s="22"/>
      <c r="O1598" s="285" t="str">
        <f t="shared" ref="O1598" si="2486">IF(COUNT(N1598:N1599)&lt;1,"",AVERAGE(N1598:N1599))</f>
        <v/>
      </c>
      <c r="P1598" s="22"/>
      <c r="Q1598" s="285" t="str">
        <f t="shared" ref="Q1598" si="2487">IF(COUNT(P1598:P1599)&lt;1,"",AVERAGE(P1598:P1599))</f>
        <v/>
      </c>
      <c r="R1598" s="278" t="str">
        <f>IF($X$13="/28",IF(COUNT(P1598:P1599)&lt;=1,"",ABS(P1598-P1599)),IF($X$13="/90",IF(COUNT(#REF!)&lt;=1,"",ABS(#REF!-#REF!))))</f>
        <v/>
      </c>
      <c r="S1598" s="278" t="str">
        <f>IF($X$13="/28",IF(Q1598="","",IF(AVERAGE(Q1594:Q1599)&gt;=$W$13,ROUND(AVERAGE(Q1594:Q1599),1)&amp;" ≥ "&amp;$W$13&amp;" OK",ROUND(AVERAGE(Q1594:Q1599),1)&amp;" &lt; "&amp;$W$13&amp;" NC")),IF($X$13="/90",IF(#REF!="","",IF(AVERAGE(#REF!)&gt;=$W$13,ROUND(AVERAGE(#REF!),1)&amp;" ≥ "&amp;$W$13&amp;" OK",ROUND(AVERAGE(#REF!),1)&amp;" &lt; "&amp;$W$13&amp;" NC"))))</f>
        <v/>
      </c>
      <c r="T1598" s="278" t="str">
        <f>IF($X$13="/28",IF(Q1598="","",IF(Q1598&gt;=$W$13-$S$12,ROUND((Q1598),1)&amp;" ≥ "&amp;$W$13-$S$12&amp;" OK",ROUND((Q1598),1)&amp;" &lt; "&amp;$W$13-$S$12&amp;" NC")),IF($X$13="/90",IF(#REF!="","",IF(#REF!&gt;=$W$13-$S$12,ROUND((#REF!),1)&amp;" ≥ "&amp;$W$13-$S$12&amp;" OK",ROUND((#REF!),1)&amp;" &lt; "&amp;$W$13-$S$12&amp;" NC"))))</f>
        <v/>
      </c>
      <c r="U1598" s="14"/>
      <c r="V1598" s="279"/>
      <c r="W1598" s="280"/>
      <c r="X1598" s="281"/>
      <c r="Y1598" s="246"/>
      <c r="Z1598" s="246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BP1598" s="390" t="str">
        <f>IF($X$13="/28",IF(Q1598="","",Q1598),IF($X$13="/90",IF(#REF!="","",#REF!),"Falso"))</f>
        <v/>
      </c>
      <c r="BQ1598" s="392" t="str">
        <f t="shared" si="2414"/>
        <v/>
      </c>
    </row>
    <row r="1599" spans="1:69" ht="14.25" customHeight="1" x14ac:dyDescent="0.35">
      <c r="A1599" s="294"/>
      <c r="B1599" s="296"/>
      <c r="C1599" s="298"/>
      <c r="D1599" s="300"/>
      <c r="E1599" s="302"/>
      <c r="F1599" s="304"/>
      <c r="G1599" s="276"/>
      <c r="H1599" s="277"/>
      <c r="I1599" s="290"/>
      <c r="J1599" s="290"/>
      <c r="K1599" s="291"/>
      <c r="L1599" s="17"/>
      <c r="M1599" s="286"/>
      <c r="N1599" s="21"/>
      <c r="O1599" s="286"/>
      <c r="P1599" s="21"/>
      <c r="Q1599" s="286"/>
      <c r="R1599" s="248"/>
      <c r="S1599" s="287"/>
      <c r="T1599" s="248"/>
      <c r="U1599" s="13"/>
      <c r="V1599" s="282"/>
      <c r="W1599" s="283"/>
      <c r="X1599" s="284"/>
      <c r="Y1599" s="245"/>
      <c r="Z1599" s="245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BP1599" s="391"/>
      <c r="BQ1599" s="393"/>
    </row>
    <row r="1600" spans="1:69" ht="14.25" customHeight="1" x14ac:dyDescent="0.35">
      <c r="A1600" s="293">
        <v>792</v>
      </c>
      <c r="B1600" s="295"/>
      <c r="C1600" s="297"/>
      <c r="D1600" s="299"/>
      <c r="E1600" s="301"/>
      <c r="F1600" s="303"/>
      <c r="G1600" s="288"/>
      <c r="H1600" s="289"/>
      <c r="I1600" s="290"/>
      <c r="J1600" s="290"/>
      <c r="K1600" s="291"/>
      <c r="L1600" s="18"/>
      <c r="M1600" s="285" t="str">
        <f t="shared" ref="M1600" si="2488">IF(COUNT(L1600:L1601)&lt;1,"",AVERAGE(L1600:L1601))</f>
        <v/>
      </c>
      <c r="N1600" s="22"/>
      <c r="O1600" s="285" t="str">
        <f t="shared" ref="O1600" si="2489">IF(COUNT(N1600:N1601)&lt;1,"",AVERAGE(N1600:N1601))</f>
        <v/>
      </c>
      <c r="P1600" s="22"/>
      <c r="Q1600" s="285" t="str">
        <f t="shared" ref="Q1600" si="2490">IF(COUNT(P1600:P1601)&lt;1,"",AVERAGE(P1600:P1601))</f>
        <v/>
      </c>
      <c r="R1600" s="278" t="str">
        <f>IF($X$13="/28",IF(COUNT(P1600:P1601)&lt;=1,"",ABS(P1600-P1601)),IF($X$13="/90",IF(COUNT(#REF!)&lt;=1,"",ABS(#REF!-#REF!))))</f>
        <v/>
      </c>
      <c r="S1600" s="278" t="str">
        <f>IF($X$13="/28",IF(Q1600="","",IF(AVERAGE(Q1596:Q1601)&gt;=$W$13,ROUND(AVERAGE(Q1596:Q1601),1)&amp;" ≥ "&amp;$W$13&amp;" OK",ROUND(AVERAGE(Q1596:Q1601),1)&amp;" &lt; "&amp;$W$13&amp;" NC")),IF($X$13="/90",IF(#REF!="","",IF(AVERAGE(#REF!)&gt;=$W$13,ROUND(AVERAGE(#REF!),1)&amp;" ≥ "&amp;$W$13&amp;" OK",ROUND(AVERAGE(#REF!),1)&amp;" &lt; "&amp;$W$13&amp;" NC"))))</f>
        <v/>
      </c>
      <c r="T1600" s="278" t="str">
        <f>IF($X$13="/28",IF(Q1600="","",IF(Q1600&gt;=$W$13-$S$12,ROUND((Q1600),1)&amp;" ≥ "&amp;$W$13-$S$12&amp;" OK",ROUND((Q1600),1)&amp;" &lt; "&amp;$W$13-$S$12&amp;" NC")),IF($X$13="/90",IF(#REF!="","",IF(#REF!&gt;=$W$13-$S$12,ROUND((#REF!),1)&amp;" ≥ "&amp;$W$13-$S$12&amp;" OK",ROUND((#REF!),1)&amp;" &lt; "&amp;$W$13-$S$12&amp;" NC"))))</f>
        <v/>
      </c>
      <c r="U1600" s="14"/>
      <c r="V1600" s="279"/>
      <c r="W1600" s="280"/>
      <c r="X1600" s="281"/>
      <c r="Y1600" s="246"/>
      <c r="Z1600" s="246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BP1600" s="390" t="str">
        <f>IF($X$13="/28",IF(Q1600="","",Q1600),IF($X$13="/90",IF(#REF!="","",#REF!),"Falso"))</f>
        <v/>
      </c>
      <c r="BQ1600" s="392" t="str">
        <f t="shared" si="2418"/>
        <v/>
      </c>
    </row>
    <row r="1601" spans="1:69" ht="14.25" customHeight="1" x14ac:dyDescent="0.35">
      <c r="A1601" s="294"/>
      <c r="B1601" s="296"/>
      <c r="C1601" s="298"/>
      <c r="D1601" s="300"/>
      <c r="E1601" s="302"/>
      <c r="F1601" s="304"/>
      <c r="G1601" s="276"/>
      <c r="H1601" s="277"/>
      <c r="I1601" s="290"/>
      <c r="J1601" s="290"/>
      <c r="K1601" s="291"/>
      <c r="L1601" s="17"/>
      <c r="M1601" s="286"/>
      <c r="N1601" s="21"/>
      <c r="O1601" s="286"/>
      <c r="P1601" s="21"/>
      <c r="Q1601" s="286"/>
      <c r="R1601" s="248"/>
      <c r="S1601" s="287"/>
      <c r="T1601" s="248"/>
      <c r="U1601" s="13"/>
      <c r="V1601" s="282"/>
      <c r="W1601" s="283"/>
      <c r="X1601" s="284"/>
      <c r="Y1601" s="245"/>
      <c r="Z1601" s="245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BP1601" s="391"/>
      <c r="BQ1601" s="393"/>
    </row>
    <row r="1602" spans="1:69" ht="14.25" customHeight="1" x14ac:dyDescent="0.35">
      <c r="A1602" s="293">
        <v>793</v>
      </c>
      <c r="B1602" s="295"/>
      <c r="C1602" s="297"/>
      <c r="D1602" s="299"/>
      <c r="E1602" s="301"/>
      <c r="F1602" s="303"/>
      <c r="G1602" s="288"/>
      <c r="H1602" s="289"/>
      <c r="I1602" s="290"/>
      <c r="J1602" s="290"/>
      <c r="K1602" s="291"/>
      <c r="L1602" s="18"/>
      <c r="M1602" s="285" t="str">
        <f t="shared" ref="M1602" si="2491">IF(COUNT(L1602:L1603)&lt;1,"",AVERAGE(L1602:L1603))</f>
        <v/>
      </c>
      <c r="N1602" s="22"/>
      <c r="O1602" s="285" t="str">
        <f t="shared" ref="O1602" si="2492">IF(COUNT(N1602:N1603)&lt;1,"",AVERAGE(N1602:N1603))</f>
        <v/>
      </c>
      <c r="P1602" s="22"/>
      <c r="Q1602" s="285" t="str">
        <f t="shared" ref="Q1602" si="2493">IF(COUNT(P1602:P1603)&lt;1,"",AVERAGE(P1602:P1603))</f>
        <v/>
      </c>
      <c r="R1602" s="278" t="str">
        <f>IF($X$13="/28",IF(COUNT(P1602:P1603)&lt;=1,"",ABS(P1602-P1603)),IF($X$13="/90",IF(COUNT(#REF!)&lt;=1,"",ABS(#REF!-#REF!))))</f>
        <v/>
      </c>
      <c r="S1602" s="278" t="str">
        <f>IF($X$13="/28",IF(Q1602="","",IF(AVERAGE(Q1598:Q1603)&gt;=$W$13,ROUND(AVERAGE(Q1598:Q1603),1)&amp;" ≥ "&amp;$W$13&amp;" OK",ROUND(AVERAGE(Q1598:Q1603),1)&amp;" &lt; "&amp;$W$13&amp;" NC")),IF($X$13="/90",IF(#REF!="","",IF(AVERAGE(#REF!)&gt;=$W$13,ROUND(AVERAGE(#REF!),1)&amp;" ≥ "&amp;$W$13&amp;" OK",ROUND(AVERAGE(#REF!),1)&amp;" &lt; "&amp;$W$13&amp;" NC"))))</f>
        <v/>
      </c>
      <c r="T1602" s="278" t="str">
        <f>IF($X$13="/28",IF(Q1602="","",IF(Q1602&gt;=$W$13-$S$12,ROUND((Q1602),1)&amp;" ≥ "&amp;$W$13-$S$12&amp;" OK",ROUND((Q1602),1)&amp;" &lt; "&amp;$W$13-$S$12&amp;" NC")),IF($X$13="/90",IF(#REF!="","",IF(#REF!&gt;=$W$13-$S$12,ROUND((#REF!),1)&amp;" ≥ "&amp;$W$13-$S$12&amp;" OK",ROUND((#REF!),1)&amp;" &lt; "&amp;$W$13-$S$12&amp;" NC"))))</f>
        <v/>
      </c>
      <c r="U1602" s="14"/>
      <c r="V1602" s="279"/>
      <c r="W1602" s="280"/>
      <c r="X1602" s="281"/>
      <c r="Y1602" s="246"/>
      <c r="Z1602" s="246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BP1602" s="390" t="str">
        <f>IF($X$13="/28",IF(Q1602="","",Q1602),IF($X$13="/90",IF(#REF!="","",#REF!),"Falso"))</f>
        <v/>
      </c>
      <c r="BQ1602" s="392" t="str">
        <f t="shared" si="2410"/>
        <v/>
      </c>
    </row>
    <row r="1603" spans="1:69" ht="14.25" customHeight="1" x14ac:dyDescent="0.35">
      <c r="A1603" s="294"/>
      <c r="B1603" s="296"/>
      <c r="C1603" s="298"/>
      <c r="D1603" s="300"/>
      <c r="E1603" s="302"/>
      <c r="F1603" s="304"/>
      <c r="G1603" s="276"/>
      <c r="H1603" s="277"/>
      <c r="I1603" s="290"/>
      <c r="J1603" s="290"/>
      <c r="K1603" s="291"/>
      <c r="L1603" s="17"/>
      <c r="M1603" s="286"/>
      <c r="N1603" s="21"/>
      <c r="O1603" s="286"/>
      <c r="P1603" s="21"/>
      <c r="Q1603" s="286"/>
      <c r="R1603" s="248"/>
      <c r="S1603" s="287"/>
      <c r="T1603" s="248"/>
      <c r="U1603" s="13"/>
      <c r="V1603" s="282"/>
      <c r="W1603" s="283"/>
      <c r="X1603" s="284"/>
      <c r="Y1603" s="245"/>
      <c r="Z1603" s="245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BP1603" s="391"/>
      <c r="BQ1603" s="393"/>
    </row>
    <row r="1604" spans="1:69" ht="14.25" customHeight="1" x14ac:dyDescent="0.35">
      <c r="A1604" s="293">
        <v>794</v>
      </c>
      <c r="B1604" s="295"/>
      <c r="C1604" s="297"/>
      <c r="D1604" s="299"/>
      <c r="E1604" s="301"/>
      <c r="F1604" s="303"/>
      <c r="G1604" s="288"/>
      <c r="H1604" s="289"/>
      <c r="I1604" s="290"/>
      <c r="J1604" s="290"/>
      <c r="K1604" s="291"/>
      <c r="L1604" s="18"/>
      <c r="M1604" s="285" t="str">
        <f t="shared" ref="M1604" si="2494">IF(COUNT(L1604:L1605)&lt;1,"",AVERAGE(L1604:L1605))</f>
        <v/>
      </c>
      <c r="N1604" s="22"/>
      <c r="O1604" s="285" t="str">
        <f t="shared" ref="O1604" si="2495">IF(COUNT(N1604:N1605)&lt;1,"",AVERAGE(N1604:N1605))</f>
        <v/>
      </c>
      <c r="P1604" s="22"/>
      <c r="Q1604" s="285" t="str">
        <f t="shared" ref="Q1604" si="2496">IF(COUNT(P1604:P1605)&lt;1,"",AVERAGE(P1604:P1605))</f>
        <v/>
      </c>
      <c r="R1604" s="278" t="str">
        <f>IF($X$13="/28",IF(COUNT(P1604:P1605)&lt;=1,"",ABS(P1604-P1605)),IF($X$13="/90",IF(COUNT(#REF!)&lt;=1,"",ABS(#REF!-#REF!))))</f>
        <v/>
      </c>
      <c r="S1604" s="278" t="str">
        <f>IF($X$13="/28",IF(Q1604="","",IF(AVERAGE(Q1600:Q1605)&gt;=$W$13,ROUND(AVERAGE(Q1600:Q1605),1)&amp;" ≥ "&amp;$W$13&amp;" OK",ROUND(AVERAGE(Q1600:Q1605),1)&amp;" &lt; "&amp;$W$13&amp;" NC")),IF($X$13="/90",IF(#REF!="","",IF(AVERAGE(#REF!)&gt;=$W$13,ROUND(AVERAGE(#REF!),1)&amp;" ≥ "&amp;$W$13&amp;" OK",ROUND(AVERAGE(#REF!),1)&amp;" &lt; "&amp;$W$13&amp;" NC"))))</f>
        <v/>
      </c>
      <c r="T1604" s="278" t="str">
        <f>IF($X$13="/28",IF(Q1604="","",IF(Q1604&gt;=$W$13-$S$12,ROUND((Q1604),1)&amp;" ≥ "&amp;$W$13-$S$12&amp;" OK",ROUND((Q1604),1)&amp;" &lt; "&amp;$W$13-$S$12&amp;" NC")),IF($X$13="/90",IF(#REF!="","",IF(#REF!&gt;=$W$13-$S$12,ROUND((#REF!),1)&amp;" ≥ "&amp;$W$13-$S$12&amp;" OK",ROUND((#REF!),1)&amp;" &lt; "&amp;$W$13-$S$12&amp;" NC"))))</f>
        <v/>
      </c>
      <c r="U1604" s="14"/>
      <c r="V1604" s="279"/>
      <c r="W1604" s="280"/>
      <c r="X1604" s="281"/>
      <c r="Y1604" s="246"/>
      <c r="Z1604" s="246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BP1604" s="390" t="str">
        <f>IF($X$13="/28",IF(Q1604="","",Q1604),IF($X$13="/90",IF(#REF!="","",#REF!),"Falso"))</f>
        <v/>
      </c>
      <c r="BQ1604" s="392" t="str">
        <f t="shared" si="2414"/>
        <v/>
      </c>
    </row>
    <row r="1605" spans="1:69" ht="14.25" customHeight="1" x14ac:dyDescent="0.35">
      <c r="A1605" s="294"/>
      <c r="B1605" s="296"/>
      <c r="C1605" s="298"/>
      <c r="D1605" s="300"/>
      <c r="E1605" s="302"/>
      <c r="F1605" s="304"/>
      <c r="G1605" s="276"/>
      <c r="H1605" s="277"/>
      <c r="I1605" s="290"/>
      <c r="J1605" s="290"/>
      <c r="K1605" s="291"/>
      <c r="L1605" s="17"/>
      <c r="M1605" s="286"/>
      <c r="N1605" s="21"/>
      <c r="O1605" s="286"/>
      <c r="P1605" s="21"/>
      <c r="Q1605" s="286"/>
      <c r="R1605" s="248"/>
      <c r="S1605" s="287"/>
      <c r="T1605" s="248"/>
      <c r="U1605" s="13"/>
      <c r="V1605" s="282"/>
      <c r="W1605" s="283"/>
      <c r="X1605" s="284"/>
      <c r="Y1605" s="245"/>
      <c r="Z1605" s="245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BP1605" s="391"/>
      <c r="BQ1605" s="393"/>
    </row>
    <row r="1606" spans="1:69" ht="14.25" customHeight="1" x14ac:dyDescent="0.35">
      <c r="A1606" s="293">
        <v>795</v>
      </c>
      <c r="B1606" s="295"/>
      <c r="C1606" s="297"/>
      <c r="D1606" s="299"/>
      <c r="E1606" s="301"/>
      <c r="F1606" s="303"/>
      <c r="G1606" s="288"/>
      <c r="H1606" s="289"/>
      <c r="I1606" s="290"/>
      <c r="J1606" s="290"/>
      <c r="K1606" s="291"/>
      <c r="L1606" s="18"/>
      <c r="M1606" s="285" t="str">
        <f t="shared" ref="M1606" si="2497">IF(COUNT(L1606:L1607)&lt;1,"",AVERAGE(L1606:L1607))</f>
        <v/>
      </c>
      <c r="N1606" s="22"/>
      <c r="O1606" s="285" t="str">
        <f t="shared" ref="O1606" si="2498">IF(COUNT(N1606:N1607)&lt;1,"",AVERAGE(N1606:N1607))</f>
        <v/>
      </c>
      <c r="P1606" s="22"/>
      <c r="Q1606" s="285" t="str">
        <f t="shared" ref="Q1606" si="2499">IF(COUNT(P1606:P1607)&lt;1,"",AVERAGE(P1606:P1607))</f>
        <v/>
      </c>
      <c r="R1606" s="278" t="str">
        <f>IF($X$13="/28",IF(COUNT(P1606:P1607)&lt;=1,"",ABS(P1606-P1607)),IF($X$13="/90",IF(COUNT(#REF!)&lt;=1,"",ABS(#REF!-#REF!))))</f>
        <v/>
      </c>
      <c r="S1606" s="278" t="str">
        <f>IF($X$13="/28",IF(Q1606="","",IF(AVERAGE(Q1602:Q1607)&gt;=$W$13,ROUND(AVERAGE(Q1602:Q1607),1)&amp;" ≥ "&amp;$W$13&amp;" OK",ROUND(AVERAGE(Q1602:Q1607),1)&amp;" &lt; "&amp;$W$13&amp;" NC")),IF($X$13="/90",IF(#REF!="","",IF(AVERAGE(#REF!)&gt;=$W$13,ROUND(AVERAGE(#REF!),1)&amp;" ≥ "&amp;$W$13&amp;" OK",ROUND(AVERAGE(#REF!),1)&amp;" &lt; "&amp;$W$13&amp;" NC"))))</f>
        <v/>
      </c>
      <c r="T1606" s="278" t="str">
        <f>IF($X$13="/28",IF(Q1606="","",IF(Q1606&gt;=$W$13-$S$12,ROUND((Q1606),1)&amp;" ≥ "&amp;$W$13-$S$12&amp;" OK",ROUND((Q1606),1)&amp;" &lt; "&amp;$W$13-$S$12&amp;" NC")),IF($X$13="/90",IF(#REF!="","",IF(#REF!&gt;=$W$13-$S$12,ROUND((#REF!),1)&amp;" ≥ "&amp;$W$13-$S$12&amp;" OK",ROUND((#REF!),1)&amp;" &lt; "&amp;$W$13-$S$12&amp;" NC"))))</f>
        <v/>
      </c>
      <c r="U1606" s="14"/>
      <c r="V1606" s="279"/>
      <c r="W1606" s="280"/>
      <c r="X1606" s="281"/>
      <c r="Y1606" s="246"/>
      <c r="Z1606" s="246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BP1606" s="390" t="str">
        <f>IF($X$13="/28",IF(Q1606="","",Q1606),IF($X$13="/90",IF(#REF!="","",#REF!),"Falso"))</f>
        <v/>
      </c>
      <c r="BQ1606" s="392" t="str">
        <f t="shared" si="2418"/>
        <v/>
      </c>
    </row>
    <row r="1607" spans="1:69" ht="14.25" customHeight="1" x14ac:dyDescent="0.35">
      <c r="A1607" s="294"/>
      <c r="B1607" s="296"/>
      <c r="C1607" s="298"/>
      <c r="D1607" s="300"/>
      <c r="E1607" s="302"/>
      <c r="F1607" s="304"/>
      <c r="G1607" s="276"/>
      <c r="H1607" s="277"/>
      <c r="I1607" s="290"/>
      <c r="J1607" s="290"/>
      <c r="K1607" s="291"/>
      <c r="L1607" s="17"/>
      <c r="M1607" s="286"/>
      <c r="N1607" s="21"/>
      <c r="O1607" s="286"/>
      <c r="P1607" s="21"/>
      <c r="Q1607" s="286"/>
      <c r="R1607" s="248"/>
      <c r="S1607" s="287"/>
      <c r="T1607" s="248"/>
      <c r="U1607" s="13"/>
      <c r="V1607" s="282"/>
      <c r="W1607" s="283"/>
      <c r="X1607" s="284"/>
      <c r="Y1607" s="245"/>
      <c r="Z1607" s="245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BP1607" s="391"/>
      <c r="BQ1607" s="393"/>
    </row>
    <row r="1608" spans="1:69" ht="14.25" customHeight="1" x14ac:dyDescent="0.35">
      <c r="A1608" s="293">
        <v>796</v>
      </c>
      <c r="B1608" s="295"/>
      <c r="C1608" s="297"/>
      <c r="D1608" s="299"/>
      <c r="E1608" s="301"/>
      <c r="F1608" s="303"/>
      <c r="G1608" s="288"/>
      <c r="H1608" s="289"/>
      <c r="I1608" s="290"/>
      <c r="J1608" s="290"/>
      <c r="K1608" s="291"/>
      <c r="L1608" s="18"/>
      <c r="M1608" s="285" t="str">
        <f t="shared" ref="M1608" si="2500">IF(COUNT(L1608:L1609)&lt;1,"",AVERAGE(L1608:L1609))</f>
        <v/>
      </c>
      <c r="N1608" s="22"/>
      <c r="O1608" s="285" t="str">
        <f t="shared" ref="O1608" si="2501">IF(COUNT(N1608:N1609)&lt;1,"",AVERAGE(N1608:N1609))</f>
        <v/>
      </c>
      <c r="P1608" s="22"/>
      <c r="Q1608" s="285" t="str">
        <f t="shared" ref="Q1608" si="2502">IF(COUNT(P1608:P1609)&lt;1,"",AVERAGE(P1608:P1609))</f>
        <v/>
      </c>
      <c r="R1608" s="278" t="str">
        <f>IF($X$13="/28",IF(COUNT(P1608:P1609)&lt;=1,"",ABS(P1608-P1609)),IF($X$13="/90",IF(COUNT(#REF!)&lt;=1,"",ABS(#REF!-#REF!))))</f>
        <v/>
      </c>
      <c r="S1608" s="278" t="str">
        <f>IF($X$13="/28",IF(Q1608="","",IF(AVERAGE(Q1604:Q1609)&gt;=$W$13,ROUND(AVERAGE(Q1604:Q1609),1)&amp;" ≥ "&amp;$W$13&amp;" OK",ROUND(AVERAGE(Q1604:Q1609),1)&amp;" &lt; "&amp;$W$13&amp;" NC")),IF($X$13="/90",IF(#REF!="","",IF(AVERAGE(#REF!)&gt;=$W$13,ROUND(AVERAGE(#REF!),1)&amp;" ≥ "&amp;$W$13&amp;" OK",ROUND(AVERAGE(#REF!),1)&amp;" &lt; "&amp;$W$13&amp;" NC"))))</f>
        <v/>
      </c>
      <c r="T1608" s="278" t="str">
        <f>IF($X$13="/28",IF(Q1608="","",IF(Q1608&gt;=$W$13-$S$12,ROUND((Q1608),1)&amp;" ≥ "&amp;$W$13-$S$12&amp;" OK",ROUND((Q1608),1)&amp;" &lt; "&amp;$W$13-$S$12&amp;" NC")),IF($X$13="/90",IF(#REF!="","",IF(#REF!&gt;=$W$13-$S$12,ROUND((#REF!),1)&amp;" ≥ "&amp;$W$13-$S$12&amp;" OK",ROUND((#REF!),1)&amp;" &lt; "&amp;$W$13-$S$12&amp;" NC"))))</f>
        <v/>
      </c>
      <c r="U1608" s="14"/>
      <c r="V1608" s="279"/>
      <c r="W1608" s="280"/>
      <c r="X1608" s="281"/>
      <c r="Y1608" s="246"/>
      <c r="Z1608" s="246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BP1608" s="390" t="str">
        <f>IF($X$13="/28",IF(Q1608="","",Q1608),IF($X$13="/90",IF(#REF!="","",#REF!),"Falso"))</f>
        <v/>
      </c>
      <c r="BQ1608" s="392" t="str">
        <f t="shared" si="2410"/>
        <v/>
      </c>
    </row>
    <row r="1609" spans="1:69" ht="14.25" customHeight="1" x14ac:dyDescent="0.35">
      <c r="A1609" s="294"/>
      <c r="B1609" s="296"/>
      <c r="C1609" s="298"/>
      <c r="D1609" s="300"/>
      <c r="E1609" s="302"/>
      <c r="F1609" s="304"/>
      <c r="G1609" s="276"/>
      <c r="H1609" s="277"/>
      <c r="I1609" s="290"/>
      <c r="J1609" s="290"/>
      <c r="K1609" s="291"/>
      <c r="L1609" s="17"/>
      <c r="M1609" s="286"/>
      <c r="N1609" s="21"/>
      <c r="O1609" s="286"/>
      <c r="P1609" s="21"/>
      <c r="Q1609" s="286"/>
      <c r="R1609" s="248"/>
      <c r="S1609" s="287"/>
      <c r="T1609" s="248"/>
      <c r="U1609" s="13"/>
      <c r="V1609" s="282"/>
      <c r="W1609" s="283"/>
      <c r="X1609" s="284"/>
      <c r="Y1609" s="245"/>
      <c r="Z1609" s="245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BP1609" s="391"/>
      <c r="BQ1609" s="393"/>
    </row>
    <row r="1610" spans="1:69" ht="14.25" customHeight="1" x14ac:dyDescent="0.35">
      <c r="A1610" s="293">
        <v>797</v>
      </c>
      <c r="B1610" s="295"/>
      <c r="C1610" s="297"/>
      <c r="D1610" s="299"/>
      <c r="E1610" s="301"/>
      <c r="F1610" s="303"/>
      <c r="G1610" s="288"/>
      <c r="H1610" s="289"/>
      <c r="I1610" s="290"/>
      <c r="J1610" s="290"/>
      <c r="K1610" s="291"/>
      <c r="L1610" s="18"/>
      <c r="M1610" s="285" t="str">
        <f t="shared" ref="M1610" si="2503">IF(COUNT(L1610:L1611)&lt;1,"",AVERAGE(L1610:L1611))</f>
        <v/>
      </c>
      <c r="N1610" s="22"/>
      <c r="O1610" s="285" t="str">
        <f t="shared" ref="O1610" si="2504">IF(COUNT(N1610:N1611)&lt;1,"",AVERAGE(N1610:N1611))</f>
        <v/>
      </c>
      <c r="P1610" s="22"/>
      <c r="Q1610" s="285" t="str">
        <f t="shared" ref="Q1610" si="2505">IF(COUNT(P1610:P1611)&lt;1,"",AVERAGE(P1610:P1611))</f>
        <v/>
      </c>
      <c r="R1610" s="278" t="str">
        <f>IF($X$13="/28",IF(COUNT(P1610:P1611)&lt;=1,"",ABS(P1610-P1611)),IF($X$13="/90",IF(COUNT(#REF!)&lt;=1,"",ABS(#REF!-#REF!))))</f>
        <v/>
      </c>
      <c r="S1610" s="278" t="str">
        <f>IF($X$13="/28",IF(Q1610="","",IF(AVERAGE(Q1606:Q1611)&gt;=$W$13,ROUND(AVERAGE(Q1606:Q1611),1)&amp;" ≥ "&amp;$W$13&amp;" OK",ROUND(AVERAGE(Q1606:Q1611),1)&amp;" &lt; "&amp;$W$13&amp;" NC")),IF($X$13="/90",IF(#REF!="","",IF(AVERAGE(#REF!)&gt;=$W$13,ROUND(AVERAGE(#REF!),1)&amp;" ≥ "&amp;$W$13&amp;" OK",ROUND(AVERAGE(#REF!),1)&amp;" &lt; "&amp;$W$13&amp;" NC"))))</f>
        <v/>
      </c>
      <c r="T1610" s="278" t="str">
        <f>IF($X$13="/28",IF(Q1610="","",IF(Q1610&gt;=$W$13-$S$12,ROUND((Q1610),1)&amp;" ≥ "&amp;$W$13-$S$12&amp;" OK",ROUND((Q1610),1)&amp;" &lt; "&amp;$W$13-$S$12&amp;" NC")),IF($X$13="/90",IF(#REF!="","",IF(#REF!&gt;=$W$13-$S$12,ROUND((#REF!),1)&amp;" ≥ "&amp;$W$13-$S$12&amp;" OK",ROUND((#REF!),1)&amp;" &lt; "&amp;$W$13-$S$12&amp;" NC"))))</f>
        <v/>
      </c>
      <c r="U1610" s="14"/>
      <c r="V1610" s="279"/>
      <c r="W1610" s="280"/>
      <c r="X1610" s="281"/>
      <c r="Y1610" s="246"/>
      <c r="Z1610" s="246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BP1610" s="390" t="str">
        <f>IF($X$13="/28",IF(Q1610="","",Q1610),IF($X$13="/90",IF(#REF!="","",#REF!),"Falso"))</f>
        <v/>
      </c>
      <c r="BQ1610" s="392" t="str">
        <f t="shared" si="2414"/>
        <v/>
      </c>
    </row>
    <row r="1611" spans="1:69" ht="14.25" customHeight="1" x14ac:dyDescent="0.35">
      <c r="A1611" s="294"/>
      <c r="B1611" s="296"/>
      <c r="C1611" s="298"/>
      <c r="D1611" s="300"/>
      <c r="E1611" s="302"/>
      <c r="F1611" s="304"/>
      <c r="G1611" s="276"/>
      <c r="H1611" s="277"/>
      <c r="I1611" s="290"/>
      <c r="J1611" s="290"/>
      <c r="K1611" s="291"/>
      <c r="L1611" s="17"/>
      <c r="M1611" s="286"/>
      <c r="N1611" s="21"/>
      <c r="O1611" s="286"/>
      <c r="P1611" s="21"/>
      <c r="Q1611" s="286"/>
      <c r="R1611" s="248"/>
      <c r="S1611" s="287"/>
      <c r="T1611" s="248"/>
      <c r="U1611" s="13"/>
      <c r="V1611" s="282"/>
      <c r="W1611" s="283"/>
      <c r="X1611" s="284"/>
      <c r="Y1611" s="245"/>
      <c r="Z1611" s="245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BP1611" s="391"/>
      <c r="BQ1611" s="393"/>
    </row>
    <row r="1612" spans="1:69" ht="14.25" customHeight="1" x14ac:dyDescent="0.35">
      <c r="A1612" s="293">
        <v>798</v>
      </c>
      <c r="B1612" s="295"/>
      <c r="C1612" s="297"/>
      <c r="D1612" s="299"/>
      <c r="E1612" s="301"/>
      <c r="F1612" s="303"/>
      <c r="G1612" s="288"/>
      <c r="H1612" s="289"/>
      <c r="I1612" s="290"/>
      <c r="J1612" s="290"/>
      <c r="K1612" s="291"/>
      <c r="L1612" s="18"/>
      <c r="M1612" s="285" t="str">
        <f t="shared" ref="M1612" si="2506">IF(COUNT(L1612:L1613)&lt;1,"",AVERAGE(L1612:L1613))</f>
        <v/>
      </c>
      <c r="N1612" s="22"/>
      <c r="O1612" s="285" t="str">
        <f t="shared" ref="O1612" si="2507">IF(COUNT(N1612:N1613)&lt;1,"",AVERAGE(N1612:N1613))</f>
        <v/>
      </c>
      <c r="P1612" s="22"/>
      <c r="Q1612" s="285" t="str">
        <f t="shared" ref="Q1612" si="2508">IF(COUNT(P1612:P1613)&lt;1,"",AVERAGE(P1612:P1613))</f>
        <v/>
      </c>
      <c r="R1612" s="278" t="str">
        <f>IF($X$13="/28",IF(COUNT(P1612:P1613)&lt;=1,"",ABS(P1612-P1613)),IF($X$13="/90",IF(COUNT(#REF!)&lt;=1,"",ABS(#REF!-#REF!))))</f>
        <v/>
      </c>
      <c r="S1612" s="278" t="str">
        <f>IF($X$13="/28",IF(Q1612="","",IF(AVERAGE(Q1608:Q1613)&gt;=$W$13,ROUND(AVERAGE(Q1608:Q1613),1)&amp;" ≥ "&amp;$W$13&amp;" OK",ROUND(AVERAGE(Q1608:Q1613),1)&amp;" &lt; "&amp;$W$13&amp;" NC")),IF($X$13="/90",IF(#REF!="","",IF(AVERAGE(#REF!)&gt;=$W$13,ROUND(AVERAGE(#REF!),1)&amp;" ≥ "&amp;$W$13&amp;" OK",ROUND(AVERAGE(#REF!),1)&amp;" &lt; "&amp;$W$13&amp;" NC"))))</f>
        <v/>
      </c>
      <c r="T1612" s="278" t="str">
        <f>IF($X$13="/28",IF(Q1612="","",IF(Q1612&gt;=$W$13-$S$12,ROUND((Q1612),1)&amp;" ≥ "&amp;$W$13-$S$12&amp;" OK",ROUND((Q1612),1)&amp;" &lt; "&amp;$W$13-$S$12&amp;" NC")),IF($X$13="/90",IF(#REF!="","",IF(#REF!&gt;=$W$13-$S$12,ROUND((#REF!),1)&amp;" ≥ "&amp;$W$13-$S$12&amp;" OK",ROUND((#REF!),1)&amp;" &lt; "&amp;$W$13-$S$12&amp;" NC"))))</f>
        <v/>
      </c>
      <c r="U1612" s="14"/>
      <c r="V1612" s="279"/>
      <c r="W1612" s="280"/>
      <c r="X1612" s="281"/>
      <c r="Y1612" s="246"/>
      <c r="Z1612" s="246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BP1612" s="390" t="str">
        <f>IF($X$13="/28",IF(Q1612="","",Q1612),IF($X$13="/90",IF(#REF!="","",#REF!),"Falso"))</f>
        <v/>
      </c>
      <c r="BQ1612" s="392" t="str">
        <f t="shared" si="2418"/>
        <v/>
      </c>
    </row>
    <row r="1613" spans="1:69" ht="14.25" customHeight="1" x14ac:dyDescent="0.35">
      <c r="A1613" s="294"/>
      <c r="B1613" s="296"/>
      <c r="C1613" s="298"/>
      <c r="D1613" s="300"/>
      <c r="E1613" s="302"/>
      <c r="F1613" s="304"/>
      <c r="G1613" s="276"/>
      <c r="H1613" s="277"/>
      <c r="I1613" s="290"/>
      <c r="J1613" s="290"/>
      <c r="K1613" s="291"/>
      <c r="L1613" s="17"/>
      <c r="M1613" s="286"/>
      <c r="N1613" s="21"/>
      <c r="O1613" s="286"/>
      <c r="P1613" s="21"/>
      <c r="Q1613" s="286"/>
      <c r="R1613" s="248"/>
      <c r="S1613" s="287"/>
      <c r="T1613" s="248"/>
      <c r="U1613" s="13"/>
      <c r="V1613" s="282"/>
      <c r="W1613" s="283"/>
      <c r="X1613" s="284"/>
      <c r="Y1613" s="245"/>
      <c r="Z1613" s="245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BP1613" s="391"/>
      <c r="BQ1613" s="393"/>
    </row>
    <row r="1614" spans="1:69" ht="14.25" customHeight="1" x14ac:dyDescent="0.35">
      <c r="A1614" s="293">
        <v>799</v>
      </c>
      <c r="B1614" s="295"/>
      <c r="C1614" s="297"/>
      <c r="D1614" s="299"/>
      <c r="E1614" s="301"/>
      <c r="F1614" s="303"/>
      <c r="G1614" s="288"/>
      <c r="H1614" s="289"/>
      <c r="I1614" s="290"/>
      <c r="J1614" s="290"/>
      <c r="K1614" s="291"/>
      <c r="L1614" s="18"/>
      <c r="M1614" s="285" t="str">
        <f t="shared" ref="M1614" si="2509">IF(COUNT(L1614:L1615)&lt;1,"",AVERAGE(L1614:L1615))</f>
        <v/>
      </c>
      <c r="N1614" s="22"/>
      <c r="O1614" s="285" t="str">
        <f t="shared" ref="O1614" si="2510">IF(COUNT(N1614:N1615)&lt;1,"",AVERAGE(N1614:N1615))</f>
        <v/>
      </c>
      <c r="P1614" s="22"/>
      <c r="Q1614" s="285" t="str">
        <f t="shared" ref="Q1614" si="2511">IF(COUNT(P1614:P1615)&lt;1,"",AVERAGE(P1614:P1615))</f>
        <v/>
      </c>
      <c r="R1614" s="278" t="str">
        <f>IF($X$13="/28",IF(COUNT(P1614:P1615)&lt;=1,"",ABS(P1614-P1615)),IF($X$13="/90",IF(COUNT(#REF!)&lt;=1,"",ABS(#REF!-#REF!))))</f>
        <v/>
      </c>
      <c r="S1614" s="278" t="str">
        <f>IF($X$13="/28",IF(Q1614="","",IF(AVERAGE(Q1610:Q1615)&gt;=$W$13,ROUND(AVERAGE(Q1610:Q1615),1)&amp;" ≥ "&amp;$W$13&amp;" OK",ROUND(AVERAGE(Q1610:Q1615),1)&amp;" &lt; "&amp;$W$13&amp;" NC")),IF($X$13="/90",IF(#REF!="","",IF(AVERAGE(#REF!)&gt;=$W$13,ROUND(AVERAGE(#REF!),1)&amp;" ≥ "&amp;$W$13&amp;" OK",ROUND(AVERAGE(#REF!),1)&amp;" &lt; "&amp;$W$13&amp;" NC"))))</f>
        <v/>
      </c>
      <c r="T1614" s="278" t="str">
        <f>IF($X$13="/28",IF(Q1614="","",IF(Q1614&gt;=$W$13-$S$12,ROUND((Q1614),1)&amp;" ≥ "&amp;$W$13-$S$12&amp;" OK",ROUND((Q1614),1)&amp;" &lt; "&amp;$W$13-$S$12&amp;" NC")),IF($X$13="/90",IF(#REF!="","",IF(#REF!&gt;=$W$13-$S$12,ROUND((#REF!),1)&amp;" ≥ "&amp;$W$13-$S$12&amp;" OK",ROUND((#REF!),1)&amp;" &lt; "&amp;$W$13-$S$12&amp;" NC"))))</f>
        <v/>
      </c>
      <c r="U1614" s="14"/>
      <c r="V1614" s="279"/>
      <c r="W1614" s="280"/>
      <c r="X1614" s="281"/>
      <c r="Y1614" s="246"/>
      <c r="Z1614" s="246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BP1614" s="390" t="str">
        <f>IF($X$13="/28",IF(Q1614="","",Q1614),IF($X$13="/90",IF(#REF!="","",#REF!),"Falso"))</f>
        <v/>
      </c>
      <c r="BQ1614" s="392" t="str">
        <f t="shared" ref="BQ1614:BQ1674" si="2512">IF(BP1614="","",BQ1612+1)</f>
        <v/>
      </c>
    </row>
    <row r="1615" spans="1:69" ht="14.25" customHeight="1" x14ac:dyDescent="0.35">
      <c r="A1615" s="294"/>
      <c r="B1615" s="296"/>
      <c r="C1615" s="298"/>
      <c r="D1615" s="300"/>
      <c r="E1615" s="302"/>
      <c r="F1615" s="304"/>
      <c r="G1615" s="276"/>
      <c r="H1615" s="277"/>
      <c r="I1615" s="290"/>
      <c r="J1615" s="290"/>
      <c r="K1615" s="291"/>
      <c r="L1615" s="17"/>
      <c r="M1615" s="286"/>
      <c r="N1615" s="21"/>
      <c r="O1615" s="286"/>
      <c r="P1615" s="21"/>
      <c r="Q1615" s="286"/>
      <c r="R1615" s="248"/>
      <c r="S1615" s="287"/>
      <c r="T1615" s="248"/>
      <c r="U1615" s="13"/>
      <c r="V1615" s="282"/>
      <c r="W1615" s="283"/>
      <c r="X1615" s="284"/>
      <c r="Y1615" s="245"/>
      <c r="Z1615" s="245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BP1615" s="391"/>
      <c r="BQ1615" s="393"/>
    </row>
    <row r="1616" spans="1:69" ht="14.25" customHeight="1" x14ac:dyDescent="0.35">
      <c r="A1616" s="293">
        <v>800</v>
      </c>
      <c r="B1616" s="295"/>
      <c r="C1616" s="297"/>
      <c r="D1616" s="299"/>
      <c r="E1616" s="301"/>
      <c r="F1616" s="303"/>
      <c r="G1616" s="288"/>
      <c r="H1616" s="289"/>
      <c r="I1616" s="290"/>
      <c r="J1616" s="290"/>
      <c r="K1616" s="291"/>
      <c r="L1616" s="18"/>
      <c r="M1616" s="285" t="str">
        <f t="shared" ref="M1616" si="2513">IF(COUNT(L1616:L1617)&lt;1,"",AVERAGE(L1616:L1617))</f>
        <v/>
      </c>
      <c r="N1616" s="22"/>
      <c r="O1616" s="285" t="str">
        <f t="shared" ref="O1616" si="2514">IF(COUNT(N1616:N1617)&lt;1,"",AVERAGE(N1616:N1617))</f>
        <v/>
      </c>
      <c r="P1616" s="22"/>
      <c r="Q1616" s="285" t="str">
        <f t="shared" ref="Q1616" si="2515">IF(COUNT(P1616:P1617)&lt;1,"",AVERAGE(P1616:P1617))</f>
        <v/>
      </c>
      <c r="R1616" s="278" t="str">
        <f>IF($X$13="/28",IF(COUNT(P1616:P1617)&lt;=1,"",ABS(P1616-P1617)),IF($X$13="/90",IF(COUNT(#REF!)&lt;=1,"",ABS(#REF!-#REF!))))</f>
        <v/>
      </c>
      <c r="S1616" s="278" t="str">
        <f>IF($X$13="/28",IF(Q1616="","",IF(AVERAGE(Q1612:Q1617)&gt;=$W$13,ROUND(AVERAGE(Q1612:Q1617),1)&amp;" ≥ "&amp;$W$13&amp;" OK",ROUND(AVERAGE(Q1612:Q1617),1)&amp;" &lt; "&amp;$W$13&amp;" NC")),IF($X$13="/90",IF(#REF!="","",IF(AVERAGE(#REF!)&gt;=$W$13,ROUND(AVERAGE(#REF!),1)&amp;" ≥ "&amp;$W$13&amp;" OK",ROUND(AVERAGE(#REF!),1)&amp;" &lt; "&amp;$W$13&amp;" NC"))))</f>
        <v/>
      </c>
      <c r="T1616" s="278" t="str">
        <f>IF($X$13="/28",IF(Q1616="","",IF(Q1616&gt;=$W$13-$S$12,ROUND((Q1616),1)&amp;" ≥ "&amp;$W$13-$S$12&amp;" OK",ROUND((Q1616),1)&amp;" &lt; "&amp;$W$13-$S$12&amp;" NC")),IF($X$13="/90",IF(#REF!="","",IF(#REF!&gt;=$W$13-$S$12,ROUND((#REF!),1)&amp;" ≥ "&amp;$W$13-$S$12&amp;" OK",ROUND((#REF!),1)&amp;" &lt; "&amp;$W$13-$S$12&amp;" NC"))))</f>
        <v/>
      </c>
      <c r="U1616" s="14"/>
      <c r="V1616" s="279"/>
      <c r="W1616" s="280"/>
      <c r="X1616" s="281"/>
      <c r="Y1616" s="246"/>
      <c r="Z1616" s="246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BP1616" s="390" t="str">
        <f>IF($X$13="/28",IF(Q1616="","",Q1616),IF($X$13="/90",IF(#REF!="","",#REF!),"Falso"))</f>
        <v/>
      </c>
      <c r="BQ1616" s="392" t="str">
        <f t="shared" ref="BQ1616:BQ1676" si="2516">IF(BP1616="","",BQ1614+1)</f>
        <v/>
      </c>
    </row>
    <row r="1617" spans="1:69" ht="14.25" customHeight="1" x14ac:dyDescent="0.35">
      <c r="A1617" s="294"/>
      <c r="B1617" s="296"/>
      <c r="C1617" s="298"/>
      <c r="D1617" s="300"/>
      <c r="E1617" s="302"/>
      <c r="F1617" s="304"/>
      <c r="G1617" s="276"/>
      <c r="H1617" s="277"/>
      <c r="I1617" s="290"/>
      <c r="J1617" s="290"/>
      <c r="K1617" s="291"/>
      <c r="L1617" s="17"/>
      <c r="M1617" s="286"/>
      <c r="N1617" s="21"/>
      <c r="O1617" s="286"/>
      <c r="P1617" s="21"/>
      <c r="Q1617" s="286"/>
      <c r="R1617" s="248"/>
      <c r="S1617" s="287"/>
      <c r="T1617" s="248"/>
      <c r="U1617" s="13"/>
      <c r="V1617" s="282"/>
      <c r="W1617" s="283"/>
      <c r="X1617" s="284"/>
      <c r="Y1617" s="245"/>
      <c r="Z1617" s="245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BP1617" s="391"/>
      <c r="BQ1617" s="393"/>
    </row>
    <row r="1618" spans="1:69" ht="14.25" customHeight="1" x14ac:dyDescent="0.35">
      <c r="A1618" s="293">
        <v>801</v>
      </c>
      <c r="B1618" s="295"/>
      <c r="C1618" s="297"/>
      <c r="D1618" s="299"/>
      <c r="E1618" s="301"/>
      <c r="F1618" s="303"/>
      <c r="G1618" s="288"/>
      <c r="H1618" s="289"/>
      <c r="I1618" s="290"/>
      <c r="J1618" s="290"/>
      <c r="K1618" s="291"/>
      <c r="L1618" s="18"/>
      <c r="M1618" s="285" t="str">
        <f t="shared" ref="M1618" si="2517">IF(COUNT(L1618:L1619)&lt;1,"",AVERAGE(L1618:L1619))</f>
        <v/>
      </c>
      <c r="N1618" s="22"/>
      <c r="O1618" s="285" t="str">
        <f t="shared" ref="O1618" si="2518">IF(COUNT(N1618:N1619)&lt;1,"",AVERAGE(N1618:N1619))</f>
        <v/>
      </c>
      <c r="P1618" s="22"/>
      <c r="Q1618" s="285" t="str">
        <f t="shared" ref="Q1618" si="2519">IF(COUNT(P1618:P1619)&lt;1,"",AVERAGE(P1618:P1619))</f>
        <v/>
      </c>
      <c r="R1618" s="278" t="str">
        <f>IF($X$13="/28",IF(COUNT(P1618:P1619)&lt;=1,"",ABS(P1618-P1619)),IF($X$13="/90",IF(COUNT(#REF!)&lt;=1,"",ABS(#REF!-#REF!))))</f>
        <v/>
      </c>
      <c r="S1618" s="278" t="str">
        <f>IF($X$13="/28",IF(Q1618="","",IF(AVERAGE(Q1614:Q1619)&gt;=$W$13,ROUND(AVERAGE(Q1614:Q1619),1)&amp;" ≥ "&amp;$W$13&amp;" OK",ROUND(AVERAGE(Q1614:Q1619),1)&amp;" &lt; "&amp;$W$13&amp;" NC")),IF($X$13="/90",IF(#REF!="","",IF(AVERAGE(#REF!)&gt;=$W$13,ROUND(AVERAGE(#REF!),1)&amp;" ≥ "&amp;$W$13&amp;" OK",ROUND(AVERAGE(#REF!),1)&amp;" &lt; "&amp;$W$13&amp;" NC"))))</f>
        <v/>
      </c>
      <c r="T1618" s="278" t="str">
        <f>IF($X$13="/28",IF(Q1618="","",IF(Q1618&gt;=$W$13-$S$12,ROUND((Q1618),1)&amp;" ≥ "&amp;$W$13-$S$12&amp;" OK",ROUND((Q1618),1)&amp;" &lt; "&amp;$W$13-$S$12&amp;" NC")),IF($X$13="/90",IF(#REF!="","",IF(#REF!&gt;=$W$13-$S$12,ROUND((#REF!),1)&amp;" ≥ "&amp;$W$13-$S$12&amp;" OK",ROUND((#REF!),1)&amp;" &lt; "&amp;$W$13-$S$12&amp;" NC"))))</f>
        <v/>
      </c>
      <c r="U1618" s="14"/>
      <c r="V1618" s="279"/>
      <c r="W1618" s="280"/>
      <c r="X1618" s="281"/>
      <c r="Y1618" s="246"/>
      <c r="Z1618" s="246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BP1618" s="390" t="str">
        <f>IF($X$13="/28",IF(Q1618="","",Q1618),IF($X$13="/90",IF(#REF!="","",#REF!),"Falso"))</f>
        <v/>
      </c>
      <c r="BQ1618" s="392" t="str">
        <f t="shared" ref="BQ1618:BQ1678" si="2520">IF(BP1618="","",BQ1616+1)</f>
        <v/>
      </c>
    </row>
    <row r="1619" spans="1:69" ht="14.25" customHeight="1" x14ac:dyDescent="0.35">
      <c r="A1619" s="294"/>
      <c r="B1619" s="296"/>
      <c r="C1619" s="298"/>
      <c r="D1619" s="300"/>
      <c r="E1619" s="302"/>
      <c r="F1619" s="304"/>
      <c r="G1619" s="276"/>
      <c r="H1619" s="277"/>
      <c r="I1619" s="290"/>
      <c r="J1619" s="290"/>
      <c r="K1619" s="291"/>
      <c r="L1619" s="17"/>
      <c r="M1619" s="286"/>
      <c r="N1619" s="21"/>
      <c r="O1619" s="286"/>
      <c r="P1619" s="21"/>
      <c r="Q1619" s="286"/>
      <c r="R1619" s="248"/>
      <c r="S1619" s="287"/>
      <c r="T1619" s="248"/>
      <c r="U1619" s="13"/>
      <c r="V1619" s="282"/>
      <c r="W1619" s="283"/>
      <c r="X1619" s="284"/>
      <c r="Y1619" s="245"/>
      <c r="Z1619" s="245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BP1619" s="391"/>
      <c r="BQ1619" s="393"/>
    </row>
    <row r="1620" spans="1:69" ht="14.25" customHeight="1" x14ac:dyDescent="0.35">
      <c r="A1620" s="293">
        <v>802</v>
      </c>
      <c r="B1620" s="295"/>
      <c r="C1620" s="297"/>
      <c r="D1620" s="299"/>
      <c r="E1620" s="301"/>
      <c r="F1620" s="303"/>
      <c r="G1620" s="288"/>
      <c r="H1620" s="289"/>
      <c r="I1620" s="290"/>
      <c r="J1620" s="290"/>
      <c r="K1620" s="291"/>
      <c r="L1620" s="18"/>
      <c r="M1620" s="285" t="str">
        <f t="shared" ref="M1620" si="2521">IF(COUNT(L1620:L1621)&lt;1,"",AVERAGE(L1620:L1621))</f>
        <v/>
      </c>
      <c r="N1620" s="22"/>
      <c r="O1620" s="285" t="str">
        <f t="shared" ref="O1620" si="2522">IF(COUNT(N1620:N1621)&lt;1,"",AVERAGE(N1620:N1621))</f>
        <v/>
      </c>
      <c r="P1620" s="22"/>
      <c r="Q1620" s="285" t="str">
        <f t="shared" ref="Q1620" si="2523">IF(COUNT(P1620:P1621)&lt;1,"",AVERAGE(P1620:P1621))</f>
        <v/>
      </c>
      <c r="R1620" s="278" t="str">
        <f>IF($X$13="/28",IF(COUNT(P1620:P1621)&lt;=1,"",ABS(P1620-P1621)),IF($X$13="/90",IF(COUNT(#REF!)&lt;=1,"",ABS(#REF!-#REF!))))</f>
        <v/>
      </c>
      <c r="S1620" s="278" t="str">
        <f>IF($X$13="/28",IF(Q1620="","",IF(AVERAGE(Q1616:Q1621)&gt;=$W$13,ROUND(AVERAGE(Q1616:Q1621),1)&amp;" ≥ "&amp;$W$13&amp;" OK",ROUND(AVERAGE(Q1616:Q1621),1)&amp;" &lt; "&amp;$W$13&amp;" NC")),IF($X$13="/90",IF(#REF!="","",IF(AVERAGE(#REF!)&gt;=$W$13,ROUND(AVERAGE(#REF!),1)&amp;" ≥ "&amp;$W$13&amp;" OK",ROUND(AVERAGE(#REF!),1)&amp;" &lt; "&amp;$W$13&amp;" NC"))))</f>
        <v/>
      </c>
      <c r="T1620" s="278" t="str">
        <f>IF($X$13="/28",IF(Q1620="","",IF(Q1620&gt;=$W$13-$S$12,ROUND((Q1620),1)&amp;" ≥ "&amp;$W$13-$S$12&amp;" OK",ROUND((Q1620),1)&amp;" &lt; "&amp;$W$13-$S$12&amp;" NC")),IF($X$13="/90",IF(#REF!="","",IF(#REF!&gt;=$W$13-$S$12,ROUND((#REF!),1)&amp;" ≥ "&amp;$W$13-$S$12&amp;" OK",ROUND((#REF!),1)&amp;" &lt; "&amp;$W$13-$S$12&amp;" NC"))))</f>
        <v/>
      </c>
      <c r="U1620" s="14"/>
      <c r="V1620" s="279"/>
      <c r="W1620" s="280"/>
      <c r="X1620" s="281"/>
      <c r="Y1620" s="246"/>
      <c r="Z1620" s="246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BP1620" s="390" t="str">
        <f>IF($X$13="/28",IF(Q1620="","",Q1620),IF($X$13="/90",IF(#REF!="","",#REF!),"Falso"))</f>
        <v/>
      </c>
      <c r="BQ1620" s="392" t="str">
        <f t="shared" si="2512"/>
        <v/>
      </c>
    </row>
    <row r="1621" spans="1:69" ht="14.25" customHeight="1" x14ac:dyDescent="0.35">
      <c r="A1621" s="294"/>
      <c r="B1621" s="296"/>
      <c r="C1621" s="298"/>
      <c r="D1621" s="300"/>
      <c r="E1621" s="302"/>
      <c r="F1621" s="304"/>
      <c r="G1621" s="276"/>
      <c r="H1621" s="277"/>
      <c r="I1621" s="290"/>
      <c r="J1621" s="290"/>
      <c r="K1621" s="291"/>
      <c r="L1621" s="17"/>
      <c r="M1621" s="286"/>
      <c r="N1621" s="21"/>
      <c r="O1621" s="286"/>
      <c r="P1621" s="21"/>
      <c r="Q1621" s="286"/>
      <c r="R1621" s="248"/>
      <c r="S1621" s="287"/>
      <c r="T1621" s="248"/>
      <c r="U1621" s="13"/>
      <c r="V1621" s="282"/>
      <c r="W1621" s="283"/>
      <c r="X1621" s="284"/>
      <c r="Y1621" s="245"/>
      <c r="Z1621" s="245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BP1621" s="391"/>
      <c r="BQ1621" s="393"/>
    </row>
    <row r="1622" spans="1:69" ht="14.25" customHeight="1" x14ac:dyDescent="0.35">
      <c r="A1622" s="293">
        <v>803</v>
      </c>
      <c r="B1622" s="295"/>
      <c r="C1622" s="297"/>
      <c r="D1622" s="299"/>
      <c r="E1622" s="301"/>
      <c r="F1622" s="303"/>
      <c r="G1622" s="288"/>
      <c r="H1622" s="289"/>
      <c r="I1622" s="290"/>
      <c r="J1622" s="290"/>
      <c r="K1622" s="291"/>
      <c r="L1622" s="18"/>
      <c r="M1622" s="285" t="str">
        <f t="shared" ref="M1622" si="2524">IF(COUNT(L1622:L1623)&lt;1,"",AVERAGE(L1622:L1623))</f>
        <v/>
      </c>
      <c r="N1622" s="22"/>
      <c r="O1622" s="285" t="str">
        <f t="shared" ref="O1622" si="2525">IF(COUNT(N1622:N1623)&lt;1,"",AVERAGE(N1622:N1623))</f>
        <v/>
      </c>
      <c r="P1622" s="22"/>
      <c r="Q1622" s="285" t="str">
        <f t="shared" ref="Q1622" si="2526">IF(COUNT(P1622:P1623)&lt;1,"",AVERAGE(P1622:P1623))</f>
        <v/>
      </c>
      <c r="R1622" s="278" t="str">
        <f>IF($X$13="/28",IF(COUNT(P1622:P1623)&lt;=1,"",ABS(P1622-P1623)),IF($X$13="/90",IF(COUNT(#REF!)&lt;=1,"",ABS(#REF!-#REF!))))</f>
        <v/>
      </c>
      <c r="S1622" s="278" t="str">
        <f>IF($X$13="/28",IF(Q1622="","",IF(AVERAGE(Q1618:Q1623)&gt;=$W$13,ROUND(AVERAGE(Q1618:Q1623),1)&amp;" ≥ "&amp;$W$13&amp;" OK",ROUND(AVERAGE(Q1618:Q1623),1)&amp;" &lt; "&amp;$W$13&amp;" NC")),IF($X$13="/90",IF(#REF!="","",IF(AVERAGE(#REF!)&gt;=$W$13,ROUND(AVERAGE(#REF!),1)&amp;" ≥ "&amp;$W$13&amp;" OK",ROUND(AVERAGE(#REF!),1)&amp;" &lt; "&amp;$W$13&amp;" NC"))))</f>
        <v/>
      </c>
      <c r="T1622" s="278" t="str">
        <f>IF($X$13="/28",IF(Q1622="","",IF(Q1622&gt;=$W$13-$S$12,ROUND((Q1622),1)&amp;" ≥ "&amp;$W$13-$S$12&amp;" OK",ROUND((Q1622),1)&amp;" &lt; "&amp;$W$13-$S$12&amp;" NC")),IF($X$13="/90",IF(#REF!="","",IF(#REF!&gt;=$W$13-$S$12,ROUND((#REF!),1)&amp;" ≥ "&amp;$W$13-$S$12&amp;" OK",ROUND((#REF!),1)&amp;" &lt; "&amp;$W$13-$S$12&amp;" NC"))))</f>
        <v/>
      </c>
      <c r="U1622" s="14"/>
      <c r="V1622" s="279"/>
      <c r="W1622" s="280"/>
      <c r="X1622" s="281"/>
      <c r="Y1622" s="246"/>
      <c r="Z1622" s="246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BP1622" s="390" t="str">
        <f>IF($X$13="/28",IF(Q1622="","",Q1622),IF($X$13="/90",IF(#REF!="","",#REF!),"Falso"))</f>
        <v/>
      </c>
      <c r="BQ1622" s="392" t="str">
        <f t="shared" si="2516"/>
        <v/>
      </c>
    </row>
    <row r="1623" spans="1:69" ht="14.25" customHeight="1" x14ac:dyDescent="0.35">
      <c r="A1623" s="294"/>
      <c r="B1623" s="296"/>
      <c r="C1623" s="298"/>
      <c r="D1623" s="300"/>
      <c r="E1623" s="302"/>
      <c r="F1623" s="304"/>
      <c r="G1623" s="276"/>
      <c r="H1623" s="277"/>
      <c r="I1623" s="290"/>
      <c r="J1623" s="290"/>
      <c r="K1623" s="291"/>
      <c r="L1623" s="17"/>
      <c r="M1623" s="286"/>
      <c r="N1623" s="21"/>
      <c r="O1623" s="286"/>
      <c r="P1623" s="21"/>
      <c r="Q1623" s="286"/>
      <c r="R1623" s="248"/>
      <c r="S1623" s="287"/>
      <c r="T1623" s="248"/>
      <c r="U1623" s="13"/>
      <c r="V1623" s="282"/>
      <c r="W1623" s="283"/>
      <c r="X1623" s="284"/>
      <c r="Y1623" s="245"/>
      <c r="Z1623" s="245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BP1623" s="391"/>
      <c r="BQ1623" s="393"/>
    </row>
    <row r="1624" spans="1:69" ht="14.25" customHeight="1" x14ac:dyDescent="0.35">
      <c r="A1624" s="293">
        <v>804</v>
      </c>
      <c r="B1624" s="295"/>
      <c r="C1624" s="297"/>
      <c r="D1624" s="299"/>
      <c r="E1624" s="301"/>
      <c r="F1624" s="303"/>
      <c r="G1624" s="288"/>
      <c r="H1624" s="289"/>
      <c r="I1624" s="290"/>
      <c r="J1624" s="290"/>
      <c r="K1624" s="291"/>
      <c r="L1624" s="18"/>
      <c r="M1624" s="285" t="str">
        <f t="shared" ref="M1624" si="2527">IF(COUNT(L1624:L1625)&lt;1,"",AVERAGE(L1624:L1625))</f>
        <v/>
      </c>
      <c r="N1624" s="22"/>
      <c r="O1624" s="285" t="str">
        <f t="shared" ref="O1624" si="2528">IF(COUNT(N1624:N1625)&lt;1,"",AVERAGE(N1624:N1625))</f>
        <v/>
      </c>
      <c r="P1624" s="22"/>
      <c r="Q1624" s="285" t="str">
        <f t="shared" ref="Q1624" si="2529">IF(COUNT(P1624:P1625)&lt;1,"",AVERAGE(P1624:P1625))</f>
        <v/>
      </c>
      <c r="R1624" s="278" t="str">
        <f>IF($X$13="/28",IF(COUNT(P1624:P1625)&lt;=1,"",ABS(P1624-P1625)),IF($X$13="/90",IF(COUNT(#REF!)&lt;=1,"",ABS(#REF!-#REF!))))</f>
        <v/>
      </c>
      <c r="S1624" s="278" t="str">
        <f>IF($X$13="/28",IF(Q1624="","",IF(AVERAGE(Q1620:Q1625)&gt;=$W$13,ROUND(AVERAGE(Q1620:Q1625),1)&amp;" ≥ "&amp;$W$13&amp;" OK",ROUND(AVERAGE(Q1620:Q1625),1)&amp;" &lt; "&amp;$W$13&amp;" NC")),IF($X$13="/90",IF(#REF!="","",IF(AVERAGE(#REF!)&gt;=$W$13,ROUND(AVERAGE(#REF!),1)&amp;" ≥ "&amp;$W$13&amp;" OK",ROUND(AVERAGE(#REF!),1)&amp;" &lt; "&amp;$W$13&amp;" NC"))))</f>
        <v/>
      </c>
      <c r="T1624" s="278" t="str">
        <f>IF($X$13="/28",IF(Q1624="","",IF(Q1624&gt;=$W$13-$S$12,ROUND((Q1624),1)&amp;" ≥ "&amp;$W$13-$S$12&amp;" OK",ROUND((Q1624),1)&amp;" &lt; "&amp;$W$13-$S$12&amp;" NC")),IF($X$13="/90",IF(#REF!="","",IF(#REF!&gt;=$W$13-$S$12,ROUND((#REF!),1)&amp;" ≥ "&amp;$W$13-$S$12&amp;" OK",ROUND((#REF!),1)&amp;" &lt; "&amp;$W$13-$S$12&amp;" NC"))))</f>
        <v/>
      </c>
      <c r="U1624" s="14"/>
      <c r="V1624" s="279"/>
      <c r="W1624" s="280"/>
      <c r="X1624" s="281"/>
      <c r="Y1624" s="246"/>
      <c r="Z1624" s="246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BP1624" s="390" t="str">
        <f>IF($X$13="/28",IF(Q1624="","",Q1624),IF($X$13="/90",IF(#REF!="","",#REF!),"Falso"))</f>
        <v/>
      </c>
      <c r="BQ1624" s="392" t="str">
        <f t="shared" si="2520"/>
        <v/>
      </c>
    </row>
    <row r="1625" spans="1:69" ht="14.25" customHeight="1" x14ac:dyDescent="0.35">
      <c r="A1625" s="294"/>
      <c r="B1625" s="296"/>
      <c r="C1625" s="298"/>
      <c r="D1625" s="300"/>
      <c r="E1625" s="302"/>
      <c r="F1625" s="304"/>
      <c r="G1625" s="276"/>
      <c r="H1625" s="277"/>
      <c r="I1625" s="290"/>
      <c r="J1625" s="290"/>
      <c r="K1625" s="291"/>
      <c r="L1625" s="17"/>
      <c r="M1625" s="286"/>
      <c r="N1625" s="21"/>
      <c r="O1625" s="286"/>
      <c r="P1625" s="21"/>
      <c r="Q1625" s="286"/>
      <c r="R1625" s="248"/>
      <c r="S1625" s="287"/>
      <c r="T1625" s="248"/>
      <c r="U1625" s="13"/>
      <c r="V1625" s="282"/>
      <c r="W1625" s="283"/>
      <c r="X1625" s="284"/>
      <c r="Y1625" s="245"/>
      <c r="Z1625" s="245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BP1625" s="391"/>
      <c r="BQ1625" s="393"/>
    </row>
    <row r="1626" spans="1:69" ht="14.25" customHeight="1" x14ac:dyDescent="0.35">
      <c r="A1626" s="293">
        <v>805</v>
      </c>
      <c r="B1626" s="295"/>
      <c r="C1626" s="297"/>
      <c r="D1626" s="299"/>
      <c r="E1626" s="301"/>
      <c r="F1626" s="303"/>
      <c r="G1626" s="288"/>
      <c r="H1626" s="289"/>
      <c r="I1626" s="290"/>
      <c r="J1626" s="290"/>
      <c r="K1626" s="291"/>
      <c r="L1626" s="18"/>
      <c r="M1626" s="285" t="str">
        <f t="shared" ref="M1626" si="2530">IF(COUNT(L1626:L1627)&lt;1,"",AVERAGE(L1626:L1627))</f>
        <v/>
      </c>
      <c r="N1626" s="22"/>
      <c r="O1626" s="285" t="str">
        <f t="shared" ref="O1626" si="2531">IF(COUNT(N1626:N1627)&lt;1,"",AVERAGE(N1626:N1627))</f>
        <v/>
      </c>
      <c r="P1626" s="22"/>
      <c r="Q1626" s="285" t="str">
        <f t="shared" ref="Q1626" si="2532">IF(COUNT(P1626:P1627)&lt;1,"",AVERAGE(P1626:P1627))</f>
        <v/>
      </c>
      <c r="R1626" s="278" t="str">
        <f>IF($X$13="/28",IF(COUNT(P1626:P1627)&lt;=1,"",ABS(P1626-P1627)),IF($X$13="/90",IF(COUNT(#REF!)&lt;=1,"",ABS(#REF!-#REF!))))</f>
        <v/>
      </c>
      <c r="S1626" s="278" t="str">
        <f>IF($X$13="/28",IF(Q1626="","",IF(AVERAGE(Q1622:Q1627)&gt;=$W$13,ROUND(AVERAGE(Q1622:Q1627),1)&amp;" ≥ "&amp;$W$13&amp;" OK",ROUND(AVERAGE(Q1622:Q1627),1)&amp;" &lt; "&amp;$W$13&amp;" NC")),IF($X$13="/90",IF(#REF!="","",IF(AVERAGE(#REF!)&gt;=$W$13,ROUND(AVERAGE(#REF!),1)&amp;" ≥ "&amp;$W$13&amp;" OK",ROUND(AVERAGE(#REF!),1)&amp;" &lt; "&amp;$W$13&amp;" NC"))))</f>
        <v/>
      </c>
      <c r="T1626" s="278" t="str">
        <f>IF($X$13="/28",IF(Q1626="","",IF(Q1626&gt;=$W$13-$S$12,ROUND((Q1626),1)&amp;" ≥ "&amp;$W$13-$S$12&amp;" OK",ROUND((Q1626),1)&amp;" &lt; "&amp;$W$13-$S$12&amp;" NC")),IF($X$13="/90",IF(#REF!="","",IF(#REF!&gt;=$W$13-$S$12,ROUND((#REF!),1)&amp;" ≥ "&amp;$W$13-$S$12&amp;" OK",ROUND((#REF!),1)&amp;" &lt; "&amp;$W$13-$S$12&amp;" NC"))))</f>
        <v/>
      </c>
      <c r="U1626" s="14"/>
      <c r="V1626" s="279"/>
      <c r="W1626" s="280"/>
      <c r="X1626" s="281"/>
      <c r="Y1626" s="246"/>
      <c r="Z1626" s="246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BP1626" s="390" t="str">
        <f>IF($X$13="/28",IF(Q1626="","",Q1626),IF($X$13="/90",IF(#REF!="","",#REF!),"Falso"))</f>
        <v/>
      </c>
      <c r="BQ1626" s="392" t="str">
        <f t="shared" si="2512"/>
        <v/>
      </c>
    </row>
    <row r="1627" spans="1:69" ht="14.25" customHeight="1" x14ac:dyDescent="0.35">
      <c r="A1627" s="294"/>
      <c r="B1627" s="296"/>
      <c r="C1627" s="298"/>
      <c r="D1627" s="300"/>
      <c r="E1627" s="302"/>
      <c r="F1627" s="304"/>
      <c r="G1627" s="276"/>
      <c r="H1627" s="277"/>
      <c r="I1627" s="290"/>
      <c r="J1627" s="290"/>
      <c r="K1627" s="291"/>
      <c r="L1627" s="17"/>
      <c r="M1627" s="286"/>
      <c r="N1627" s="21"/>
      <c r="O1627" s="286"/>
      <c r="P1627" s="21"/>
      <c r="Q1627" s="286"/>
      <c r="R1627" s="248"/>
      <c r="S1627" s="287"/>
      <c r="T1627" s="248"/>
      <c r="U1627" s="13"/>
      <c r="V1627" s="282"/>
      <c r="W1627" s="283"/>
      <c r="X1627" s="284"/>
      <c r="Y1627" s="245"/>
      <c r="Z1627" s="245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BP1627" s="391"/>
      <c r="BQ1627" s="393"/>
    </row>
    <row r="1628" spans="1:69" ht="14.25" customHeight="1" x14ac:dyDescent="0.35">
      <c r="A1628" s="293">
        <v>806</v>
      </c>
      <c r="B1628" s="295"/>
      <c r="C1628" s="297"/>
      <c r="D1628" s="299"/>
      <c r="E1628" s="301"/>
      <c r="F1628" s="303"/>
      <c r="G1628" s="288"/>
      <c r="H1628" s="289"/>
      <c r="I1628" s="290"/>
      <c r="J1628" s="290"/>
      <c r="K1628" s="291"/>
      <c r="L1628" s="18"/>
      <c r="M1628" s="285" t="str">
        <f t="shared" ref="M1628" si="2533">IF(COUNT(L1628:L1629)&lt;1,"",AVERAGE(L1628:L1629))</f>
        <v/>
      </c>
      <c r="N1628" s="22"/>
      <c r="O1628" s="285" t="str">
        <f t="shared" ref="O1628" si="2534">IF(COUNT(N1628:N1629)&lt;1,"",AVERAGE(N1628:N1629))</f>
        <v/>
      </c>
      <c r="P1628" s="22"/>
      <c r="Q1628" s="285" t="str">
        <f t="shared" ref="Q1628" si="2535">IF(COUNT(P1628:P1629)&lt;1,"",AVERAGE(P1628:P1629))</f>
        <v/>
      </c>
      <c r="R1628" s="278" t="str">
        <f>IF($X$13="/28",IF(COUNT(P1628:P1629)&lt;=1,"",ABS(P1628-P1629)),IF($X$13="/90",IF(COUNT(#REF!)&lt;=1,"",ABS(#REF!-#REF!))))</f>
        <v/>
      </c>
      <c r="S1628" s="278" t="str">
        <f>IF($X$13="/28",IF(Q1628="","",IF(AVERAGE(Q1624:Q1629)&gt;=$W$13,ROUND(AVERAGE(Q1624:Q1629),1)&amp;" ≥ "&amp;$W$13&amp;" OK",ROUND(AVERAGE(Q1624:Q1629),1)&amp;" &lt; "&amp;$W$13&amp;" NC")),IF($X$13="/90",IF(#REF!="","",IF(AVERAGE(#REF!)&gt;=$W$13,ROUND(AVERAGE(#REF!),1)&amp;" ≥ "&amp;$W$13&amp;" OK",ROUND(AVERAGE(#REF!),1)&amp;" &lt; "&amp;$W$13&amp;" NC"))))</f>
        <v/>
      </c>
      <c r="T1628" s="278" t="str">
        <f>IF($X$13="/28",IF(Q1628="","",IF(Q1628&gt;=$W$13-$S$12,ROUND((Q1628),1)&amp;" ≥ "&amp;$W$13-$S$12&amp;" OK",ROUND((Q1628),1)&amp;" &lt; "&amp;$W$13-$S$12&amp;" NC")),IF($X$13="/90",IF(#REF!="","",IF(#REF!&gt;=$W$13-$S$12,ROUND((#REF!),1)&amp;" ≥ "&amp;$W$13-$S$12&amp;" OK",ROUND((#REF!),1)&amp;" &lt; "&amp;$W$13-$S$12&amp;" NC"))))</f>
        <v/>
      </c>
      <c r="U1628" s="14"/>
      <c r="V1628" s="279"/>
      <c r="W1628" s="280"/>
      <c r="X1628" s="281"/>
      <c r="Y1628" s="246"/>
      <c r="Z1628" s="246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BP1628" s="390" t="str">
        <f>IF($X$13="/28",IF(Q1628="","",Q1628),IF($X$13="/90",IF(#REF!="","",#REF!),"Falso"))</f>
        <v/>
      </c>
      <c r="BQ1628" s="392" t="str">
        <f t="shared" si="2516"/>
        <v/>
      </c>
    </row>
    <row r="1629" spans="1:69" ht="14.25" customHeight="1" x14ac:dyDescent="0.35">
      <c r="A1629" s="294"/>
      <c r="B1629" s="296"/>
      <c r="C1629" s="298"/>
      <c r="D1629" s="300"/>
      <c r="E1629" s="302"/>
      <c r="F1629" s="304"/>
      <c r="G1629" s="276"/>
      <c r="H1629" s="277"/>
      <c r="I1629" s="290"/>
      <c r="J1629" s="290"/>
      <c r="K1629" s="291"/>
      <c r="L1629" s="17"/>
      <c r="M1629" s="286"/>
      <c r="N1629" s="21"/>
      <c r="O1629" s="286"/>
      <c r="P1629" s="21"/>
      <c r="Q1629" s="286"/>
      <c r="R1629" s="248"/>
      <c r="S1629" s="287"/>
      <c r="T1629" s="248"/>
      <c r="U1629" s="13"/>
      <c r="V1629" s="282"/>
      <c r="W1629" s="283"/>
      <c r="X1629" s="284"/>
      <c r="Y1629" s="245"/>
      <c r="Z1629" s="245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BP1629" s="391"/>
      <c r="BQ1629" s="393"/>
    </row>
    <row r="1630" spans="1:69" ht="14.25" customHeight="1" x14ac:dyDescent="0.35">
      <c r="A1630" s="293">
        <v>807</v>
      </c>
      <c r="B1630" s="295"/>
      <c r="C1630" s="297"/>
      <c r="D1630" s="299"/>
      <c r="E1630" s="301"/>
      <c r="F1630" s="303"/>
      <c r="G1630" s="288"/>
      <c r="H1630" s="289"/>
      <c r="I1630" s="290"/>
      <c r="J1630" s="290"/>
      <c r="K1630" s="291"/>
      <c r="L1630" s="18"/>
      <c r="M1630" s="285" t="str">
        <f t="shared" ref="M1630" si="2536">IF(COUNT(L1630:L1631)&lt;1,"",AVERAGE(L1630:L1631))</f>
        <v/>
      </c>
      <c r="N1630" s="22"/>
      <c r="O1630" s="285" t="str">
        <f t="shared" ref="O1630" si="2537">IF(COUNT(N1630:N1631)&lt;1,"",AVERAGE(N1630:N1631))</f>
        <v/>
      </c>
      <c r="P1630" s="22"/>
      <c r="Q1630" s="285" t="str">
        <f t="shared" ref="Q1630" si="2538">IF(COUNT(P1630:P1631)&lt;1,"",AVERAGE(P1630:P1631))</f>
        <v/>
      </c>
      <c r="R1630" s="278" t="str">
        <f>IF($X$13="/28",IF(COUNT(P1630:P1631)&lt;=1,"",ABS(P1630-P1631)),IF($X$13="/90",IF(COUNT(#REF!)&lt;=1,"",ABS(#REF!-#REF!))))</f>
        <v/>
      </c>
      <c r="S1630" s="278" t="str">
        <f>IF($X$13="/28",IF(Q1630="","",IF(AVERAGE(Q1626:Q1631)&gt;=$W$13,ROUND(AVERAGE(Q1626:Q1631),1)&amp;" ≥ "&amp;$W$13&amp;" OK",ROUND(AVERAGE(Q1626:Q1631),1)&amp;" &lt; "&amp;$W$13&amp;" NC")),IF($X$13="/90",IF(#REF!="","",IF(AVERAGE(#REF!)&gt;=$W$13,ROUND(AVERAGE(#REF!),1)&amp;" ≥ "&amp;$W$13&amp;" OK",ROUND(AVERAGE(#REF!),1)&amp;" &lt; "&amp;$W$13&amp;" NC"))))</f>
        <v/>
      </c>
      <c r="T1630" s="278" t="str">
        <f>IF($X$13="/28",IF(Q1630="","",IF(Q1630&gt;=$W$13-$S$12,ROUND((Q1630),1)&amp;" ≥ "&amp;$W$13-$S$12&amp;" OK",ROUND((Q1630),1)&amp;" &lt; "&amp;$W$13-$S$12&amp;" NC")),IF($X$13="/90",IF(#REF!="","",IF(#REF!&gt;=$W$13-$S$12,ROUND((#REF!),1)&amp;" ≥ "&amp;$W$13-$S$12&amp;" OK",ROUND((#REF!),1)&amp;" &lt; "&amp;$W$13-$S$12&amp;" NC"))))</f>
        <v/>
      </c>
      <c r="U1630" s="14"/>
      <c r="V1630" s="279"/>
      <c r="W1630" s="280"/>
      <c r="X1630" s="281"/>
      <c r="Y1630" s="246"/>
      <c r="Z1630" s="246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BP1630" s="390" t="str">
        <f>IF($X$13="/28",IF(Q1630="","",Q1630),IF($X$13="/90",IF(#REF!="","",#REF!),"Falso"))</f>
        <v/>
      </c>
      <c r="BQ1630" s="392" t="str">
        <f t="shared" si="2520"/>
        <v/>
      </c>
    </row>
    <row r="1631" spans="1:69" ht="14.25" customHeight="1" x14ac:dyDescent="0.35">
      <c r="A1631" s="294"/>
      <c r="B1631" s="296"/>
      <c r="C1631" s="298"/>
      <c r="D1631" s="300"/>
      <c r="E1631" s="302"/>
      <c r="F1631" s="304"/>
      <c r="G1631" s="276"/>
      <c r="H1631" s="277"/>
      <c r="I1631" s="290"/>
      <c r="J1631" s="290"/>
      <c r="K1631" s="291"/>
      <c r="L1631" s="17"/>
      <c r="M1631" s="286"/>
      <c r="N1631" s="21"/>
      <c r="O1631" s="286"/>
      <c r="P1631" s="21"/>
      <c r="Q1631" s="286"/>
      <c r="R1631" s="248"/>
      <c r="S1631" s="287"/>
      <c r="T1631" s="248"/>
      <c r="U1631" s="13"/>
      <c r="V1631" s="282"/>
      <c r="W1631" s="283"/>
      <c r="X1631" s="284"/>
      <c r="Y1631" s="245"/>
      <c r="Z1631" s="245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BP1631" s="391"/>
      <c r="BQ1631" s="393"/>
    </row>
    <row r="1632" spans="1:69" ht="14.25" customHeight="1" x14ac:dyDescent="0.35">
      <c r="A1632" s="293">
        <v>808</v>
      </c>
      <c r="B1632" s="295"/>
      <c r="C1632" s="297"/>
      <c r="D1632" s="299"/>
      <c r="E1632" s="301"/>
      <c r="F1632" s="303"/>
      <c r="G1632" s="288"/>
      <c r="H1632" s="289"/>
      <c r="I1632" s="290"/>
      <c r="J1632" s="290"/>
      <c r="K1632" s="291"/>
      <c r="L1632" s="18"/>
      <c r="M1632" s="285" t="str">
        <f t="shared" ref="M1632" si="2539">IF(COUNT(L1632:L1633)&lt;1,"",AVERAGE(L1632:L1633))</f>
        <v/>
      </c>
      <c r="N1632" s="22"/>
      <c r="O1632" s="285" t="str">
        <f t="shared" ref="O1632" si="2540">IF(COUNT(N1632:N1633)&lt;1,"",AVERAGE(N1632:N1633))</f>
        <v/>
      </c>
      <c r="P1632" s="22"/>
      <c r="Q1632" s="285" t="str">
        <f t="shared" ref="Q1632" si="2541">IF(COUNT(P1632:P1633)&lt;1,"",AVERAGE(P1632:P1633))</f>
        <v/>
      </c>
      <c r="R1632" s="278" t="str">
        <f>IF($X$13="/28",IF(COUNT(P1632:P1633)&lt;=1,"",ABS(P1632-P1633)),IF($X$13="/90",IF(COUNT(#REF!)&lt;=1,"",ABS(#REF!-#REF!))))</f>
        <v/>
      </c>
      <c r="S1632" s="278" t="str">
        <f>IF($X$13="/28",IF(Q1632="","",IF(AVERAGE(Q1628:Q1633)&gt;=$W$13,ROUND(AVERAGE(Q1628:Q1633),1)&amp;" ≥ "&amp;$W$13&amp;" OK",ROUND(AVERAGE(Q1628:Q1633),1)&amp;" &lt; "&amp;$W$13&amp;" NC")),IF($X$13="/90",IF(#REF!="","",IF(AVERAGE(#REF!)&gt;=$W$13,ROUND(AVERAGE(#REF!),1)&amp;" ≥ "&amp;$W$13&amp;" OK",ROUND(AVERAGE(#REF!),1)&amp;" &lt; "&amp;$W$13&amp;" NC"))))</f>
        <v/>
      </c>
      <c r="T1632" s="278" t="str">
        <f>IF($X$13="/28",IF(Q1632="","",IF(Q1632&gt;=$W$13-$S$12,ROUND((Q1632),1)&amp;" ≥ "&amp;$W$13-$S$12&amp;" OK",ROUND((Q1632),1)&amp;" &lt; "&amp;$W$13-$S$12&amp;" NC")),IF($X$13="/90",IF(#REF!="","",IF(#REF!&gt;=$W$13-$S$12,ROUND((#REF!),1)&amp;" ≥ "&amp;$W$13-$S$12&amp;" OK",ROUND((#REF!),1)&amp;" &lt; "&amp;$W$13-$S$12&amp;" NC"))))</f>
        <v/>
      </c>
      <c r="U1632" s="14"/>
      <c r="V1632" s="279"/>
      <c r="W1632" s="280"/>
      <c r="X1632" s="281"/>
      <c r="Y1632" s="246"/>
      <c r="Z1632" s="246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BP1632" s="390" t="str">
        <f>IF($X$13="/28",IF(Q1632="","",Q1632),IF($X$13="/90",IF(#REF!="","",#REF!),"Falso"))</f>
        <v/>
      </c>
      <c r="BQ1632" s="392" t="str">
        <f t="shared" si="2512"/>
        <v/>
      </c>
    </row>
    <row r="1633" spans="1:69" ht="14.25" customHeight="1" x14ac:dyDescent="0.35">
      <c r="A1633" s="294"/>
      <c r="B1633" s="296"/>
      <c r="C1633" s="298"/>
      <c r="D1633" s="300"/>
      <c r="E1633" s="302"/>
      <c r="F1633" s="304"/>
      <c r="G1633" s="276"/>
      <c r="H1633" s="277"/>
      <c r="I1633" s="290"/>
      <c r="J1633" s="290"/>
      <c r="K1633" s="291"/>
      <c r="L1633" s="17"/>
      <c r="M1633" s="286"/>
      <c r="N1633" s="21"/>
      <c r="O1633" s="286"/>
      <c r="P1633" s="21"/>
      <c r="Q1633" s="286"/>
      <c r="R1633" s="248"/>
      <c r="S1633" s="287"/>
      <c r="T1633" s="248"/>
      <c r="U1633" s="13"/>
      <c r="V1633" s="282"/>
      <c r="W1633" s="283"/>
      <c r="X1633" s="284"/>
      <c r="Y1633" s="245"/>
      <c r="Z1633" s="245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BP1633" s="391"/>
      <c r="BQ1633" s="393"/>
    </row>
    <row r="1634" spans="1:69" ht="14.25" customHeight="1" x14ac:dyDescent="0.35">
      <c r="A1634" s="293">
        <v>809</v>
      </c>
      <c r="B1634" s="295"/>
      <c r="C1634" s="297"/>
      <c r="D1634" s="299"/>
      <c r="E1634" s="301"/>
      <c r="F1634" s="303"/>
      <c r="G1634" s="288"/>
      <c r="H1634" s="289"/>
      <c r="I1634" s="290"/>
      <c r="J1634" s="290"/>
      <c r="K1634" s="291"/>
      <c r="L1634" s="18"/>
      <c r="M1634" s="285" t="str">
        <f t="shared" ref="M1634" si="2542">IF(COUNT(L1634:L1635)&lt;1,"",AVERAGE(L1634:L1635))</f>
        <v/>
      </c>
      <c r="N1634" s="22"/>
      <c r="O1634" s="285" t="str">
        <f t="shared" ref="O1634" si="2543">IF(COUNT(N1634:N1635)&lt;1,"",AVERAGE(N1634:N1635))</f>
        <v/>
      </c>
      <c r="P1634" s="22"/>
      <c r="Q1634" s="285" t="str">
        <f t="shared" ref="Q1634" si="2544">IF(COUNT(P1634:P1635)&lt;1,"",AVERAGE(P1634:P1635))</f>
        <v/>
      </c>
      <c r="R1634" s="278" t="str">
        <f>IF($X$13="/28",IF(COUNT(P1634:P1635)&lt;=1,"",ABS(P1634-P1635)),IF($X$13="/90",IF(COUNT(#REF!)&lt;=1,"",ABS(#REF!-#REF!))))</f>
        <v/>
      </c>
      <c r="S1634" s="278" t="str">
        <f>IF($X$13="/28",IF(Q1634="","",IF(AVERAGE(Q1630:Q1635)&gt;=$W$13,ROUND(AVERAGE(Q1630:Q1635),1)&amp;" ≥ "&amp;$W$13&amp;" OK",ROUND(AVERAGE(Q1630:Q1635),1)&amp;" &lt; "&amp;$W$13&amp;" NC")),IF($X$13="/90",IF(#REF!="","",IF(AVERAGE(#REF!)&gt;=$W$13,ROUND(AVERAGE(#REF!),1)&amp;" ≥ "&amp;$W$13&amp;" OK",ROUND(AVERAGE(#REF!),1)&amp;" &lt; "&amp;$W$13&amp;" NC"))))</f>
        <v/>
      </c>
      <c r="T1634" s="278" t="str">
        <f>IF($X$13="/28",IF(Q1634="","",IF(Q1634&gt;=$W$13-$S$12,ROUND((Q1634),1)&amp;" ≥ "&amp;$W$13-$S$12&amp;" OK",ROUND((Q1634),1)&amp;" &lt; "&amp;$W$13-$S$12&amp;" NC")),IF($X$13="/90",IF(#REF!="","",IF(#REF!&gt;=$W$13-$S$12,ROUND((#REF!),1)&amp;" ≥ "&amp;$W$13-$S$12&amp;" OK",ROUND((#REF!),1)&amp;" &lt; "&amp;$W$13-$S$12&amp;" NC"))))</f>
        <v/>
      </c>
      <c r="U1634" s="14"/>
      <c r="V1634" s="279"/>
      <c r="W1634" s="280"/>
      <c r="X1634" s="281"/>
      <c r="Y1634" s="246"/>
      <c r="Z1634" s="246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BP1634" s="390" t="str">
        <f>IF($X$13="/28",IF(Q1634="","",Q1634),IF($X$13="/90",IF(#REF!="","",#REF!),"Falso"))</f>
        <v/>
      </c>
      <c r="BQ1634" s="392" t="str">
        <f t="shared" si="2516"/>
        <v/>
      </c>
    </row>
    <row r="1635" spans="1:69" ht="14.25" customHeight="1" x14ac:dyDescent="0.35">
      <c r="A1635" s="294"/>
      <c r="B1635" s="296"/>
      <c r="C1635" s="298"/>
      <c r="D1635" s="300"/>
      <c r="E1635" s="302"/>
      <c r="F1635" s="304"/>
      <c r="G1635" s="276"/>
      <c r="H1635" s="277"/>
      <c r="I1635" s="290"/>
      <c r="J1635" s="290"/>
      <c r="K1635" s="291"/>
      <c r="L1635" s="17"/>
      <c r="M1635" s="286"/>
      <c r="N1635" s="21"/>
      <c r="O1635" s="286"/>
      <c r="P1635" s="21"/>
      <c r="Q1635" s="286"/>
      <c r="R1635" s="248"/>
      <c r="S1635" s="287"/>
      <c r="T1635" s="248"/>
      <c r="U1635" s="13"/>
      <c r="V1635" s="282"/>
      <c r="W1635" s="283"/>
      <c r="X1635" s="284"/>
      <c r="Y1635" s="245"/>
      <c r="Z1635" s="245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BP1635" s="391"/>
      <c r="BQ1635" s="393"/>
    </row>
    <row r="1636" spans="1:69" ht="14.25" customHeight="1" x14ac:dyDescent="0.35">
      <c r="A1636" s="293">
        <v>810</v>
      </c>
      <c r="B1636" s="295"/>
      <c r="C1636" s="297"/>
      <c r="D1636" s="299"/>
      <c r="E1636" s="301"/>
      <c r="F1636" s="303"/>
      <c r="G1636" s="288"/>
      <c r="H1636" s="289"/>
      <c r="I1636" s="290"/>
      <c r="J1636" s="290"/>
      <c r="K1636" s="291"/>
      <c r="L1636" s="18"/>
      <c r="M1636" s="285" t="str">
        <f t="shared" ref="M1636" si="2545">IF(COUNT(L1636:L1637)&lt;1,"",AVERAGE(L1636:L1637))</f>
        <v/>
      </c>
      <c r="N1636" s="22"/>
      <c r="O1636" s="285" t="str">
        <f t="shared" ref="O1636" si="2546">IF(COUNT(N1636:N1637)&lt;1,"",AVERAGE(N1636:N1637))</f>
        <v/>
      </c>
      <c r="P1636" s="22"/>
      <c r="Q1636" s="285" t="str">
        <f t="shared" ref="Q1636" si="2547">IF(COUNT(P1636:P1637)&lt;1,"",AVERAGE(P1636:P1637))</f>
        <v/>
      </c>
      <c r="R1636" s="278" t="str">
        <f>IF($X$13="/28",IF(COUNT(P1636:P1637)&lt;=1,"",ABS(P1636-P1637)),IF($X$13="/90",IF(COUNT(#REF!)&lt;=1,"",ABS(#REF!-#REF!))))</f>
        <v/>
      </c>
      <c r="S1636" s="278" t="str">
        <f>IF($X$13="/28",IF(Q1636="","",IF(AVERAGE(Q1632:Q1637)&gt;=$W$13,ROUND(AVERAGE(Q1632:Q1637),1)&amp;" ≥ "&amp;$W$13&amp;" OK",ROUND(AVERAGE(Q1632:Q1637),1)&amp;" &lt; "&amp;$W$13&amp;" NC")),IF($X$13="/90",IF(#REF!="","",IF(AVERAGE(#REF!)&gt;=$W$13,ROUND(AVERAGE(#REF!),1)&amp;" ≥ "&amp;$W$13&amp;" OK",ROUND(AVERAGE(#REF!),1)&amp;" &lt; "&amp;$W$13&amp;" NC"))))</f>
        <v/>
      </c>
      <c r="T1636" s="278" t="str">
        <f>IF($X$13="/28",IF(Q1636="","",IF(Q1636&gt;=$W$13-$S$12,ROUND((Q1636),1)&amp;" ≥ "&amp;$W$13-$S$12&amp;" OK",ROUND((Q1636),1)&amp;" &lt; "&amp;$W$13-$S$12&amp;" NC")),IF($X$13="/90",IF(#REF!="","",IF(#REF!&gt;=$W$13-$S$12,ROUND((#REF!),1)&amp;" ≥ "&amp;$W$13-$S$12&amp;" OK",ROUND((#REF!),1)&amp;" &lt; "&amp;$W$13-$S$12&amp;" NC"))))</f>
        <v/>
      </c>
      <c r="U1636" s="14"/>
      <c r="V1636" s="279"/>
      <c r="W1636" s="280"/>
      <c r="X1636" s="281"/>
      <c r="Y1636" s="246"/>
      <c r="Z1636" s="246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BP1636" s="390" t="str">
        <f>IF($X$13="/28",IF(Q1636="","",Q1636),IF($X$13="/90",IF(#REF!="","",#REF!),"Falso"))</f>
        <v/>
      </c>
      <c r="BQ1636" s="392" t="str">
        <f t="shared" si="2520"/>
        <v/>
      </c>
    </row>
    <row r="1637" spans="1:69" ht="14.25" customHeight="1" thickBot="1" x14ac:dyDescent="0.4">
      <c r="A1637" s="384"/>
      <c r="B1637" s="385"/>
      <c r="C1637" s="386"/>
      <c r="D1637" s="387"/>
      <c r="E1637" s="388"/>
      <c r="F1637" s="389"/>
      <c r="G1637" s="377"/>
      <c r="H1637" s="378"/>
      <c r="I1637" s="382"/>
      <c r="J1637" s="382"/>
      <c r="K1637" s="383"/>
      <c r="L1637" s="19"/>
      <c r="M1637" s="379"/>
      <c r="N1637" s="23"/>
      <c r="O1637" s="379"/>
      <c r="P1637" s="23"/>
      <c r="Q1637" s="379"/>
      <c r="R1637" s="380"/>
      <c r="S1637" s="381"/>
      <c r="T1637" s="380"/>
      <c r="U1637" s="15"/>
      <c r="V1637" s="373"/>
      <c r="W1637" s="374"/>
      <c r="X1637" s="375"/>
      <c r="Y1637" s="376"/>
      <c r="Z1637" s="376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BP1637" s="391"/>
      <c r="BQ1637" s="393"/>
    </row>
    <row r="1638" spans="1:69" ht="14.25" customHeight="1" x14ac:dyDescent="0.35">
      <c r="A1638" s="311">
        <v>811</v>
      </c>
      <c r="B1638" s="312"/>
      <c r="C1638" s="313"/>
      <c r="D1638" s="314"/>
      <c r="E1638" s="315"/>
      <c r="F1638" s="353"/>
      <c r="G1638" s="354"/>
      <c r="H1638" s="355"/>
      <c r="I1638" s="356"/>
      <c r="J1638" s="356"/>
      <c r="K1638" s="357"/>
      <c r="L1638" s="16"/>
      <c r="M1638" s="352" t="str">
        <f t="shared" ref="M1638" si="2548">IF(COUNT(L1638:L1639)&lt;1,"",AVERAGE(L1638:L1639))</f>
        <v/>
      </c>
      <c r="N1638" s="20"/>
      <c r="O1638" s="352" t="str">
        <f t="shared" ref="O1638" si="2549">IF(COUNT(N1638:N1639)&lt;1,"",AVERAGE(N1638:N1639))</f>
        <v/>
      </c>
      <c r="P1638" s="20"/>
      <c r="Q1638" s="352" t="str">
        <f t="shared" ref="Q1638" si="2550">IF(COUNT(P1638:P1639)&lt;1,"",AVERAGE(P1638:P1639))</f>
        <v/>
      </c>
      <c r="R1638" s="247" t="str">
        <f>IF($X$13="/28",IF(COUNT(P1638:P1639)&lt;=1,"",ABS(P1638-P1639)),IF($X$13="/90",IF(COUNT(#REF!)&lt;=1,"",ABS(#REF!-#REF!))))</f>
        <v/>
      </c>
      <c r="S1638" s="247" t="str">
        <f>IF($X$13="/28",IF(Q1638="","",IF(AVERAGE(Q1634:Q1639)&gt;=$W$13,ROUND(AVERAGE(Q1634:Q1639),1)&amp;" ≥ "&amp;$W$13&amp;" OK",ROUND(AVERAGE(Q1634:Q1639),1)&amp;" &lt; "&amp;$W$13&amp;" NC")),IF($X$13="/90",IF(#REF!="","",IF(AVERAGE(#REF!)&gt;=$W$13,ROUND(AVERAGE(#REF!),1)&amp;" ≥ "&amp;$W$13&amp;" OK",ROUND(AVERAGE(#REF!),1)&amp;" &lt; "&amp;$W$13&amp;" NC"))))</f>
        <v/>
      </c>
      <c r="T1638" s="247" t="str">
        <f>IF($X$13="/28",IF(Q1638="","",IF(Q1638&gt;=$W$13-$S$12,ROUND((Q1638),1)&amp;" ≥ "&amp;$W$13-$S$12&amp;" OK",ROUND((Q1638),1)&amp;" &lt; "&amp;$W$13-$S$12&amp;" NC")),IF($X$13="/90",IF(#REF!="","",IF(#REF!&gt;=$W$13-$S$12,ROUND((#REF!),1)&amp;" ≥ "&amp;$W$13-$S$12&amp;" OK",ROUND((#REF!),1)&amp;" &lt; "&amp;$W$13-$S$12&amp;" NC"))))</f>
        <v/>
      </c>
      <c r="U1638" s="12"/>
      <c r="V1638" s="349"/>
      <c r="W1638" s="350"/>
      <c r="X1638" s="351"/>
      <c r="Y1638" s="244"/>
      <c r="Z1638" s="244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BP1638" s="390" t="str">
        <f>IF($X$13="/28",IF(Q1638="","",Q1638),IF($X$13="/90",IF(#REF!="","",#REF!),"Falso"))</f>
        <v/>
      </c>
      <c r="BQ1638" s="392" t="str">
        <f t="shared" si="2512"/>
        <v/>
      </c>
    </row>
    <row r="1639" spans="1:69" ht="14.25" customHeight="1" x14ac:dyDescent="0.35">
      <c r="A1639" s="294"/>
      <c r="B1639" s="296"/>
      <c r="C1639" s="298"/>
      <c r="D1639" s="300"/>
      <c r="E1639" s="302"/>
      <c r="F1639" s="304"/>
      <c r="G1639" s="276"/>
      <c r="H1639" s="277"/>
      <c r="I1639" s="290"/>
      <c r="J1639" s="290"/>
      <c r="K1639" s="291"/>
      <c r="L1639" s="17"/>
      <c r="M1639" s="286"/>
      <c r="N1639" s="21"/>
      <c r="O1639" s="286"/>
      <c r="P1639" s="21"/>
      <c r="Q1639" s="286"/>
      <c r="R1639" s="248"/>
      <c r="S1639" s="248"/>
      <c r="T1639" s="248"/>
      <c r="U1639" s="13"/>
      <c r="V1639" s="282"/>
      <c r="W1639" s="283"/>
      <c r="X1639" s="284"/>
      <c r="Y1639" s="245"/>
      <c r="Z1639" s="245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BP1639" s="391"/>
      <c r="BQ1639" s="393"/>
    </row>
    <row r="1640" spans="1:69" ht="14.25" customHeight="1" x14ac:dyDescent="0.35">
      <c r="A1640" s="293">
        <v>812</v>
      </c>
      <c r="B1640" s="295"/>
      <c r="C1640" s="297"/>
      <c r="D1640" s="299"/>
      <c r="E1640" s="301"/>
      <c r="F1640" s="303"/>
      <c r="G1640" s="288"/>
      <c r="H1640" s="289"/>
      <c r="I1640" s="290"/>
      <c r="J1640" s="290"/>
      <c r="K1640" s="291"/>
      <c r="L1640" s="18"/>
      <c r="M1640" s="285" t="str">
        <f t="shared" ref="M1640" si="2551">IF(COUNT(L1640:L1641)&lt;1,"",AVERAGE(L1640:L1641))</f>
        <v/>
      </c>
      <c r="N1640" s="22"/>
      <c r="O1640" s="285" t="str">
        <f t="shared" ref="O1640" si="2552">IF(COUNT(N1640:N1641)&lt;1,"",AVERAGE(N1640:N1641))</f>
        <v/>
      </c>
      <c r="P1640" s="22"/>
      <c r="Q1640" s="285" t="str">
        <f t="shared" ref="Q1640" si="2553">IF(COUNT(P1640:P1641)&lt;1,"",AVERAGE(P1640:P1641))</f>
        <v/>
      </c>
      <c r="R1640" s="278" t="str">
        <f>IF($X$13="/28",IF(COUNT(P1640:P1641)&lt;=1,"",ABS(P1640-P1641)),IF($X$13="/90",IF(COUNT(#REF!)&lt;=1,"",ABS(#REF!-#REF!))))</f>
        <v/>
      </c>
      <c r="S1640" s="278" t="str">
        <f>IF($X$13="/28",IF(Q1640="","",IF(AVERAGE(Q1636:Q1641)&gt;=$W$13,ROUND(AVERAGE(Q1636:Q1641),1)&amp;" ≥ "&amp;$W$13&amp;" OK",ROUND(AVERAGE(Q1636:Q1641),1)&amp;" &lt; "&amp;$W$13&amp;" NC")),IF($X$13="/90",IF(#REF!="","",IF(AVERAGE(#REF!)&gt;=$W$13,ROUND(AVERAGE(#REF!),1)&amp;" ≥ "&amp;$W$13&amp;" OK",ROUND(AVERAGE(#REF!),1)&amp;" &lt; "&amp;$W$13&amp;" NC"))))</f>
        <v/>
      </c>
      <c r="T1640" s="278" t="str">
        <f>IF($X$13="/28",IF(Q1640="","",IF(Q1640&gt;=$W$13-$S$12,ROUND((Q1640),1)&amp;" ≥ "&amp;$W$13-$S$12&amp;" OK",ROUND((Q1640),1)&amp;" &lt; "&amp;$W$13-$S$12&amp;" NC")),IF($X$13="/90",IF(#REF!="","",IF(#REF!&gt;=$W$13-$S$12,ROUND((#REF!),1)&amp;" ≥ "&amp;$W$13-$S$12&amp;" OK",ROUND((#REF!),1)&amp;" &lt; "&amp;$W$13-$S$12&amp;" NC"))))</f>
        <v/>
      </c>
      <c r="U1640" s="14"/>
      <c r="V1640" s="279"/>
      <c r="W1640" s="280"/>
      <c r="X1640" s="281"/>
      <c r="Y1640" s="246"/>
      <c r="Z1640" s="246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BP1640" s="390" t="str">
        <f>IF($X$13="/28",IF(Q1640="","",Q1640),IF($X$13="/90",IF(#REF!="","",#REF!),"Falso"))</f>
        <v/>
      </c>
      <c r="BQ1640" s="392" t="str">
        <f t="shared" si="2516"/>
        <v/>
      </c>
    </row>
    <row r="1641" spans="1:69" ht="14.25" customHeight="1" x14ac:dyDescent="0.35">
      <c r="A1641" s="294"/>
      <c r="B1641" s="296"/>
      <c r="C1641" s="298"/>
      <c r="D1641" s="300"/>
      <c r="E1641" s="302"/>
      <c r="F1641" s="304"/>
      <c r="G1641" s="276"/>
      <c r="H1641" s="277"/>
      <c r="I1641" s="290"/>
      <c r="J1641" s="290"/>
      <c r="K1641" s="291"/>
      <c r="L1641" s="17"/>
      <c r="M1641" s="286"/>
      <c r="N1641" s="21"/>
      <c r="O1641" s="286"/>
      <c r="P1641" s="21"/>
      <c r="Q1641" s="286"/>
      <c r="R1641" s="248"/>
      <c r="S1641" s="248"/>
      <c r="T1641" s="248"/>
      <c r="U1641" s="13"/>
      <c r="V1641" s="282"/>
      <c r="W1641" s="283"/>
      <c r="X1641" s="284"/>
      <c r="Y1641" s="245"/>
      <c r="Z1641" s="245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BP1641" s="391"/>
      <c r="BQ1641" s="393"/>
    </row>
    <row r="1642" spans="1:69" ht="14.25" customHeight="1" x14ac:dyDescent="0.35">
      <c r="A1642" s="293">
        <v>813</v>
      </c>
      <c r="B1642" s="295"/>
      <c r="C1642" s="297"/>
      <c r="D1642" s="299"/>
      <c r="E1642" s="301"/>
      <c r="F1642" s="303"/>
      <c r="G1642" s="288"/>
      <c r="H1642" s="289"/>
      <c r="I1642" s="290"/>
      <c r="J1642" s="290"/>
      <c r="K1642" s="291"/>
      <c r="L1642" s="18"/>
      <c r="M1642" s="285" t="str">
        <f t="shared" ref="M1642" si="2554">IF(COUNT(L1642:L1643)&lt;1,"",AVERAGE(L1642:L1643))</f>
        <v/>
      </c>
      <c r="N1642" s="22"/>
      <c r="O1642" s="285" t="str">
        <f t="shared" ref="O1642" si="2555">IF(COUNT(N1642:N1643)&lt;1,"",AVERAGE(N1642:N1643))</f>
        <v/>
      </c>
      <c r="P1642" s="22"/>
      <c r="Q1642" s="285" t="str">
        <f t="shared" ref="Q1642" si="2556">IF(COUNT(P1642:P1643)&lt;1,"",AVERAGE(P1642:P1643))</f>
        <v/>
      </c>
      <c r="R1642" s="278" t="str">
        <f>IF($X$13="/28",IF(COUNT(P1642:P1643)&lt;=1,"",ABS(P1642-P1643)),IF($X$13="/90",IF(COUNT(#REF!)&lt;=1,"",ABS(#REF!-#REF!))))</f>
        <v/>
      </c>
      <c r="S1642" s="278" t="str">
        <f>IF($X$13="/28",IF(Q1642="","",IF(AVERAGE(Q1638:Q1643)&gt;=$W$13,ROUND(AVERAGE(Q1638:Q1643),1)&amp;" ≥ "&amp;$W$13&amp;" OK",ROUND(AVERAGE(Q1638:Q1643),1)&amp;" &lt; "&amp;$W$13&amp;" NC")),IF($X$13="/90",IF(#REF!="","",IF(AVERAGE(#REF!)&gt;=$W$13,ROUND(AVERAGE(#REF!),1)&amp;" ≥ "&amp;$W$13&amp;" OK",ROUND(AVERAGE(#REF!),1)&amp;" &lt; "&amp;$W$13&amp;" NC"))))</f>
        <v/>
      </c>
      <c r="T1642" s="278" t="str">
        <f>IF($X$13="/28",IF(Q1642="","",IF(Q1642&gt;=$W$13-$S$12,ROUND((Q1642),1)&amp;" ≥ "&amp;$W$13-$S$12&amp;" OK",ROUND((Q1642),1)&amp;" &lt; "&amp;$W$13-$S$12&amp;" NC")),IF($X$13="/90",IF(#REF!="","",IF(#REF!&gt;=$W$13-$S$12,ROUND((#REF!),1)&amp;" ≥ "&amp;$W$13-$S$12&amp;" OK",ROUND((#REF!),1)&amp;" &lt; "&amp;$W$13-$S$12&amp;" NC"))))</f>
        <v/>
      </c>
      <c r="U1642" s="14"/>
      <c r="V1642" s="279"/>
      <c r="W1642" s="280"/>
      <c r="X1642" s="281"/>
      <c r="Y1642" s="246"/>
      <c r="Z1642" s="246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BP1642" s="390" t="str">
        <f>IF($X$13="/28",IF(Q1642="","",Q1642),IF($X$13="/90",IF(#REF!="","",#REF!),"Falso"))</f>
        <v/>
      </c>
      <c r="BQ1642" s="392" t="str">
        <f t="shared" si="2520"/>
        <v/>
      </c>
    </row>
    <row r="1643" spans="1:69" ht="14.25" customHeight="1" x14ac:dyDescent="0.35">
      <c r="A1643" s="294"/>
      <c r="B1643" s="296"/>
      <c r="C1643" s="298"/>
      <c r="D1643" s="300"/>
      <c r="E1643" s="302"/>
      <c r="F1643" s="304"/>
      <c r="G1643" s="276"/>
      <c r="H1643" s="277"/>
      <c r="I1643" s="290"/>
      <c r="J1643" s="290"/>
      <c r="K1643" s="291"/>
      <c r="L1643" s="17"/>
      <c r="M1643" s="286"/>
      <c r="N1643" s="21"/>
      <c r="O1643" s="286"/>
      <c r="P1643" s="21"/>
      <c r="Q1643" s="286"/>
      <c r="R1643" s="248"/>
      <c r="S1643" s="287"/>
      <c r="T1643" s="248"/>
      <c r="U1643" s="13"/>
      <c r="V1643" s="282"/>
      <c r="W1643" s="283"/>
      <c r="X1643" s="284"/>
      <c r="Y1643" s="245"/>
      <c r="Z1643" s="245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BP1643" s="391"/>
      <c r="BQ1643" s="393"/>
    </row>
    <row r="1644" spans="1:69" ht="14.25" customHeight="1" x14ac:dyDescent="0.35">
      <c r="A1644" s="293">
        <v>814</v>
      </c>
      <c r="B1644" s="295"/>
      <c r="C1644" s="297"/>
      <c r="D1644" s="299"/>
      <c r="E1644" s="301"/>
      <c r="F1644" s="303"/>
      <c r="G1644" s="288"/>
      <c r="H1644" s="289"/>
      <c r="I1644" s="290"/>
      <c r="J1644" s="290"/>
      <c r="K1644" s="291"/>
      <c r="L1644" s="18"/>
      <c r="M1644" s="285" t="str">
        <f t="shared" ref="M1644" si="2557">IF(COUNT(L1644:L1645)&lt;1,"",AVERAGE(L1644:L1645))</f>
        <v/>
      </c>
      <c r="N1644" s="22"/>
      <c r="O1644" s="285" t="str">
        <f t="shared" ref="O1644" si="2558">IF(COUNT(N1644:N1645)&lt;1,"",AVERAGE(N1644:N1645))</f>
        <v/>
      </c>
      <c r="P1644" s="22"/>
      <c r="Q1644" s="285" t="str">
        <f t="shared" ref="Q1644" si="2559">IF(COUNT(P1644:P1645)&lt;1,"",AVERAGE(P1644:P1645))</f>
        <v/>
      </c>
      <c r="R1644" s="278" t="str">
        <f>IF($X$13="/28",IF(COUNT(P1644:P1645)&lt;=1,"",ABS(P1644-P1645)),IF($X$13="/90",IF(COUNT(#REF!)&lt;=1,"",ABS(#REF!-#REF!))))</f>
        <v/>
      </c>
      <c r="S1644" s="278" t="str">
        <f>IF($X$13="/28",IF(Q1644="","",IF(AVERAGE(Q1640:Q1645)&gt;=$W$13,ROUND(AVERAGE(Q1640:Q1645),1)&amp;" ≥ "&amp;$W$13&amp;" OK",ROUND(AVERAGE(Q1640:Q1645),1)&amp;" &lt; "&amp;$W$13&amp;" NC")),IF($X$13="/90",IF(#REF!="","",IF(AVERAGE(#REF!)&gt;=$W$13,ROUND(AVERAGE(#REF!),1)&amp;" ≥ "&amp;$W$13&amp;" OK",ROUND(AVERAGE(#REF!),1)&amp;" &lt; "&amp;$W$13&amp;" NC"))))</f>
        <v/>
      </c>
      <c r="T1644" s="278" t="str">
        <f>IF($X$13="/28",IF(Q1644="","",IF(Q1644&gt;=$W$13-$S$12,ROUND((Q1644),1)&amp;" ≥ "&amp;$W$13-$S$12&amp;" OK",ROUND((Q1644),1)&amp;" &lt; "&amp;$W$13-$S$12&amp;" NC")),IF($X$13="/90",IF(#REF!="","",IF(#REF!&gt;=$W$13-$S$12,ROUND((#REF!),1)&amp;" ≥ "&amp;$W$13-$S$12&amp;" OK",ROUND((#REF!),1)&amp;" &lt; "&amp;$W$13-$S$12&amp;" NC"))))</f>
        <v/>
      </c>
      <c r="U1644" s="14"/>
      <c r="V1644" s="279"/>
      <c r="W1644" s="280"/>
      <c r="X1644" s="281"/>
      <c r="Y1644" s="246"/>
      <c r="Z1644" s="246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BP1644" s="390" t="str">
        <f>IF($X$13="/28",IF(Q1644="","",Q1644),IF($X$13="/90",IF(#REF!="","",#REF!),"Falso"))</f>
        <v/>
      </c>
      <c r="BQ1644" s="392" t="str">
        <f t="shared" si="2512"/>
        <v/>
      </c>
    </row>
    <row r="1645" spans="1:69" ht="14.25" customHeight="1" x14ac:dyDescent="0.35">
      <c r="A1645" s="294"/>
      <c r="B1645" s="296"/>
      <c r="C1645" s="298"/>
      <c r="D1645" s="300"/>
      <c r="E1645" s="302"/>
      <c r="F1645" s="304"/>
      <c r="G1645" s="276"/>
      <c r="H1645" s="277"/>
      <c r="I1645" s="290"/>
      <c r="J1645" s="290"/>
      <c r="K1645" s="291"/>
      <c r="L1645" s="17"/>
      <c r="M1645" s="286"/>
      <c r="N1645" s="21"/>
      <c r="O1645" s="286"/>
      <c r="P1645" s="21"/>
      <c r="Q1645" s="286"/>
      <c r="R1645" s="248"/>
      <c r="S1645" s="287"/>
      <c r="T1645" s="248"/>
      <c r="U1645" s="13"/>
      <c r="V1645" s="282"/>
      <c r="W1645" s="283"/>
      <c r="X1645" s="284"/>
      <c r="Y1645" s="245"/>
      <c r="Z1645" s="245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BP1645" s="391"/>
      <c r="BQ1645" s="393"/>
    </row>
    <row r="1646" spans="1:69" ht="14.25" customHeight="1" x14ac:dyDescent="0.35">
      <c r="A1646" s="293">
        <v>815</v>
      </c>
      <c r="B1646" s="295"/>
      <c r="C1646" s="297"/>
      <c r="D1646" s="299"/>
      <c r="E1646" s="301"/>
      <c r="F1646" s="303"/>
      <c r="G1646" s="288"/>
      <c r="H1646" s="289"/>
      <c r="I1646" s="290"/>
      <c r="J1646" s="290"/>
      <c r="K1646" s="291"/>
      <c r="L1646" s="18"/>
      <c r="M1646" s="285" t="str">
        <f t="shared" ref="M1646" si="2560">IF(COUNT(L1646:L1647)&lt;1,"",AVERAGE(L1646:L1647))</f>
        <v/>
      </c>
      <c r="N1646" s="22"/>
      <c r="O1646" s="285" t="str">
        <f t="shared" ref="O1646" si="2561">IF(COUNT(N1646:N1647)&lt;1,"",AVERAGE(N1646:N1647))</f>
        <v/>
      </c>
      <c r="P1646" s="22"/>
      <c r="Q1646" s="285" t="str">
        <f t="shared" ref="Q1646" si="2562">IF(COUNT(P1646:P1647)&lt;1,"",AVERAGE(P1646:P1647))</f>
        <v/>
      </c>
      <c r="R1646" s="278" t="str">
        <f>IF($X$13="/28",IF(COUNT(P1646:P1647)&lt;=1,"",ABS(P1646-P1647)),IF($X$13="/90",IF(COUNT(#REF!)&lt;=1,"",ABS(#REF!-#REF!))))</f>
        <v/>
      </c>
      <c r="S1646" s="278" t="str">
        <f>IF($X$13="/28",IF(Q1646="","",IF(AVERAGE(Q1642:Q1647)&gt;=$W$13,ROUND(AVERAGE(Q1642:Q1647),1)&amp;" ≥ "&amp;$W$13&amp;" OK",ROUND(AVERAGE(Q1642:Q1647),1)&amp;" &lt; "&amp;$W$13&amp;" NC")),IF($X$13="/90",IF(#REF!="","",IF(AVERAGE(#REF!)&gt;=$W$13,ROUND(AVERAGE(#REF!),1)&amp;" ≥ "&amp;$W$13&amp;" OK",ROUND(AVERAGE(#REF!),1)&amp;" &lt; "&amp;$W$13&amp;" NC"))))</f>
        <v/>
      </c>
      <c r="T1646" s="278" t="str">
        <f>IF($X$13="/28",IF(Q1646="","",IF(Q1646&gt;=$W$13-$S$12,ROUND((Q1646),1)&amp;" ≥ "&amp;$W$13-$S$12&amp;" OK",ROUND((Q1646),1)&amp;" &lt; "&amp;$W$13-$S$12&amp;" NC")),IF($X$13="/90",IF(#REF!="","",IF(#REF!&gt;=$W$13-$S$12,ROUND((#REF!),1)&amp;" ≥ "&amp;$W$13-$S$12&amp;" OK",ROUND((#REF!),1)&amp;" &lt; "&amp;$W$13-$S$12&amp;" NC"))))</f>
        <v/>
      </c>
      <c r="U1646" s="14"/>
      <c r="V1646" s="279"/>
      <c r="W1646" s="280"/>
      <c r="X1646" s="281"/>
      <c r="Y1646" s="246"/>
      <c r="Z1646" s="246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BP1646" s="390" t="str">
        <f>IF($X$13="/28",IF(Q1646="","",Q1646),IF($X$13="/90",IF(#REF!="","",#REF!),"Falso"))</f>
        <v/>
      </c>
      <c r="BQ1646" s="392" t="str">
        <f t="shared" si="2516"/>
        <v/>
      </c>
    </row>
    <row r="1647" spans="1:69" ht="14.25" customHeight="1" x14ac:dyDescent="0.35">
      <c r="A1647" s="294"/>
      <c r="B1647" s="296"/>
      <c r="C1647" s="298"/>
      <c r="D1647" s="300"/>
      <c r="E1647" s="302"/>
      <c r="F1647" s="304"/>
      <c r="G1647" s="276"/>
      <c r="H1647" s="277"/>
      <c r="I1647" s="290"/>
      <c r="J1647" s="290"/>
      <c r="K1647" s="291"/>
      <c r="L1647" s="17"/>
      <c r="M1647" s="286"/>
      <c r="N1647" s="21"/>
      <c r="O1647" s="286"/>
      <c r="P1647" s="21"/>
      <c r="Q1647" s="286"/>
      <c r="R1647" s="248"/>
      <c r="S1647" s="287"/>
      <c r="T1647" s="248"/>
      <c r="U1647" s="13"/>
      <c r="V1647" s="282"/>
      <c r="W1647" s="283"/>
      <c r="X1647" s="284"/>
      <c r="Y1647" s="245"/>
      <c r="Z1647" s="245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BP1647" s="391"/>
      <c r="BQ1647" s="393"/>
    </row>
    <row r="1648" spans="1:69" ht="14.25" customHeight="1" x14ac:dyDescent="0.35">
      <c r="A1648" s="293">
        <v>816</v>
      </c>
      <c r="B1648" s="295"/>
      <c r="C1648" s="297"/>
      <c r="D1648" s="299"/>
      <c r="E1648" s="301"/>
      <c r="F1648" s="303"/>
      <c r="G1648" s="288"/>
      <c r="H1648" s="289"/>
      <c r="I1648" s="290"/>
      <c r="J1648" s="290"/>
      <c r="K1648" s="291"/>
      <c r="L1648" s="18"/>
      <c r="M1648" s="285" t="str">
        <f t="shared" ref="M1648" si="2563">IF(COUNT(L1648:L1649)&lt;1,"",AVERAGE(L1648:L1649))</f>
        <v/>
      </c>
      <c r="N1648" s="22"/>
      <c r="O1648" s="285" t="str">
        <f t="shared" ref="O1648" si="2564">IF(COUNT(N1648:N1649)&lt;1,"",AVERAGE(N1648:N1649))</f>
        <v/>
      </c>
      <c r="P1648" s="22"/>
      <c r="Q1648" s="285" t="str">
        <f t="shared" ref="Q1648" si="2565">IF(COUNT(P1648:P1649)&lt;1,"",AVERAGE(P1648:P1649))</f>
        <v/>
      </c>
      <c r="R1648" s="278" t="str">
        <f>IF($X$13="/28",IF(COUNT(P1648:P1649)&lt;=1,"",ABS(P1648-P1649)),IF($X$13="/90",IF(COUNT(#REF!)&lt;=1,"",ABS(#REF!-#REF!))))</f>
        <v/>
      </c>
      <c r="S1648" s="278" t="str">
        <f>IF($X$13="/28",IF(Q1648="","",IF(AVERAGE(Q1644:Q1649)&gt;=$W$13,ROUND(AVERAGE(Q1644:Q1649),1)&amp;" ≥ "&amp;$W$13&amp;" OK",ROUND(AVERAGE(Q1644:Q1649),1)&amp;" &lt; "&amp;$W$13&amp;" NC")),IF($X$13="/90",IF(#REF!="","",IF(AVERAGE(#REF!)&gt;=$W$13,ROUND(AVERAGE(#REF!),1)&amp;" ≥ "&amp;$W$13&amp;" OK",ROUND(AVERAGE(#REF!),1)&amp;" &lt; "&amp;$W$13&amp;" NC"))))</f>
        <v/>
      </c>
      <c r="T1648" s="278" t="str">
        <f>IF($X$13="/28",IF(Q1648="","",IF(Q1648&gt;=$W$13-$S$12,ROUND((Q1648),1)&amp;" ≥ "&amp;$W$13-$S$12&amp;" OK",ROUND((Q1648),1)&amp;" &lt; "&amp;$W$13-$S$12&amp;" NC")),IF($X$13="/90",IF(#REF!="","",IF(#REF!&gt;=$W$13-$S$12,ROUND((#REF!),1)&amp;" ≥ "&amp;$W$13-$S$12&amp;" OK",ROUND((#REF!),1)&amp;" &lt; "&amp;$W$13-$S$12&amp;" NC"))))</f>
        <v/>
      </c>
      <c r="U1648" s="14"/>
      <c r="V1648" s="279"/>
      <c r="W1648" s="280"/>
      <c r="X1648" s="281"/>
      <c r="Y1648" s="246"/>
      <c r="Z1648" s="246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BP1648" s="390" t="str">
        <f>IF($X$13="/28",IF(Q1648="","",Q1648),IF($X$13="/90",IF(#REF!="","",#REF!),"Falso"))</f>
        <v/>
      </c>
      <c r="BQ1648" s="392" t="str">
        <f t="shared" si="2520"/>
        <v/>
      </c>
    </row>
    <row r="1649" spans="1:69" ht="14.25" customHeight="1" x14ac:dyDescent="0.35">
      <c r="A1649" s="294"/>
      <c r="B1649" s="296"/>
      <c r="C1649" s="298"/>
      <c r="D1649" s="300"/>
      <c r="E1649" s="302"/>
      <c r="F1649" s="304"/>
      <c r="G1649" s="276"/>
      <c r="H1649" s="277"/>
      <c r="I1649" s="290"/>
      <c r="J1649" s="290"/>
      <c r="K1649" s="291"/>
      <c r="L1649" s="17"/>
      <c r="M1649" s="286"/>
      <c r="N1649" s="21"/>
      <c r="O1649" s="286"/>
      <c r="P1649" s="21"/>
      <c r="Q1649" s="286"/>
      <c r="R1649" s="248"/>
      <c r="S1649" s="287"/>
      <c r="T1649" s="248"/>
      <c r="U1649" s="13"/>
      <c r="V1649" s="282"/>
      <c r="W1649" s="283"/>
      <c r="X1649" s="284"/>
      <c r="Y1649" s="245"/>
      <c r="Z1649" s="245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BP1649" s="391"/>
      <c r="BQ1649" s="393"/>
    </row>
    <row r="1650" spans="1:69" ht="14.25" customHeight="1" x14ac:dyDescent="0.35">
      <c r="A1650" s="293">
        <v>817</v>
      </c>
      <c r="B1650" s="295"/>
      <c r="C1650" s="297"/>
      <c r="D1650" s="299"/>
      <c r="E1650" s="301"/>
      <c r="F1650" s="303"/>
      <c r="G1650" s="288"/>
      <c r="H1650" s="289"/>
      <c r="I1650" s="290"/>
      <c r="J1650" s="290"/>
      <c r="K1650" s="291"/>
      <c r="L1650" s="18"/>
      <c r="M1650" s="285" t="str">
        <f t="shared" ref="M1650" si="2566">IF(COUNT(L1650:L1651)&lt;1,"",AVERAGE(L1650:L1651))</f>
        <v/>
      </c>
      <c r="N1650" s="22"/>
      <c r="O1650" s="285" t="str">
        <f t="shared" ref="O1650" si="2567">IF(COUNT(N1650:N1651)&lt;1,"",AVERAGE(N1650:N1651))</f>
        <v/>
      </c>
      <c r="P1650" s="22"/>
      <c r="Q1650" s="285" t="str">
        <f t="shared" ref="Q1650" si="2568">IF(COUNT(P1650:P1651)&lt;1,"",AVERAGE(P1650:P1651))</f>
        <v/>
      </c>
      <c r="R1650" s="278" t="str">
        <f>IF($X$13="/28",IF(COUNT(P1650:P1651)&lt;=1,"",ABS(P1650-P1651)),IF($X$13="/90",IF(COUNT(#REF!)&lt;=1,"",ABS(#REF!-#REF!))))</f>
        <v/>
      </c>
      <c r="S1650" s="278" t="str">
        <f>IF($X$13="/28",IF(Q1650="","",IF(AVERAGE(Q1646:Q1651)&gt;=$W$13,ROUND(AVERAGE(Q1646:Q1651),1)&amp;" ≥ "&amp;$W$13&amp;" OK",ROUND(AVERAGE(Q1646:Q1651),1)&amp;" &lt; "&amp;$W$13&amp;" NC")),IF($X$13="/90",IF(#REF!="","",IF(AVERAGE(#REF!)&gt;=$W$13,ROUND(AVERAGE(#REF!),1)&amp;" ≥ "&amp;$W$13&amp;" OK",ROUND(AVERAGE(#REF!),1)&amp;" &lt; "&amp;$W$13&amp;" NC"))))</f>
        <v/>
      </c>
      <c r="T1650" s="278" t="str">
        <f>IF($X$13="/28",IF(Q1650="","",IF(Q1650&gt;=$W$13-$S$12,ROUND((Q1650),1)&amp;" ≥ "&amp;$W$13-$S$12&amp;" OK",ROUND((Q1650),1)&amp;" &lt; "&amp;$W$13-$S$12&amp;" NC")),IF($X$13="/90",IF(#REF!="","",IF(#REF!&gt;=$W$13-$S$12,ROUND((#REF!),1)&amp;" ≥ "&amp;$W$13-$S$12&amp;" OK",ROUND((#REF!),1)&amp;" &lt; "&amp;$W$13-$S$12&amp;" NC"))))</f>
        <v/>
      </c>
      <c r="U1650" s="14"/>
      <c r="V1650" s="279"/>
      <c r="W1650" s="280"/>
      <c r="X1650" s="281"/>
      <c r="Y1650" s="246"/>
      <c r="Z1650" s="246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BP1650" s="390" t="str">
        <f>IF($X$13="/28",IF(Q1650="","",Q1650),IF($X$13="/90",IF(#REF!="","",#REF!),"Falso"))</f>
        <v/>
      </c>
      <c r="BQ1650" s="392" t="str">
        <f t="shared" si="2512"/>
        <v/>
      </c>
    </row>
    <row r="1651" spans="1:69" ht="14.25" customHeight="1" x14ac:dyDescent="0.35">
      <c r="A1651" s="294"/>
      <c r="B1651" s="296"/>
      <c r="C1651" s="298"/>
      <c r="D1651" s="300"/>
      <c r="E1651" s="302"/>
      <c r="F1651" s="304"/>
      <c r="G1651" s="276"/>
      <c r="H1651" s="277"/>
      <c r="I1651" s="290"/>
      <c r="J1651" s="290"/>
      <c r="K1651" s="291"/>
      <c r="L1651" s="17"/>
      <c r="M1651" s="286"/>
      <c r="N1651" s="21"/>
      <c r="O1651" s="286"/>
      <c r="P1651" s="21"/>
      <c r="Q1651" s="286"/>
      <c r="R1651" s="248"/>
      <c r="S1651" s="287"/>
      <c r="T1651" s="248"/>
      <c r="U1651" s="13"/>
      <c r="V1651" s="282"/>
      <c r="W1651" s="283"/>
      <c r="X1651" s="284"/>
      <c r="Y1651" s="245"/>
      <c r="Z1651" s="245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BP1651" s="391"/>
      <c r="BQ1651" s="393"/>
    </row>
    <row r="1652" spans="1:69" ht="14.25" customHeight="1" x14ac:dyDescent="0.35">
      <c r="A1652" s="293">
        <v>818</v>
      </c>
      <c r="B1652" s="295"/>
      <c r="C1652" s="297"/>
      <c r="D1652" s="299"/>
      <c r="E1652" s="301"/>
      <c r="F1652" s="303"/>
      <c r="G1652" s="288"/>
      <c r="H1652" s="289"/>
      <c r="I1652" s="290"/>
      <c r="J1652" s="290"/>
      <c r="K1652" s="291"/>
      <c r="L1652" s="18"/>
      <c r="M1652" s="285" t="str">
        <f t="shared" ref="M1652" si="2569">IF(COUNT(L1652:L1653)&lt;1,"",AVERAGE(L1652:L1653))</f>
        <v/>
      </c>
      <c r="N1652" s="22"/>
      <c r="O1652" s="285" t="str">
        <f t="shared" ref="O1652" si="2570">IF(COUNT(N1652:N1653)&lt;1,"",AVERAGE(N1652:N1653))</f>
        <v/>
      </c>
      <c r="P1652" s="22"/>
      <c r="Q1652" s="285" t="str">
        <f t="shared" ref="Q1652" si="2571">IF(COUNT(P1652:P1653)&lt;1,"",AVERAGE(P1652:P1653))</f>
        <v/>
      </c>
      <c r="R1652" s="278" t="str">
        <f>IF($X$13="/28",IF(COUNT(P1652:P1653)&lt;=1,"",ABS(P1652-P1653)),IF($X$13="/90",IF(COUNT(#REF!)&lt;=1,"",ABS(#REF!-#REF!))))</f>
        <v/>
      </c>
      <c r="S1652" s="278" t="str">
        <f>IF($X$13="/28",IF(Q1652="","",IF(AVERAGE(Q1648:Q1653)&gt;=$W$13,ROUND(AVERAGE(Q1648:Q1653),1)&amp;" ≥ "&amp;$W$13&amp;" OK",ROUND(AVERAGE(Q1648:Q1653),1)&amp;" &lt; "&amp;$W$13&amp;" NC")),IF($X$13="/90",IF(#REF!="","",IF(AVERAGE(#REF!)&gt;=$W$13,ROUND(AVERAGE(#REF!),1)&amp;" ≥ "&amp;$W$13&amp;" OK",ROUND(AVERAGE(#REF!),1)&amp;" &lt; "&amp;$W$13&amp;" NC"))))</f>
        <v/>
      </c>
      <c r="T1652" s="278" t="str">
        <f>IF($X$13="/28",IF(Q1652="","",IF(Q1652&gt;=$W$13-$S$12,ROUND((Q1652),1)&amp;" ≥ "&amp;$W$13-$S$12&amp;" OK",ROUND((Q1652),1)&amp;" &lt; "&amp;$W$13-$S$12&amp;" NC")),IF($X$13="/90",IF(#REF!="","",IF(#REF!&gt;=$W$13-$S$12,ROUND((#REF!),1)&amp;" ≥ "&amp;$W$13-$S$12&amp;" OK",ROUND((#REF!),1)&amp;" &lt; "&amp;$W$13-$S$12&amp;" NC"))))</f>
        <v/>
      </c>
      <c r="U1652" s="14"/>
      <c r="V1652" s="279"/>
      <c r="W1652" s="280"/>
      <c r="X1652" s="281"/>
      <c r="Y1652" s="246"/>
      <c r="Z1652" s="246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BP1652" s="390" t="str">
        <f>IF($X$13="/28",IF(Q1652="","",Q1652),IF($X$13="/90",IF(#REF!="","",#REF!),"Falso"))</f>
        <v/>
      </c>
      <c r="BQ1652" s="392" t="str">
        <f t="shared" si="2516"/>
        <v/>
      </c>
    </row>
    <row r="1653" spans="1:69" ht="14.25" customHeight="1" x14ac:dyDescent="0.35">
      <c r="A1653" s="294"/>
      <c r="B1653" s="296"/>
      <c r="C1653" s="298"/>
      <c r="D1653" s="300"/>
      <c r="E1653" s="302"/>
      <c r="F1653" s="304"/>
      <c r="G1653" s="276"/>
      <c r="H1653" s="277"/>
      <c r="I1653" s="290"/>
      <c r="J1653" s="290"/>
      <c r="K1653" s="291"/>
      <c r="L1653" s="17"/>
      <c r="M1653" s="286"/>
      <c r="N1653" s="21"/>
      <c r="O1653" s="286"/>
      <c r="P1653" s="21"/>
      <c r="Q1653" s="286"/>
      <c r="R1653" s="248"/>
      <c r="S1653" s="287"/>
      <c r="T1653" s="248"/>
      <c r="U1653" s="13"/>
      <c r="V1653" s="282"/>
      <c r="W1653" s="283"/>
      <c r="X1653" s="284"/>
      <c r="Y1653" s="245"/>
      <c r="Z1653" s="245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BP1653" s="391"/>
      <c r="BQ1653" s="393"/>
    </row>
    <row r="1654" spans="1:69" ht="14.25" customHeight="1" x14ac:dyDescent="0.35">
      <c r="A1654" s="293">
        <v>819</v>
      </c>
      <c r="B1654" s="295"/>
      <c r="C1654" s="297"/>
      <c r="D1654" s="299"/>
      <c r="E1654" s="301"/>
      <c r="F1654" s="303"/>
      <c r="G1654" s="288"/>
      <c r="H1654" s="289"/>
      <c r="I1654" s="290"/>
      <c r="J1654" s="290"/>
      <c r="K1654" s="291"/>
      <c r="L1654" s="18"/>
      <c r="M1654" s="285" t="str">
        <f t="shared" ref="M1654" si="2572">IF(COUNT(L1654:L1655)&lt;1,"",AVERAGE(L1654:L1655))</f>
        <v/>
      </c>
      <c r="N1654" s="22"/>
      <c r="O1654" s="285" t="str">
        <f t="shared" ref="O1654" si="2573">IF(COUNT(N1654:N1655)&lt;1,"",AVERAGE(N1654:N1655))</f>
        <v/>
      </c>
      <c r="P1654" s="22"/>
      <c r="Q1654" s="285" t="str">
        <f t="shared" ref="Q1654" si="2574">IF(COUNT(P1654:P1655)&lt;1,"",AVERAGE(P1654:P1655))</f>
        <v/>
      </c>
      <c r="R1654" s="278" t="str">
        <f>IF($X$13="/28",IF(COUNT(P1654:P1655)&lt;=1,"",ABS(P1654-P1655)),IF($X$13="/90",IF(COUNT(#REF!)&lt;=1,"",ABS(#REF!-#REF!))))</f>
        <v/>
      </c>
      <c r="S1654" s="278" t="str">
        <f>IF($X$13="/28",IF(Q1654="","",IF(AVERAGE(Q1650:Q1655)&gt;=$W$13,ROUND(AVERAGE(Q1650:Q1655),1)&amp;" ≥ "&amp;$W$13&amp;" OK",ROUND(AVERAGE(Q1650:Q1655),1)&amp;" &lt; "&amp;$W$13&amp;" NC")),IF($X$13="/90",IF(#REF!="","",IF(AVERAGE(#REF!)&gt;=$W$13,ROUND(AVERAGE(#REF!),1)&amp;" ≥ "&amp;$W$13&amp;" OK",ROUND(AVERAGE(#REF!),1)&amp;" &lt; "&amp;$W$13&amp;" NC"))))</f>
        <v/>
      </c>
      <c r="T1654" s="278" t="str">
        <f>IF($X$13="/28",IF(Q1654="","",IF(Q1654&gt;=$W$13-$S$12,ROUND((Q1654),1)&amp;" ≥ "&amp;$W$13-$S$12&amp;" OK",ROUND((Q1654),1)&amp;" &lt; "&amp;$W$13-$S$12&amp;" NC")),IF($X$13="/90",IF(#REF!="","",IF(#REF!&gt;=$W$13-$S$12,ROUND((#REF!),1)&amp;" ≥ "&amp;$W$13-$S$12&amp;" OK",ROUND((#REF!),1)&amp;" &lt; "&amp;$W$13-$S$12&amp;" NC"))))</f>
        <v/>
      </c>
      <c r="U1654" s="14"/>
      <c r="V1654" s="279"/>
      <c r="W1654" s="280"/>
      <c r="X1654" s="281"/>
      <c r="Y1654" s="246"/>
      <c r="Z1654" s="246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BP1654" s="390" t="str">
        <f>IF($X$13="/28",IF(Q1654="","",Q1654),IF($X$13="/90",IF(#REF!="","",#REF!),"Falso"))</f>
        <v/>
      </c>
      <c r="BQ1654" s="392" t="str">
        <f t="shared" si="2520"/>
        <v/>
      </c>
    </row>
    <row r="1655" spans="1:69" ht="14.25" customHeight="1" x14ac:dyDescent="0.35">
      <c r="A1655" s="294"/>
      <c r="B1655" s="296"/>
      <c r="C1655" s="298"/>
      <c r="D1655" s="300"/>
      <c r="E1655" s="302"/>
      <c r="F1655" s="304"/>
      <c r="G1655" s="276"/>
      <c r="H1655" s="277"/>
      <c r="I1655" s="290"/>
      <c r="J1655" s="290"/>
      <c r="K1655" s="291"/>
      <c r="L1655" s="17"/>
      <c r="M1655" s="286"/>
      <c r="N1655" s="21"/>
      <c r="O1655" s="286"/>
      <c r="P1655" s="21"/>
      <c r="Q1655" s="286"/>
      <c r="R1655" s="248"/>
      <c r="S1655" s="287"/>
      <c r="T1655" s="248"/>
      <c r="U1655" s="13"/>
      <c r="V1655" s="282"/>
      <c r="W1655" s="283"/>
      <c r="X1655" s="284"/>
      <c r="Y1655" s="245"/>
      <c r="Z1655" s="245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BP1655" s="391"/>
      <c r="BQ1655" s="393"/>
    </row>
    <row r="1656" spans="1:69" ht="14.25" customHeight="1" x14ac:dyDescent="0.35">
      <c r="A1656" s="293">
        <v>820</v>
      </c>
      <c r="B1656" s="295"/>
      <c r="C1656" s="297"/>
      <c r="D1656" s="299"/>
      <c r="E1656" s="301"/>
      <c r="F1656" s="303"/>
      <c r="G1656" s="288"/>
      <c r="H1656" s="289"/>
      <c r="I1656" s="290"/>
      <c r="J1656" s="290"/>
      <c r="K1656" s="291"/>
      <c r="L1656" s="18"/>
      <c r="M1656" s="285" t="str">
        <f t="shared" ref="M1656" si="2575">IF(COUNT(L1656:L1657)&lt;1,"",AVERAGE(L1656:L1657))</f>
        <v/>
      </c>
      <c r="N1656" s="22"/>
      <c r="O1656" s="285" t="str">
        <f t="shared" ref="O1656" si="2576">IF(COUNT(N1656:N1657)&lt;1,"",AVERAGE(N1656:N1657))</f>
        <v/>
      </c>
      <c r="P1656" s="22"/>
      <c r="Q1656" s="285" t="str">
        <f t="shared" ref="Q1656" si="2577">IF(COUNT(P1656:P1657)&lt;1,"",AVERAGE(P1656:P1657))</f>
        <v/>
      </c>
      <c r="R1656" s="278" t="str">
        <f>IF($X$13="/28",IF(COUNT(P1656:P1657)&lt;=1,"",ABS(P1656-P1657)),IF($X$13="/90",IF(COUNT(#REF!)&lt;=1,"",ABS(#REF!-#REF!))))</f>
        <v/>
      </c>
      <c r="S1656" s="278" t="str">
        <f>IF($X$13="/28",IF(Q1656="","",IF(AVERAGE(Q1652:Q1657)&gt;=$W$13,ROUND(AVERAGE(Q1652:Q1657),1)&amp;" ≥ "&amp;$W$13&amp;" OK",ROUND(AVERAGE(Q1652:Q1657),1)&amp;" &lt; "&amp;$W$13&amp;" NC")),IF($X$13="/90",IF(#REF!="","",IF(AVERAGE(#REF!)&gt;=$W$13,ROUND(AVERAGE(#REF!),1)&amp;" ≥ "&amp;$W$13&amp;" OK",ROUND(AVERAGE(#REF!),1)&amp;" &lt; "&amp;$W$13&amp;" NC"))))</f>
        <v/>
      </c>
      <c r="T1656" s="278" t="str">
        <f>IF($X$13="/28",IF(Q1656="","",IF(Q1656&gt;=$W$13-$S$12,ROUND((Q1656),1)&amp;" ≥ "&amp;$W$13-$S$12&amp;" OK",ROUND((Q1656),1)&amp;" &lt; "&amp;$W$13-$S$12&amp;" NC")),IF($X$13="/90",IF(#REF!="","",IF(#REF!&gt;=$W$13-$S$12,ROUND((#REF!),1)&amp;" ≥ "&amp;$W$13-$S$12&amp;" OK",ROUND((#REF!),1)&amp;" &lt; "&amp;$W$13-$S$12&amp;" NC"))))</f>
        <v/>
      </c>
      <c r="U1656" s="14"/>
      <c r="V1656" s="279"/>
      <c r="W1656" s="280"/>
      <c r="X1656" s="281"/>
      <c r="Y1656" s="246"/>
      <c r="Z1656" s="246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BP1656" s="390" t="str">
        <f>IF($X$13="/28",IF(Q1656="","",Q1656),IF($X$13="/90",IF(#REF!="","",#REF!),"Falso"))</f>
        <v/>
      </c>
      <c r="BQ1656" s="392" t="str">
        <f t="shared" si="2512"/>
        <v/>
      </c>
    </row>
    <row r="1657" spans="1:69" ht="14.25" customHeight="1" x14ac:dyDescent="0.35">
      <c r="A1657" s="294"/>
      <c r="B1657" s="296"/>
      <c r="C1657" s="298"/>
      <c r="D1657" s="300"/>
      <c r="E1657" s="302"/>
      <c r="F1657" s="304"/>
      <c r="G1657" s="276"/>
      <c r="H1657" s="277"/>
      <c r="I1657" s="290"/>
      <c r="J1657" s="290"/>
      <c r="K1657" s="291"/>
      <c r="L1657" s="17"/>
      <c r="M1657" s="286"/>
      <c r="N1657" s="21"/>
      <c r="O1657" s="286"/>
      <c r="P1657" s="21"/>
      <c r="Q1657" s="286"/>
      <c r="R1657" s="248"/>
      <c r="S1657" s="287"/>
      <c r="T1657" s="248"/>
      <c r="U1657" s="13"/>
      <c r="V1657" s="282"/>
      <c r="W1657" s="283"/>
      <c r="X1657" s="284"/>
      <c r="Y1657" s="245"/>
      <c r="Z1657" s="245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BP1657" s="391"/>
      <c r="BQ1657" s="393"/>
    </row>
    <row r="1658" spans="1:69" ht="14.25" customHeight="1" x14ac:dyDescent="0.35">
      <c r="A1658" s="293">
        <v>821</v>
      </c>
      <c r="B1658" s="295"/>
      <c r="C1658" s="297"/>
      <c r="D1658" s="299"/>
      <c r="E1658" s="301"/>
      <c r="F1658" s="303"/>
      <c r="G1658" s="288"/>
      <c r="H1658" s="289"/>
      <c r="I1658" s="290"/>
      <c r="J1658" s="290"/>
      <c r="K1658" s="291"/>
      <c r="L1658" s="18"/>
      <c r="M1658" s="285" t="str">
        <f t="shared" ref="M1658" si="2578">IF(COUNT(L1658:L1659)&lt;1,"",AVERAGE(L1658:L1659))</f>
        <v/>
      </c>
      <c r="N1658" s="22"/>
      <c r="O1658" s="285" t="str">
        <f t="shared" ref="O1658" si="2579">IF(COUNT(N1658:N1659)&lt;1,"",AVERAGE(N1658:N1659))</f>
        <v/>
      </c>
      <c r="P1658" s="22"/>
      <c r="Q1658" s="285" t="str">
        <f t="shared" ref="Q1658" si="2580">IF(COUNT(P1658:P1659)&lt;1,"",AVERAGE(P1658:P1659))</f>
        <v/>
      </c>
      <c r="R1658" s="278" t="str">
        <f>IF($X$13="/28",IF(COUNT(P1658:P1659)&lt;=1,"",ABS(P1658-P1659)),IF($X$13="/90",IF(COUNT(#REF!)&lt;=1,"",ABS(#REF!-#REF!))))</f>
        <v/>
      </c>
      <c r="S1658" s="278" t="str">
        <f>IF($X$13="/28",IF(Q1658="","",IF(AVERAGE(Q1654:Q1659)&gt;=$W$13,ROUND(AVERAGE(Q1654:Q1659),1)&amp;" ≥ "&amp;$W$13&amp;" OK",ROUND(AVERAGE(Q1654:Q1659),1)&amp;" &lt; "&amp;$W$13&amp;" NC")),IF($X$13="/90",IF(#REF!="","",IF(AVERAGE(#REF!)&gt;=$W$13,ROUND(AVERAGE(#REF!),1)&amp;" ≥ "&amp;$W$13&amp;" OK",ROUND(AVERAGE(#REF!),1)&amp;" &lt; "&amp;$W$13&amp;" NC"))))</f>
        <v/>
      </c>
      <c r="T1658" s="278" t="str">
        <f>IF($X$13="/28",IF(Q1658="","",IF(Q1658&gt;=$W$13-$S$12,ROUND((Q1658),1)&amp;" ≥ "&amp;$W$13-$S$12&amp;" OK",ROUND((Q1658),1)&amp;" &lt; "&amp;$W$13-$S$12&amp;" NC")),IF($X$13="/90",IF(#REF!="","",IF(#REF!&gt;=$W$13-$S$12,ROUND((#REF!),1)&amp;" ≥ "&amp;$W$13-$S$12&amp;" OK",ROUND((#REF!),1)&amp;" &lt; "&amp;$W$13-$S$12&amp;" NC"))))</f>
        <v/>
      </c>
      <c r="U1658" s="14"/>
      <c r="V1658" s="279"/>
      <c r="W1658" s="280"/>
      <c r="X1658" s="281"/>
      <c r="Y1658" s="246"/>
      <c r="Z1658" s="246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BP1658" s="390" t="str">
        <f>IF($X$13="/28",IF(Q1658="","",Q1658),IF($X$13="/90",IF(#REF!="","",#REF!),"Falso"))</f>
        <v/>
      </c>
      <c r="BQ1658" s="392" t="str">
        <f t="shared" si="2516"/>
        <v/>
      </c>
    </row>
    <row r="1659" spans="1:69" ht="14.25" customHeight="1" x14ac:dyDescent="0.35">
      <c r="A1659" s="294"/>
      <c r="B1659" s="296"/>
      <c r="C1659" s="298"/>
      <c r="D1659" s="300"/>
      <c r="E1659" s="302"/>
      <c r="F1659" s="304"/>
      <c r="G1659" s="276"/>
      <c r="H1659" s="277"/>
      <c r="I1659" s="290"/>
      <c r="J1659" s="290"/>
      <c r="K1659" s="291"/>
      <c r="L1659" s="17"/>
      <c r="M1659" s="286"/>
      <c r="N1659" s="21"/>
      <c r="O1659" s="286"/>
      <c r="P1659" s="21"/>
      <c r="Q1659" s="286"/>
      <c r="R1659" s="248"/>
      <c r="S1659" s="287"/>
      <c r="T1659" s="248"/>
      <c r="U1659" s="13"/>
      <c r="V1659" s="282"/>
      <c r="W1659" s="283"/>
      <c r="X1659" s="284"/>
      <c r="Y1659" s="245"/>
      <c r="Z1659" s="245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BP1659" s="391"/>
      <c r="BQ1659" s="393"/>
    </row>
    <row r="1660" spans="1:69" ht="14.25" customHeight="1" x14ac:dyDescent="0.35">
      <c r="A1660" s="293">
        <v>822</v>
      </c>
      <c r="B1660" s="295"/>
      <c r="C1660" s="297"/>
      <c r="D1660" s="299"/>
      <c r="E1660" s="301"/>
      <c r="F1660" s="303"/>
      <c r="G1660" s="288"/>
      <c r="H1660" s="289"/>
      <c r="I1660" s="290"/>
      <c r="J1660" s="290"/>
      <c r="K1660" s="291"/>
      <c r="L1660" s="18"/>
      <c r="M1660" s="285" t="str">
        <f t="shared" ref="M1660" si="2581">IF(COUNT(L1660:L1661)&lt;1,"",AVERAGE(L1660:L1661))</f>
        <v/>
      </c>
      <c r="N1660" s="22"/>
      <c r="O1660" s="285" t="str">
        <f t="shared" ref="O1660" si="2582">IF(COUNT(N1660:N1661)&lt;1,"",AVERAGE(N1660:N1661))</f>
        <v/>
      </c>
      <c r="P1660" s="22"/>
      <c r="Q1660" s="285" t="str">
        <f t="shared" ref="Q1660" si="2583">IF(COUNT(P1660:P1661)&lt;1,"",AVERAGE(P1660:P1661))</f>
        <v/>
      </c>
      <c r="R1660" s="278" t="str">
        <f>IF($X$13="/28",IF(COUNT(P1660:P1661)&lt;=1,"",ABS(P1660-P1661)),IF($X$13="/90",IF(COUNT(#REF!)&lt;=1,"",ABS(#REF!-#REF!))))</f>
        <v/>
      </c>
      <c r="S1660" s="278" t="str">
        <f>IF($X$13="/28",IF(Q1660="","",IF(AVERAGE(Q1656:Q1661)&gt;=$W$13,ROUND(AVERAGE(Q1656:Q1661),1)&amp;" ≥ "&amp;$W$13&amp;" OK",ROUND(AVERAGE(Q1656:Q1661),1)&amp;" &lt; "&amp;$W$13&amp;" NC")),IF($X$13="/90",IF(#REF!="","",IF(AVERAGE(#REF!)&gt;=$W$13,ROUND(AVERAGE(#REF!),1)&amp;" ≥ "&amp;$W$13&amp;" OK",ROUND(AVERAGE(#REF!),1)&amp;" &lt; "&amp;$W$13&amp;" NC"))))</f>
        <v/>
      </c>
      <c r="T1660" s="278" t="str">
        <f>IF($X$13="/28",IF(Q1660="","",IF(Q1660&gt;=$W$13-$S$12,ROUND((Q1660),1)&amp;" ≥ "&amp;$W$13-$S$12&amp;" OK",ROUND((Q1660),1)&amp;" &lt; "&amp;$W$13-$S$12&amp;" NC")),IF($X$13="/90",IF(#REF!="","",IF(#REF!&gt;=$W$13-$S$12,ROUND((#REF!),1)&amp;" ≥ "&amp;$W$13-$S$12&amp;" OK",ROUND((#REF!),1)&amp;" &lt; "&amp;$W$13-$S$12&amp;" NC"))))</f>
        <v/>
      </c>
      <c r="U1660" s="14"/>
      <c r="V1660" s="279"/>
      <c r="W1660" s="280"/>
      <c r="X1660" s="281"/>
      <c r="Y1660" s="246"/>
      <c r="Z1660" s="246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BP1660" s="390" t="str">
        <f>IF($X$13="/28",IF(Q1660="","",Q1660),IF($X$13="/90",IF(#REF!="","",#REF!),"Falso"))</f>
        <v/>
      </c>
      <c r="BQ1660" s="392" t="str">
        <f t="shared" si="2520"/>
        <v/>
      </c>
    </row>
    <row r="1661" spans="1:69" ht="14.25" customHeight="1" x14ac:dyDescent="0.35">
      <c r="A1661" s="294"/>
      <c r="B1661" s="296"/>
      <c r="C1661" s="298"/>
      <c r="D1661" s="300"/>
      <c r="E1661" s="302"/>
      <c r="F1661" s="304"/>
      <c r="G1661" s="276"/>
      <c r="H1661" s="277"/>
      <c r="I1661" s="290"/>
      <c r="J1661" s="290"/>
      <c r="K1661" s="291"/>
      <c r="L1661" s="17"/>
      <c r="M1661" s="286"/>
      <c r="N1661" s="21"/>
      <c r="O1661" s="286"/>
      <c r="P1661" s="21"/>
      <c r="Q1661" s="286"/>
      <c r="R1661" s="248"/>
      <c r="S1661" s="287"/>
      <c r="T1661" s="248"/>
      <c r="U1661" s="13"/>
      <c r="V1661" s="282"/>
      <c r="W1661" s="283"/>
      <c r="X1661" s="284"/>
      <c r="Y1661" s="245"/>
      <c r="Z1661" s="245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BP1661" s="391"/>
      <c r="BQ1661" s="393"/>
    </row>
    <row r="1662" spans="1:69" ht="14.25" customHeight="1" x14ac:dyDescent="0.35">
      <c r="A1662" s="293">
        <v>823</v>
      </c>
      <c r="B1662" s="295"/>
      <c r="C1662" s="297"/>
      <c r="D1662" s="299"/>
      <c r="E1662" s="301"/>
      <c r="F1662" s="303"/>
      <c r="G1662" s="288"/>
      <c r="H1662" s="289"/>
      <c r="I1662" s="290"/>
      <c r="J1662" s="290"/>
      <c r="K1662" s="291"/>
      <c r="L1662" s="18"/>
      <c r="M1662" s="285" t="str">
        <f t="shared" ref="M1662" si="2584">IF(COUNT(L1662:L1663)&lt;1,"",AVERAGE(L1662:L1663))</f>
        <v/>
      </c>
      <c r="N1662" s="22"/>
      <c r="O1662" s="285" t="str">
        <f t="shared" ref="O1662" si="2585">IF(COUNT(N1662:N1663)&lt;1,"",AVERAGE(N1662:N1663))</f>
        <v/>
      </c>
      <c r="P1662" s="22"/>
      <c r="Q1662" s="285" t="str">
        <f t="shared" ref="Q1662" si="2586">IF(COUNT(P1662:P1663)&lt;1,"",AVERAGE(P1662:P1663))</f>
        <v/>
      </c>
      <c r="R1662" s="278" t="str">
        <f>IF($X$13="/28",IF(COUNT(P1662:P1663)&lt;=1,"",ABS(P1662-P1663)),IF($X$13="/90",IF(COUNT(#REF!)&lt;=1,"",ABS(#REF!-#REF!))))</f>
        <v/>
      </c>
      <c r="S1662" s="278" t="str">
        <f>IF($X$13="/28",IF(Q1662="","",IF(AVERAGE(Q1658:Q1663)&gt;=$W$13,ROUND(AVERAGE(Q1658:Q1663),1)&amp;" ≥ "&amp;$W$13&amp;" OK",ROUND(AVERAGE(Q1658:Q1663),1)&amp;" &lt; "&amp;$W$13&amp;" NC")),IF($X$13="/90",IF(#REF!="","",IF(AVERAGE(#REF!)&gt;=$W$13,ROUND(AVERAGE(#REF!),1)&amp;" ≥ "&amp;$W$13&amp;" OK",ROUND(AVERAGE(#REF!),1)&amp;" &lt; "&amp;$W$13&amp;" NC"))))</f>
        <v/>
      </c>
      <c r="T1662" s="278" t="str">
        <f>IF($X$13="/28",IF(Q1662="","",IF(Q1662&gt;=$W$13-$S$12,ROUND((Q1662),1)&amp;" ≥ "&amp;$W$13-$S$12&amp;" OK",ROUND((Q1662),1)&amp;" &lt; "&amp;$W$13-$S$12&amp;" NC")),IF($X$13="/90",IF(#REF!="","",IF(#REF!&gt;=$W$13-$S$12,ROUND((#REF!),1)&amp;" ≥ "&amp;$W$13-$S$12&amp;" OK",ROUND((#REF!),1)&amp;" &lt; "&amp;$W$13-$S$12&amp;" NC"))))</f>
        <v/>
      </c>
      <c r="U1662" s="14"/>
      <c r="V1662" s="279"/>
      <c r="W1662" s="280"/>
      <c r="X1662" s="281"/>
      <c r="Y1662" s="246"/>
      <c r="Z1662" s="246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BP1662" s="390" t="str">
        <f>IF($X$13="/28",IF(Q1662="","",Q1662),IF($X$13="/90",IF(#REF!="","",#REF!),"Falso"))</f>
        <v/>
      </c>
      <c r="BQ1662" s="392" t="str">
        <f t="shared" si="2512"/>
        <v/>
      </c>
    </row>
    <row r="1663" spans="1:69" ht="14.25" customHeight="1" x14ac:dyDescent="0.35">
      <c r="A1663" s="294"/>
      <c r="B1663" s="296"/>
      <c r="C1663" s="298"/>
      <c r="D1663" s="300"/>
      <c r="E1663" s="302"/>
      <c r="F1663" s="304"/>
      <c r="G1663" s="276"/>
      <c r="H1663" s="277"/>
      <c r="I1663" s="290"/>
      <c r="J1663" s="290"/>
      <c r="K1663" s="291"/>
      <c r="L1663" s="17"/>
      <c r="M1663" s="286"/>
      <c r="N1663" s="21"/>
      <c r="O1663" s="286"/>
      <c r="P1663" s="21"/>
      <c r="Q1663" s="286"/>
      <c r="R1663" s="248"/>
      <c r="S1663" s="287"/>
      <c r="T1663" s="248"/>
      <c r="U1663" s="13"/>
      <c r="V1663" s="282"/>
      <c r="W1663" s="283"/>
      <c r="X1663" s="284"/>
      <c r="Y1663" s="245"/>
      <c r="Z1663" s="245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BP1663" s="391"/>
      <c r="BQ1663" s="393"/>
    </row>
    <row r="1664" spans="1:69" ht="14.25" customHeight="1" x14ac:dyDescent="0.35">
      <c r="A1664" s="293">
        <v>824</v>
      </c>
      <c r="B1664" s="295"/>
      <c r="C1664" s="297"/>
      <c r="D1664" s="299"/>
      <c r="E1664" s="301"/>
      <c r="F1664" s="303"/>
      <c r="G1664" s="288"/>
      <c r="H1664" s="289"/>
      <c r="I1664" s="290"/>
      <c r="J1664" s="290"/>
      <c r="K1664" s="291"/>
      <c r="L1664" s="18"/>
      <c r="M1664" s="285" t="str">
        <f t="shared" ref="M1664" si="2587">IF(COUNT(L1664:L1665)&lt;1,"",AVERAGE(L1664:L1665))</f>
        <v/>
      </c>
      <c r="N1664" s="22"/>
      <c r="O1664" s="285" t="str">
        <f t="shared" ref="O1664" si="2588">IF(COUNT(N1664:N1665)&lt;1,"",AVERAGE(N1664:N1665))</f>
        <v/>
      </c>
      <c r="P1664" s="22"/>
      <c r="Q1664" s="285" t="str">
        <f t="shared" ref="Q1664" si="2589">IF(COUNT(P1664:P1665)&lt;1,"",AVERAGE(P1664:P1665))</f>
        <v/>
      </c>
      <c r="R1664" s="278" t="str">
        <f>IF($X$13="/28",IF(COUNT(P1664:P1665)&lt;=1,"",ABS(P1664-P1665)),IF($X$13="/90",IF(COUNT(#REF!)&lt;=1,"",ABS(#REF!-#REF!))))</f>
        <v/>
      </c>
      <c r="S1664" s="278" t="str">
        <f>IF($X$13="/28",IF(Q1664="","",IF(AVERAGE(Q1660:Q1665)&gt;=$W$13,ROUND(AVERAGE(Q1660:Q1665),1)&amp;" ≥ "&amp;$W$13&amp;" OK",ROUND(AVERAGE(Q1660:Q1665),1)&amp;" &lt; "&amp;$W$13&amp;" NC")),IF($X$13="/90",IF(#REF!="","",IF(AVERAGE(#REF!)&gt;=$W$13,ROUND(AVERAGE(#REF!),1)&amp;" ≥ "&amp;$W$13&amp;" OK",ROUND(AVERAGE(#REF!),1)&amp;" &lt; "&amp;$W$13&amp;" NC"))))</f>
        <v/>
      </c>
      <c r="T1664" s="278" t="str">
        <f>IF($X$13="/28",IF(Q1664="","",IF(Q1664&gt;=$W$13-$S$12,ROUND((Q1664),1)&amp;" ≥ "&amp;$W$13-$S$12&amp;" OK",ROUND((Q1664),1)&amp;" &lt; "&amp;$W$13-$S$12&amp;" NC")),IF($X$13="/90",IF(#REF!="","",IF(#REF!&gt;=$W$13-$S$12,ROUND((#REF!),1)&amp;" ≥ "&amp;$W$13-$S$12&amp;" OK",ROUND((#REF!),1)&amp;" &lt; "&amp;$W$13-$S$12&amp;" NC"))))</f>
        <v/>
      </c>
      <c r="U1664" s="14"/>
      <c r="V1664" s="279"/>
      <c r="W1664" s="280"/>
      <c r="X1664" s="281"/>
      <c r="Y1664" s="246"/>
      <c r="Z1664" s="246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BP1664" s="390" t="str">
        <f>IF($X$13="/28",IF(Q1664="","",Q1664),IF($X$13="/90",IF(#REF!="","",#REF!),"Falso"))</f>
        <v/>
      </c>
      <c r="BQ1664" s="392" t="str">
        <f t="shared" si="2516"/>
        <v/>
      </c>
    </row>
    <row r="1665" spans="1:69" ht="14.25" customHeight="1" x14ac:dyDescent="0.35">
      <c r="A1665" s="294"/>
      <c r="B1665" s="296"/>
      <c r="C1665" s="298"/>
      <c r="D1665" s="300"/>
      <c r="E1665" s="302"/>
      <c r="F1665" s="304"/>
      <c r="G1665" s="276"/>
      <c r="H1665" s="277"/>
      <c r="I1665" s="290"/>
      <c r="J1665" s="290"/>
      <c r="K1665" s="291"/>
      <c r="L1665" s="17"/>
      <c r="M1665" s="286"/>
      <c r="N1665" s="21"/>
      <c r="O1665" s="286"/>
      <c r="P1665" s="21"/>
      <c r="Q1665" s="286"/>
      <c r="R1665" s="248"/>
      <c r="S1665" s="287"/>
      <c r="T1665" s="248"/>
      <c r="U1665" s="13"/>
      <c r="V1665" s="282"/>
      <c r="W1665" s="283"/>
      <c r="X1665" s="284"/>
      <c r="Y1665" s="245"/>
      <c r="Z1665" s="245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BP1665" s="391"/>
      <c r="BQ1665" s="393"/>
    </row>
    <row r="1666" spans="1:69" ht="14.25" customHeight="1" x14ac:dyDescent="0.35">
      <c r="A1666" s="293">
        <v>825</v>
      </c>
      <c r="B1666" s="295"/>
      <c r="C1666" s="297"/>
      <c r="D1666" s="299"/>
      <c r="E1666" s="301"/>
      <c r="F1666" s="303"/>
      <c r="G1666" s="288"/>
      <c r="H1666" s="289"/>
      <c r="I1666" s="290"/>
      <c r="J1666" s="290"/>
      <c r="K1666" s="291"/>
      <c r="L1666" s="18"/>
      <c r="M1666" s="285" t="str">
        <f t="shared" ref="M1666" si="2590">IF(COUNT(L1666:L1667)&lt;1,"",AVERAGE(L1666:L1667))</f>
        <v/>
      </c>
      <c r="N1666" s="22"/>
      <c r="O1666" s="285" t="str">
        <f t="shared" ref="O1666" si="2591">IF(COUNT(N1666:N1667)&lt;1,"",AVERAGE(N1666:N1667))</f>
        <v/>
      </c>
      <c r="P1666" s="22"/>
      <c r="Q1666" s="285" t="str">
        <f t="shared" ref="Q1666" si="2592">IF(COUNT(P1666:P1667)&lt;1,"",AVERAGE(P1666:P1667))</f>
        <v/>
      </c>
      <c r="R1666" s="278" t="str">
        <f>IF($X$13="/28",IF(COUNT(P1666:P1667)&lt;=1,"",ABS(P1666-P1667)),IF($X$13="/90",IF(COUNT(#REF!)&lt;=1,"",ABS(#REF!-#REF!))))</f>
        <v/>
      </c>
      <c r="S1666" s="278" t="str">
        <f>IF($X$13="/28",IF(Q1666="","",IF(AVERAGE(Q1662:Q1667)&gt;=$W$13,ROUND(AVERAGE(Q1662:Q1667),1)&amp;" ≥ "&amp;$W$13&amp;" OK",ROUND(AVERAGE(Q1662:Q1667),1)&amp;" &lt; "&amp;$W$13&amp;" NC")),IF($X$13="/90",IF(#REF!="","",IF(AVERAGE(#REF!)&gt;=$W$13,ROUND(AVERAGE(#REF!),1)&amp;" ≥ "&amp;$W$13&amp;" OK",ROUND(AVERAGE(#REF!),1)&amp;" &lt; "&amp;$W$13&amp;" NC"))))</f>
        <v/>
      </c>
      <c r="T1666" s="278" t="str">
        <f>IF($X$13="/28",IF(Q1666="","",IF(Q1666&gt;=$W$13-$S$12,ROUND((Q1666),1)&amp;" ≥ "&amp;$W$13-$S$12&amp;" OK",ROUND((Q1666),1)&amp;" &lt; "&amp;$W$13-$S$12&amp;" NC")),IF($X$13="/90",IF(#REF!="","",IF(#REF!&gt;=$W$13-$S$12,ROUND((#REF!),1)&amp;" ≥ "&amp;$W$13-$S$12&amp;" OK",ROUND((#REF!),1)&amp;" &lt; "&amp;$W$13-$S$12&amp;" NC"))))</f>
        <v/>
      </c>
      <c r="U1666" s="14"/>
      <c r="V1666" s="279"/>
      <c r="W1666" s="280"/>
      <c r="X1666" s="281"/>
      <c r="Y1666" s="246"/>
      <c r="Z1666" s="246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BP1666" s="390" t="str">
        <f>IF($X$13="/28",IF(Q1666="","",Q1666),IF($X$13="/90",IF(#REF!="","",#REF!),"Falso"))</f>
        <v/>
      </c>
      <c r="BQ1666" s="392" t="str">
        <f t="shared" si="2520"/>
        <v/>
      </c>
    </row>
    <row r="1667" spans="1:69" ht="14.25" customHeight="1" x14ac:dyDescent="0.35">
      <c r="A1667" s="294"/>
      <c r="B1667" s="296"/>
      <c r="C1667" s="298"/>
      <c r="D1667" s="300"/>
      <c r="E1667" s="302"/>
      <c r="F1667" s="304"/>
      <c r="G1667" s="276"/>
      <c r="H1667" s="277"/>
      <c r="I1667" s="290"/>
      <c r="J1667" s="290"/>
      <c r="K1667" s="291"/>
      <c r="L1667" s="17"/>
      <c r="M1667" s="286"/>
      <c r="N1667" s="21"/>
      <c r="O1667" s="286"/>
      <c r="P1667" s="21"/>
      <c r="Q1667" s="286"/>
      <c r="R1667" s="248"/>
      <c r="S1667" s="287"/>
      <c r="T1667" s="248"/>
      <c r="U1667" s="13"/>
      <c r="V1667" s="282"/>
      <c r="W1667" s="283"/>
      <c r="X1667" s="284"/>
      <c r="Y1667" s="245"/>
      <c r="Z1667" s="245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BP1667" s="391"/>
      <c r="BQ1667" s="393"/>
    </row>
    <row r="1668" spans="1:69" ht="14.25" customHeight="1" x14ac:dyDescent="0.35">
      <c r="A1668" s="293">
        <v>826</v>
      </c>
      <c r="B1668" s="295"/>
      <c r="C1668" s="297"/>
      <c r="D1668" s="299"/>
      <c r="E1668" s="301"/>
      <c r="F1668" s="303"/>
      <c r="G1668" s="288"/>
      <c r="H1668" s="289"/>
      <c r="I1668" s="290"/>
      <c r="J1668" s="290"/>
      <c r="K1668" s="291"/>
      <c r="L1668" s="18"/>
      <c r="M1668" s="285" t="str">
        <f t="shared" ref="M1668" si="2593">IF(COUNT(L1668:L1669)&lt;1,"",AVERAGE(L1668:L1669))</f>
        <v/>
      </c>
      <c r="N1668" s="22"/>
      <c r="O1668" s="285" t="str">
        <f t="shared" ref="O1668" si="2594">IF(COUNT(N1668:N1669)&lt;1,"",AVERAGE(N1668:N1669))</f>
        <v/>
      </c>
      <c r="P1668" s="22"/>
      <c r="Q1668" s="285" t="str">
        <f t="shared" ref="Q1668" si="2595">IF(COUNT(P1668:P1669)&lt;1,"",AVERAGE(P1668:P1669))</f>
        <v/>
      </c>
      <c r="R1668" s="278" t="str">
        <f>IF($X$13="/28",IF(COUNT(P1668:P1669)&lt;=1,"",ABS(P1668-P1669)),IF($X$13="/90",IF(COUNT(#REF!)&lt;=1,"",ABS(#REF!-#REF!))))</f>
        <v/>
      </c>
      <c r="S1668" s="278" t="str">
        <f>IF($X$13="/28",IF(Q1668="","",IF(AVERAGE(Q1664:Q1669)&gt;=$W$13,ROUND(AVERAGE(Q1664:Q1669),1)&amp;" ≥ "&amp;$W$13&amp;" OK",ROUND(AVERAGE(Q1664:Q1669),1)&amp;" &lt; "&amp;$W$13&amp;" NC")),IF($X$13="/90",IF(#REF!="","",IF(AVERAGE(#REF!)&gt;=$W$13,ROUND(AVERAGE(#REF!),1)&amp;" ≥ "&amp;$W$13&amp;" OK",ROUND(AVERAGE(#REF!),1)&amp;" &lt; "&amp;$W$13&amp;" NC"))))</f>
        <v/>
      </c>
      <c r="T1668" s="278" t="str">
        <f>IF($X$13="/28",IF(Q1668="","",IF(Q1668&gt;=$W$13-$S$12,ROUND((Q1668),1)&amp;" ≥ "&amp;$W$13-$S$12&amp;" OK",ROUND((Q1668),1)&amp;" &lt; "&amp;$W$13-$S$12&amp;" NC")),IF($X$13="/90",IF(#REF!="","",IF(#REF!&gt;=$W$13-$S$12,ROUND((#REF!),1)&amp;" ≥ "&amp;$W$13-$S$12&amp;" OK",ROUND((#REF!),1)&amp;" &lt; "&amp;$W$13-$S$12&amp;" NC"))))</f>
        <v/>
      </c>
      <c r="U1668" s="14"/>
      <c r="V1668" s="279"/>
      <c r="W1668" s="280"/>
      <c r="X1668" s="281"/>
      <c r="Y1668" s="246"/>
      <c r="Z1668" s="246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BP1668" s="390" t="str">
        <f>IF($X$13="/28",IF(Q1668="","",Q1668),IF($X$13="/90",IF(#REF!="","",#REF!),"Falso"))</f>
        <v/>
      </c>
      <c r="BQ1668" s="392" t="str">
        <f t="shared" si="2512"/>
        <v/>
      </c>
    </row>
    <row r="1669" spans="1:69" ht="14.25" customHeight="1" x14ac:dyDescent="0.35">
      <c r="A1669" s="294"/>
      <c r="B1669" s="296"/>
      <c r="C1669" s="298"/>
      <c r="D1669" s="300"/>
      <c r="E1669" s="302"/>
      <c r="F1669" s="304"/>
      <c r="G1669" s="276"/>
      <c r="H1669" s="277"/>
      <c r="I1669" s="290"/>
      <c r="J1669" s="290"/>
      <c r="K1669" s="291"/>
      <c r="L1669" s="17"/>
      <c r="M1669" s="286"/>
      <c r="N1669" s="21"/>
      <c r="O1669" s="286"/>
      <c r="P1669" s="21"/>
      <c r="Q1669" s="286"/>
      <c r="R1669" s="248"/>
      <c r="S1669" s="287"/>
      <c r="T1669" s="248"/>
      <c r="U1669" s="13"/>
      <c r="V1669" s="282"/>
      <c r="W1669" s="283"/>
      <c r="X1669" s="284"/>
      <c r="Y1669" s="245"/>
      <c r="Z1669" s="245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BP1669" s="391"/>
      <c r="BQ1669" s="393"/>
    </row>
    <row r="1670" spans="1:69" ht="14.25" customHeight="1" x14ac:dyDescent="0.35">
      <c r="A1670" s="293">
        <v>827</v>
      </c>
      <c r="B1670" s="295"/>
      <c r="C1670" s="297"/>
      <c r="D1670" s="299"/>
      <c r="E1670" s="301"/>
      <c r="F1670" s="303"/>
      <c r="G1670" s="288"/>
      <c r="H1670" s="289"/>
      <c r="I1670" s="290"/>
      <c r="J1670" s="290"/>
      <c r="K1670" s="291"/>
      <c r="L1670" s="18"/>
      <c r="M1670" s="285" t="str">
        <f t="shared" ref="M1670" si="2596">IF(COUNT(L1670:L1671)&lt;1,"",AVERAGE(L1670:L1671))</f>
        <v/>
      </c>
      <c r="N1670" s="22"/>
      <c r="O1670" s="285" t="str">
        <f t="shared" ref="O1670" si="2597">IF(COUNT(N1670:N1671)&lt;1,"",AVERAGE(N1670:N1671))</f>
        <v/>
      </c>
      <c r="P1670" s="22"/>
      <c r="Q1670" s="285" t="str">
        <f t="shared" ref="Q1670" si="2598">IF(COUNT(P1670:P1671)&lt;1,"",AVERAGE(P1670:P1671))</f>
        <v/>
      </c>
      <c r="R1670" s="278" t="str">
        <f>IF($X$13="/28",IF(COUNT(P1670:P1671)&lt;=1,"",ABS(P1670-P1671)),IF($X$13="/90",IF(COUNT(#REF!)&lt;=1,"",ABS(#REF!-#REF!))))</f>
        <v/>
      </c>
      <c r="S1670" s="278" t="str">
        <f>IF($X$13="/28",IF(Q1670="","",IF(AVERAGE(Q1666:Q1671)&gt;=$W$13,ROUND(AVERAGE(Q1666:Q1671),1)&amp;" ≥ "&amp;$W$13&amp;" OK",ROUND(AVERAGE(Q1666:Q1671),1)&amp;" &lt; "&amp;$W$13&amp;" NC")),IF($X$13="/90",IF(#REF!="","",IF(AVERAGE(#REF!)&gt;=$W$13,ROUND(AVERAGE(#REF!),1)&amp;" ≥ "&amp;$W$13&amp;" OK",ROUND(AVERAGE(#REF!),1)&amp;" &lt; "&amp;$W$13&amp;" NC"))))</f>
        <v/>
      </c>
      <c r="T1670" s="278" t="str">
        <f>IF($X$13="/28",IF(Q1670="","",IF(Q1670&gt;=$W$13-$S$12,ROUND((Q1670),1)&amp;" ≥ "&amp;$W$13-$S$12&amp;" OK",ROUND((Q1670),1)&amp;" &lt; "&amp;$W$13-$S$12&amp;" NC")),IF($X$13="/90",IF(#REF!="","",IF(#REF!&gt;=$W$13-$S$12,ROUND((#REF!),1)&amp;" ≥ "&amp;$W$13-$S$12&amp;" OK",ROUND((#REF!),1)&amp;" &lt; "&amp;$W$13-$S$12&amp;" NC"))))</f>
        <v/>
      </c>
      <c r="U1670" s="14"/>
      <c r="V1670" s="279"/>
      <c r="W1670" s="280"/>
      <c r="X1670" s="281"/>
      <c r="Y1670" s="246"/>
      <c r="Z1670" s="246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BP1670" s="390" t="str">
        <f>IF($X$13="/28",IF(Q1670="","",Q1670),IF($X$13="/90",IF(#REF!="","",#REF!),"Falso"))</f>
        <v/>
      </c>
      <c r="BQ1670" s="392" t="str">
        <f t="shared" si="2516"/>
        <v/>
      </c>
    </row>
    <row r="1671" spans="1:69" ht="14.25" customHeight="1" x14ac:dyDescent="0.35">
      <c r="A1671" s="294"/>
      <c r="B1671" s="296"/>
      <c r="C1671" s="298"/>
      <c r="D1671" s="300"/>
      <c r="E1671" s="302"/>
      <c r="F1671" s="304"/>
      <c r="G1671" s="276"/>
      <c r="H1671" s="277"/>
      <c r="I1671" s="290"/>
      <c r="J1671" s="290"/>
      <c r="K1671" s="291"/>
      <c r="L1671" s="17"/>
      <c r="M1671" s="286"/>
      <c r="N1671" s="21"/>
      <c r="O1671" s="286"/>
      <c r="P1671" s="21"/>
      <c r="Q1671" s="286"/>
      <c r="R1671" s="248"/>
      <c r="S1671" s="287"/>
      <c r="T1671" s="248"/>
      <c r="U1671" s="13"/>
      <c r="V1671" s="282"/>
      <c r="W1671" s="283"/>
      <c r="X1671" s="284"/>
      <c r="Y1671" s="245"/>
      <c r="Z1671" s="245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BP1671" s="391"/>
      <c r="BQ1671" s="393"/>
    </row>
    <row r="1672" spans="1:69" ht="14.25" customHeight="1" x14ac:dyDescent="0.35">
      <c r="A1672" s="293">
        <v>828</v>
      </c>
      <c r="B1672" s="295"/>
      <c r="C1672" s="297"/>
      <c r="D1672" s="299"/>
      <c r="E1672" s="301"/>
      <c r="F1672" s="303"/>
      <c r="G1672" s="288"/>
      <c r="H1672" s="289"/>
      <c r="I1672" s="290"/>
      <c r="J1672" s="290"/>
      <c r="K1672" s="291"/>
      <c r="L1672" s="18"/>
      <c r="M1672" s="285" t="str">
        <f t="shared" ref="M1672" si="2599">IF(COUNT(L1672:L1673)&lt;1,"",AVERAGE(L1672:L1673))</f>
        <v/>
      </c>
      <c r="N1672" s="22"/>
      <c r="O1672" s="285" t="str">
        <f t="shared" ref="O1672" si="2600">IF(COUNT(N1672:N1673)&lt;1,"",AVERAGE(N1672:N1673))</f>
        <v/>
      </c>
      <c r="P1672" s="22"/>
      <c r="Q1672" s="285" t="str">
        <f t="shared" ref="Q1672" si="2601">IF(COUNT(P1672:P1673)&lt;1,"",AVERAGE(P1672:P1673))</f>
        <v/>
      </c>
      <c r="R1672" s="278" t="str">
        <f>IF($X$13="/28",IF(COUNT(P1672:P1673)&lt;=1,"",ABS(P1672-P1673)),IF($X$13="/90",IF(COUNT(#REF!)&lt;=1,"",ABS(#REF!-#REF!))))</f>
        <v/>
      </c>
      <c r="S1672" s="278" t="str">
        <f>IF($X$13="/28",IF(Q1672="","",IF(AVERAGE(Q1668:Q1673)&gt;=$W$13,ROUND(AVERAGE(Q1668:Q1673),1)&amp;" ≥ "&amp;$W$13&amp;" OK",ROUND(AVERAGE(Q1668:Q1673),1)&amp;" &lt; "&amp;$W$13&amp;" NC")),IF($X$13="/90",IF(#REF!="","",IF(AVERAGE(#REF!)&gt;=$W$13,ROUND(AVERAGE(#REF!),1)&amp;" ≥ "&amp;$W$13&amp;" OK",ROUND(AVERAGE(#REF!),1)&amp;" &lt; "&amp;$W$13&amp;" NC"))))</f>
        <v/>
      </c>
      <c r="T1672" s="278" t="str">
        <f>IF($X$13="/28",IF(Q1672="","",IF(Q1672&gt;=$W$13-$S$12,ROUND((Q1672),1)&amp;" ≥ "&amp;$W$13-$S$12&amp;" OK",ROUND((Q1672),1)&amp;" &lt; "&amp;$W$13-$S$12&amp;" NC")),IF($X$13="/90",IF(#REF!="","",IF(#REF!&gt;=$W$13-$S$12,ROUND((#REF!),1)&amp;" ≥ "&amp;$W$13-$S$12&amp;" OK",ROUND((#REF!),1)&amp;" &lt; "&amp;$W$13-$S$12&amp;" NC"))))</f>
        <v/>
      </c>
      <c r="U1672" s="14"/>
      <c r="V1672" s="279"/>
      <c r="W1672" s="280"/>
      <c r="X1672" s="281"/>
      <c r="Y1672" s="246"/>
      <c r="Z1672" s="246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BP1672" s="390" t="str">
        <f>IF($X$13="/28",IF(Q1672="","",Q1672),IF($X$13="/90",IF(#REF!="","",#REF!),"Falso"))</f>
        <v/>
      </c>
      <c r="BQ1672" s="392" t="str">
        <f t="shared" si="2520"/>
        <v/>
      </c>
    </row>
    <row r="1673" spans="1:69" ht="14.25" customHeight="1" x14ac:dyDescent="0.35">
      <c r="A1673" s="294"/>
      <c r="B1673" s="296"/>
      <c r="C1673" s="298"/>
      <c r="D1673" s="300"/>
      <c r="E1673" s="302"/>
      <c r="F1673" s="304"/>
      <c r="G1673" s="276"/>
      <c r="H1673" s="277"/>
      <c r="I1673" s="290"/>
      <c r="J1673" s="290"/>
      <c r="K1673" s="291"/>
      <c r="L1673" s="17"/>
      <c r="M1673" s="286"/>
      <c r="N1673" s="21"/>
      <c r="O1673" s="286"/>
      <c r="P1673" s="21"/>
      <c r="Q1673" s="286"/>
      <c r="R1673" s="248"/>
      <c r="S1673" s="287"/>
      <c r="T1673" s="248"/>
      <c r="U1673" s="13"/>
      <c r="V1673" s="282"/>
      <c r="W1673" s="283"/>
      <c r="X1673" s="284"/>
      <c r="Y1673" s="245"/>
      <c r="Z1673" s="245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BP1673" s="391"/>
      <c r="BQ1673" s="393"/>
    </row>
    <row r="1674" spans="1:69" ht="14.25" customHeight="1" x14ac:dyDescent="0.35">
      <c r="A1674" s="293">
        <v>829</v>
      </c>
      <c r="B1674" s="295"/>
      <c r="C1674" s="297"/>
      <c r="D1674" s="299"/>
      <c r="E1674" s="301"/>
      <c r="F1674" s="303"/>
      <c r="G1674" s="288"/>
      <c r="H1674" s="289"/>
      <c r="I1674" s="290"/>
      <c r="J1674" s="290"/>
      <c r="K1674" s="291"/>
      <c r="L1674" s="18"/>
      <c r="M1674" s="285" t="str">
        <f t="shared" ref="M1674" si="2602">IF(COUNT(L1674:L1675)&lt;1,"",AVERAGE(L1674:L1675))</f>
        <v/>
      </c>
      <c r="N1674" s="22"/>
      <c r="O1674" s="285" t="str">
        <f t="shared" ref="O1674" si="2603">IF(COUNT(N1674:N1675)&lt;1,"",AVERAGE(N1674:N1675))</f>
        <v/>
      </c>
      <c r="P1674" s="22"/>
      <c r="Q1674" s="285" t="str">
        <f t="shared" ref="Q1674" si="2604">IF(COUNT(P1674:P1675)&lt;1,"",AVERAGE(P1674:P1675))</f>
        <v/>
      </c>
      <c r="R1674" s="278" t="str">
        <f>IF($X$13="/28",IF(COUNT(P1674:P1675)&lt;=1,"",ABS(P1674-P1675)),IF($X$13="/90",IF(COUNT(#REF!)&lt;=1,"",ABS(#REF!-#REF!))))</f>
        <v/>
      </c>
      <c r="S1674" s="278" t="str">
        <f>IF($X$13="/28",IF(Q1674="","",IF(AVERAGE(Q1670:Q1675)&gt;=$W$13,ROUND(AVERAGE(Q1670:Q1675),1)&amp;" ≥ "&amp;$W$13&amp;" OK",ROUND(AVERAGE(Q1670:Q1675),1)&amp;" &lt; "&amp;$W$13&amp;" NC")),IF($X$13="/90",IF(#REF!="","",IF(AVERAGE(#REF!)&gt;=$W$13,ROUND(AVERAGE(#REF!),1)&amp;" ≥ "&amp;$W$13&amp;" OK",ROUND(AVERAGE(#REF!),1)&amp;" &lt; "&amp;$W$13&amp;" NC"))))</f>
        <v/>
      </c>
      <c r="T1674" s="278" t="str">
        <f>IF($X$13="/28",IF(Q1674="","",IF(Q1674&gt;=$W$13-$S$12,ROUND((Q1674),1)&amp;" ≥ "&amp;$W$13-$S$12&amp;" OK",ROUND((Q1674),1)&amp;" &lt; "&amp;$W$13-$S$12&amp;" NC")),IF($X$13="/90",IF(#REF!="","",IF(#REF!&gt;=$W$13-$S$12,ROUND((#REF!),1)&amp;" ≥ "&amp;$W$13-$S$12&amp;" OK",ROUND((#REF!),1)&amp;" &lt; "&amp;$W$13-$S$12&amp;" NC"))))</f>
        <v/>
      </c>
      <c r="U1674" s="14"/>
      <c r="V1674" s="279"/>
      <c r="W1674" s="280"/>
      <c r="X1674" s="281"/>
      <c r="Y1674" s="246"/>
      <c r="Z1674" s="246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BP1674" s="390" t="str">
        <f>IF($X$13="/28",IF(Q1674="","",Q1674),IF($X$13="/90",IF(#REF!="","",#REF!),"Falso"))</f>
        <v/>
      </c>
      <c r="BQ1674" s="392" t="str">
        <f t="shared" si="2512"/>
        <v/>
      </c>
    </row>
    <row r="1675" spans="1:69" ht="14.25" customHeight="1" x14ac:dyDescent="0.35">
      <c r="A1675" s="294"/>
      <c r="B1675" s="296"/>
      <c r="C1675" s="298"/>
      <c r="D1675" s="300"/>
      <c r="E1675" s="302"/>
      <c r="F1675" s="304"/>
      <c r="G1675" s="276"/>
      <c r="H1675" s="277"/>
      <c r="I1675" s="290"/>
      <c r="J1675" s="290"/>
      <c r="K1675" s="291"/>
      <c r="L1675" s="17"/>
      <c r="M1675" s="286"/>
      <c r="N1675" s="21"/>
      <c r="O1675" s="286"/>
      <c r="P1675" s="21"/>
      <c r="Q1675" s="286"/>
      <c r="R1675" s="248"/>
      <c r="S1675" s="287"/>
      <c r="T1675" s="248"/>
      <c r="U1675" s="13"/>
      <c r="V1675" s="282"/>
      <c r="W1675" s="283"/>
      <c r="X1675" s="284"/>
      <c r="Y1675" s="245"/>
      <c r="Z1675" s="245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BP1675" s="391"/>
      <c r="BQ1675" s="393"/>
    </row>
    <row r="1676" spans="1:69" ht="14.25" customHeight="1" x14ac:dyDescent="0.35">
      <c r="A1676" s="293">
        <v>830</v>
      </c>
      <c r="B1676" s="295"/>
      <c r="C1676" s="297"/>
      <c r="D1676" s="299"/>
      <c r="E1676" s="301"/>
      <c r="F1676" s="303"/>
      <c r="G1676" s="288"/>
      <c r="H1676" s="289"/>
      <c r="I1676" s="290"/>
      <c r="J1676" s="290"/>
      <c r="K1676" s="291"/>
      <c r="L1676" s="18"/>
      <c r="M1676" s="285" t="str">
        <f t="shared" ref="M1676" si="2605">IF(COUNT(L1676:L1677)&lt;1,"",AVERAGE(L1676:L1677))</f>
        <v/>
      </c>
      <c r="N1676" s="22"/>
      <c r="O1676" s="285" t="str">
        <f t="shared" ref="O1676" si="2606">IF(COUNT(N1676:N1677)&lt;1,"",AVERAGE(N1676:N1677))</f>
        <v/>
      </c>
      <c r="P1676" s="22"/>
      <c r="Q1676" s="285" t="str">
        <f t="shared" ref="Q1676" si="2607">IF(COUNT(P1676:P1677)&lt;1,"",AVERAGE(P1676:P1677))</f>
        <v/>
      </c>
      <c r="R1676" s="278" t="str">
        <f>IF($X$13="/28",IF(COUNT(P1676:P1677)&lt;=1,"",ABS(P1676-P1677)),IF($X$13="/90",IF(COUNT(#REF!)&lt;=1,"",ABS(#REF!-#REF!))))</f>
        <v/>
      </c>
      <c r="S1676" s="278" t="str">
        <f>IF($X$13="/28",IF(Q1676="","",IF(AVERAGE(Q1672:Q1677)&gt;=$W$13,ROUND(AVERAGE(Q1672:Q1677),1)&amp;" ≥ "&amp;$W$13&amp;" OK",ROUND(AVERAGE(Q1672:Q1677),1)&amp;" &lt; "&amp;$W$13&amp;" NC")),IF($X$13="/90",IF(#REF!="","",IF(AVERAGE(#REF!)&gt;=$W$13,ROUND(AVERAGE(#REF!),1)&amp;" ≥ "&amp;$W$13&amp;" OK",ROUND(AVERAGE(#REF!),1)&amp;" &lt; "&amp;$W$13&amp;" NC"))))</f>
        <v/>
      </c>
      <c r="T1676" s="278" t="str">
        <f>IF($X$13="/28",IF(Q1676="","",IF(Q1676&gt;=$W$13-$S$12,ROUND((Q1676),1)&amp;" ≥ "&amp;$W$13-$S$12&amp;" OK",ROUND((Q1676),1)&amp;" &lt; "&amp;$W$13-$S$12&amp;" NC")),IF($X$13="/90",IF(#REF!="","",IF(#REF!&gt;=$W$13-$S$12,ROUND((#REF!),1)&amp;" ≥ "&amp;$W$13-$S$12&amp;" OK",ROUND((#REF!),1)&amp;" &lt; "&amp;$W$13-$S$12&amp;" NC"))))</f>
        <v/>
      </c>
      <c r="U1676" s="14"/>
      <c r="V1676" s="279"/>
      <c r="W1676" s="280"/>
      <c r="X1676" s="281"/>
      <c r="Y1676" s="246"/>
      <c r="Z1676" s="246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BP1676" s="390" t="str">
        <f>IF($X$13="/28",IF(Q1676="","",Q1676),IF($X$13="/90",IF(#REF!="","",#REF!),"Falso"))</f>
        <v/>
      </c>
      <c r="BQ1676" s="392" t="str">
        <f t="shared" si="2516"/>
        <v/>
      </c>
    </row>
    <row r="1677" spans="1:69" ht="14.25" customHeight="1" x14ac:dyDescent="0.35">
      <c r="A1677" s="294"/>
      <c r="B1677" s="296"/>
      <c r="C1677" s="298"/>
      <c r="D1677" s="300"/>
      <c r="E1677" s="302"/>
      <c r="F1677" s="304"/>
      <c r="G1677" s="276"/>
      <c r="H1677" s="277"/>
      <c r="I1677" s="290"/>
      <c r="J1677" s="290"/>
      <c r="K1677" s="291"/>
      <c r="L1677" s="17"/>
      <c r="M1677" s="286"/>
      <c r="N1677" s="21"/>
      <c r="O1677" s="286"/>
      <c r="P1677" s="21"/>
      <c r="Q1677" s="286"/>
      <c r="R1677" s="248"/>
      <c r="S1677" s="287"/>
      <c r="T1677" s="248"/>
      <c r="U1677" s="13"/>
      <c r="V1677" s="282"/>
      <c r="W1677" s="283"/>
      <c r="X1677" s="284"/>
      <c r="Y1677" s="245"/>
      <c r="Z1677" s="245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BP1677" s="391"/>
      <c r="BQ1677" s="393"/>
    </row>
    <row r="1678" spans="1:69" ht="14.25" customHeight="1" x14ac:dyDescent="0.35">
      <c r="A1678" s="293">
        <v>831</v>
      </c>
      <c r="B1678" s="295"/>
      <c r="C1678" s="297"/>
      <c r="D1678" s="299"/>
      <c r="E1678" s="301"/>
      <c r="F1678" s="303"/>
      <c r="G1678" s="288"/>
      <c r="H1678" s="289"/>
      <c r="I1678" s="290"/>
      <c r="J1678" s="290"/>
      <c r="K1678" s="291"/>
      <c r="L1678" s="18"/>
      <c r="M1678" s="285" t="str">
        <f t="shared" ref="M1678" si="2608">IF(COUNT(L1678:L1679)&lt;1,"",AVERAGE(L1678:L1679))</f>
        <v/>
      </c>
      <c r="N1678" s="22"/>
      <c r="O1678" s="285" t="str">
        <f t="shared" ref="O1678" si="2609">IF(COUNT(N1678:N1679)&lt;1,"",AVERAGE(N1678:N1679))</f>
        <v/>
      </c>
      <c r="P1678" s="22"/>
      <c r="Q1678" s="285" t="str">
        <f t="shared" ref="Q1678" si="2610">IF(COUNT(P1678:P1679)&lt;1,"",AVERAGE(P1678:P1679))</f>
        <v/>
      </c>
      <c r="R1678" s="278" t="str">
        <f>IF($X$13="/28",IF(COUNT(P1678:P1679)&lt;=1,"",ABS(P1678-P1679)),IF($X$13="/90",IF(COUNT(#REF!)&lt;=1,"",ABS(#REF!-#REF!))))</f>
        <v/>
      </c>
      <c r="S1678" s="278" t="str">
        <f>IF($X$13="/28",IF(Q1678="","",IF(AVERAGE(Q1674:Q1679)&gt;=$W$13,ROUND(AVERAGE(Q1674:Q1679),1)&amp;" ≥ "&amp;$W$13&amp;" OK",ROUND(AVERAGE(Q1674:Q1679),1)&amp;" &lt; "&amp;$W$13&amp;" NC")),IF($X$13="/90",IF(#REF!="","",IF(AVERAGE(#REF!)&gt;=$W$13,ROUND(AVERAGE(#REF!),1)&amp;" ≥ "&amp;$W$13&amp;" OK",ROUND(AVERAGE(#REF!),1)&amp;" &lt; "&amp;$W$13&amp;" NC"))))</f>
        <v/>
      </c>
      <c r="T1678" s="278" t="str">
        <f>IF($X$13="/28",IF(Q1678="","",IF(Q1678&gt;=$W$13-$S$12,ROUND((Q1678),1)&amp;" ≥ "&amp;$W$13-$S$12&amp;" OK",ROUND((Q1678),1)&amp;" &lt; "&amp;$W$13-$S$12&amp;" NC")),IF($X$13="/90",IF(#REF!="","",IF(#REF!&gt;=$W$13-$S$12,ROUND((#REF!),1)&amp;" ≥ "&amp;$W$13-$S$12&amp;" OK",ROUND((#REF!),1)&amp;" &lt; "&amp;$W$13-$S$12&amp;" NC"))))</f>
        <v/>
      </c>
      <c r="U1678" s="14"/>
      <c r="V1678" s="279"/>
      <c r="W1678" s="280"/>
      <c r="X1678" s="281"/>
      <c r="Y1678" s="246"/>
      <c r="Z1678" s="246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BP1678" s="390" t="str">
        <f>IF($X$13="/28",IF(Q1678="","",Q1678),IF($X$13="/90",IF(#REF!="","",#REF!),"Falso"))</f>
        <v/>
      </c>
      <c r="BQ1678" s="392" t="str">
        <f t="shared" si="2520"/>
        <v/>
      </c>
    </row>
    <row r="1679" spans="1:69" ht="14.25" customHeight="1" x14ac:dyDescent="0.35">
      <c r="A1679" s="294"/>
      <c r="B1679" s="296"/>
      <c r="C1679" s="298"/>
      <c r="D1679" s="300"/>
      <c r="E1679" s="302"/>
      <c r="F1679" s="304"/>
      <c r="G1679" s="276"/>
      <c r="H1679" s="277"/>
      <c r="I1679" s="290"/>
      <c r="J1679" s="290"/>
      <c r="K1679" s="291"/>
      <c r="L1679" s="17"/>
      <c r="M1679" s="286"/>
      <c r="N1679" s="21"/>
      <c r="O1679" s="286"/>
      <c r="P1679" s="21"/>
      <c r="Q1679" s="286"/>
      <c r="R1679" s="248"/>
      <c r="S1679" s="287"/>
      <c r="T1679" s="248"/>
      <c r="U1679" s="13"/>
      <c r="V1679" s="282"/>
      <c r="W1679" s="283"/>
      <c r="X1679" s="284"/>
      <c r="Y1679" s="245"/>
      <c r="Z1679" s="245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BP1679" s="391"/>
      <c r="BQ1679" s="393"/>
    </row>
    <row r="1680" spans="1:69" ht="14.25" customHeight="1" x14ac:dyDescent="0.35">
      <c r="A1680" s="293">
        <v>832</v>
      </c>
      <c r="B1680" s="295"/>
      <c r="C1680" s="297"/>
      <c r="D1680" s="299"/>
      <c r="E1680" s="301"/>
      <c r="F1680" s="303"/>
      <c r="G1680" s="288"/>
      <c r="H1680" s="289"/>
      <c r="I1680" s="290"/>
      <c r="J1680" s="290"/>
      <c r="K1680" s="291"/>
      <c r="L1680" s="18"/>
      <c r="M1680" s="285" t="str">
        <f t="shared" ref="M1680" si="2611">IF(COUNT(L1680:L1681)&lt;1,"",AVERAGE(L1680:L1681))</f>
        <v/>
      </c>
      <c r="N1680" s="22"/>
      <c r="O1680" s="285" t="str">
        <f t="shared" ref="O1680" si="2612">IF(COUNT(N1680:N1681)&lt;1,"",AVERAGE(N1680:N1681))</f>
        <v/>
      </c>
      <c r="P1680" s="22"/>
      <c r="Q1680" s="285" t="str">
        <f t="shared" ref="Q1680" si="2613">IF(COUNT(P1680:P1681)&lt;1,"",AVERAGE(P1680:P1681))</f>
        <v/>
      </c>
      <c r="R1680" s="278" t="str">
        <f>IF($X$13="/28",IF(COUNT(P1680:P1681)&lt;=1,"",ABS(P1680-P1681)),IF($X$13="/90",IF(COUNT(#REF!)&lt;=1,"",ABS(#REF!-#REF!))))</f>
        <v/>
      </c>
      <c r="S1680" s="278" t="str">
        <f>IF($X$13="/28",IF(Q1680="","",IF(AVERAGE(Q1676:Q1681)&gt;=$W$13,ROUND(AVERAGE(Q1676:Q1681),1)&amp;" ≥ "&amp;$W$13&amp;" OK",ROUND(AVERAGE(Q1676:Q1681),1)&amp;" &lt; "&amp;$W$13&amp;" NC")),IF($X$13="/90",IF(#REF!="","",IF(AVERAGE(#REF!)&gt;=$W$13,ROUND(AVERAGE(#REF!),1)&amp;" ≥ "&amp;$W$13&amp;" OK",ROUND(AVERAGE(#REF!),1)&amp;" &lt; "&amp;$W$13&amp;" NC"))))</f>
        <v/>
      </c>
      <c r="T1680" s="278" t="str">
        <f>IF($X$13="/28",IF(Q1680="","",IF(Q1680&gt;=$W$13-$S$12,ROUND((Q1680),1)&amp;" ≥ "&amp;$W$13-$S$12&amp;" OK",ROUND((Q1680),1)&amp;" &lt; "&amp;$W$13-$S$12&amp;" NC")),IF($X$13="/90",IF(#REF!="","",IF(#REF!&gt;=$W$13-$S$12,ROUND((#REF!),1)&amp;" ≥ "&amp;$W$13-$S$12&amp;" OK",ROUND((#REF!),1)&amp;" &lt; "&amp;$W$13-$S$12&amp;" NC"))))</f>
        <v/>
      </c>
      <c r="U1680" s="14"/>
      <c r="V1680" s="279"/>
      <c r="W1680" s="280"/>
      <c r="X1680" s="281"/>
      <c r="Y1680" s="246"/>
      <c r="Z1680" s="246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BP1680" s="390" t="str">
        <f>IF($X$13="/28",IF(Q1680="","",Q1680),IF($X$13="/90",IF(#REF!="","",#REF!),"Falso"))</f>
        <v/>
      </c>
      <c r="BQ1680" s="392" t="str">
        <f t="shared" ref="BQ1680:BQ1740" si="2614">IF(BP1680="","",BQ1678+1)</f>
        <v/>
      </c>
    </row>
    <row r="1681" spans="1:69" ht="14.25" customHeight="1" x14ac:dyDescent="0.35">
      <c r="A1681" s="294"/>
      <c r="B1681" s="296"/>
      <c r="C1681" s="298"/>
      <c r="D1681" s="300"/>
      <c r="E1681" s="302"/>
      <c r="F1681" s="304"/>
      <c r="G1681" s="276"/>
      <c r="H1681" s="277"/>
      <c r="I1681" s="290"/>
      <c r="J1681" s="290"/>
      <c r="K1681" s="291"/>
      <c r="L1681" s="17"/>
      <c r="M1681" s="286"/>
      <c r="N1681" s="21"/>
      <c r="O1681" s="286"/>
      <c r="P1681" s="21"/>
      <c r="Q1681" s="286"/>
      <c r="R1681" s="248"/>
      <c r="S1681" s="287"/>
      <c r="T1681" s="248"/>
      <c r="U1681" s="13"/>
      <c r="V1681" s="282"/>
      <c r="W1681" s="283"/>
      <c r="X1681" s="284"/>
      <c r="Y1681" s="245"/>
      <c r="Z1681" s="245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BP1681" s="391"/>
      <c r="BQ1681" s="393"/>
    </row>
    <row r="1682" spans="1:69" ht="14.25" customHeight="1" x14ac:dyDescent="0.35">
      <c r="A1682" s="293">
        <v>833</v>
      </c>
      <c r="B1682" s="295"/>
      <c r="C1682" s="297"/>
      <c r="D1682" s="299"/>
      <c r="E1682" s="301"/>
      <c r="F1682" s="303"/>
      <c r="G1682" s="288"/>
      <c r="H1682" s="289"/>
      <c r="I1682" s="290"/>
      <c r="J1682" s="290"/>
      <c r="K1682" s="291"/>
      <c r="L1682" s="18"/>
      <c r="M1682" s="285" t="str">
        <f t="shared" ref="M1682" si="2615">IF(COUNT(L1682:L1683)&lt;1,"",AVERAGE(L1682:L1683))</f>
        <v/>
      </c>
      <c r="N1682" s="22"/>
      <c r="O1682" s="285" t="str">
        <f t="shared" ref="O1682" si="2616">IF(COUNT(N1682:N1683)&lt;1,"",AVERAGE(N1682:N1683))</f>
        <v/>
      </c>
      <c r="P1682" s="22"/>
      <c r="Q1682" s="285" t="str">
        <f t="shared" ref="Q1682" si="2617">IF(COUNT(P1682:P1683)&lt;1,"",AVERAGE(P1682:P1683))</f>
        <v/>
      </c>
      <c r="R1682" s="278" t="str">
        <f>IF($X$13="/28",IF(COUNT(P1682:P1683)&lt;=1,"",ABS(P1682-P1683)),IF($X$13="/90",IF(COUNT(#REF!)&lt;=1,"",ABS(#REF!-#REF!))))</f>
        <v/>
      </c>
      <c r="S1682" s="278" t="str">
        <f>IF($X$13="/28",IF(Q1682="","",IF(AVERAGE(Q1678:Q1683)&gt;=$W$13,ROUND(AVERAGE(Q1678:Q1683),1)&amp;" ≥ "&amp;$W$13&amp;" OK",ROUND(AVERAGE(Q1678:Q1683),1)&amp;" &lt; "&amp;$W$13&amp;" NC")),IF($X$13="/90",IF(#REF!="","",IF(AVERAGE(#REF!)&gt;=$W$13,ROUND(AVERAGE(#REF!),1)&amp;" ≥ "&amp;$W$13&amp;" OK",ROUND(AVERAGE(#REF!),1)&amp;" &lt; "&amp;$W$13&amp;" NC"))))</f>
        <v/>
      </c>
      <c r="T1682" s="278" t="str">
        <f>IF($X$13="/28",IF(Q1682="","",IF(Q1682&gt;=$W$13-$S$12,ROUND((Q1682),1)&amp;" ≥ "&amp;$W$13-$S$12&amp;" OK",ROUND((Q1682),1)&amp;" &lt; "&amp;$W$13-$S$12&amp;" NC")),IF($X$13="/90",IF(#REF!="","",IF(#REF!&gt;=$W$13-$S$12,ROUND((#REF!),1)&amp;" ≥ "&amp;$W$13-$S$12&amp;" OK",ROUND((#REF!),1)&amp;" &lt; "&amp;$W$13-$S$12&amp;" NC"))))</f>
        <v/>
      </c>
      <c r="U1682" s="14"/>
      <c r="V1682" s="279"/>
      <c r="W1682" s="280"/>
      <c r="X1682" s="281"/>
      <c r="Y1682" s="246"/>
      <c r="Z1682" s="246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BP1682" s="390" t="str">
        <f>IF($X$13="/28",IF(Q1682="","",Q1682),IF($X$13="/90",IF(#REF!="","",#REF!),"Falso"))</f>
        <v/>
      </c>
      <c r="BQ1682" s="392" t="str">
        <f t="shared" ref="BQ1682:BQ1742" si="2618">IF(BP1682="","",BQ1680+1)</f>
        <v/>
      </c>
    </row>
    <row r="1683" spans="1:69" ht="14.25" customHeight="1" x14ac:dyDescent="0.35">
      <c r="A1683" s="294"/>
      <c r="B1683" s="296"/>
      <c r="C1683" s="298"/>
      <c r="D1683" s="300"/>
      <c r="E1683" s="302"/>
      <c r="F1683" s="304"/>
      <c r="G1683" s="276"/>
      <c r="H1683" s="277"/>
      <c r="I1683" s="290"/>
      <c r="J1683" s="290"/>
      <c r="K1683" s="291"/>
      <c r="L1683" s="17"/>
      <c r="M1683" s="286"/>
      <c r="N1683" s="21"/>
      <c r="O1683" s="286"/>
      <c r="P1683" s="21"/>
      <c r="Q1683" s="286"/>
      <c r="R1683" s="248"/>
      <c r="S1683" s="287"/>
      <c r="T1683" s="248"/>
      <c r="U1683" s="13"/>
      <c r="V1683" s="282"/>
      <c r="W1683" s="283"/>
      <c r="X1683" s="284"/>
      <c r="Y1683" s="245"/>
      <c r="Z1683" s="245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BP1683" s="391"/>
      <c r="BQ1683" s="393"/>
    </row>
    <row r="1684" spans="1:69" ht="14.25" customHeight="1" x14ac:dyDescent="0.35">
      <c r="A1684" s="293">
        <v>834</v>
      </c>
      <c r="B1684" s="295"/>
      <c r="C1684" s="297"/>
      <c r="D1684" s="299"/>
      <c r="E1684" s="301"/>
      <c r="F1684" s="303"/>
      <c r="G1684" s="288"/>
      <c r="H1684" s="289"/>
      <c r="I1684" s="290"/>
      <c r="J1684" s="290"/>
      <c r="K1684" s="291"/>
      <c r="L1684" s="18"/>
      <c r="M1684" s="285" t="str">
        <f t="shared" ref="M1684" si="2619">IF(COUNT(L1684:L1685)&lt;1,"",AVERAGE(L1684:L1685))</f>
        <v/>
      </c>
      <c r="N1684" s="22"/>
      <c r="O1684" s="285" t="str">
        <f t="shared" ref="O1684" si="2620">IF(COUNT(N1684:N1685)&lt;1,"",AVERAGE(N1684:N1685))</f>
        <v/>
      </c>
      <c r="P1684" s="22"/>
      <c r="Q1684" s="285" t="str">
        <f t="shared" ref="Q1684" si="2621">IF(COUNT(P1684:P1685)&lt;1,"",AVERAGE(P1684:P1685))</f>
        <v/>
      </c>
      <c r="R1684" s="278" t="str">
        <f>IF($X$13="/28",IF(COUNT(P1684:P1685)&lt;=1,"",ABS(P1684-P1685)),IF($X$13="/90",IF(COUNT(#REF!)&lt;=1,"",ABS(#REF!-#REF!))))</f>
        <v/>
      </c>
      <c r="S1684" s="278" t="str">
        <f>IF($X$13="/28",IF(Q1684="","",IF(AVERAGE(Q1680:Q1685)&gt;=$W$13,ROUND(AVERAGE(Q1680:Q1685),1)&amp;" ≥ "&amp;$W$13&amp;" OK",ROUND(AVERAGE(Q1680:Q1685),1)&amp;" &lt; "&amp;$W$13&amp;" NC")),IF($X$13="/90",IF(#REF!="","",IF(AVERAGE(#REF!)&gt;=$W$13,ROUND(AVERAGE(#REF!),1)&amp;" ≥ "&amp;$W$13&amp;" OK",ROUND(AVERAGE(#REF!),1)&amp;" &lt; "&amp;$W$13&amp;" NC"))))</f>
        <v/>
      </c>
      <c r="T1684" s="278" t="str">
        <f>IF($X$13="/28",IF(Q1684="","",IF(Q1684&gt;=$W$13-$S$12,ROUND((Q1684),1)&amp;" ≥ "&amp;$W$13-$S$12&amp;" OK",ROUND((Q1684),1)&amp;" &lt; "&amp;$W$13-$S$12&amp;" NC")),IF($X$13="/90",IF(#REF!="","",IF(#REF!&gt;=$W$13-$S$12,ROUND((#REF!),1)&amp;" ≥ "&amp;$W$13-$S$12&amp;" OK",ROUND((#REF!),1)&amp;" &lt; "&amp;$W$13-$S$12&amp;" NC"))))</f>
        <v/>
      </c>
      <c r="U1684" s="14"/>
      <c r="V1684" s="279"/>
      <c r="W1684" s="280"/>
      <c r="X1684" s="281"/>
      <c r="Y1684" s="246"/>
      <c r="Z1684" s="246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BP1684" s="390" t="str">
        <f>IF($X$13="/28",IF(Q1684="","",Q1684),IF($X$13="/90",IF(#REF!="","",#REF!),"Falso"))</f>
        <v/>
      </c>
      <c r="BQ1684" s="392" t="str">
        <f t="shared" ref="BQ1684:BQ1744" si="2622">IF(BP1684="","",BQ1682+1)</f>
        <v/>
      </c>
    </row>
    <row r="1685" spans="1:69" ht="14.25" customHeight="1" x14ac:dyDescent="0.35">
      <c r="A1685" s="294"/>
      <c r="B1685" s="296"/>
      <c r="C1685" s="298"/>
      <c r="D1685" s="300"/>
      <c r="E1685" s="302"/>
      <c r="F1685" s="304"/>
      <c r="G1685" s="276"/>
      <c r="H1685" s="277"/>
      <c r="I1685" s="290"/>
      <c r="J1685" s="290"/>
      <c r="K1685" s="291"/>
      <c r="L1685" s="17"/>
      <c r="M1685" s="286"/>
      <c r="N1685" s="21"/>
      <c r="O1685" s="286"/>
      <c r="P1685" s="21"/>
      <c r="Q1685" s="286"/>
      <c r="R1685" s="248"/>
      <c r="S1685" s="287"/>
      <c r="T1685" s="248"/>
      <c r="U1685" s="13"/>
      <c r="V1685" s="282"/>
      <c r="W1685" s="283"/>
      <c r="X1685" s="284"/>
      <c r="Y1685" s="245"/>
      <c r="Z1685" s="245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BP1685" s="391"/>
      <c r="BQ1685" s="393"/>
    </row>
    <row r="1686" spans="1:69" ht="14.25" customHeight="1" x14ac:dyDescent="0.35">
      <c r="A1686" s="293">
        <v>835</v>
      </c>
      <c r="B1686" s="295"/>
      <c r="C1686" s="297"/>
      <c r="D1686" s="299"/>
      <c r="E1686" s="301"/>
      <c r="F1686" s="303"/>
      <c r="G1686" s="288"/>
      <c r="H1686" s="289"/>
      <c r="I1686" s="290"/>
      <c r="J1686" s="290"/>
      <c r="K1686" s="291"/>
      <c r="L1686" s="18"/>
      <c r="M1686" s="285" t="str">
        <f t="shared" ref="M1686" si="2623">IF(COUNT(L1686:L1687)&lt;1,"",AVERAGE(L1686:L1687))</f>
        <v/>
      </c>
      <c r="N1686" s="22"/>
      <c r="O1686" s="285" t="str">
        <f t="shared" ref="O1686" si="2624">IF(COUNT(N1686:N1687)&lt;1,"",AVERAGE(N1686:N1687))</f>
        <v/>
      </c>
      <c r="P1686" s="22"/>
      <c r="Q1686" s="285" t="str">
        <f t="shared" ref="Q1686" si="2625">IF(COUNT(P1686:P1687)&lt;1,"",AVERAGE(P1686:P1687))</f>
        <v/>
      </c>
      <c r="R1686" s="278" t="str">
        <f>IF($X$13="/28",IF(COUNT(P1686:P1687)&lt;=1,"",ABS(P1686-P1687)),IF($X$13="/90",IF(COUNT(#REF!)&lt;=1,"",ABS(#REF!-#REF!))))</f>
        <v/>
      </c>
      <c r="S1686" s="278" t="str">
        <f>IF($X$13="/28",IF(Q1686="","",IF(AVERAGE(Q1682:Q1687)&gt;=$W$13,ROUND(AVERAGE(Q1682:Q1687),1)&amp;" ≥ "&amp;$W$13&amp;" OK",ROUND(AVERAGE(Q1682:Q1687),1)&amp;" &lt; "&amp;$W$13&amp;" NC")),IF($X$13="/90",IF(#REF!="","",IF(AVERAGE(#REF!)&gt;=$W$13,ROUND(AVERAGE(#REF!),1)&amp;" ≥ "&amp;$W$13&amp;" OK",ROUND(AVERAGE(#REF!),1)&amp;" &lt; "&amp;$W$13&amp;" NC"))))</f>
        <v/>
      </c>
      <c r="T1686" s="278" t="str">
        <f>IF($X$13="/28",IF(Q1686="","",IF(Q1686&gt;=$W$13-$S$12,ROUND((Q1686),1)&amp;" ≥ "&amp;$W$13-$S$12&amp;" OK",ROUND((Q1686),1)&amp;" &lt; "&amp;$W$13-$S$12&amp;" NC")),IF($X$13="/90",IF(#REF!="","",IF(#REF!&gt;=$W$13-$S$12,ROUND((#REF!),1)&amp;" ≥ "&amp;$W$13-$S$12&amp;" OK",ROUND((#REF!),1)&amp;" &lt; "&amp;$W$13-$S$12&amp;" NC"))))</f>
        <v/>
      </c>
      <c r="U1686" s="14"/>
      <c r="V1686" s="279"/>
      <c r="W1686" s="280"/>
      <c r="X1686" s="281"/>
      <c r="Y1686" s="246"/>
      <c r="Z1686" s="246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BP1686" s="390" t="str">
        <f>IF($X$13="/28",IF(Q1686="","",Q1686),IF($X$13="/90",IF(#REF!="","",#REF!),"Falso"))</f>
        <v/>
      </c>
      <c r="BQ1686" s="392" t="str">
        <f t="shared" si="2614"/>
        <v/>
      </c>
    </row>
    <row r="1687" spans="1:69" ht="14.25" customHeight="1" x14ac:dyDescent="0.35">
      <c r="A1687" s="294"/>
      <c r="B1687" s="296"/>
      <c r="C1687" s="298"/>
      <c r="D1687" s="300"/>
      <c r="E1687" s="302"/>
      <c r="F1687" s="304"/>
      <c r="G1687" s="276"/>
      <c r="H1687" s="277"/>
      <c r="I1687" s="290"/>
      <c r="J1687" s="290"/>
      <c r="K1687" s="291"/>
      <c r="L1687" s="17"/>
      <c r="M1687" s="286"/>
      <c r="N1687" s="21"/>
      <c r="O1687" s="286"/>
      <c r="P1687" s="21"/>
      <c r="Q1687" s="286"/>
      <c r="R1687" s="248"/>
      <c r="S1687" s="287"/>
      <c r="T1687" s="248"/>
      <c r="U1687" s="13"/>
      <c r="V1687" s="282"/>
      <c r="W1687" s="283"/>
      <c r="X1687" s="284"/>
      <c r="Y1687" s="245"/>
      <c r="Z1687" s="245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BP1687" s="391"/>
      <c r="BQ1687" s="393"/>
    </row>
    <row r="1688" spans="1:69" ht="14.25" customHeight="1" x14ac:dyDescent="0.35">
      <c r="A1688" s="293">
        <v>836</v>
      </c>
      <c r="B1688" s="295"/>
      <c r="C1688" s="297"/>
      <c r="D1688" s="299"/>
      <c r="E1688" s="301"/>
      <c r="F1688" s="303"/>
      <c r="G1688" s="288"/>
      <c r="H1688" s="289"/>
      <c r="I1688" s="290"/>
      <c r="J1688" s="290"/>
      <c r="K1688" s="291"/>
      <c r="L1688" s="18"/>
      <c r="M1688" s="285" t="str">
        <f t="shared" ref="M1688" si="2626">IF(COUNT(L1688:L1689)&lt;1,"",AVERAGE(L1688:L1689))</f>
        <v/>
      </c>
      <c r="N1688" s="22"/>
      <c r="O1688" s="285" t="str">
        <f t="shared" ref="O1688" si="2627">IF(COUNT(N1688:N1689)&lt;1,"",AVERAGE(N1688:N1689))</f>
        <v/>
      </c>
      <c r="P1688" s="22"/>
      <c r="Q1688" s="285" t="str">
        <f t="shared" ref="Q1688" si="2628">IF(COUNT(P1688:P1689)&lt;1,"",AVERAGE(P1688:P1689))</f>
        <v/>
      </c>
      <c r="R1688" s="278" t="str">
        <f>IF($X$13="/28",IF(COUNT(P1688:P1689)&lt;=1,"",ABS(P1688-P1689)),IF($X$13="/90",IF(COUNT(#REF!)&lt;=1,"",ABS(#REF!-#REF!))))</f>
        <v/>
      </c>
      <c r="S1688" s="278" t="str">
        <f>IF($X$13="/28",IF(Q1688="","",IF(AVERAGE(Q1684:Q1689)&gt;=$W$13,ROUND(AVERAGE(Q1684:Q1689),1)&amp;" ≥ "&amp;$W$13&amp;" OK",ROUND(AVERAGE(Q1684:Q1689),1)&amp;" &lt; "&amp;$W$13&amp;" NC")),IF($X$13="/90",IF(#REF!="","",IF(AVERAGE(#REF!)&gt;=$W$13,ROUND(AVERAGE(#REF!),1)&amp;" ≥ "&amp;$W$13&amp;" OK",ROUND(AVERAGE(#REF!),1)&amp;" &lt; "&amp;$W$13&amp;" NC"))))</f>
        <v/>
      </c>
      <c r="T1688" s="278" t="str">
        <f>IF($X$13="/28",IF(Q1688="","",IF(Q1688&gt;=$W$13-$S$12,ROUND((Q1688),1)&amp;" ≥ "&amp;$W$13-$S$12&amp;" OK",ROUND((Q1688),1)&amp;" &lt; "&amp;$W$13-$S$12&amp;" NC")),IF($X$13="/90",IF(#REF!="","",IF(#REF!&gt;=$W$13-$S$12,ROUND((#REF!),1)&amp;" ≥ "&amp;$W$13-$S$12&amp;" OK",ROUND((#REF!),1)&amp;" &lt; "&amp;$W$13-$S$12&amp;" NC"))))</f>
        <v/>
      </c>
      <c r="U1688" s="14"/>
      <c r="V1688" s="279"/>
      <c r="W1688" s="280"/>
      <c r="X1688" s="281"/>
      <c r="Y1688" s="246"/>
      <c r="Z1688" s="246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BP1688" s="390" t="str">
        <f>IF($X$13="/28",IF(Q1688="","",Q1688),IF($X$13="/90",IF(#REF!="","",#REF!),"Falso"))</f>
        <v/>
      </c>
      <c r="BQ1688" s="392" t="str">
        <f t="shared" si="2618"/>
        <v/>
      </c>
    </row>
    <row r="1689" spans="1:69" ht="14.25" customHeight="1" x14ac:dyDescent="0.35">
      <c r="A1689" s="294"/>
      <c r="B1689" s="296"/>
      <c r="C1689" s="298"/>
      <c r="D1689" s="300"/>
      <c r="E1689" s="302"/>
      <c r="F1689" s="304"/>
      <c r="G1689" s="276"/>
      <c r="H1689" s="277"/>
      <c r="I1689" s="290"/>
      <c r="J1689" s="290"/>
      <c r="K1689" s="291"/>
      <c r="L1689" s="17"/>
      <c r="M1689" s="286"/>
      <c r="N1689" s="21"/>
      <c r="O1689" s="286"/>
      <c r="P1689" s="21"/>
      <c r="Q1689" s="286"/>
      <c r="R1689" s="248"/>
      <c r="S1689" s="287"/>
      <c r="T1689" s="248"/>
      <c r="U1689" s="13"/>
      <c r="V1689" s="282"/>
      <c r="W1689" s="283"/>
      <c r="X1689" s="284"/>
      <c r="Y1689" s="245"/>
      <c r="Z1689" s="245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BP1689" s="391"/>
      <c r="BQ1689" s="393"/>
    </row>
    <row r="1690" spans="1:69" ht="14.25" customHeight="1" x14ac:dyDescent="0.35">
      <c r="A1690" s="293">
        <v>837</v>
      </c>
      <c r="B1690" s="295"/>
      <c r="C1690" s="297"/>
      <c r="D1690" s="299"/>
      <c r="E1690" s="301"/>
      <c r="F1690" s="303"/>
      <c r="G1690" s="288"/>
      <c r="H1690" s="289"/>
      <c r="I1690" s="290"/>
      <c r="J1690" s="290"/>
      <c r="K1690" s="291"/>
      <c r="L1690" s="18"/>
      <c r="M1690" s="285" t="str">
        <f t="shared" ref="M1690" si="2629">IF(COUNT(L1690:L1691)&lt;1,"",AVERAGE(L1690:L1691))</f>
        <v/>
      </c>
      <c r="N1690" s="22"/>
      <c r="O1690" s="285" t="str">
        <f t="shared" ref="O1690" si="2630">IF(COUNT(N1690:N1691)&lt;1,"",AVERAGE(N1690:N1691))</f>
        <v/>
      </c>
      <c r="P1690" s="22"/>
      <c r="Q1690" s="285" t="str">
        <f t="shared" ref="Q1690" si="2631">IF(COUNT(P1690:P1691)&lt;1,"",AVERAGE(P1690:P1691))</f>
        <v/>
      </c>
      <c r="R1690" s="278" t="str">
        <f>IF($X$13="/28",IF(COUNT(P1690:P1691)&lt;=1,"",ABS(P1690-P1691)),IF($X$13="/90",IF(COUNT(#REF!)&lt;=1,"",ABS(#REF!-#REF!))))</f>
        <v/>
      </c>
      <c r="S1690" s="278" t="str">
        <f>IF($X$13="/28",IF(Q1690="","",IF(AVERAGE(Q1686:Q1691)&gt;=$W$13,ROUND(AVERAGE(Q1686:Q1691),1)&amp;" ≥ "&amp;$W$13&amp;" OK",ROUND(AVERAGE(Q1686:Q1691),1)&amp;" &lt; "&amp;$W$13&amp;" NC")),IF($X$13="/90",IF(#REF!="","",IF(AVERAGE(#REF!)&gt;=$W$13,ROUND(AVERAGE(#REF!),1)&amp;" ≥ "&amp;$W$13&amp;" OK",ROUND(AVERAGE(#REF!),1)&amp;" &lt; "&amp;$W$13&amp;" NC"))))</f>
        <v/>
      </c>
      <c r="T1690" s="278" t="str">
        <f>IF($X$13="/28",IF(Q1690="","",IF(Q1690&gt;=$W$13-$S$12,ROUND((Q1690),1)&amp;" ≥ "&amp;$W$13-$S$12&amp;" OK",ROUND((Q1690),1)&amp;" &lt; "&amp;$W$13-$S$12&amp;" NC")),IF($X$13="/90",IF(#REF!="","",IF(#REF!&gt;=$W$13-$S$12,ROUND((#REF!),1)&amp;" ≥ "&amp;$W$13-$S$12&amp;" OK",ROUND((#REF!),1)&amp;" &lt; "&amp;$W$13-$S$12&amp;" NC"))))</f>
        <v/>
      </c>
      <c r="U1690" s="14"/>
      <c r="V1690" s="279"/>
      <c r="W1690" s="280"/>
      <c r="X1690" s="281"/>
      <c r="Y1690" s="246"/>
      <c r="Z1690" s="246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BP1690" s="390" t="str">
        <f>IF($X$13="/28",IF(Q1690="","",Q1690),IF($X$13="/90",IF(#REF!="","",#REF!),"Falso"))</f>
        <v/>
      </c>
      <c r="BQ1690" s="392" t="str">
        <f t="shared" si="2622"/>
        <v/>
      </c>
    </row>
    <row r="1691" spans="1:69" ht="14.25" customHeight="1" x14ac:dyDescent="0.35">
      <c r="A1691" s="294"/>
      <c r="B1691" s="296"/>
      <c r="C1691" s="298"/>
      <c r="D1691" s="300"/>
      <c r="E1691" s="302"/>
      <c r="F1691" s="304"/>
      <c r="G1691" s="276"/>
      <c r="H1691" s="277"/>
      <c r="I1691" s="290"/>
      <c r="J1691" s="290"/>
      <c r="K1691" s="291"/>
      <c r="L1691" s="17"/>
      <c r="M1691" s="286"/>
      <c r="N1691" s="21"/>
      <c r="O1691" s="286"/>
      <c r="P1691" s="21"/>
      <c r="Q1691" s="286"/>
      <c r="R1691" s="248"/>
      <c r="S1691" s="287"/>
      <c r="T1691" s="248"/>
      <c r="U1691" s="13"/>
      <c r="V1691" s="282"/>
      <c r="W1691" s="283"/>
      <c r="X1691" s="284"/>
      <c r="Y1691" s="245"/>
      <c r="Z1691" s="245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BP1691" s="391"/>
      <c r="BQ1691" s="393"/>
    </row>
    <row r="1692" spans="1:69" ht="14.25" customHeight="1" x14ac:dyDescent="0.35">
      <c r="A1692" s="293">
        <v>838</v>
      </c>
      <c r="B1692" s="295"/>
      <c r="C1692" s="297"/>
      <c r="D1692" s="299"/>
      <c r="E1692" s="301"/>
      <c r="F1692" s="303"/>
      <c r="G1692" s="288"/>
      <c r="H1692" s="289"/>
      <c r="I1692" s="290"/>
      <c r="J1692" s="290"/>
      <c r="K1692" s="291"/>
      <c r="L1692" s="18"/>
      <c r="M1692" s="285" t="str">
        <f t="shared" ref="M1692" si="2632">IF(COUNT(L1692:L1693)&lt;1,"",AVERAGE(L1692:L1693))</f>
        <v/>
      </c>
      <c r="N1692" s="22"/>
      <c r="O1692" s="285" t="str">
        <f t="shared" ref="O1692" si="2633">IF(COUNT(N1692:N1693)&lt;1,"",AVERAGE(N1692:N1693))</f>
        <v/>
      </c>
      <c r="P1692" s="22"/>
      <c r="Q1692" s="285" t="str">
        <f t="shared" ref="Q1692" si="2634">IF(COUNT(P1692:P1693)&lt;1,"",AVERAGE(P1692:P1693))</f>
        <v/>
      </c>
      <c r="R1692" s="278" t="str">
        <f>IF($X$13="/28",IF(COUNT(P1692:P1693)&lt;=1,"",ABS(P1692-P1693)),IF($X$13="/90",IF(COUNT(#REF!)&lt;=1,"",ABS(#REF!-#REF!))))</f>
        <v/>
      </c>
      <c r="S1692" s="278" t="str">
        <f>IF($X$13="/28",IF(Q1692="","",IF(AVERAGE(Q1688:Q1693)&gt;=$W$13,ROUND(AVERAGE(Q1688:Q1693),1)&amp;" ≥ "&amp;$W$13&amp;" OK",ROUND(AVERAGE(Q1688:Q1693),1)&amp;" &lt; "&amp;$W$13&amp;" NC")),IF($X$13="/90",IF(#REF!="","",IF(AVERAGE(#REF!)&gt;=$W$13,ROUND(AVERAGE(#REF!),1)&amp;" ≥ "&amp;$W$13&amp;" OK",ROUND(AVERAGE(#REF!),1)&amp;" &lt; "&amp;$W$13&amp;" NC"))))</f>
        <v/>
      </c>
      <c r="T1692" s="278" t="str">
        <f>IF($X$13="/28",IF(Q1692="","",IF(Q1692&gt;=$W$13-$S$12,ROUND((Q1692),1)&amp;" ≥ "&amp;$W$13-$S$12&amp;" OK",ROUND((Q1692),1)&amp;" &lt; "&amp;$W$13-$S$12&amp;" NC")),IF($X$13="/90",IF(#REF!="","",IF(#REF!&gt;=$W$13-$S$12,ROUND((#REF!),1)&amp;" ≥ "&amp;$W$13-$S$12&amp;" OK",ROUND((#REF!),1)&amp;" &lt; "&amp;$W$13-$S$12&amp;" NC"))))</f>
        <v/>
      </c>
      <c r="U1692" s="14"/>
      <c r="V1692" s="279"/>
      <c r="W1692" s="280"/>
      <c r="X1692" s="281"/>
      <c r="Y1692" s="246"/>
      <c r="Z1692" s="246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BP1692" s="390" t="str">
        <f>IF($X$13="/28",IF(Q1692="","",Q1692),IF($X$13="/90",IF(#REF!="","",#REF!),"Falso"))</f>
        <v/>
      </c>
      <c r="BQ1692" s="392" t="str">
        <f t="shared" si="2614"/>
        <v/>
      </c>
    </row>
    <row r="1693" spans="1:69" ht="14.25" customHeight="1" x14ac:dyDescent="0.35">
      <c r="A1693" s="294"/>
      <c r="B1693" s="296"/>
      <c r="C1693" s="298"/>
      <c r="D1693" s="300"/>
      <c r="E1693" s="302"/>
      <c r="F1693" s="304"/>
      <c r="G1693" s="276"/>
      <c r="H1693" s="277"/>
      <c r="I1693" s="290"/>
      <c r="J1693" s="290"/>
      <c r="K1693" s="291"/>
      <c r="L1693" s="17"/>
      <c r="M1693" s="286"/>
      <c r="N1693" s="21"/>
      <c r="O1693" s="286"/>
      <c r="P1693" s="21"/>
      <c r="Q1693" s="286"/>
      <c r="R1693" s="248"/>
      <c r="S1693" s="287"/>
      <c r="T1693" s="248"/>
      <c r="U1693" s="13"/>
      <c r="V1693" s="282"/>
      <c r="W1693" s="283"/>
      <c r="X1693" s="284"/>
      <c r="Y1693" s="245"/>
      <c r="Z1693" s="245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BP1693" s="391"/>
      <c r="BQ1693" s="393"/>
    </row>
    <row r="1694" spans="1:69" ht="14.25" customHeight="1" x14ac:dyDescent="0.35">
      <c r="A1694" s="293">
        <v>839</v>
      </c>
      <c r="B1694" s="295"/>
      <c r="C1694" s="297"/>
      <c r="D1694" s="299"/>
      <c r="E1694" s="301"/>
      <c r="F1694" s="303"/>
      <c r="G1694" s="288"/>
      <c r="H1694" s="289"/>
      <c r="I1694" s="290"/>
      <c r="J1694" s="290"/>
      <c r="K1694" s="291"/>
      <c r="L1694" s="18"/>
      <c r="M1694" s="285" t="str">
        <f t="shared" ref="M1694" si="2635">IF(COUNT(L1694:L1695)&lt;1,"",AVERAGE(L1694:L1695))</f>
        <v/>
      </c>
      <c r="N1694" s="22"/>
      <c r="O1694" s="285" t="str">
        <f t="shared" ref="O1694" si="2636">IF(COUNT(N1694:N1695)&lt;1,"",AVERAGE(N1694:N1695))</f>
        <v/>
      </c>
      <c r="P1694" s="22"/>
      <c r="Q1694" s="285" t="str">
        <f t="shared" ref="Q1694" si="2637">IF(COUNT(P1694:P1695)&lt;1,"",AVERAGE(P1694:P1695))</f>
        <v/>
      </c>
      <c r="R1694" s="278" t="str">
        <f>IF($X$13="/28",IF(COUNT(P1694:P1695)&lt;=1,"",ABS(P1694-P1695)),IF($X$13="/90",IF(COUNT(#REF!)&lt;=1,"",ABS(#REF!-#REF!))))</f>
        <v/>
      </c>
      <c r="S1694" s="278" t="str">
        <f>IF($X$13="/28",IF(Q1694="","",IF(AVERAGE(Q1690:Q1695)&gt;=$W$13,ROUND(AVERAGE(Q1690:Q1695),1)&amp;" ≥ "&amp;$W$13&amp;" OK",ROUND(AVERAGE(Q1690:Q1695),1)&amp;" &lt; "&amp;$W$13&amp;" NC")),IF($X$13="/90",IF(#REF!="","",IF(AVERAGE(#REF!)&gt;=$W$13,ROUND(AVERAGE(#REF!),1)&amp;" ≥ "&amp;$W$13&amp;" OK",ROUND(AVERAGE(#REF!),1)&amp;" &lt; "&amp;$W$13&amp;" NC"))))</f>
        <v/>
      </c>
      <c r="T1694" s="278" t="str">
        <f>IF($X$13="/28",IF(Q1694="","",IF(Q1694&gt;=$W$13-$S$12,ROUND((Q1694),1)&amp;" ≥ "&amp;$W$13-$S$12&amp;" OK",ROUND((Q1694),1)&amp;" &lt; "&amp;$W$13-$S$12&amp;" NC")),IF($X$13="/90",IF(#REF!="","",IF(#REF!&gt;=$W$13-$S$12,ROUND((#REF!),1)&amp;" ≥ "&amp;$W$13-$S$12&amp;" OK",ROUND((#REF!),1)&amp;" &lt; "&amp;$W$13-$S$12&amp;" NC"))))</f>
        <v/>
      </c>
      <c r="U1694" s="14"/>
      <c r="V1694" s="279"/>
      <c r="W1694" s="280"/>
      <c r="X1694" s="281"/>
      <c r="Y1694" s="246"/>
      <c r="Z1694" s="246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BP1694" s="390" t="str">
        <f>IF($X$13="/28",IF(Q1694="","",Q1694),IF($X$13="/90",IF(#REF!="","",#REF!),"Falso"))</f>
        <v/>
      </c>
      <c r="BQ1694" s="392" t="str">
        <f t="shared" si="2618"/>
        <v/>
      </c>
    </row>
    <row r="1695" spans="1:69" ht="14.25" customHeight="1" x14ac:dyDescent="0.35">
      <c r="A1695" s="294"/>
      <c r="B1695" s="296"/>
      <c r="C1695" s="298"/>
      <c r="D1695" s="300"/>
      <c r="E1695" s="302"/>
      <c r="F1695" s="304"/>
      <c r="G1695" s="276"/>
      <c r="H1695" s="277"/>
      <c r="I1695" s="290"/>
      <c r="J1695" s="290"/>
      <c r="K1695" s="291"/>
      <c r="L1695" s="17"/>
      <c r="M1695" s="286"/>
      <c r="N1695" s="21"/>
      <c r="O1695" s="286"/>
      <c r="P1695" s="21"/>
      <c r="Q1695" s="286"/>
      <c r="R1695" s="248"/>
      <c r="S1695" s="287"/>
      <c r="T1695" s="248"/>
      <c r="U1695" s="13"/>
      <c r="V1695" s="282"/>
      <c r="W1695" s="283"/>
      <c r="X1695" s="284"/>
      <c r="Y1695" s="245"/>
      <c r="Z1695" s="245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BP1695" s="391"/>
      <c r="BQ1695" s="393"/>
    </row>
    <row r="1696" spans="1:69" ht="14.25" customHeight="1" x14ac:dyDescent="0.35">
      <c r="A1696" s="293">
        <v>840</v>
      </c>
      <c r="B1696" s="295"/>
      <c r="C1696" s="297"/>
      <c r="D1696" s="299"/>
      <c r="E1696" s="301"/>
      <c r="F1696" s="303"/>
      <c r="G1696" s="288"/>
      <c r="H1696" s="289"/>
      <c r="I1696" s="290"/>
      <c r="J1696" s="290"/>
      <c r="K1696" s="291"/>
      <c r="L1696" s="18"/>
      <c r="M1696" s="285" t="str">
        <f t="shared" ref="M1696" si="2638">IF(COUNT(L1696:L1697)&lt;1,"",AVERAGE(L1696:L1697))</f>
        <v/>
      </c>
      <c r="N1696" s="22"/>
      <c r="O1696" s="285" t="str">
        <f t="shared" ref="O1696" si="2639">IF(COUNT(N1696:N1697)&lt;1,"",AVERAGE(N1696:N1697))</f>
        <v/>
      </c>
      <c r="P1696" s="22"/>
      <c r="Q1696" s="285" t="str">
        <f t="shared" ref="Q1696" si="2640">IF(COUNT(P1696:P1697)&lt;1,"",AVERAGE(P1696:P1697))</f>
        <v/>
      </c>
      <c r="R1696" s="278" t="str">
        <f>IF($X$13="/28",IF(COUNT(P1696:P1697)&lt;=1,"",ABS(P1696-P1697)),IF($X$13="/90",IF(COUNT(#REF!)&lt;=1,"",ABS(#REF!-#REF!))))</f>
        <v/>
      </c>
      <c r="S1696" s="278" t="str">
        <f>IF($X$13="/28",IF(Q1696="","",IF(AVERAGE(Q1692:Q1697)&gt;=$W$13,ROUND(AVERAGE(Q1692:Q1697),1)&amp;" ≥ "&amp;$W$13&amp;" OK",ROUND(AVERAGE(Q1692:Q1697),1)&amp;" &lt; "&amp;$W$13&amp;" NC")),IF($X$13="/90",IF(#REF!="","",IF(AVERAGE(#REF!)&gt;=$W$13,ROUND(AVERAGE(#REF!),1)&amp;" ≥ "&amp;$W$13&amp;" OK",ROUND(AVERAGE(#REF!),1)&amp;" &lt; "&amp;$W$13&amp;" NC"))))</f>
        <v/>
      </c>
      <c r="T1696" s="278" t="str">
        <f>IF($X$13="/28",IF(Q1696="","",IF(Q1696&gt;=$W$13-$S$12,ROUND((Q1696),1)&amp;" ≥ "&amp;$W$13-$S$12&amp;" OK",ROUND((Q1696),1)&amp;" &lt; "&amp;$W$13-$S$12&amp;" NC")),IF($X$13="/90",IF(#REF!="","",IF(#REF!&gt;=$W$13-$S$12,ROUND((#REF!),1)&amp;" ≥ "&amp;$W$13-$S$12&amp;" OK",ROUND((#REF!),1)&amp;" &lt; "&amp;$W$13-$S$12&amp;" NC"))))</f>
        <v/>
      </c>
      <c r="U1696" s="14"/>
      <c r="V1696" s="279"/>
      <c r="W1696" s="280"/>
      <c r="X1696" s="281"/>
      <c r="Y1696" s="246"/>
      <c r="Z1696" s="246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BP1696" s="390" t="str">
        <f>IF($X$13="/28",IF(Q1696="","",Q1696),IF($X$13="/90",IF(#REF!="","",#REF!),"Falso"))</f>
        <v/>
      </c>
      <c r="BQ1696" s="392" t="str">
        <f t="shared" si="2622"/>
        <v/>
      </c>
    </row>
    <row r="1697" spans="1:69" ht="14.25" customHeight="1" thickBot="1" x14ac:dyDescent="0.4">
      <c r="A1697" s="384"/>
      <c r="B1697" s="385"/>
      <c r="C1697" s="386"/>
      <c r="D1697" s="387"/>
      <c r="E1697" s="388"/>
      <c r="F1697" s="389"/>
      <c r="G1697" s="377"/>
      <c r="H1697" s="378"/>
      <c r="I1697" s="382"/>
      <c r="J1697" s="382"/>
      <c r="K1697" s="383"/>
      <c r="L1697" s="19"/>
      <c r="M1697" s="379"/>
      <c r="N1697" s="23"/>
      <c r="O1697" s="379"/>
      <c r="P1697" s="23"/>
      <c r="Q1697" s="379"/>
      <c r="R1697" s="380"/>
      <c r="S1697" s="381"/>
      <c r="T1697" s="380"/>
      <c r="U1697" s="15"/>
      <c r="V1697" s="373"/>
      <c r="W1697" s="374"/>
      <c r="X1697" s="375"/>
      <c r="Y1697" s="376"/>
      <c r="Z1697" s="376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BP1697" s="391"/>
      <c r="BQ1697" s="393"/>
    </row>
    <row r="1698" spans="1:69" ht="14.25" customHeight="1" x14ac:dyDescent="0.35">
      <c r="A1698" s="311">
        <v>841</v>
      </c>
      <c r="B1698" s="312"/>
      <c r="C1698" s="313"/>
      <c r="D1698" s="314"/>
      <c r="E1698" s="315"/>
      <c r="F1698" s="353"/>
      <c r="G1698" s="354"/>
      <c r="H1698" s="355"/>
      <c r="I1698" s="356"/>
      <c r="J1698" s="356"/>
      <c r="K1698" s="357"/>
      <c r="L1698" s="16"/>
      <c r="M1698" s="352" t="str">
        <f t="shared" ref="M1698" si="2641">IF(COUNT(L1698:L1699)&lt;1,"",AVERAGE(L1698:L1699))</f>
        <v/>
      </c>
      <c r="N1698" s="20"/>
      <c r="O1698" s="352" t="str">
        <f t="shared" ref="O1698" si="2642">IF(COUNT(N1698:N1699)&lt;1,"",AVERAGE(N1698:N1699))</f>
        <v/>
      </c>
      <c r="P1698" s="20"/>
      <c r="Q1698" s="352" t="str">
        <f t="shared" ref="Q1698" si="2643">IF(COUNT(P1698:P1699)&lt;1,"",AVERAGE(P1698:P1699))</f>
        <v/>
      </c>
      <c r="R1698" s="247" t="str">
        <f>IF($X$13="/28",IF(COUNT(P1698:P1699)&lt;=1,"",ABS(P1698-P1699)),IF($X$13="/90",IF(COUNT(#REF!)&lt;=1,"",ABS(#REF!-#REF!))))</f>
        <v/>
      </c>
      <c r="S1698" s="247" t="str">
        <f>IF($X$13="/28",IF(Q1698="","",IF(AVERAGE(Q1694:Q1699)&gt;=$W$13,ROUND(AVERAGE(Q1694:Q1699),1)&amp;" ≥ "&amp;$W$13&amp;" OK",ROUND(AVERAGE(Q1694:Q1699),1)&amp;" &lt; "&amp;$W$13&amp;" NC")),IF($X$13="/90",IF(#REF!="","",IF(AVERAGE(#REF!)&gt;=$W$13,ROUND(AVERAGE(#REF!),1)&amp;" ≥ "&amp;$W$13&amp;" OK",ROUND(AVERAGE(#REF!),1)&amp;" &lt; "&amp;$W$13&amp;" NC"))))</f>
        <v/>
      </c>
      <c r="T1698" s="247" t="str">
        <f>IF($X$13="/28",IF(Q1698="","",IF(Q1698&gt;=$W$13-$S$12,ROUND((Q1698),1)&amp;" ≥ "&amp;$W$13-$S$12&amp;" OK",ROUND((Q1698),1)&amp;" &lt; "&amp;$W$13-$S$12&amp;" NC")),IF($X$13="/90",IF(#REF!="","",IF(#REF!&gt;=$W$13-$S$12,ROUND((#REF!),1)&amp;" ≥ "&amp;$W$13-$S$12&amp;" OK",ROUND((#REF!),1)&amp;" &lt; "&amp;$W$13-$S$12&amp;" NC"))))</f>
        <v/>
      </c>
      <c r="U1698" s="12"/>
      <c r="V1698" s="349"/>
      <c r="W1698" s="350"/>
      <c r="X1698" s="351"/>
      <c r="Y1698" s="244"/>
      <c r="Z1698" s="244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BP1698" s="390" t="str">
        <f>IF($X$13="/28",IF(Q1698="","",Q1698),IF($X$13="/90",IF(#REF!="","",#REF!),"Falso"))</f>
        <v/>
      </c>
      <c r="BQ1698" s="392" t="str">
        <f t="shared" si="2614"/>
        <v/>
      </c>
    </row>
    <row r="1699" spans="1:69" ht="14.25" customHeight="1" x14ac:dyDescent="0.35">
      <c r="A1699" s="294"/>
      <c r="B1699" s="296"/>
      <c r="C1699" s="298"/>
      <c r="D1699" s="300"/>
      <c r="E1699" s="302"/>
      <c r="F1699" s="304"/>
      <c r="G1699" s="276"/>
      <c r="H1699" s="277"/>
      <c r="I1699" s="290"/>
      <c r="J1699" s="290"/>
      <c r="K1699" s="291"/>
      <c r="L1699" s="17"/>
      <c r="M1699" s="286"/>
      <c r="N1699" s="21"/>
      <c r="O1699" s="286"/>
      <c r="P1699" s="21"/>
      <c r="Q1699" s="286"/>
      <c r="R1699" s="248"/>
      <c r="S1699" s="248"/>
      <c r="T1699" s="248"/>
      <c r="U1699" s="13"/>
      <c r="V1699" s="282"/>
      <c r="W1699" s="283"/>
      <c r="X1699" s="284"/>
      <c r="Y1699" s="245"/>
      <c r="Z1699" s="245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BP1699" s="391"/>
      <c r="BQ1699" s="393"/>
    </row>
    <row r="1700" spans="1:69" ht="14.25" customHeight="1" x14ac:dyDescent="0.35">
      <c r="A1700" s="293">
        <v>842</v>
      </c>
      <c r="B1700" s="295"/>
      <c r="C1700" s="297"/>
      <c r="D1700" s="299"/>
      <c r="E1700" s="301"/>
      <c r="F1700" s="303"/>
      <c r="G1700" s="288"/>
      <c r="H1700" s="289"/>
      <c r="I1700" s="290"/>
      <c r="J1700" s="290"/>
      <c r="K1700" s="291"/>
      <c r="L1700" s="18"/>
      <c r="M1700" s="285" t="str">
        <f t="shared" ref="M1700" si="2644">IF(COUNT(L1700:L1701)&lt;1,"",AVERAGE(L1700:L1701))</f>
        <v/>
      </c>
      <c r="N1700" s="22"/>
      <c r="O1700" s="285" t="str">
        <f t="shared" ref="O1700" si="2645">IF(COUNT(N1700:N1701)&lt;1,"",AVERAGE(N1700:N1701))</f>
        <v/>
      </c>
      <c r="P1700" s="22"/>
      <c r="Q1700" s="285" t="str">
        <f t="shared" ref="Q1700" si="2646">IF(COUNT(P1700:P1701)&lt;1,"",AVERAGE(P1700:P1701))</f>
        <v/>
      </c>
      <c r="R1700" s="278" t="str">
        <f>IF($X$13="/28",IF(COUNT(P1700:P1701)&lt;=1,"",ABS(P1700-P1701)),IF($X$13="/90",IF(COUNT(#REF!)&lt;=1,"",ABS(#REF!-#REF!))))</f>
        <v/>
      </c>
      <c r="S1700" s="278" t="str">
        <f>IF($X$13="/28",IF(Q1700="","",IF(AVERAGE(Q1696:Q1701)&gt;=$W$13,ROUND(AVERAGE(Q1696:Q1701),1)&amp;" ≥ "&amp;$W$13&amp;" OK",ROUND(AVERAGE(Q1696:Q1701),1)&amp;" &lt; "&amp;$W$13&amp;" NC")),IF($X$13="/90",IF(#REF!="","",IF(AVERAGE(#REF!)&gt;=$W$13,ROUND(AVERAGE(#REF!),1)&amp;" ≥ "&amp;$W$13&amp;" OK",ROUND(AVERAGE(#REF!),1)&amp;" &lt; "&amp;$W$13&amp;" NC"))))</f>
        <v/>
      </c>
      <c r="T1700" s="278" t="str">
        <f>IF($X$13="/28",IF(Q1700="","",IF(Q1700&gt;=$W$13-$S$12,ROUND((Q1700),1)&amp;" ≥ "&amp;$W$13-$S$12&amp;" OK",ROUND((Q1700),1)&amp;" &lt; "&amp;$W$13-$S$12&amp;" NC")),IF($X$13="/90",IF(#REF!="","",IF(#REF!&gt;=$W$13-$S$12,ROUND((#REF!),1)&amp;" ≥ "&amp;$W$13-$S$12&amp;" OK",ROUND((#REF!),1)&amp;" &lt; "&amp;$W$13-$S$12&amp;" NC"))))</f>
        <v/>
      </c>
      <c r="U1700" s="14"/>
      <c r="V1700" s="279"/>
      <c r="W1700" s="280"/>
      <c r="X1700" s="281"/>
      <c r="Y1700" s="246"/>
      <c r="Z1700" s="246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BP1700" s="390" t="str">
        <f>IF($X$13="/28",IF(Q1700="","",Q1700),IF($X$13="/90",IF(#REF!="","",#REF!),"Falso"))</f>
        <v/>
      </c>
      <c r="BQ1700" s="392" t="str">
        <f t="shared" si="2618"/>
        <v/>
      </c>
    </row>
    <row r="1701" spans="1:69" ht="14.25" customHeight="1" x14ac:dyDescent="0.35">
      <c r="A1701" s="294"/>
      <c r="B1701" s="296"/>
      <c r="C1701" s="298"/>
      <c r="D1701" s="300"/>
      <c r="E1701" s="302"/>
      <c r="F1701" s="304"/>
      <c r="G1701" s="276"/>
      <c r="H1701" s="277"/>
      <c r="I1701" s="290"/>
      <c r="J1701" s="290"/>
      <c r="K1701" s="291"/>
      <c r="L1701" s="17"/>
      <c r="M1701" s="286"/>
      <c r="N1701" s="21"/>
      <c r="O1701" s="286"/>
      <c r="P1701" s="21"/>
      <c r="Q1701" s="286"/>
      <c r="R1701" s="248"/>
      <c r="S1701" s="248"/>
      <c r="T1701" s="248"/>
      <c r="U1701" s="13"/>
      <c r="V1701" s="282"/>
      <c r="W1701" s="283"/>
      <c r="X1701" s="284"/>
      <c r="Y1701" s="245"/>
      <c r="Z1701" s="245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BP1701" s="391"/>
      <c r="BQ1701" s="393"/>
    </row>
    <row r="1702" spans="1:69" ht="14.25" customHeight="1" x14ac:dyDescent="0.35">
      <c r="A1702" s="293">
        <v>843</v>
      </c>
      <c r="B1702" s="295"/>
      <c r="C1702" s="297"/>
      <c r="D1702" s="299"/>
      <c r="E1702" s="301"/>
      <c r="F1702" s="303"/>
      <c r="G1702" s="288"/>
      <c r="H1702" s="289"/>
      <c r="I1702" s="290"/>
      <c r="J1702" s="290"/>
      <c r="K1702" s="291"/>
      <c r="L1702" s="18"/>
      <c r="M1702" s="285" t="str">
        <f t="shared" ref="M1702" si="2647">IF(COUNT(L1702:L1703)&lt;1,"",AVERAGE(L1702:L1703))</f>
        <v/>
      </c>
      <c r="N1702" s="22"/>
      <c r="O1702" s="285" t="str">
        <f t="shared" ref="O1702" si="2648">IF(COUNT(N1702:N1703)&lt;1,"",AVERAGE(N1702:N1703))</f>
        <v/>
      </c>
      <c r="P1702" s="22"/>
      <c r="Q1702" s="285" t="str">
        <f t="shared" ref="Q1702" si="2649">IF(COUNT(P1702:P1703)&lt;1,"",AVERAGE(P1702:P1703))</f>
        <v/>
      </c>
      <c r="R1702" s="278" t="str">
        <f>IF($X$13="/28",IF(COUNT(P1702:P1703)&lt;=1,"",ABS(P1702-P1703)),IF($X$13="/90",IF(COUNT(#REF!)&lt;=1,"",ABS(#REF!-#REF!))))</f>
        <v/>
      </c>
      <c r="S1702" s="278" t="str">
        <f>IF($X$13="/28",IF(Q1702="","",IF(AVERAGE(Q1698:Q1703)&gt;=$W$13,ROUND(AVERAGE(Q1698:Q1703),1)&amp;" ≥ "&amp;$W$13&amp;" OK",ROUND(AVERAGE(Q1698:Q1703),1)&amp;" &lt; "&amp;$W$13&amp;" NC")),IF($X$13="/90",IF(#REF!="","",IF(AVERAGE(#REF!)&gt;=$W$13,ROUND(AVERAGE(#REF!),1)&amp;" ≥ "&amp;$W$13&amp;" OK",ROUND(AVERAGE(#REF!),1)&amp;" &lt; "&amp;$W$13&amp;" NC"))))</f>
        <v/>
      </c>
      <c r="T1702" s="278" t="str">
        <f>IF($X$13="/28",IF(Q1702="","",IF(Q1702&gt;=$W$13-$S$12,ROUND((Q1702),1)&amp;" ≥ "&amp;$W$13-$S$12&amp;" OK",ROUND((Q1702),1)&amp;" &lt; "&amp;$W$13-$S$12&amp;" NC")),IF($X$13="/90",IF(#REF!="","",IF(#REF!&gt;=$W$13-$S$12,ROUND((#REF!),1)&amp;" ≥ "&amp;$W$13-$S$12&amp;" OK",ROUND((#REF!),1)&amp;" &lt; "&amp;$W$13-$S$12&amp;" NC"))))</f>
        <v/>
      </c>
      <c r="U1702" s="14"/>
      <c r="V1702" s="279"/>
      <c r="W1702" s="280"/>
      <c r="X1702" s="281"/>
      <c r="Y1702" s="246"/>
      <c r="Z1702" s="246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BP1702" s="390" t="str">
        <f>IF($X$13="/28",IF(Q1702="","",Q1702),IF($X$13="/90",IF(#REF!="","",#REF!),"Falso"))</f>
        <v/>
      </c>
      <c r="BQ1702" s="392" t="str">
        <f t="shared" si="2622"/>
        <v/>
      </c>
    </row>
    <row r="1703" spans="1:69" ht="14.25" customHeight="1" x14ac:dyDescent="0.35">
      <c r="A1703" s="294"/>
      <c r="B1703" s="296"/>
      <c r="C1703" s="298"/>
      <c r="D1703" s="300"/>
      <c r="E1703" s="302"/>
      <c r="F1703" s="304"/>
      <c r="G1703" s="276"/>
      <c r="H1703" s="277"/>
      <c r="I1703" s="290"/>
      <c r="J1703" s="290"/>
      <c r="K1703" s="291"/>
      <c r="L1703" s="17"/>
      <c r="M1703" s="286"/>
      <c r="N1703" s="21"/>
      <c r="O1703" s="286"/>
      <c r="P1703" s="21"/>
      <c r="Q1703" s="286"/>
      <c r="R1703" s="248"/>
      <c r="S1703" s="287"/>
      <c r="T1703" s="248"/>
      <c r="U1703" s="13"/>
      <c r="V1703" s="282"/>
      <c r="W1703" s="283"/>
      <c r="X1703" s="284"/>
      <c r="Y1703" s="245"/>
      <c r="Z1703" s="245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BP1703" s="391"/>
      <c r="BQ1703" s="393"/>
    </row>
    <row r="1704" spans="1:69" ht="14.25" customHeight="1" x14ac:dyDescent="0.35">
      <c r="A1704" s="293">
        <v>844</v>
      </c>
      <c r="B1704" s="295"/>
      <c r="C1704" s="297"/>
      <c r="D1704" s="299"/>
      <c r="E1704" s="301"/>
      <c r="F1704" s="303"/>
      <c r="G1704" s="288"/>
      <c r="H1704" s="289"/>
      <c r="I1704" s="290"/>
      <c r="J1704" s="290"/>
      <c r="K1704" s="291"/>
      <c r="L1704" s="18"/>
      <c r="M1704" s="285" t="str">
        <f t="shared" ref="M1704" si="2650">IF(COUNT(L1704:L1705)&lt;1,"",AVERAGE(L1704:L1705))</f>
        <v/>
      </c>
      <c r="N1704" s="22"/>
      <c r="O1704" s="285" t="str">
        <f t="shared" ref="O1704" si="2651">IF(COUNT(N1704:N1705)&lt;1,"",AVERAGE(N1704:N1705))</f>
        <v/>
      </c>
      <c r="P1704" s="22"/>
      <c r="Q1704" s="285" t="str">
        <f t="shared" ref="Q1704" si="2652">IF(COUNT(P1704:P1705)&lt;1,"",AVERAGE(P1704:P1705))</f>
        <v/>
      </c>
      <c r="R1704" s="278" t="str">
        <f>IF($X$13="/28",IF(COUNT(P1704:P1705)&lt;=1,"",ABS(P1704-P1705)),IF($X$13="/90",IF(COUNT(#REF!)&lt;=1,"",ABS(#REF!-#REF!))))</f>
        <v/>
      </c>
      <c r="S1704" s="278" t="str">
        <f>IF($X$13="/28",IF(Q1704="","",IF(AVERAGE(Q1700:Q1705)&gt;=$W$13,ROUND(AVERAGE(Q1700:Q1705),1)&amp;" ≥ "&amp;$W$13&amp;" OK",ROUND(AVERAGE(Q1700:Q1705),1)&amp;" &lt; "&amp;$W$13&amp;" NC")),IF($X$13="/90",IF(#REF!="","",IF(AVERAGE(#REF!)&gt;=$W$13,ROUND(AVERAGE(#REF!),1)&amp;" ≥ "&amp;$W$13&amp;" OK",ROUND(AVERAGE(#REF!),1)&amp;" &lt; "&amp;$W$13&amp;" NC"))))</f>
        <v/>
      </c>
      <c r="T1704" s="278" t="str">
        <f>IF($X$13="/28",IF(Q1704="","",IF(Q1704&gt;=$W$13-$S$12,ROUND((Q1704),1)&amp;" ≥ "&amp;$W$13-$S$12&amp;" OK",ROUND((Q1704),1)&amp;" &lt; "&amp;$W$13-$S$12&amp;" NC")),IF($X$13="/90",IF(#REF!="","",IF(#REF!&gt;=$W$13-$S$12,ROUND((#REF!),1)&amp;" ≥ "&amp;$W$13-$S$12&amp;" OK",ROUND((#REF!),1)&amp;" &lt; "&amp;$W$13-$S$12&amp;" NC"))))</f>
        <v/>
      </c>
      <c r="U1704" s="14"/>
      <c r="V1704" s="279"/>
      <c r="W1704" s="280"/>
      <c r="X1704" s="281"/>
      <c r="Y1704" s="246"/>
      <c r="Z1704" s="246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BP1704" s="390" t="str">
        <f>IF($X$13="/28",IF(Q1704="","",Q1704),IF($X$13="/90",IF(#REF!="","",#REF!),"Falso"))</f>
        <v/>
      </c>
      <c r="BQ1704" s="392" t="str">
        <f t="shared" si="2614"/>
        <v/>
      </c>
    </row>
    <row r="1705" spans="1:69" ht="14.25" customHeight="1" x14ac:dyDescent="0.35">
      <c r="A1705" s="294"/>
      <c r="B1705" s="296"/>
      <c r="C1705" s="298"/>
      <c r="D1705" s="300"/>
      <c r="E1705" s="302"/>
      <c r="F1705" s="304"/>
      <c r="G1705" s="276"/>
      <c r="H1705" s="277"/>
      <c r="I1705" s="290"/>
      <c r="J1705" s="290"/>
      <c r="K1705" s="291"/>
      <c r="L1705" s="17"/>
      <c r="M1705" s="286"/>
      <c r="N1705" s="21"/>
      <c r="O1705" s="286"/>
      <c r="P1705" s="21"/>
      <c r="Q1705" s="286"/>
      <c r="R1705" s="248"/>
      <c r="S1705" s="287"/>
      <c r="T1705" s="248"/>
      <c r="U1705" s="13"/>
      <c r="V1705" s="282"/>
      <c r="W1705" s="283"/>
      <c r="X1705" s="284"/>
      <c r="Y1705" s="245"/>
      <c r="Z1705" s="245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BP1705" s="391"/>
      <c r="BQ1705" s="393"/>
    </row>
    <row r="1706" spans="1:69" ht="14.25" customHeight="1" x14ac:dyDescent="0.35">
      <c r="A1706" s="293">
        <v>845</v>
      </c>
      <c r="B1706" s="295"/>
      <c r="C1706" s="297"/>
      <c r="D1706" s="299"/>
      <c r="E1706" s="301"/>
      <c r="F1706" s="303"/>
      <c r="G1706" s="288"/>
      <c r="H1706" s="289"/>
      <c r="I1706" s="290"/>
      <c r="J1706" s="290"/>
      <c r="K1706" s="291"/>
      <c r="L1706" s="18"/>
      <c r="M1706" s="285" t="str">
        <f t="shared" ref="M1706" si="2653">IF(COUNT(L1706:L1707)&lt;1,"",AVERAGE(L1706:L1707))</f>
        <v/>
      </c>
      <c r="N1706" s="22"/>
      <c r="O1706" s="285" t="str">
        <f t="shared" ref="O1706" si="2654">IF(COUNT(N1706:N1707)&lt;1,"",AVERAGE(N1706:N1707))</f>
        <v/>
      </c>
      <c r="P1706" s="22"/>
      <c r="Q1706" s="285" t="str">
        <f t="shared" ref="Q1706" si="2655">IF(COUNT(P1706:P1707)&lt;1,"",AVERAGE(P1706:P1707))</f>
        <v/>
      </c>
      <c r="R1706" s="278" t="str">
        <f>IF($X$13="/28",IF(COUNT(P1706:P1707)&lt;=1,"",ABS(P1706-P1707)),IF($X$13="/90",IF(COUNT(#REF!)&lt;=1,"",ABS(#REF!-#REF!))))</f>
        <v/>
      </c>
      <c r="S1706" s="278" t="str">
        <f>IF($X$13="/28",IF(Q1706="","",IF(AVERAGE(Q1702:Q1707)&gt;=$W$13,ROUND(AVERAGE(Q1702:Q1707),1)&amp;" ≥ "&amp;$W$13&amp;" OK",ROUND(AVERAGE(Q1702:Q1707),1)&amp;" &lt; "&amp;$W$13&amp;" NC")),IF($X$13="/90",IF(#REF!="","",IF(AVERAGE(#REF!)&gt;=$W$13,ROUND(AVERAGE(#REF!),1)&amp;" ≥ "&amp;$W$13&amp;" OK",ROUND(AVERAGE(#REF!),1)&amp;" &lt; "&amp;$W$13&amp;" NC"))))</f>
        <v/>
      </c>
      <c r="T1706" s="278" t="str">
        <f>IF($X$13="/28",IF(Q1706="","",IF(Q1706&gt;=$W$13-$S$12,ROUND((Q1706),1)&amp;" ≥ "&amp;$W$13-$S$12&amp;" OK",ROUND((Q1706),1)&amp;" &lt; "&amp;$W$13-$S$12&amp;" NC")),IF($X$13="/90",IF(#REF!="","",IF(#REF!&gt;=$W$13-$S$12,ROUND((#REF!),1)&amp;" ≥ "&amp;$W$13-$S$12&amp;" OK",ROUND((#REF!),1)&amp;" &lt; "&amp;$W$13-$S$12&amp;" NC"))))</f>
        <v/>
      </c>
      <c r="U1706" s="14"/>
      <c r="V1706" s="279"/>
      <c r="W1706" s="280"/>
      <c r="X1706" s="281"/>
      <c r="Y1706" s="246"/>
      <c r="Z1706" s="246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BP1706" s="390" t="str">
        <f>IF($X$13="/28",IF(Q1706="","",Q1706),IF($X$13="/90",IF(#REF!="","",#REF!),"Falso"))</f>
        <v/>
      </c>
      <c r="BQ1706" s="392" t="str">
        <f t="shared" si="2618"/>
        <v/>
      </c>
    </row>
    <row r="1707" spans="1:69" ht="14.25" customHeight="1" x14ac:dyDescent="0.35">
      <c r="A1707" s="294"/>
      <c r="B1707" s="296"/>
      <c r="C1707" s="298"/>
      <c r="D1707" s="300"/>
      <c r="E1707" s="302"/>
      <c r="F1707" s="304"/>
      <c r="G1707" s="276"/>
      <c r="H1707" s="277"/>
      <c r="I1707" s="290"/>
      <c r="J1707" s="290"/>
      <c r="K1707" s="291"/>
      <c r="L1707" s="17"/>
      <c r="M1707" s="286"/>
      <c r="N1707" s="21"/>
      <c r="O1707" s="286"/>
      <c r="P1707" s="21"/>
      <c r="Q1707" s="286"/>
      <c r="R1707" s="248"/>
      <c r="S1707" s="287"/>
      <c r="T1707" s="248"/>
      <c r="U1707" s="13"/>
      <c r="V1707" s="282"/>
      <c r="W1707" s="283"/>
      <c r="X1707" s="284"/>
      <c r="Y1707" s="245"/>
      <c r="Z1707" s="245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BP1707" s="391"/>
      <c r="BQ1707" s="393"/>
    </row>
    <row r="1708" spans="1:69" ht="14.25" customHeight="1" x14ac:dyDescent="0.35">
      <c r="A1708" s="293">
        <v>846</v>
      </c>
      <c r="B1708" s="295"/>
      <c r="C1708" s="297"/>
      <c r="D1708" s="299"/>
      <c r="E1708" s="301"/>
      <c r="F1708" s="303"/>
      <c r="G1708" s="288"/>
      <c r="H1708" s="289"/>
      <c r="I1708" s="290"/>
      <c r="J1708" s="290"/>
      <c r="K1708" s="291"/>
      <c r="L1708" s="18"/>
      <c r="M1708" s="285" t="str">
        <f t="shared" ref="M1708" si="2656">IF(COUNT(L1708:L1709)&lt;1,"",AVERAGE(L1708:L1709))</f>
        <v/>
      </c>
      <c r="N1708" s="22"/>
      <c r="O1708" s="285" t="str">
        <f t="shared" ref="O1708" si="2657">IF(COUNT(N1708:N1709)&lt;1,"",AVERAGE(N1708:N1709))</f>
        <v/>
      </c>
      <c r="P1708" s="22"/>
      <c r="Q1708" s="285" t="str">
        <f t="shared" ref="Q1708" si="2658">IF(COUNT(P1708:P1709)&lt;1,"",AVERAGE(P1708:P1709))</f>
        <v/>
      </c>
      <c r="R1708" s="278" t="str">
        <f>IF($X$13="/28",IF(COUNT(P1708:P1709)&lt;=1,"",ABS(P1708-P1709)),IF($X$13="/90",IF(COUNT(#REF!)&lt;=1,"",ABS(#REF!-#REF!))))</f>
        <v/>
      </c>
      <c r="S1708" s="278" t="str">
        <f>IF($X$13="/28",IF(Q1708="","",IF(AVERAGE(Q1704:Q1709)&gt;=$W$13,ROUND(AVERAGE(Q1704:Q1709),1)&amp;" ≥ "&amp;$W$13&amp;" OK",ROUND(AVERAGE(Q1704:Q1709),1)&amp;" &lt; "&amp;$W$13&amp;" NC")),IF($X$13="/90",IF(#REF!="","",IF(AVERAGE(#REF!)&gt;=$W$13,ROUND(AVERAGE(#REF!),1)&amp;" ≥ "&amp;$W$13&amp;" OK",ROUND(AVERAGE(#REF!),1)&amp;" &lt; "&amp;$W$13&amp;" NC"))))</f>
        <v/>
      </c>
      <c r="T1708" s="278" t="str">
        <f>IF($X$13="/28",IF(Q1708="","",IF(Q1708&gt;=$W$13-$S$12,ROUND((Q1708),1)&amp;" ≥ "&amp;$W$13-$S$12&amp;" OK",ROUND((Q1708),1)&amp;" &lt; "&amp;$W$13-$S$12&amp;" NC")),IF($X$13="/90",IF(#REF!="","",IF(#REF!&gt;=$W$13-$S$12,ROUND((#REF!),1)&amp;" ≥ "&amp;$W$13-$S$12&amp;" OK",ROUND((#REF!),1)&amp;" &lt; "&amp;$W$13-$S$12&amp;" NC"))))</f>
        <v/>
      </c>
      <c r="U1708" s="14"/>
      <c r="V1708" s="279"/>
      <c r="W1708" s="280"/>
      <c r="X1708" s="281"/>
      <c r="Y1708" s="246"/>
      <c r="Z1708" s="246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BP1708" s="390" t="str">
        <f>IF($X$13="/28",IF(Q1708="","",Q1708),IF($X$13="/90",IF(#REF!="","",#REF!),"Falso"))</f>
        <v/>
      </c>
      <c r="BQ1708" s="392" t="str">
        <f t="shared" si="2622"/>
        <v/>
      </c>
    </row>
    <row r="1709" spans="1:69" ht="14.25" customHeight="1" x14ac:dyDescent="0.35">
      <c r="A1709" s="294"/>
      <c r="B1709" s="296"/>
      <c r="C1709" s="298"/>
      <c r="D1709" s="300"/>
      <c r="E1709" s="302"/>
      <c r="F1709" s="304"/>
      <c r="G1709" s="276"/>
      <c r="H1709" s="277"/>
      <c r="I1709" s="290"/>
      <c r="J1709" s="290"/>
      <c r="K1709" s="291"/>
      <c r="L1709" s="17"/>
      <c r="M1709" s="286"/>
      <c r="N1709" s="21"/>
      <c r="O1709" s="286"/>
      <c r="P1709" s="21"/>
      <c r="Q1709" s="286"/>
      <c r="R1709" s="248"/>
      <c r="S1709" s="287"/>
      <c r="T1709" s="248"/>
      <c r="U1709" s="13"/>
      <c r="V1709" s="282"/>
      <c r="W1709" s="283"/>
      <c r="X1709" s="284"/>
      <c r="Y1709" s="245"/>
      <c r="Z1709" s="245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BP1709" s="391"/>
      <c r="BQ1709" s="393"/>
    </row>
    <row r="1710" spans="1:69" ht="14.25" customHeight="1" x14ac:dyDescent="0.35">
      <c r="A1710" s="293">
        <v>847</v>
      </c>
      <c r="B1710" s="295"/>
      <c r="C1710" s="297"/>
      <c r="D1710" s="299"/>
      <c r="E1710" s="301"/>
      <c r="F1710" s="303"/>
      <c r="G1710" s="288"/>
      <c r="H1710" s="289"/>
      <c r="I1710" s="290"/>
      <c r="J1710" s="290"/>
      <c r="K1710" s="291"/>
      <c r="L1710" s="18"/>
      <c r="M1710" s="285" t="str">
        <f t="shared" ref="M1710" si="2659">IF(COUNT(L1710:L1711)&lt;1,"",AVERAGE(L1710:L1711))</f>
        <v/>
      </c>
      <c r="N1710" s="22"/>
      <c r="O1710" s="285" t="str">
        <f t="shared" ref="O1710" si="2660">IF(COUNT(N1710:N1711)&lt;1,"",AVERAGE(N1710:N1711))</f>
        <v/>
      </c>
      <c r="P1710" s="22"/>
      <c r="Q1710" s="285" t="str">
        <f t="shared" ref="Q1710" si="2661">IF(COUNT(P1710:P1711)&lt;1,"",AVERAGE(P1710:P1711))</f>
        <v/>
      </c>
      <c r="R1710" s="278" t="str">
        <f>IF($X$13="/28",IF(COUNT(P1710:P1711)&lt;=1,"",ABS(P1710-P1711)),IF($X$13="/90",IF(COUNT(#REF!)&lt;=1,"",ABS(#REF!-#REF!))))</f>
        <v/>
      </c>
      <c r="S1710" s="278" t="str">
        <f>IF($X$13="/28",IF(Q1710="","",IF(AVERAGE(Q1706:Q1711)&gt;=$W$13,ROUND(AVERAGE(Q1706:Q1711),1)&amp;" ≥ "&amp;$W$13&amp;" OK",ROUND(AVERAGE(Q1706:Q1711),1)&amp;" &lt; "&amp;$W$13&amp;" NC")),IF($X$13="/90",IF(#REF!="","",IF(AVERAGE(#REF!)&gt;=$W$13,ROUND(AVERAGE(#REF!),1)&amp;" ≥ "&amp;$W$13&amp;" OK",ROUND(AVERAGE(#REF!),1)&amp;" &lt; "&amp;$W$13&amp;" NC"))))</f>
        <v/>
      </c>
      <c r="T1710" s="278" t="str">
        <f>IF($X$13="/28",IF(Q1710="","",IF(Q1710&gt;=$W$13-$S$12,ROUND((Q1710),1)&amp;" ≥ "&amp;$W$13-$S$12&amp;" OK",ROUND((Q1710),1)&amp;" &lt; "&amp;$W$13-$S$12&amp;" NC")),IF($X$13="/90",IF(#REF!="","",IF(#REF!&gt;=$W$13-$S$12,ROUND((#REF!),1)&amp;" ≥ "&amp;$W$13-$S$12&amp;" OK",ROUND((#REF!),1)&amp;" &lt; "&amp;$W$13-$S$12&amp;" NC"))))</f>
        <v/>
      </c>
      <c r="U1710" s="14"/>
      <c r="V1710" s="279"/>
      <c r="W1710" s="280"/>
      <c r="X1710" s="281"/>
      <c r="Y1710" s="246"/>
      <c r="Z1710" s="246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BP1710" s="390" t="str">
        <f>IF($X$13="/28",IF(Q1710="","",Q1710),IF($X$13="/90",IF(#REF!="","",#REF!),"Falso"))</f>
        <v/>
      </c>
      <c r="BQ1710" s="392" t="str">
        <f t="shared" si="2614"/>
        <v/>
      </c>
    </row>
    <row r="1711" spans="1:69" ht="14.25" customHeight="1" x14ac:dyDescent="0.35">
      <c r="A1711" s="294"/>
      <c r="B1711" s="296"/>
      <c r="C1711" s="298"/>
      <c r="D1711" s="300"/>
      <c r="E1711" s="302"/>
      <c r="F1711" s="304"/>
      <c r="G1711" s="276"/>
      <c r="H1711" s="277"/>
      <c r="I1711" s="290"/>
      <c r="J1711" s="290"/>
      <c r="K1711" s="291"/>
      <c r="L1711" s="17"/>
      <c r="M1711" s="286"/>
      <c r="N1711" s="21"/>
      <c r="O1711" s="286"/>
      <c r="P1711" s="21"/>
      <c r="Q1711" s="286"/>
      <c r="R1711" s="248"/>
      <c r="S1711" s="287"/>
      <c r="T1711" s="248"/>
      <c r="U1711" s="13"/>
      <c r="V1711" s="282"/>
      <c r="W1711" s="283"/>
      <c r="X1711" s="284"/>
      <c r="Y1711" s="245"/>
      <c r="Z1711" s="245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BP1711" s="391"/>
      <c r="BQ1711" s="393"/>
    </row>
    <row r="1712" spans="1:69" ht="14.25" customHeight="1" x14ac:dyDescent="0.35">
      <c r="A1712" s="293">
        <v>848</v>
      </c>
      <c r="B1712" s="295"/>
      <c r="C1712" s="297"/>
      <c r="D1712" s="299"/>
      <c r="E1712" s="301"/>
      <c r="F1712" s="303"/>
      <c r="G1712" s="288"/>
      <c r="H1712" s="289"/>
      <c r="I1712" s="290"/>
      <c r="J1712" s="290"/>
      <c r="K1712" s="291"/>
      <c r="L1712" s="18"/>
      <c r="M1712" s="285" t="str">
        <f t="shared" ref="M1712" si="2662">IF(COUNT(L1712:L1713)&lt;1,"",AVERAGE(L1712:L1713))</f>
        <v/>
      </c>
      <c r="N1712" s="22"/>
      <c r="O1712" s="285" t="str">
        <f t="shared" ref="O1712" si="2663">IF(COUNT(N1712:N1713)&lt;1,"",AVERAGE(N1712:N1713))</f>
        <v/>
      </c>
      <c r="P1712" s="22"/>
      <c r="Q1712" s="285" t="str">
        <f t="shared" ref="Q1712" si="2664">IF(COUNT(P1712:P1713)&lt;1,"",AVERAGE(P1712:P1713))</f>
        <v/>
      </c>
      <c r="R1712" s="278" t="str">
        <f>IF($X$13="/28",IF(COUNT(P1712:P1713)&lt;=1,"",ABS(P1712-P1713)),IF($X$13="/90",IF(COUNT(#REF!)&lt;=1,"",ABS(#REF!-#REF!))))</f>
        <v/>
      </c>
      <c r="S1712" s="278" t="str">
        <f>IF($X$13="/28",IF(Q1712="","",IF(AVERAGE(Q1708:Q1713)&gt;=$W$13,ROUND(AVERAGE(Q1708:Q1713),1)&amp;" ≥ "&amp;$W$13&amp;" OK",ROUND(AVERAGE(Q1708:Q1713),1)&amp;" &lt; "&amp;$W$13&amp;" NC")),IF($X$13="/90",IF(#REF!="","",IF(AVERAGE(#REF!)&gt;=$W$13,ROUND(AVERAGE(#REF!),1)&amp;" ≥ "&amp;$W$13&amp;" OK",ROUND(AVERAGE(#REF!),1)&amp;" &lt; "&amp;$W$13&amp;" NC"))))</f>
        <v/>
      </c>
      <c r="T1712" s="278" t="str">
        <f>IF($X$13="/28",IF(Q1712="","",IF(Q1712&gt;=$W$13-$S$12,ROUND((Q1712),1)&amp;" ≥ "&amp;$W$13-$S$12&amp;" OK",ROUND((Q1712),1)&amp;" &lt; "&amp;$W$13-$S$12&amp;" NC")),IF($X$13="/90",IF(#REF!="","",IF(#REF!&gt;=$W$13-$S$12,ROUND((#REF!),1)&amp;" ≥ "&amp;$W$13-$S$12&amp;" OK",ROUND((#REF!),1)&amp;" &lt; "&amp;$W$13-$S$12&amp;" NC"))))</f>
        <v/>
      </c>
      <c r="U1712" s="14"/>
      <c r="V1712" s="279"/>
      <c r="W1712" s="280"/>
      <c r="X1712" s="281"/>
      <c r="Y1712" s="246"/>
      <c r="Z1712" s="246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BP1712" s="390" t="str">
        <f>IF($X$13="/28",IF(Q1712="","",Q1712),IF($X$13="/90",IF(#REF!="","",#REF!),"Falso"))</f>
        <v/>
      </c>
      <c r="BQ1712" s="392" t="str">
        <f t="shared" si="2618"/>
        <v/>
      </c>
    </row>
    <row r="1713" spans="1:69" ht="14.25" customHeight="1" x14ac:dyDescent="0.35">
      <c r="A1713" s="294"/>
      <c r="B1713" s="296"/>
      <c r="C1713" s="298"/>
      <c r="D1713" s="300"/>
      <c r="E1713" s="302"/>
      <c r="F1713" s="304"/>
      <c r="G1713" s="276"/>
      <c r="H1713" s="277"/>
      <c r="I1713" s="290"/>
      <c r="J1713" s="290"/>
      <c r="K1713" s="291"/>
      <c r="L1713" s="17"/>
      <c r="M1713" s="286"/>
      <c r="N1713" s="21"/>
      <c r="O1713" s="286"/>
      <c r="P1713" s="21"/>
      <c r="Q1713" s="286"/>
      <c r="R1713" s="248"/>
      <c r="S1713" s="287"/>
      <c r="T1713" s="248"/>
      <c r="U1713" s="13"/>
      <c r="V1713" s="282"/>
      <c r="W1713" s="283"/>
      <c r="X1713" s="284"/>
      <c r="Y1713" s="245"/>
      <c r="Z1713" s="245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BP1713" s="391"/>
      <c r="BQ1713" s="393"/>
    </row>
    <row r="1714" spans="1:69" ht="14.25" customHeight="1" x14ac:dyDescent="0.35">
      <c r="A1714" s="293">
        <v>849</v>
      </c>
      <c r="B1714" s="295"/>
      <c r="C1714" s="297"/>
      <c r="D1714" s="299"/>
      <c r="E1714" s="301"/>
      <c r="F1714" s="303"/>
      <c r="G1714" s="288"/>
      <c r="H1714" s="289"/>
      <c r="I1714" s="290"/>
      <c r="J1714" s="290"/>
      <c r="K1714" s="291"/>
      <c r="L1714" s="18"/>
      <c r="M1714" s="285" t="str">
        <f t="shared" ref="M1714" si="2665">IF(COUNT(L1714:L1715)&lt;1,"",AVERAGE(L1714:L1715))</f>
        <v/>
      </c>
      <c r="N1714" s="22"/>
      <c r="O1714" s="285" t="str">
        <f t="shared" ref="O1714" si="2666">IF(COUNT(N1714:N1715)&lt;1,"",AVERAGE(N1714:N1715))</f>
        <v/>
      </c>
      <c r="P1714" s="22"/>
      <c r="Q1714" s="285" t="str">
        <f t="shared" ref="Q1714" si="2667">IF(COUNT(P1714:P1715)&lt;1,"",AVERAGE(P1714:P1715))</f>
        <v/>
      </c>
      <c r="R1714" s="278" t="str">
        <f>IF($X$13="/28",IF(COUNT(P1714:P1715)&lt;=1,"",ABS(P1714-P1715)),IF($X$13="/90",IF(COUNT(#REF!)&lt;=1,"",ABS(#REF!-#REF!))))</f>
        <v/>
      </c>
      <c r="S1714" s="278" t="str">
        <f>IF($X$13="/28",IF(Q1714="","",IF(AVERAGE(Q1710:Q1715)&gt;=$W$13,ROUND(AVERAGE(Q1710:Q1715),1)&amp;" ≥ "&amp;$W$13&amp;" OK",ROUND(AVERAGE(Q1710:Q1715),1)&amp;" &lt; "&amp;$W$13&amp;" NC")),IF($X$13="/90",IF(#REF!="","",IF(AVERAGE(#REF!)&gt;=$W$13,ROUND(AVERAGE(#REF!),1)&amp;" ≥ "&amp;$W$13&amp;" OK",ROUND(AVERAGE(#REF!),1)&amp;" &lt; "&amp;$W$13&amp;" NC"))))</f>
        <v/>
      </c>
      <c r="T1714" s="278" t="str">
        <f>IF($X$13="/28",IF(Q1714="","",IF(Q1714&gt;=$W$13-$S$12,ROUND((Q1714),1)&amp;" ≥ "&amp;$W$13-$S$12&amp;" OK",ROUND((Q1714),1)&amp;" &lt; "&amp;$W$13-$S$12&amp;" NC")),IF($X$13="/90",IF(#REF!="","",IF(#REF!&gt;=$W$13-$S$12,ROUND((#REF!),1)&amp;" ≥ "&amp;$W$13-$S$12&amp;" OK",ROUND((#REF!),1)&amp;" &lt; "&amp;$W$13-$S$12&amp;" NC"))))</f>
        <v/>
      </c>
      <c r="U1714" s="14"/>
      <c r="V1714" s="279"/>
      <c r="W1714" s="280"/>
      <c r="X1714" s="281"/>
      <c r="Y1714" s="246"/>
      <c r="Z1714" s="246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BP1714" s="390" t="str">
        <f>IF($X$13="/28",IF(Q1714="","",Q1714),IF($X$13="/90",IF(#REF!="","",#REF!),"Falso"))</f>
        <v/>
      </c>
      <c r="BQ1714" s="392" t="str">
        <f t="shared" si="2622"/>
        <v/>
      </c>
    </row>
    <row r="1715" spans="1:69" ht="14.25" customHeight="1" x14ac:dyDescent="0.35">
      <c r="A1715" s="294"/>
      <c r="B1715" s="296"/>
      <c r="C1715" s="298"/>
      <c r="D1715" s="300"/>
      <c r="E1715" s="302"/>
      <c r="F1715" s="304"/>
      <c r="G1715" s="276"/>
      <c r="H1715" s="277"/>
      <c r="I1715" s="290"/>
      <c r="J1715" s="290"/>
      <c r="K1715" s="291"/>
      <c r="L1715" s="17"/>
      <c r="M1715" s="286"/>
      <c r="N1715" s="21"/>
      <c r="O1715" s="286"/>
      <c r="P1715" s="21"/>
      <c r="Q1715" s="286"/>
      <c r="R1715" s="248"/>
      <c r="S1715" s="287"/>
      <c r="T1715" s="248"/>
      <c r="U1715" s="13"/>
      <c r="V1715" s="282"/>
      <c r="W1715" s="283"/>
      <c r="X1715" s="284"/>
      <c r="Y1715" s="245"/>
      <c r="Z1715" s="245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BP1715" s="391"/>
      <c r="BQ1715" s="393"/>
    </row>
    <row r="1716" spans="1:69" ht="14.25" customHeight="1" x14ac:dyDescent="0.35">
      <c r="A1716" s="293">
        <v>850</v>
      </c>
      <c r="B1716" s="295"/>
      <c r="C1716" s="297"/>
      <c r="D1716" s="299"/>
      <c r="E1716" s="301"/>
      <c r="F1716" s="303"/>
      <c r="G1716" s="288"/>
      <c r="H1716" s="289"/>
      <c r="I1716" s="290"/>
      <c r="J1716" s="290"/>
      <c r="K1716" s="291"/>
      <c r="L1716" s="18"/>
      <c r="M1716" s="285" t="str">
        <f t="shared" ref="M1716" si="2668">IF(COUNT(L1716:L1717)&lt;1,"",AVERAGE(L1716:L1717))</f>
        <v/>
      </c>
      <c r="N1716" s="22"/>
      <c r="O1716" s="285" t="str">
        <f t="shared" ref="O1716" si="2669">IF(COUNT(N1716:N1717)&lt;1,"",AVERAGE(N1716:N1717))</f>
        <v/>
      </c>
      <c r="P1716" s="22"/>
      <c r="Q1716" s="285" t="str">
        <f t="shared" ref="Q1716" si="2670">IF(COUNT(P1716:P1717)&lt;1,"",AVERAGE(P1716:P1717))</f>
        <v/>
      </c>
      <c r="R1716" s="278" t="str">
        <f>IF($X$13="/28",IF(COUNT(P1716:P1717)&lt;=1,"",ABS(P1716-P1717)),IF($X$13="/90",IF(COUNT(#REF!)&lt;=1,"",ABS(#REF!-#REF!))))</f>
        <v/>
      </c>
      <c r="S1716" s="278" t="str">
        <f>IF($X$13="/28",IF(Q1716="","",IF(AVERAGE(Q1712:Q1717)&gt;=$W$13,ROUND(AVERAGE(Q1712:Q1717),1)&amp;" ≥ "&amp;$W$13&amp;" OK",ROUND(AVERAGE(Q1712:Q1717),1)&amp;" &lt; "&amp;$W$13&amp;" NC")),IF($X$13="/90",IF(#REF!="","",IF(AVERAGE(#REF!)&gt;=$W$13,ROUND(AVERAGE(#REF!),1)&amp;" ≥ "&amp;$W$13&amp;" OK",ROUND(AVERAGE(#REF!),1)&amp;" &lt; "&amp;$W$13&amp;" NC"))))</f>
        <v/>
      </c>
      <c r="T1716" s="278" t="str">
        <f>IF($X$13="/28",IF(Q1716="","",IF(Q1716&gt;=$W$13-$S$12,ROUND((Q1716),1)&amp;" ≥ "&amp;$W$13-$S$12&amp;" OK",ROUND((Q1716),1)&amp;" &lt; "&amp;$W$13-$S$12&amp;" NC")),IF($X$13="/90",IF(#REF!="","",IF(#REF!&gt;=$W$13-$S$12,ROUND((#REF!),1)&amp;" ≥ "&amp;$W$13-$S$12&amp;" OK",ROUND((#REF!),1)&amp;" &lt; "&amp;$W$13-$S$12&amp;" NC"))))</f>
        <v/>
      </c>
      <c r="U1716" s="14"/>
      <c r="V1716" s="279"/>
      <c r="W1716" s="280"/>
      <c r="X1716" s="281"/>
      <c r="Y1716" s="246"/>
      <c r="Z1716" s="246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BP1716" s="390" t="str">
        <f>IF($X$13="/28",IF(Q1716="","",Q1716),IF($X$13="/90",IF(#REF!="","",#REF!),"Falso"))</f>
        <v/>
      </c>
      <c r="BQ1716" s="392" t="str">
        <f t="shared" si="2614"/>
        <v/>
      </c>
    </row>
    <row r="1717" spans="1:69" ht="14.25" customHeight="1" x14ac:dyDescent="0.35">
      <c r="A1717" s="294"/>
      <c r="B1717" s="296"/>
      <c r="C1717" s="298"/>
      <c r="D1717" s="300"/>
      <c r="E1717" s="302"/>
      <c r="F1717" s="304"/>
      <c r="G1717" s="276"/>
      <c r="H1717" s="277"/>
      <c r="I1717" s="290"/>
      <c r="J1717" s="290"/>
      <c r="K1717" s="291"/>
      <c r="L1717" s="17"/>
      <c r="M1717" s="286"/>
      <c r="N1717" s="21"/>
      <c r="O1717" s="286"/>
      <c r="P1717" s="21"/>
      <c r="Q1717" s="286"/>
      <c r="R1717" s="248"/>
      <c r="S1717" s="287"/>
      <c r="T1717" s="248"/>
      <c r="U1717" s="13"/>
      <c r="V1717" s="282"/>
      <c r="W1717" s="283"/>
      <c r="X1717" s="284"/>
      <c r="Y1717" s="245"/>
      <c r="Z1717" s="245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BP1717" s="391"/>
      <c r="BQ1717" s="393"/>
    </row>
    <row r="1718" spans="1:69" ht="14.25" customHeight="1" x14ac:dyDescent="0.35">
      <c r="A1718" s="293">
        <v>851</v>
      </c>
      <c r="B1718" s="295"/>
      <c r="C1718" s="297"/>
      <c r="D1718" s="299"/>
      <c r="E1718" s="301"/>
      <c r="F1718" s="303"/>
      <c r="G1718" s="288"/>
      <c r="H1718" s="289"/>
      <c r="I1718" s="290"/>
      <c r="J1718" s="290"/>
      <c r="K1718" s="291"/>
      <c r="L1718" s="18"/>
      <c r="M1718" s="285" t="str">
        <f t="shared" ref="M1718" si="2671">IF(COUNT(L1718:L1719)&lt;1,"",AVERAGE(L1718:L1719))</f>
        <v/>
      </c>
      <c r="N1718" s="22"/>
      <c r="O1718" s="285" t="str">
        <f t="shared" ref="O1718" si="2672">IF(COUNT(N1718:N1719)&lt;1,"",AVERAGE(N1718:N1719))</f>
        <v/>
      </c>
      <c r="P1718" s="22"/>
      <c r="Q1718" s="285" t="str">
        <f t="shared" ref="Q1718" si="2673">IF(COUNT(P1718:P1719)&lt;1,"",AVERAGE(P1718:P1719))</f>
        <v/>
      </c>
      <c r="R1718" s="278" t="str">
        <f>IF($X$13="/28",IF(COUNT(P1718:P1719)&lt;=1,"",ABS(P1718-P1719)),IF($X$13="/90",IF(COUNT(#REF!)&lt;=1,"",ABS(#REF!-#REF!))))</f>
        <v/>
      </c>
      <c r="S1718" s="278" t="str">
        <f>IF($X$13="/28",IF(Q1718="","",IF(AVERAGE(Q1714:Q1719)&gt;=$W$13,ROUND(AVERAGE(Q1714:Q1719),1)&amp;" ≥ "&amp;$W$13&amp;" OK",ROUND(AVERAGE(Q1714:Q1719),1)&amp;" &lt; "&amp;$W$13&amp;" NC")),IF($X$13="/90",IF(#REF!="","",IF(AVERAGE(#REF!)&gt;=$W$13,ROUND(AVERAGE(#REF!),1)&amp;" ≥ "&amp;$W$13&amp;" OK",ROUND(AVERAGE(#REF!),1)&amp;" &lt; "&amp;$W$13&amp;" NC"))))</f>
        <v/>
      </c>
      <c r="T1718" s="278" t="str">
        <f>IF($X$13="/28",IF(Q1718="","",IF(Q1718&gt;=$W$13-$S$12,ROUND((Q1718),1)&amp;" ≥ "&amp;$W$13-$S$12&amp;" OK",ROUND((Q1718),1)&amp;" &lt; "&amp;$W$13-$S$12&amp;" NC")),IF($X$13="/90",IF(#REF!="","",IF(#REF!&gt;=$W$13-$S$12,ROUND((#REF!),1)&amp;" ≥ "&amp;$W$13-$S$12&amp;" OK",ROUND((#REF!),1)&amp;" &lt; "&amp;$W$13-$S$12&amp;" NC"))))</f>
        <v/>
      </c>
      <c r="U1718" s="14"/>
      <c r="V1718" s="279"/>
      <c r="W1718" s="280"/>
      <c r="X1718" s="281"/>
      <c r="Y1718" s="246"/>
      <c r="Z1718" s="246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BP1718" s="390" t="str">
        <f>IF($X$13="/28",IF(Q1718="","",Q1718),IF($X$13="/90",IF(#REF!="","",#REF!),"Falso"))</f>
        <v/>
      </c>
      <c r="BQ1718" s="392" t="str">
        <f t="shared" si="2618"/>
        <v/>
      </c>
    </row>
    <row r="1719" spans="1:69" ht="14.25" customHeight="1" x14ac:dyDescent="0.35">
      <c r="A1719" s="294"/>
      <c r="B1719" s="296"/>
      <c r="C1719" s="298"/>
      <c r="D1719" s="300"/>
      <c r="E1719" s="302"/>
      <c r="F1719" s="304"/>
      <c r="G1719" s="276"/>
      <c r="H1719" s="277"/>
      <c r="I1719" s="290"/>
      <c r="J1719" s="290"/>
      <c r="K1719" s="291"/>
      <c r="L1719" s="17"/>
      <c r="M1719" s="286"/>
      <c r="N1719" s="21"/>
      <c r="O1719" s="286"/>
      <c r="P1719" s="21"/>
      <c r="Q1719" s="286"/>
      <c r="R1719" s="248"/>
      <c r="S1719" s="287"/>
      <c r="T1719" s="248"/>
      <c r="U1719" s="13"/>
      <c r="V1719" s="282"/>
      <c r="W1719" s="283"/>
      <c r="X1719" s="284"/>
      <c r="Y1719" s="245"/>
      <c r="Z1719" s="245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BP1719" s="391"/>
      <c r="BQ1719" s="393"/>
    </row>
    <row r="1720" spans="1:69" ht="14.25" customHeight="1" x14ac:dyDescent="0.35">
      <c r="A1720" s="293">
        <v>852</v>
      </c>
      <c r="B1720" s="295"/>
      <c r="C1720" s="297"/>
      <c r="D1720" s="299"/>
      <c r="E1720" s="301"/>
      <c r="F1720" s="303"/>
      <c r="G1720" s="288"/>
      <c r="H1720" s="289"/>
      <c r="I1720" s="290"/>
      <c r="J1720" s="290"/>
      <c r="K1720" s="291"/>
      <c r="L1720" s="18"/>
      <c r="M1720" s="285" t="str">
        <f t="shared" ref="M1720" si="2674">IF(COUNT(L1720:L1721)&lt;1,"",AVERAGE(L1720:L1721))</f>
        <v/>
      </c>
      <c r="N1720" s="22"/>
      <c r="O1720" s="285" t="str">
        <f t="shared" ref="O1720" si="2675">IF(COUNT(N1720:N1721)&lt;1,"",AVERAGE(N1720:N1721))</f>
        <v/>
      </c>
      <c r="P1720" s="22"/>
      <c r="Q1720" s="285" t="str">
        <f t="shared" ref="Q1720" si="2676">IF(COUNT(P1720:P1721)&lt;1,"",AVERAGE(P1720:P1721))</f>
        <v/>
      </c>
      <c r="R1720" s="278" t="str">
        <f>IF($X$13="/28",IF(COUNT(P1720:P1721)&lt;=1,"",ABS(P1720-P1721)),IF($X$13="/90",IF(COUNT(#REF!)&lt;=1,"",ABS(#REF!-#REF!))))</f>
        <v/>
      </c>
      <c r="S1720" s="278" t="str">
        <f>IF($X$13="/28",IF(Q1720="","",IF(AVERAGE(Q1716:Q1721)&gt;=$W$13,ROUND(AVERAGE(Q1716:Q1721),1)&amp;" ≥ "&amp;$W$13&amp;" OK",ROUND(AVERAGE(Q1716:Q1721),1)&amp;" &lt; "&amp;$W$13&amp;" NC")),IF($X$13="/90",IF(#REF!="","",IF(AVERAGE(#REF!)&gt;=$W$13,ROUND(AVERAGE(#REF!),1)&amp;" ≥ "&amp;$W$13&amp;" OK",ROUND(AVERAGE(#REF!),1)&amp;" &lt; "&amp;$W$13&amp;" NC"))))</f>
        <v/>
      </c>
      <c r="T1720" s="278" t="str">
        <f>IF($X$13="/28",IF(Q1720="","",IF(Q1720&gt;=$W$13-$S$12,ROUND((Q1720),1)&amp;" ≥ "&amp;$W$13-$S$12&amp;" OK",ROUND((Q1720),1)&amp;" &lt; "&amp;$W$13-$S$12&amp;" NC")),IF($X$13="/90",IF(#REF!="","",IF(#REF!&gt;=$W$13-$S$12,ROUND((#REF!),1)&amp;" ≥ "&amp;$W$13-$S$12&amp;" OK",ROUND((#REF!),1)&amp;" &lt; "&amp;$W$13-$S$12&amp;" NC"))))</f>
        <v/>
      </c>
      <c r="U1720" s="14"/>
      <c r="V1720" s="279"/>
      <c r="W1720" s="280"/>
      <c r="X1720" s="281"/>
      <c r="Y1720" s="246"/>
      <c r="Z1720" s="246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BP1720" s="390" t="str">
        <f>IF($X$13="/28",IF(Q1720="","",Q1720),IF($X$13="/90",IF(#REF!="","",#REF!),"Falso"))</f>
        <v/>
      </c>
      <c r="BQ1720" s="392" t="str">
        <f t="shared" si="2622"/>
        <v/>
      </c>
    </row>
    <row r="1721" spans="1:69" ht="14.25" customHeight="1" x14ac:dyDescent="0.35">
      <c r="A1721" s="294"/>
      <c r="B1721" s="296"/>
      <c r="C1721" s="298"/>
      <c r="D1721" s="300"/>
      <c r="E1721" s="302"/>
      <c r="F1721" s="304"/>
      <c r="G1721" s="276"/>
      <c r="H1721" s="277"/>
      <c r="I1721" s="290"/>
      <c r="J1721" s="290"/>
      <c r="K1721" s="291"/>
      <c r="L1721" s="17"/>
      <c r="M1721" s="286"/>
      <c r="N1721" s="21"/>
      <c r="O1721" s="286"/>
      <c r="P1721" s="21"/>
      <c r="Q1721" s="286"/>
      <c r="R1721" s="248"/>
      <c r="S1721" s="287"/>
      <c r="T1721" s="248"/>
      <c r="U1721" s="13"/>
      <c r="V1721" s="282"/>
      <c r="W1721" s="283"/>
      <c r="X1721" s="284"/>
      <c r="Y1721" s="245"/>
      <c r="Z1721" s="245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BP1721" s="391"/>
      <c r="BQ1721" s="393"/>
    </row>
    <row r="1722" spans="1:69" ht="14.25" customHeight="1" x14ac:dyDescent="0.35">
      <c r="A1722" s="293">
        <v>853</v>
      </c>
      <c r="B1722" s="295"/>
      <c r="C1722" s="297"/>
      <c r="D1722" s="299"/>
      <c r="E1722" s="301"/>
      <c r="F1722" s="303"/>
      <c r="G1722" s="288"/>
      <c r="H1722" s="289"/>
      <c r="I1722" s="290"/>
      <c r="J1722" s="290"/>
      <c r="K1722" s="291"/>
      <c r="L1722" s="18"/>
      <c r="M1722" s="285" t="str">
        <f t="shared" ref="M1722" si="2677">IF(COUNT(L1722:L1723)&lt;1,"",AVERAGE(L1722:L1723))</f>
        <v/>
      </c>
      <c r="N1722" s="22"/>
      <c r="O1722" s="285" t="str">
        <f t="shared" ref="O1722" si="2678">IF(COUNT(N1722:N1723)&lt;1,"",AVERAGE(N1722:N1723))</f>
        <v/>
      </c>
      <c r="P1722" s="22"/>
      <c r="Q1722" s="285" t="str">
        <f t="shared" ref="Q1722" si="2679">IF(COUNT(P1722:P1723)&lt;1,"",AVERAGE(P1722:P1723))</f>
        <v/>
      </c>
      <c r="R1722" s="278" t="str">
        <f>IF($X$13="/28",IF(COUNT(P1722:P1723)&lt;=1,"",ABS(P1722-P1723)),IF($X$13="/90",IF(COUNT(#REF!)&lt;=1,"",ABS(#REF!-#REF!))))</f>
        <v/>
      </c>
      <c r="S1722" s="278" t="str">
        <f>IF($X$13="/28",IF(Q1722="","",IF(AVERAGE(Q1718:Q1723)&gt;=$W$13,ROUND(AVERAGE(Q1718:Q1723),1)&amp;" ≥ "&amp;$W$13&amp;" OK",ROUND(AVERAGE(Q1718:Q1723),1)&amp;" &lt; "&amp;$W$13&amp;" NC")),IF($X$13="/90",IF(#REF!="","",IF(AVERAGE(#REF!)&gt;=$W$13,ROUND(AVERAGE(#REF!),1)&amp;" ≥ "&amp;$W$13&amp;" OK",ROUND(AVERAGE(#REF!),1)&amp;" &lt; "&amp;$W$13&amp;" NC"))))</f>
        <v/>
      </c>
      <c r="T1722" s="278" t="str">
        <f>IF($X$13="/28",IF(Q1722="","",IF(Q1722&gt;=$W$13-$S$12,ROUND((Q1722),1)&amp;" ≥ "&amp;$W$13-$S$12&amp;" OK",ROUND((Q1722),1)&amp;" &lt; "&amp;$W$13-$S$12&amp;" NC")),IF($X$13="/90",IF(#REF!="","",IF(#REF!&gt;=$W$13-$S$12,ROUND((#REF!),1)&amp;" ≥ "&amp;$W$13-$S$12&amp;" OK",ROUND((#REF!),1)&amp;" &lt; "&amp;$W$13-$S$12&amp;" NC"))))</f>
        <v/>
      </c>
      <c r="U1722" s="14"/>
      <c r="V1722" s="279"/>
      <c r="W1722" s="280"/>
      <c r="X1722" s="281"/>
      <c r="Y1722" s="246"/>
      <c r="Z1722" s="246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BP1722" s="390" t="str">
        <f>IF($X$13="/28",IF(Q1722="","",Q1722),IF($X$13="/90",IF(#REF!="","",#REF!),"Falso"))</f>
        <v/>
      </c>
      <c r="BQ1722" s="392" t="str">
        <f t="shared" si="2614"/>
        <v/>
      </c>
    </row>
    <row r="1723" spans="1:69" ht="14.25" customHeight="1" x14ac:dyDescent="0.35">
      <c r="A1723" s="294"/>
      <c r="B1723" s="296"/>
      <c r="C1723" s="298"/>
      <c r="D1723" s="300"/>
      <c r="E1723" s="302"/>
      <c r="F1723" s="304"/>
      <c r="G1723" s="276"/>
      <c r="H1723" s="277"/>
      <c r="I1723" s="290"/>
      <c r="J1723" s="290"/>
      <c r="K1723" s="291"/>
      <c r="L1723" s="17"/>
      <c r="M1723" s="286"/>
      <c r="N1723" s="21"/>
      <c r="O1723" s="286"/>
      <c r="P1723" s="21"/>
      <c r="Q1723" s="286"/>
      <c r="R1723" s="248"/>
      <c r="S1723" s="287"/>
      <c r="T1723" s="248"/>
      <c r="U1723" s="13"/>
      <c r="V1723" s="282"/>
      <c r="W1723" s="283"/>
      <c r="X1723" s="284"/>
      <c r="Y1723" s="245"/>
      <c r="Z1723" s="245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BP1723" s="391"/>
      <c r="BQ1723" s="393"/>
    </row>
    <row r="1724" spans="1:69" ht="14.25" customHeight="1" x14ac:dyDescent="0.35">
      <c r="A1724" s="293">
        <v>854</v>
      </c>
      <c r="B1724" s="295"/>
      <c r="C1724" s="297"/>
      <c r="D1724" s="299"/>
      <c r="E1724" s="301"/>
      <c r="F1724" s="303"/>
      <c r="G1724" s="288"/>
      <c r="H1724" s="289"/>
      <c r="I1724" s="290"/>
      <c r="J1724" s="290"/>
      <c r="K1724" s="291"/>
      <c r="L1724" s="18"/>
      <c r="M1724" s="285" t="str">
        <f t="shared" ref="M1724" si="2680">IF(COUNT(L1724:L1725)&lt;1,"",AVERAGE(L1724:L1725))</f>
        <v/>
      </c>
      <c r="N1724" s="22"/>
      <c r="O1724" s="285" t="str">
        <f t="shared" ref="O1724" si="2681">IF(COUNT(N1724:N1725)&lt;1,"",AVERAGE(N1724:N1725))</f>
        <v/>
      </c>
      <c r="P1724" s="22"/>
      <c r="Q1724" s="285" t="str">
        <f t="shared" ref="Q1724" si="2682">IF(COUNT(P1724:P1725)&lt;1,"",AVERAGE(P1724:P1725))</f>
        <v/>
      </c>
      <c r="R1724" s="278" t="str">
        <f>IF($X$13="/28",IF(COUNT(P1724:P1725)&lt;=1,"",ABS(P1724-P1725)),IF($X$13="/90",IF(COUNT(#REF!)&lt;=1,"",ABS(#REF!-#REF!))))</f>
        <v/>
      </c>
      <c r="S1724" s="278" t="str">
        <f>IF($X$13="/28",IF(Q1724="","",IF(AVERAGE(Q1720:Q1725)&gt;=$W$13,ROUND(AVERAGE(Q1720:Q1725),1)&amp;" ≥ "&amp;$W$13&amp;" OK",ROUND(AVERAGE(Q1720:Q1725),1)&amp;" &lt; "&amp;$W$13&amp;" NC")),IF($X$13="/90",IF(#REF!="","",IF(AVERAGE(#REF!)&gt;=$W$13,ROUND(AVERAGE(#REF!),1)&amp;" ≥ "&amp;$W$13&amp;" OK",ROUND(AVERAGE(#REF!),1)&amp;" &lt; "&amp;$W$13&amp;" NC"))))</f>
        <v/>
      </c>
      <c r="T1724" s="278" t="str">
        <f>IF($X$13="/28",IF(Q1724="","",IF(Q1724&gt;=$W$13-$S$12,ROUND((Q1724),1)&amp;" ≥ "&amp;$W$13-$S$12&amp;" OK",ROUND((Q1724),1)&amp;" &lt; "&amp;$W$13-$S$12&amp;" NC")),IF($X$13="/90",IF(#REF!="","",IF(#REF!&gt;=$W$13-$S$12,ROUND((#REF!),1)&amp;" ≥ "&amp;$W$13-$S$12&amp;" OK",ROUND((#REF!),1)&amp;" &lt; "&amp;$W$13-$S$12&amp;" NC"))))</f>
        <v/>
      </c>
      <c r="U1724" s="14"/>
      <c r="V1724" s="279"/>
      <c r="W1724" s="280"/>
      <c r="X1724" s="281"/>
      <c r="Y1724" s="246"/>
      <c r="Z1724" s="246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BP1724" s="390" t="str">
        <f>IF($X$13="/28",IF(Q1724="","",Q1724),IF($X$13="/90",IF(#REF!="","",#REF!),"Falso"))</f>
        <v/>
      </c>
      <c r="BQ1724" s="392" t="str">
        <f t="shared" si="2618"/>
        <v/>
      </c>
    </row>
    <row r="1725" spans="1:69" ht="14.25" customHeight="1" x14ac:dyDescent="0.35">
      <c r="A1725" s="294"/>
      <c r="B1725" s="296"/>
      <c r="C1725" s="298"/>
      <c r="D1725" s="300"/>
      <c r="E1725" s="302"/>
      <c r="F1725" s="304"/>
      <c r="G1725" s="276"/>
      <c r="H1725" s="277"/>
      <c r="I1725" s="290"/>
      <c r="J1725" s="290"/>
      <c r="K1725" s="291"/>
      <c r="L1725" s="17"/>
      <c r="M1725" s="286"/>
      <c r="N1725" s="21"/>
      <c r="O1725" s="286"/>
      <c r="P1725" s="21"/>
      <c r="Q1725" s="286"/>
      <c r="R1725" s="248"/>
      <c r="S1725" s="287"/>
      <c r="T1725" s="248"/>
      <c r="U1725" s="13"/>
      <c r="V1725" s="282"/>
      <c r="W1725" s="283"/>
      <c r="X1725" s="284"/>
      <c r="Y1725" s="245"/>
      <c r="Z1725" s="245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BP1725" s="391"/>
      <c r="BQ1725" s="393"/>
    </row>
    <row r="1726" spans="1:69" ht="14.25" customHeight="1" x14ac:dyDescent="0.35">
      <c r="A1726" s="293">
        <v>855</v>
      </c>
      <c r="B1726" s="295"/>
      <c r="C1726" s="297"/>
      <c r="D1726" s="299"/>
      <c r="E1726" s="301"/>
      <c r="F1726" s="303"/>
      <c r="G1726" s="288"/>
      <c r="H1726" s="289"/>
      <c r="I1726" s="290"/>
      <c r="J1726" s="290"/>
      <c r="K1726" s="291"/>
      <c r="L1726" s="18"/>
      <c r="M1726" s="285" t="str">
        <f t="shared" ref="M1726" si="2683">IF(COUNT(L1726:L1727)&lt;1,"",AVERAGE(L1726:L1727))</f>
        <v/>
      </c>
      <c r="N1726" s="22"/>
      <c r="O1726" s="285" t="str">
        <f t="shared" ref="O1726" si="2684">IF(COUNT(N1726:N1727)&lt;1,"",AVERAGE(N1726:N1727))</f>
        <v/>
      </c>
      <c r="P1726" s="22"/>
      <c r="Q1726" s="285" t="str">
        <f t="shared" ref="Q1726" si="2685">IF(COUNT(P1726:P1727)&lt;1,"",AVERAGE(P1726:P1727))</f>
        <v/>
      </c>
      <c r="R1726" s="278" t="str">
        <f>IF($X$13="/28",IF(COUNT(P1726:P1727)&lt;=1,"",ABS(P1726-P1727)),IF($X$13="/90",IF(COUNT(#REF!)&lt;=1,"",ABS(#REF!-#REF!))))</f>
        <v/>
      </c>
      <c r="S1726" s="278" t="str">
        <f>IF($X$13="/28",IF(Q1726="","",IF(AVERAGE(Q1722:Q1727)&gt;=$W$13,ROUND(AVERAGE(Q1722:Q1727),1)&amp;" ≥ "&amp;$W$13&amp;" OK",ROUND(AVERAGE(Q1722:Q1727),1)&amp;" &lt; "&amp;$W$13&amp;" NC")),IF($X$13="/90",IF(#REF!="","",IF(AVERAGE(#REF!)&gt;=$W$13,ROUND(AVERAGE(#REF!),1)&amp;" ≥ "&amp;$W$13&amp;" OK",ROUND(AVERAGE(#REF!),1)&amp;" &lt; "&amp;$W$13&amp;" NC"))))</f>
        <v/>
      </c>
      <c r="T1726" s="278" t="str">
        <f>IF($X$13="/28",IF(Q1726="","",IF(Q1726&gt;=$W$13-$S$12,ROUND((Q1726),1)&amp;" ≥ "&amp;$W$13-$S$12&amp;" OK",ROUND((Q1726),1)&amp;" &lt; "&amp;$W$13-$S$12&amp;" NC")),IF($X$13="/90",IF(#REF!="","",IF(#REF!&gt;=$W$13-$S$12,ROUND((#REF!),1)&amp;" ≥ "&amp;$W$13-$S$12&amp;" OK",ROUND((#REF!),1)&amp;" &lt; "&amp;$W$13-$S$12&amp;" NC"))))</f>
        <v/>
      </c>
      <c r="U1726" s="14"/>
      <c r="V1726" s="279"/>
      <c r="W1726" s="280"/>
      <c r="X1726" s="281"/>
      <c r="Y1726" s="246"/>
      <c r="Z1726" s="246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BP1726" s="390" t="str">
        <f>IF($X$13="/28",IF(Q1726="","",Q1726),IF($X$13="/90",IF(#REF!="","",#REF!),"Falso"))</f>
        <v/>
      </c>
      <c r="BQ1726" s="392" t="str">
        <f t="shared" si="2622"/>
        <v/>
      </c>
    </row>
    <row r="1727" spans="1:69" ht="14.25" customHeight="1" x14ac:dyDescent="0.35">
      <c r="A1727" s="294"/>
      <c r="B1727" s="296"/>
      <c r="C1727" s="298"/>
      <c r="D1727" s="300"/>
      <c r="E1727" s="302"/>
      <c r="F1727" s="304"/>
      <c r="G1727" s="276"/>
      <c r="H1727" s="277"/>
      <c r="I1727" s="290"/>
      <c r="J1727" s="290"/>
      <c r="K1727" s="291"/>
      <c r="L1727" s="17"/>
      <c r="M1727" s="286"/>
      <c r="N1727" s="21"/>
      <c r="O1727" s="286"/>
      <c r="P1727" s="21"/>
      <c r="Q1727" s="286"/>
      <c r="R1727" s="248"/>
      <c r="S1727" s="287"/>
      <c r="T1727" s="248"/>
      <c r="U1727" s="13"/>
      <c r="V1727" s="282"/>
      <c r="W1727" s="283"/>
      <c r="X1727" s="284"/>
      <c r="Y1727" s="245"/>
      <c r="Z1727" s="245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BP1727" s="391"/>
      <c r="BQ1727" s="393"/>
    </row>
    <row r="1728" spans="1:69" ht="14.25" customHeight="1" x14ac:dyDescent="0.35">
      <c r="A1728" s="293">
        <v>856</v>
      </c>
      <c r="B1728" s="295"/>
      <c r="C1728" s="297"/>
      <c r="D1728" s="299"/>
      <c r="E1728" s="301"/>
      <c r="F1728" s="303"/>
      <c r="G1728" s="288"/>
      <c r="H1728" s="289"/>
      <c r="I1728" s="290"/>
      <c r="J1728" s="290"/>
      <c r="K1728" s="291"/>
      <c r="L1728" s="18"/>
      <c r="M1728" s="285" t="str">
        <f t="shared" ref="M1728" si="2686">IF(COUNT(L1728:L1729)&lt;1,"",AVERAGE(L1728:L1729))</f>
        <v/>
      </c>
      <c r="N1728" s="22"/>
      <c r="O1728" s="285" t="str">
        <f t="shared" ref="O1728" si="2687">IF(COUNT(N1728:N1729)&lt;1,"",AVERAGE(N1728:N1729))</f>
        <v/>
      </c>
      <c r="P1728" s="22"/>
      <c r="Q1728" s="285" t="str">
        <f t="shared" ref="Q1728" si="2688">IF(COUNT(P1728:P1729)&lt;1,"",AVERAGE(P1728:P1729))</f>
        <v/>
      </c>
      <c r="R1728" s="278" t="str">
        <f>IF($X$13="/28",IF(COUNT(P1728:P1729)&lt;=1,"",ABS(P1728-P1729)),IF($X$13="/90",IF(COUNT(#REF!)&lt;=1,"",ABS(#REF!-#REF!))))</f>
        <v/>
      </c>
      <c r="S1728" s="278" t="str">
        <f>IF($X$13="/28",IF(Q1728="","",IF(AVERAGE(Q1724:Q1729)&gt;=$W$13,ROUND(AVERAGE(Q1724:Q1729),1)&amp;" ≥ "&amp;$W$13&amp;" OK",ROUND(AVERAGE(Q1724:Q1729),1)&amp;" &lt; "&amp;$W$13&amp;" NC")),IF($X$13="/90",IF(#REF!="","",IF(AVERAGE(#REF!)&gt;=$W$13,ROUND(AVERAGE(#REF!),1)&amp;" ≥ "&amp;$W$13&amp;" OK",ROUND(AVERAGE(#REF!),1)&amp;" &lt; "&amp;$W$13&amp;" NC"))))</f>
        <v/>
      </c>
      <c r="T1728" s="278" t="str">
        <f>IF($X$13="/28",IF(Q1728="","",IF(Q1728&gt;=$W$13-$S$12,ROUND((Q1728),1)&amp;" ≥ "&amp;$W$13-$S$12&amp;" OK",ROUND((Q1728),1)&amp;" &lt; "&amp;$W$13-$S$12&amp;" NC")),IF($X$13="/90",IF(#REF!="","",IF(#REF!&gt;=$W$13-$S$12,ROUND((#REF!),1)&amp;" ≥ "&amp;$W$13-$S$12&amp;" OK",ROUND((#REF!),1)&amp;" &lt; "&amp;$W$13-$S$12&amp;" NC"))))</f>
        <v/>
      </c>
      <c r="U1728" s="14"/>
      <c r="V1728" s="279"/>
      <c r="W1728" s="280"/>
      <c r="X1728" s="281"/>
      <c r="Y1728" s="246"/>
      <c r="Z1728" s="246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BP1728" s="390" t="str">
        <f>IF($X$13="/28",IF(Q1728="","",Q1728),IF($X$13="/90",IF(#REF!="","",#REF!),"Falso"))</f>
        <v/>
      </c>
      <c r="BQ1728" s="392" t="str">
        <f t="shared" si="2614"/>
        <v/>
      </c>
    </row>
    <row r="1729" spans="1:69" ht="14.25" customHeight="1" x14ac:dyDescent="0.35">
      <c r="A1729" s="294"/>
      <c r="B1729" s="296"/>
      <c r="C1729" s="298"/>
      <c r="D1729" s="300"/>
      <c r="E1729" s="302"/>
      <c r="F1729" s="304"/>
      <c r="G1729" s="276"/>
      <c r="H1729" s="277"/>
      <c r="I1729" s="290"/>
      <c r="J1729" s="290"/>
      <c r="K1729" s="291"/>
      <c r="L1729" s="17"/>
      <c r="M1729" s="286"/>
      <c r="N1729" s="21"/>
      <c r="O1729" s="286"/>
      <c r="P1729" s="21"/>
      <c r="Q1729" s="286"/>
      <c r="R1729" s="248"/>
      <c r="S1729" s="287"/>
      <c r="T1729" s="248"/>
      <c r="U1729" s="13"/>
      <c r="V1729" s="282"/>
      <c r="W1729" s="283"/>
      <c r="X1729" s="284"/>
      <c r="Y1729" s="245"/>
      <c r="Z1729" s="245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BP1729" s="391"/>
      <c r="BQ1729" s="393"/>
    </row>
    <row r="1730" spans="1:69" ht="14.25" customHeight="1" x14ac:dyDescent="0.35">
      <c r="A1730" s="293">
        <v>857</v>
      </c>
      <c r="B1730" s="295"/>
      <c r="C1730" s="297"/>
      <c r="D1730" s="299"/>
      <c r="E1730" s="301"/>
      <c r="F1730" s="303"/>
      <c r="G1730" s="288"/>
      <c r="H1730" s="289"/>
      <c r="I1730" s="290"/>
      <c r="J1730" s="290"/>
      <c r="K1730" s="291"/>
      <c r="L1730" s="18"/>
      <c r="M1730" s="285" t="str">
        <f t="shared" ref="M1730" si="2689">IF(COUNT(L1730:L1731)&lt;1,"",AVERAGE(L1730:L1731))</f>
        <v/>
      </c>
      <c r="N1730" s="22"/>
      <c r="O1730" s="285" t="str">
        <f t="shared" ref="O1730" si="2690">IF(COUNT(N1730:N1731)&lt;1,"",AVERAGE(N1730:N1731))</f>
        <v/>
      </c>
      <c r="P1730" s="22"/>
      <c r="Q1730" s="285" t="str">
        <f t="shared" ref="Q1730" si="2691">IF(COUNT(P1730:P1731)&lt;1,"",AVERAGE(P1730:P1731))</f>
        <v/>
      </c>
      <c r="R1730" s="278" t="str">
        <f>IF($X$13="/28",IF(COUNT(P1730:P1731)&lt;=1,"",ABS(P1730-P1731)),IF($X$13="/90",IF(COUNT(#REF!)&lt;=1,"",ABS(#REF!-#REF!))))</f>
        <v/>
      </c>
      <c r="S1730" s="278" t="str">
        <f>IF($X$13="/28",IF(Q1730="","",IF(AVERAGE(Q1726:Q1731)&gt;=$W$13,ROUND(AVERAGE(Q1726:Q1731),1)&amp;" ≥ "&amp;$W$13&amp;" OK",ROUND(AVERAGE(Q1726:Q1731),1)&amp;" &lt; "&amp;$W$13&amp;" NC")),IF($X$13="/90",IF(#REF!="","",IF(AVERAGE(#REF!)&gt;=$W$13,ROUND(AVERAGE(#REF!),1)&amp;" ≥ "&amp;$W$13&amp;" OK",ROUND(AVERAGE(#REF!),1)&amp;" &lt; "&amp;$W$13&amp;" NC"))))</f>
        <v/>
      </c>
      <c r="T1730" s="278" t="str">
        <f>IF($X$13="/28",IF(Q1730="","",IF(Q1730&gt;=$W$13-$S$12,ROUND((Q1730),1)&amp;" ≥ "&amp;$W$13-$S$12&amp;" OK",ROUND((Q1730),1)&amp;" &lt; "&amp;$W$13-$S$12&amp;" NC")),IF($X$13="/90",IF(#REF!="","",IF(#REF!&gt;=$W$13-$S$12,ROUND((#REF!),1)&amp;" ≥ "&amp;$W$13-$S$12&amp;" OK",ROUND((#REF!),1)&amp;" &lt; "&amp;$W$13-$S$12&amp;" NC"))))</f>
        <v/>
      </c>
      <c r="U1730" s="14"/>
      <c r="V1730" s="279"/>
      <c r="W1730" s="280"/>
      <c r="X1730" s="281"/>
      <c r="Y1730" s="246"/>
      <c r="Z1730" s="246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BP1730" s="390" t="str">
        <f>IF($X$13="/28",IF(Q1730="","",Q1730),IF($X$13="/90",IF(#REF!="","",#REF!),"Falso"))</f>
        <v/>
      </c>
      <c r="BQ1730" s="392" t="str">
        <f t="shared" si="2618"/>
        <v/>
      </c>
    </row>
    <row r="1731" spans="1:69" ht="14.25" customHeight="1" x14ac:dyDescent="0.35">
      <c r="A1731" s="294"/>
      <c r="B1731" s="296"/>
      <c r="C1731" s="298"/>
      <c r="D1731" s="300"/>
      <c r="E1731" s="302"/>
      <c r="F1731" s="304"/>
      <c r="G1731" s="276"/>
      <c r="H1731" s="277"/>
      <c r="I1731" s="290"/>
      <c r="J1731" s="290"/>
      <c r="K1731" s="291"/>
      <c r="L1731" s="17"/>
      <c r="M1731" s="286"/>
      <c r="N1731" s="21"/>
      <c r="O1731" s="286"/>
      <c r="P1731" s="21"/>
      <c r="Q1731" s="286"/>
      <c r="R1731" s="248"/>
      <c r="S1731" s="287"/>
      <c r="T1731" s="248"/>
      <c r="U1731" s="13"/>
      <c r="V1731" s="282"/>
      <c r="W1731" s="283"/>
      <c r="X1731" s="284"/>
      <c r="Y1731" s="245"/>
      <c r="Z1731" s="245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BP1731" s="391"/>
      <c r="BQ1731" s="393"/>
    </row>
    <row r="1732" spans="1:69" ht="14.25" customHeight="1" x14ac:dyDescent="0.35">
      <c r="A1732" s="293">
        <v>858</v>
      </c>
      <c r="B1732" s="295"/>
      <c r="C1732" s="297"/>
      <c r="D1732" s="299"/>
      <c r="E1732" s="301"/>
      <c r="F1732" s="303"/>
      <c r="G1732" s="288"/>
      <c r="H1732" s="289"/>
      <c r="I1732" s="290"/>
      <c r="J1732" s="290"/>
      <c r="K1732" s="291"/>
      <c r="L1732" s="18"/>
      <c r="M1732" s="285" t="str">
        <f t="shared" ref="M1732" si="2692">IF(COUNT(L1732:L1733)&lt;1,"",AVERAGE(L1732:L1733))</f>
        <v/>
      </c>
      <c r="N1732" s="22"/>
      <c r="O1732" s="285" t="str">
        <f t="shared" ref="O1732" si="2693">IF(COUNT(N1732:N1733)&lt;1,"",AVERAGE(N1732:N1733))</f>
        <v/>
      </c>
      <c r="P1732" s="22"/>
      <c r="Q1732" s="285" t="str">
        <f t="shared" ref="Q1732" si="2694">IF(COUNT(P1732:P1733)&lt;1,"",AVERAGE(P1732:P1733))</f>
        <v/>
      </c>
      <c r="R1732" s="278" t="str">
        <f>IF($X$13="/28",IF(COUNT(P1732:P1733)&lt;=1,"",ABS(P1732-P1733)),IF($X$13="/90",IF(COUNT(#REF!)&lt;=1,"",ABS(#REF!-#REF!))))</f>
        <v/>
      </c>
      <c r="S1732" s="278" t="str">
        <f>IF($X$13="/28",IF(Q1732="","",IF(AVERAGE(Q1728:Q1733)&gt;=$W$13,ROUND(AVERAGE(Q1728:Q1733),1)&amp;" ≥ "&amp;$W$13&amp;" OK",ROUND(AVERAGE(Q1728:Q1733),1)&amp;" &lt; "&amp;$W$13&amp;" NC")),IF($X$13="/90",IF(#REF!="","",IF(AVERAGE(#REF!)&gt;=$W$13,ROUND(AVERAGE(#REF!),1)&amp;" ≥ "&amp;$W$13&amp;" OK",ROUND(AVERAGE(#REF!),1)&amp;" &lt; "&amp;$W$13&amp;" NC"))))</f>
        <v/>
      </c>
      <c r="T1732" s="278" t="str">
        <f>IF($X$13="/28",IF(Q1732="","",IF(Q1732&gt;=$W$13-$S$12,ROUND((Q1732),1)&amp;" ≥ "&amp;$W$13-$S$12&amp;" OK",ROUND((Q1732),1)&amp;" &lt; "&amp;$W$13-$S$12&amp;" NC")),IF($X$13="/90",IF(#REF!="","",IF(#REF!&gt;=$W$13-$S$12,ROUND((#REF!),1)&amp;" ≥ "&amp;$W$13-$S$12&amp;" OK",ROUND((#REF!),1)&amp;" &lt; "&amp;$W$13-$S$12&amp;" NC"))))</f>
        <v/>
      </c>
      <c r="U1732" s="14"/>
      <c r="V1732" s="279"/>
      <c r="W1732" s="280"/>
      <c r="X1732" s="281"/>
      <c r="Y1732" s="246"/>
      <c r="Z1732" s="246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BP1732" s="390" t="str">
        <f>IF($X$13="/28",IF(Q1732="","",Q1732),IF($X$13="/90",IF(#REF!="","",#REF!),"Falso"))</f>
        <v/>
      </c>
      <c r="BQ1732" s="392" t="str">
        <f t="shared" si="2622"/>
        <v/>
      </c>
    </row>
    <row r="1733" spans="1:69" ht="14.25" customHeight="1" x14ac:dyDescent="0.35">
      <c r="A1733" s="294"/>
      <c r="B1733" s="296"/>
      <c r="C1733" s="298"/>
      <c r="D1733" s="300"/>
      <c r="E1733" s="302"/>
      <c r="F1733" s="304"/>
      <c r="G1733" s="276"/>
      <c r="H1733" s="277"/>
      <c r="I1733" s="290"/>
      <c r="J1733" s="290"/>
      <c r="K1733" s="291"/>
      <c r="L1733" s="17"/>
      <c r="M1733" s="286"/>
      <c r="N1733" s="21"/>
      <c r="O1733" s="286"/>
      <c r="P1733" s="21"/>
      <c r="Q1733" s="286"/>
      <c r="R1733" s="248"/>
      <c r="S1733" s="287"/>
      <c r="T1733" s="248"/>
      <c r="U1733" s="13"/>
      <c r="V1733" s="282"/>
      <c r="W1733" s="283"/>
      <c r="X1733" s="284"/>
      <c r="Y1733" s="245"/>
      <c r="Z1733" s="245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BP1733" s="391"/>
      <c r="BQ1733" s="393"/>
    </row>
    <row r="1734" spans="1:69" ht="14.25" customHeight="1" x14ac:dyDescent="0.35">
      <c r="A1734" s="293">
        <v>859</v>
      </c>
      <c r="B1734" s="295"/>
      <c r="C1734" s="297"/>
      <c r="D1734" s="299"/>
      <c r="E1734" s="301"/>
      <c r="F1734" s="303"/>
      <c r="G1734" s="288"/>
      <c r="H1734" s="289"/>
      <c r="I1734" s="290"/>
      <c r="J1734" s="290"/>
      <c r="K1734" s="291"/>
      <c r="L1734" s="18"/>
      <c r="M1734" s="285" t="str">
        <f t="shared" ref="M1734" si="2695">IF(COUNT(L1734:L1735)&lt;1,"",AVERAGE(L1734:L1735))</f>
        <v/>
      </c>
      <c r="N1734" s="22"/>
      <c r="O1734" s="285" t="str">
        <f t="shared" ref="O1734" si="2696">IF(COUNT(N1734:N1735)&lt;1,"",AVERAGE(N1734:N1735))</f>
        <v/>
      </c>
      <c r="P1734" s="22"/>
      <c r="Q1734" s="285" t="str">
        <f t="shared" ref="Q1734" si="2697">IF(COUNT(P1734:P1735)&lt;1,"",AVERAGE(P1734:P1735))</f>
        <v/>
      </c>
      <c r="R1734" s="278" t="str">
        <f>IF($X$13="/28",IF(COUNT(P1734:P1735)&lt;=1,"",ABS(P1734-P1735)),IF($X$13="/90",IF(COUNT(#REF!)&lt;=1,"",ABS(#REF!-#REF!))))</f>
        <v/>
      </c>
      <c r="S1734" s="278" t="str">
        <f>IF($X$13="/28",IF(Q1734="","",IF(AVERAGE(Q1730:Q1735)&gt;=$W$13,ROUND(AVERAGE(Q1730:Q1735),1)&amp;" ≥ "&amp;$W$13&amp;" OK",ROUND(AVERAGE(Q1730:Q1735),1)&amp;" &lt; "&amp;$W$13&amp;" NC")),IF($X$13="/90",IF(#REF!="","",IF(AVERAGE(#REF!)&gt;=$W$13,ROUND(AVERAGE(#REF!),1)&amp;" ≥ "&amp;$W$13&amp;" OK",ROUND(AVERAGE(#REF!),1)&amp;" &lt; "&amp;$W$13&amp;" NC"))))</f>
        <v/>
      </c>
      <c r="T1734" s="278" t="str">
        <f>IF($X$13="/28",IF(Q1734="","",IF(Q1734&gt;=$W$13-$S$12,ROUND((Q1734),1)&amp;" ≥ "&amp;$W$13-$S$12&amp;" OK",ROUND((Q1734),1)&amp;" &lt; "&amp;$W$13-$S$12&amp;" NC")),IF($X$13="/90",IF(#REF!="","",IF(#REF!&gt;=$W$13-$S$12,ROUND((#REF!),1)&amp;" ≥ "&amp;$W$13-$S$12&amp;" OK",ROUND((#REF!),1)&amp;" &lt; "&amp;$W$13-$S$12&amp;" NC"))))</f>
        <v/>
      </c>
      <c r="U1734" s="14"/>
      <c r="V1734" s="279"/>
      <c r="W1734" s="280"/>
      <c r="X1734" s="281"/>
      <c r="Y1734" s="246"/>
      <c r="Z1734" s="246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BP1734" s="390" t="str">
        <f>IF($X$13="/28",IF(Q1734="","",Q1734),IF($X$13="/90",IF(#REF!="","",#REF!),"Falso"))</f>
        <v/>
      </c>
      <c r="BQ1734" s="392" t="str">
        <f t="shared" si="2614"/>
        <v/>
      </c>
    </row>
    <row r="1735" spans="1:69" ht="14.25" customHeight="1" x14ac:dyDescent="0.35">
      <c r="A1735" s="294"/>
      <c r="B1735" s="296"/>
      <c r="C1735" s="298"/>
      <c r="D1735" s="300"/>
      <c r="E1735" s="302"/>
      <c r="F1735" s="304"/>
      <c r="G1735" s="276"/>
      <c r="H1735" s="277"/>
      <c r="I1735" s="290"/>
      <c r="J1735" s="290"/>
      <c r="K1735" s="291"/>
      <c r="L1735" s="17"/>
      <c r="M1735" s="286"/>
      <c r="N1735" s="21"/>
      <c r="O1735" s="286"/>
      <c r="P1735" s="21"/>
      <c r="Q1735" s="286"/>
      <c r="R1735" s="248"/>
      <c r="S1735" s="287"/>
      <c r="T1735" s="248"/>
      <c r="U1735" s="13"/>
      <c r="V1735" s="282"/>
      <c r="W1735" s="283"/>
      <c r="X1735" s="284"/>
      <c r="Y1735" s="245"/>
      <c r="Z1735" s="245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BP1735" s="391"/>
      <c r="BQ1735" s="393"/>
    </row>
    <row r="1736" spans="1:69" ht="14.25" customHeight="1" x14ac:dyDescent="0.35">
      <c r="A1736" s="293">
        <v>860</v>
      </c>
      <c r="B1736" s="295"/>
      <c r="C1736" s="297"/>
      <c r="D1736" s="299"/>
      <c r="E1736" s="301"/>
      <c r="F1736" s="303"/>
      <c r="G1736" s="288"/>
      <c r="H1736" s="289"/>
      <c r="I1736" s="290"/>
      <c r="J1736" s="290"/>
      <c r="K1736" s="291"/>
      <c r="L1736" s="18"/>
      <c r="M1736" s="285" t="str">
        <f t="shared" ref="M1736" si="2698">IF(COUNT(L1736:L1737)&lt;1,"",AVERAGE(L1736:L1737))</f>
        <v/>
      </c>
      <c r="N1736" s="22"/>
      <c r="O1736" s="285" t="str">
        <f t="shared" ref="O1736" si="2699">IF(COUNT(N1736:N1737)&lt;1,"",AVERAGE(N1736:N1737))</f>
        <v/>
      </c>
      <c r="P1736" s="22"/>
      <c r="Q1736" s="285" t="str">
        <f t="shared" ref="Q1736" si="2700">IF(COUNT(P1736:P1737)&lt;1,"",AVERAGE(P1736:P1737))</f>
        <v/>
      </c>
      <c r="R1736" s="278" t="str">
        <f>IF($X$13="/28",IF(COUNT(P1736:P1737)&lt;=1,"",ABS(P1736-P1737)),IF($X$13="/90",IF(COUNT(#REF!)&lt;=1,"",ABS(#REF!-#REF!))))</f>
        <v/>
      </c>
      <c r="S1736" s="278" t="str">
        <f>IF($X$13="/28",IF(Q1736="","",IF(AVERAGE(Q1732:Q1737)&gt;=$W$13,ROUND(AVERAGE(Q1732:Q1737),1)&amp;" ≥ "&amp;$W$13&amp;" OK",ROUND(AVERAGE(Q1732:Q1737),1)&amp;" &lt; "&amp;$W$13&amp;" NC")),IF($X$13="/90",IF(#REF!="","",IF(AVERAGE(#REF!)&gt;=$W$13,ROUND(AVERAGE(#REF!),1)&amp;" ≥ "&amp;$W$13&amp;" OK",ROUND(AVERAGE(#REF!),1)&amp;" &lt; "&amp;$W$13&amp;" NC"))))</f>
        <v/>
      </c>
      <c r="T1736" s="278" t="str">
        <f>IF($X$13="/28",IF(Q1736="","",IF(Q1736&gt;=$W$13-$S$12,ROUND((Q1736),1)&amp;" ≥ "&amp;$W$13-$S$12&amp;" OK",ROUND((Q1736),1)&amp;" &lt; "&amp;$W$13-$S$12&amp;" NC")),IF($X$13="/90",IF(#REF!="","",IF(#REF!&gt;=$W$13-$S$12,ROUND((#REF!),1)&amp;" ≥ "&amp;$W$13-$S$12&amp;" OK",ROUND((#REF!),1)&amp;" &lt; "&amp;$W$13-$S$12&amp;" NC"))))</f>
        <v/>
      </c>
      <c r="U1736" s="14"/>
      <c r="V1736" s="279"/>
      <c r="W1736" s="280"/>
      <c r="X1736" s="281"/>
      <c r="Y1736" s="246"/>
      <c r="Z1736" s="246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BP1736" s="390" t="str">
        <f>IF($X$13="/28",IF(Q1736="","",Q1736),IF($X$13="/90",IF(#REF!="","",#REF!),"Falso"))</f>
        <v/>
      </c>
      <c r="BQ1736" s="392" t="str">
        <f t="shared" si="2618"/>
        <v/>
      </c>
    </row>
    <row r="1737" spans="1:69" ht="14.25" customHeight="1" x14ac:dyDescent="0.35">
      <c r="A1737" s="294"/>
      <c r="B1737" s="296"/>
      <c r="C1737" s="298"/>
      <c r="D1737" s="300"/>
      <c r="E1737" s="302"/>
      <c r="F1737" s="304"/>
      <c r="G1737" s="276"/>
      <c r="H1737" s="277"/>
      <c r="I1737" s="290"/>
      <c r="J1737" s="290"/>
      <c r="K1737" s="291"/>
      <c r="L1737" s="17"/>
      <c r="M1737" s="286"/>
      <c r="N1737" s="21"/>
      <c r="O1737" s="286"/>
      <c r="P1737" s="21"/>
      <c r="Q1737" s="286"/>
      <c r="R1737" s="248"/>
      <c r="S1737" s="287"/>
      <c r="T1737" s="248"/>
      <c r="U1737" s="13"/>
      <c r="V1737" s="282"/>
      <c r="W1737" s="283"/>
      <c r="X1737" s="284"/>
      <c r="Y1737" s="245"/>
      <c r="Z1737" s="245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BP1737" s="391"/>
      <c r="BQ1737" s="393"/>
    </row>
    <row r="1738" spans="1:69" ht="14.25" customHeight="1" x14ac:dyDescent="0.35">
      <c r="A1738" s="293">
        <v>861</v>
      </c>
      <c r="B1738" s="295"/>
      <c r="C1738" s="297"/>
      <c r="D1738" s="299"/>
      <c r="E1738" s="301"/>
      <c r="F1738" s="303"/>
      <c r="G1738" s="288"/>
      <c r="H1738" s="289"/>
      <c r="I1738" s="290"/>
      <c r="J1738" s="290"/>
      <c r="K1738" s="291"/>
      <c r="L1738" s="18"/>
      <c r="M1738" s="285" t="str">
        <f t="shared" ref="M1738" si="2701">IF(COUNT(L1738:L1739)&lt;1,"",AVERAGE(L1738:L1739))</f>
        <v/>
      </c>
      <c r="N1738" s="22"/>
      <c r="O1738" s="285" t="str">
        <f t="shared" ref="O1738" si="2702">IF(COUNT(N1738:N1739)&lt;1,"",AVERAGE(N1738:N1739))</f>
        <v/>
      </c>
      <c r="P1738" s="22"/>
      <c r="Q1738" s="285" t="str">
        <f t="shared" ref="Q1738" si="2703">IF(COUNT(P1738:P1739)&lt;1,"",AVERAGE(P1738:P1739))</f>
        <v/>
      </c>
      <c r="R1738" s="278" t="str">
        <f>IF($X$13="/28",IF(COUNT(P1738:P1739)&lt;=1,"",ABS(P1738-P1739)),IF($X$13="/90",IF(COUNT(#REF!)&lt;=1,"",ABS(#REF!-#REF!))))</f>
        <v/>
      </c>
      <c r="S1738" s="278" t="str">
        <f>IF($X$13="/28",IF(Q1738="","",IF(AVERAGE(Q1734:Q1739)&gt;=$W$13,ROUND(AVERAGE(Q1734:Q1739),1)&amp;" ≥ "&amp;$W$13&amp;" OK",ROUND(AVERAGE(Q1734:Q1739),1)&amp;" &lt; "&amp;$W$13&amp;" NC")),IF($X$13="/90",IF(#REF!="","",IF(AVERAGE(#REF!)&gt;=$W$13,ROUND(AVERAGE(#REF!),1)&amp;" ≥ "&amp;$W$13&amp;" OK",ROUND(AVERAGE(#REF!),1)&amp;" &lt; "&amp;$W$13&amp;" NC"))))</f>
        <v/>
      </c>
      <c r="T1738" s="278" t="str">
        <f>IF($X$13="/28",IF(Q1738="","",IF(Q1738&gt;=$W$13-$S$12,ROUND((Q1738),1)&amp;" ≥ "&amp;$W$13-$S$12&amp;" OK",ROUND((Q1738),1)&amp;" &lt; "&amp;$W$13-$S$12&amp;" NC")),IF($X$13="/90",IF(#REF!="","",IF(#REF!&gt;=$W$13-$S$12,ROUND((#REF!),1)&amp;" ≥ "&amp;$W$13-$S$12&amp;" OK",ROUND((#REF!),1)&amp;" &lt; "&amp;$W$13-$S$12&amp;" NC"))))</f>
        <v/>
      </c>
      <c r="U1738" s="14"/>
      <c r="V1738" s="279"/>
      <c r="W1738" s="280"/>
      <c r="X1738" s="281"/>
      <c r="Y1738" s="246"/>
      <c r="Z1738" s="246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BP1738" s="390" t="str">
        <f>IF($X$13="/28",IF(Q1738="","",Q1738),IF($X$13="/90",IF(#REF!="","",#REF!),"Falso"))</f>
        <v/>
      </c>
      <c r="BQ1738" s="392" t="str">
        <f t="shared" si="2622"/>
        <v/>
      </c>
    </row>
    <row r="1739" spans="1:69" ht="14.25" customHeight="1" x14ac:dyDescent="0.35">
      <c r="A1739" s="294"/>
      <c r="B1739" s="296"/>
      <c r="C1739" s="298"/>
      <c r="D1739" s="300"/>
      <c r="E1739" s="302"/>
      <c r="F1739" s="304"/>
      <c r="G1739" s="276"/>
      <c r="H1739" s="277"/>
      <c r="I1739" s="290"/>
      <c r="J1739" s="290"/>
      <c r="K1739" s="291"/>
      <c r="L1739" s="17"/>
      <c r="M1739" s="286"/>
      <c r="N1739" s="21"/>
      <c r="O1739" s="286"/>
      <c r="P1739" s="21"/>
      <c r="Q1739" s="286"/>
      <c r="R1739" s="248"/>
      <c r="S1739" s="287"/>
      <c r="T1739" s="248"/>
      <c r="U1739" s="13"/>
      <c r="V1739" s="282"/>
      <c r="W1739" s="283"/>
      <c r="X1739" s="284"/>
      <c r="Y1739" s="245"/>
      <c r="Z1739" s="245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BP1739" s="391"/>
      <c r="BQ1739" s="393"/>
    </row>
    <row r="1740" spans="1:69" ht="14.25" customHeight="1" x14ac:dyDescent="0.35">
      <c r="A1740" s="293">
        <v>862</v>
      </c>
      <c r="B1740" s="295"/>
      <c r="C1740" s="297"/>
      <c r="D1740" s="299"/>
      <c r="E1740" s="301"/>
      <c r="F1740" s="303"/>
      <c r="G1740" s="288"/>
      <c r="H1740" s="289"/>
      <c r="I1740" s="290"/>
      <c r="J1740" s="290"/>
      <c r="K1740" s="291"/>
      <c r="L1740" s="18"/>
      <c r="M1740" s="285" t="str">
        <f t="shared" ref="M1740" si="2704">IF(COUNT(L1740:L1741)&lt;1,"",AVERAGE(L1740:L1741))</f>
        <v/>
      </c>
      <c r="N1740" s="22"/>
      <c r="O1740" s="285" t="str">
        <f t="shared" ref="O1740" si="2705">IF(COUNT(N1740:N1741)&lt;1,"",AVERAGE(N1740:N1741))</f>
        <v/>
      </c>
      <c r="P1740" s="22"/>
      <c r="Q1740" s="285" t="str">
        <f t="shared" ref="Q1740" si="2706">IF(COUNT(P1740:P1741)&lt;1,"",AVERAGE(P1740:P1741))</f>
        <v/>
      </c>
      <c r="R1740" s="278" t="str">
        <f>IF($X$13="/28",IF(COUNT(P1740:P1741)&lt;=1,"",ABS(P1740-P1741)),IF($X$13="/90",IF(COUNT(#REF!)&lt;=1,"",ABS(#REF!-#REF!))))</f>
        <v/>
      </c>
      <c r="S1740" s="278" t="str">
        <f>IF($X$13="/28",IF(Q1740="","",IF(AVERAGE(Q1736:Q1741)&gt;=$W$13,ROUND(AVERAGE(Q1736:Q1741),1)&amp;" ≥ "&amp;$W$13&amp;" OK",ROUND(AVERAGE(Q1736:Q1741),1)&amp;" &lt; "&amp;$W$13&amp;" NC")),IF($X$13="/90",IF(#REF!="","",IF(AVERAGE(#REF!)&gt;=$W$13,ROUND(AVERAGE(#REF!),1)&amp;" ≥ "&amp;$W$13&amp;" OK",ROUND(AVERAGE(#REF!),1)&amp;" &lt; "&amp;$W$13&amp;" NC"))))</f>
        <v/>
      </c>
      <c r="T1740" s="278" t="str">
        <f>IF($X$13="/28",IF(Q1740="","",IF(Q1740&gt;=$W$13-$S$12,ROUND((Q1740),1)&amp;" ≥ "&amp;$W$13-$S$12&amp;" OK",ROUND((Q1740),1)&amp;" &lt; "&amp;$W$13-$S$12&amp;" NC")),IF($X$13="/90",IF(#REF!="","",IF(#REF!&gt;=$W$13-$S$12,ROUND((#REF!),1)&amp;" ≥ "&amp;$W$13-$S$12&amp;" OK",ROUND((#REF!),1)&amp;" &lt; "&amp;$W$13-$S$12&amp;" NC"))))</f>
        <v/>
      </c>
      <c r="U1740" s="14"/>
      <c r="V1740" s="279"/>
      <c r="W1740" s="280"/>
      <c r="X1740" s="281"/>
      <c r="Y1740" s="246"/>
      <c r="Z1740" s="246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BP1740" s="390" t="str">
        <f>IF($X$13="/28",IF(Q1740="","",Q1740),IF($X$13="/90",IF(#REF!="","",#REF!),"Falso"))</f>
        <v/>
      </c>
      <c r="BQ1740" s="392" t="str">
        <f t="shared" si="2614"/>
        <v/>
      </c>
    </row>
    <row r="1741" spans="1:69" ht="14.25" customHeight="1" x14ac:dyDescent="0.35">
      <c r="A1741" s="294"/>
      <c r="B1741" s="296"/>
      <c r="C1741" s="298"/>
      <c r="D1741" s="300"/>
      <c r="E1741" s="302"/>
      <c r="F1741" s="304"/>
      <c r="G1741" s="276"/>
      <c r="H1741" s="277"/>
      <c r="I1741" s="290"/>
      <c r="J1741" s="290"/>
      <c r="K1741" s="291"/>
      <c r="L1741" s="17"/>
      <c r="M1741" s="286"/>
      <c r="N1741" s="21"/>
      <c r="O1741" s="286"/>
      <c r="P1741" s="21"/>
      <c r="Q1741" s="286"/>
      <c r="R1741" s="248"/>
      <c r="S1741" s="287"/>
      <c r="T1741" s="248"/>
      <c r="U1741" s="13"/>
      <c r="V1741" s="282"/>
      <c r="W1741" s="283"/>
      <c r="X1741" s="284"/>
      <c r="Y1741" s="245"/>
      <c r="Z1741" s="245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BP1741" s="391"/>
      <c r="BQ1741" s="393"/>
    </row>
    <row r="1742" spans="1:69" ht="14.25" customHeight="1" x14ac:dyDescent="0.35">
      <c r="A1742" s="293">
        <v>863</v>
      </c>
      <c r="B1742" s="295"/>
      <c r="C1742" s="297"/>
      <c r="D1742" s="299"/>
      <c r="E1742" s="301"/>
      <c r="F1742" s="303"/>
      <c r="G1742" s="288"/>
      <c r="H1742" s="289"/>
      <c r="I1742" s="290"/>
      <c r="J1742" s="290"/>
      <c r="K1742" s="291"/>
      <c r="L1742" s="18"/>
      <c r="M1742" s="285" t="str">
        <f t="shared" ref="M1742" si="2707">IF(COUNT(L1742:L1743)&lt;1,"",AVERAGE(L1742:L1743))</f>
        <v/>
      </c>
      <c r="N1742" s="22"/>
      <c r="O1742" s="285" t="str">
        <f t="shared" ref="O1742" si="2708">IF(COUNT(N1742:N1743)&lt;1,"",AVERAGE(N1742:N1743))</f>
        <v/>
      </c>
      <c r="P1742" s="22"/>
      <c r="Q1742" s="285" t="str">
        <f t="shared" ref="Q1742" si="2709">IF(COUNT(P1742:P1743)&lt;1,"",AVERAGE(P1742:P1743))</f>
        <v/>
      </c>
      <c r="R1742" s="278" t="str">
        <f>IF($X$13="/28",IF(COUNT(P1742:P1743)&lt;=1,"",ABS(P1742-P1743)),IF($X$13="/90",IF(COUNT(#REF!)&lt;=1,"",ABS(#REF!-#REF!))))</f>
        <v/>
      </c>
      <c r="S1742" s="278" t="str">
        <f>IF($X$13="/28",IF(Q1742="","",IF(AVERAGE(Q1738:Q1743)&gt;=$W$13,ROUND(AVERAGE(Q1738:Q1743),1)&amp;" ≥ "&amp;$W$13&amp;" OK",ROUND(AVERAGE(Q1738:Q1743),1)&amp;" &lt; "&amp;$W$13&amp;" NC")),IF($X$13="/90",IF(#REF!="","",IF(AVERAGE(#REF!)&gt;=$W$13,ROUND(AVERAGE(#REF!),1)&amp;" ≥ "&amp;$W$13&amp;" OK",ROUND(AVERAGE(#REF!),1)&amp;" &lt; "&amp;$W$13&amp;" NC"))))</f>
        <v/>
      </c>
      <c r="T1742" s="278" t="str">
        <f>IF($X$13="/28",IF(Q1742="","",IF(Q1742&gt;=$W$13-$S$12,ROUND((Q1742),1)&amp;" ≥ "&amp;$W$13-$S$12&amp;" OK",ROUND((Q1742),1)&amp;" &lt; "&amp;$W$13-$S$12&amp;" NC")),IF($X$13="/90",IF(#REF!="","",IF(#REF!&gt;=$W$13-$S$12,ROUND((#REF!),1)&amp;" ≥ "&amp;$W$13-$S$12&amp;" OK",ROUND((#REF!),1)&amp;" &lt; "&amp;$W$13-$S$12&amp;" NC"))))</f>
        <v/>
      </c>
      <c r="U1742" s="14"/>
      <c r="V1742" s="279"/>
      <c r="W1742" s="280"/>
      <c r="X1742" s="281"/>
      <c r="Y1742" s="246"/>
      <c r="Z1742" s="246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BP1742" s="390" t="str">
        <f>IF($X$13="/28",IF(Q1742="","",Q1742),IF($X$13="/90",IF(#REF!="","",#REF!),"Falso"))</f>
        <v/>
      </c>
      <c r="BQ1742" s="392" t="str">
        <f t="shared" si="2618"/>
        <v/>
      </c>
    </row>
    <row r="1743" spans="1:69" ht="14.25" customHeight="1" x14ac:dyDescent="0.35">
      <c r="A1743" s="294"/>
      <c r="B1743" s="296"/>
      <c r="C1743" s="298"/>
      <c r="D1743" s="300"/>
      <c r="E1743" s="302"/>
      <c r="F1743" s="304"/>
      <c r="G1743" s="276"/>
      <c r="H1743" s="277"/>
      <c r="I1743" s="290"/>
      <c r="J1743" s="290"/>
      <c r="K1743" s="291"/>
      <c r="L1743" s="17"/>
      <c r="M1743" s="286"/>
      <c r="N1743" s="21"/>
      <c r="O1743" s="286"/>
      <c r="P1743" s="21"/>
      <c r="Q1743" s="286"/>
      <c r="R1743" s="248"/>
      <c r="S1743" s="287"/>
      <c r="T1743" s="248"/>
      <c r="U1743" s="13"/>
      <c r="V1743" s="282"/>
      <c r="W1743" s="283"/>
      <c r="X1743" s="284"/>
      <c r="Y1743" s="245"/>
      <c r="Z1743" s="245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BP1743" s="391"/>
      <c r="BQ1743" s="393"/>
    </row>
    <row r="1744" spans="1:69" ht="14.25" customHeight="1" x14ac:dyDescent="0.35">
      <c r="A1744" s="293">
        <v>864</v>
      </c>
      <c r="B1744" s="295"/>
      <c r="C1744" s="297"/>
      <c r="D1744" s="299"/>
      <c r="E1744" s="301"/>
      <c r="F1744" s="303"/>
      <c r="G1744" s="288"/>
      <c r="H1744" s="289"/>
      <c r="I1744" s="290"/>
      <c r="J1744" s="290"/>
      <c r="K1744" s="291"/>
      <c r="L1744" s="18"/>
      <c r="M1744" s="285" t="str">
        <f t="shared" ref="M1744" si="2710">IF(COUNT(L1744:L1745)&lt;1,"",AVERAGE(L1744:L1745))</f>
        <v/>
      </c>
      <c r="N1744" s="22"/>
      <c r="O1744" s="285" t="str">
        <f t="shared" ref="O1744" si="2711">IF(COUNT(N1744:N1745)&lt;1,"",AVERAGE(N1744:N1745))</f>
        <v/>
      </c>
      <c r="P1744" s="22"/>
      <c r="Q1744" s="285" t="str">
        <f t="shared" ref="Q1744" si="2712">IF(COUNT(P1744:P1745)&lt;1,"",AVERAGE(P1744:P1745))</f>
        <v/>
      </c>
      <c r="R1744" s="278" t="str">
        <f>IF($X$13="/28",IF(COUNT(P1744:P1745)&lt;=1,"",ABS(P1744-P1745)),IF($X$13="/90",IF(COUNT(#REF!)&lt;=1,"",ABS(#REF!-#REF!))))</f>
        <v/>
      </c>
      <c r="S1744" s="278" t="str">
        <f>IF($X$13="/28",IF(Q1744="","",IF(AVERAGE(Q1740:Q1745)&gt;=$W$13,ROUND(AVERAGE(Q1740:Q1745),1)&amp;" ≥ "&amp;$W$13&amp;" OK",ROUND(AVERAGE(Q1740:Q1745),1)&amp;" &lt; "&amp;$W$13&amp;" NC")),IF($X$13="/90",IF(#REF!="","",IF(AVERAGE(#REF!)&gt;=$W$13,ROUND(AVERAGE(#REF!),1)&amp;" ≥ "&amp;$W$13&amp;" OK",ROUND(AVERAGE(#REF!),1)&amp;" &lt; "&amp;$W$13&amp;" NC"))))</f>
        <v/>
      </c>
      <c r="T1744" s="278" t="str">
        <f>IF($X$13="/28",IF(Q1744="","",IF(Q1744&gt;=$W$13-$S$12,ROUND((Q1744),1)&amp;" ≥ "&amp;$W$13-$S$12&amp;" OK",ROUND((Q1744),1)&amp;" &lt; "&amp;$W$13-$S$12&amp;" NC")),IF($X$13="/90",IF(#REF!="","",IF(#REF!&gt;=$W$13-$S$12,ROUND((#REF!),1)&amp;" ≥ "&amp;$W$13-$S$12&amp;" OK",ROUND((#REF!),1)&amp;" &lt; "&amp;$W$13-$S$12&amp;" NC"))))</f>
        <v/>
      </c>
      <c r="U1744" s="14"/>
      <c r="V1744" s="279"/>
      <c r="W1744" s="280"/>
      <c r="X1744" s="281"/>
      <c r="Y1744" s="246"/>
      <c r="Z1744" s="246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BP1744" s="390" t="str">
        <f>IF($X$13="/28",IF(Q1744="","",Q1744),IF($X$13="/90",IF(#REF!="","",#REF!),"Falso"))</f>
        <v/>
      </c>
      <c r="BQ1744" s="392" t="str">
        <f t="shared" si="2622"/>
        <v/>
      </c>
    </row>
    <row r="1745" spans="1:69" ht="14.25" customHeight="1" x14ac:dyDescent="0.35">
      <c r="A1745" s="294"/>
      <c r="B1745" s="296"/>
      <c r="C1745" s="298"/>
      <c r="D1745" s="300"/>
      <c r="E1745" s="302"/>
      <c r="F1745" s="304"/>
      <c r="G1745" s="276"/>
      <c r="H1745" s="277"/>
      <c r="I1745" s="290"/>
      <c r="J1745" s="290"/>
      <c r="K1745" s="291"/>
      <c r="L1745" s="17"/>
      <c r="M1745" s="286"/>
      <c r="N1745" s="21"/>
      <c r="O1745" s="286"/>
      <c r="P1745" s="21"/>
      <c r="Q1745" s="286"/>
      <c r="R1745" s="248"/>
      <c r="S1745" s="287"/>
      <c r="T1745" s="248"/>
      <c r="U1745" s="13"/>
      <c r="V1745" s="282"/>
      <c r="W1745" s="283"/>
      <c r="X1745" s="284"/>
      <c r="Y1745" s="245"/>
      <c r="Z1745" s="245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BP1745" s="391"/>
      <c r="BQ1745" s="393"/>
    </row>
    <row r="1746" spans="1:69" ht="14.25" customHeight="1" x14ac:dyDescent="0.35">
      <c r="A1746" s="293">
        <v>865</v>
      </c>
      <c r="B1746" s="295"/>
      <c r="C1746" s="297"/>
      <c r="D1746" s="299"/>
      <c r="E1746" s="301"/>
      <c r="F1746" s="303"/>
      <c r="G1746" s="288"/>
      <c r="H1746" s="289"/>
      <c r="I1746" s="290"/>
      <c r="J1746" s="290"/>
      <c r="K1746" s="291"/>
      <c r="L1746" s="18"/>
      <c r="M1746" s="285" t="str">
        <f t="shared" ref="M1746" si="2713">IF(COUNT(L1746:L1747)&lt;1,"",AVERAGE(L1746:L1747))</f>
        <v/>
      </c>
      <c r="N1746" s="22"/>
      <c r="O1746" s="285" t="str">
        <f t="shared" ref="O1746" si="2714">IF(COUNT(N1746:N1747)&lt;1,"",AVERAGE(N1746:N1747))</f>
        <v/>
      </c>
      <c r="P1746" s="22"/>
      <c r="Q1746" s="285" t="str">
        <f t="shared" ref="Q1746" si="2715">IF(COUNT(P1746:P1747)&lt;1,"",AVERAGE(P1746:P1747))</f>
        <v/>
      </c>
      <c r="R1746" s="278" t="str">
        <f>IF($X$13="/28",IF(COUNT(P1746:P1747)&lt;=1,"",ABS(P1746-P1747)),IF($X$13="/90",IF(COUNT(#REF!)&lt;=1,"",ABS(#REF!-#REF!))))</f>
        <v/>
      </c>
      <c r="S1746" s="278" t="str">
        <f>IF($X$13="/28",IF(Q1746="","",IF(AVERAGE(Q1742:Q1747)&gt;=$W$13,ROUND(AVERAGE(Q1742:Q1747),1)&amp;" ≥ "&amp;$W$13&amp;" OK",ROUND(AVERAGE(Q1742:Q1747),1)&amp;" &lt; "&amp;$W$13&amp;" NC")),IF($X$13="/90",IF(#REF!="","",IF(AVERAGE(#REF!)&gt;=$W$13,ROUND(AVERAGE(#REF!),1)&amp;" ≥ "&amp;$W$13&amp;" OK",ROUND(AVERAGE(#REF!),1)&amp;" &lt; "&amp;$W$13&amp;" NC"))))</f>
        <v/>
      </c>
      <c r="T1746" s="278" t="str">
        <f>IF($X$13="/28",IF(Q1746="","",IF(Q1746&gt;=$W$13-$S$12,ROUND((Q1746),1)&amp;" ≥ "&amp;$W$13-$S$12&amp;" OK",ROUND((Q1746),1)&amp;" &lt; "&amp;$W$13-$S$12&amp;" NC")),IF($X$13="/90",IF(#REF!="","",IF(#REF!&gt;=$W$13-$S$12,ROUND((#REF!),1)&amp;" ≥ "&amp;$W$13-$S$12&amp;" OK",ROUND((#REF!),1)&amp;" &lt; "&amp;$W$13-$S$12&amp;" NC"))))</f>
        <v/>
      </c>
      <c r="U1746" s="14"/>
      <c r="V1746" s="279"/>
      <c r="W1746" s="280"/>
      <c r="X1746" s="281"/>
      <c r="Y1746" s="246"/>
      <c r="Z1746" s="246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BP1746" s="390" t="str">
        <f>IF($X$13="/28",IF(Q1746="","",Q1746),IF($X$13="/90",IF(#REF!="","",#REF!),"Falso"))</f>
        <v/>
      </c>
      <c r="BQ1746" s="392" t="str">
        <f t="shared" ref="BQ1746:BQ1806" si="2716">IF(BP1746="","",BQ1744+1)</f>
        <v/>
      </c>
    </row>
    <row r="1747" spans="1:69" ht="14.25" customHeight="1" x14ac:dyDescent="0.35">
      <c r="A1747" s="294"/>
      <c r="B1747" s="296"/>
      <c r="C1747" s="298"/>
      <c r="D1747" s="300"/>
      <c r="E1747" s="302"/>
      <c r="F1747" s="304"/>
      <c r="G1747" s="276"/>
      <c r="H1747" s="277"/>
      <c r="I1747" s="290"/>
      <c r="J1747" s="290"/>
      <c r="K1747" s="291"/>
      <c r="L1747" s="17"/>
      <c r="M1747" s="286"/>
      <c r="N1747" s="21"/>
      <c r="O1747" s="286"/>
      <c r="P1747" s="21"/>
      <c r="Q1747" s="286"/>
      <c r="R1747" s="248"/>
      <c r="S1747" s="287"/>
      <c r="T1747" s="248"/>
      <c r="U1747" s="13"/>
      <c r="V1747" s="282"/>
      <c r="W1747" s="283"/>
      <c r="X1747" s="284"/>
      <c r="Y1747" s="245"/>
      <c r="Z1747" s="245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BP1747" s="391"/>
      <c r="BQ1747" s="393"/>
    </row>
    <row r="1748" spans="1:69" ht="14.25" customHeight="1" x14ac:dyDescent="0.35">
      <c r="A1748" s="293">
        <v>866</v>
      </c>
      <c r="B1748" s="295"/>
      <c r="C1748" s="297"/>
      <c r="D1748" s="299"/>
      <c r="E1748" s="301"/>
      <c r="F1748" s="303"/>
      <c r="G1748" s="288"/>
      <c r="H1748" s="289"/>
      <c r="I1748" s="290"/>
      <c r="J1748" s="290"/>
      <c r="K1748" s="291"/>
      <c r="L1748" s="18"/>
      <c r="M1748" s="285" t="str">
        <f t="shared" ref="M1748" si="2717">IF(COUNT(L1748:L1749)&lt;1,"",AVERAGE(L1748:L1749))</f>
        <v/>
      </c>
      <c r="N1748" s="22"/>
      <c r="O1748" s="285" t="str">
        <f t="shared" ref="O1748" si="2718">IF(COUNT(N1748:N1749)&lt;1,"",AVERAGE(N1748:N1749))</f>
        <v/>
      </c>
      <c r="P1748" s="22"/>
      <c r="Q1748" s="285" t="str">
        <f t="shared" ref="Q1748" si="2719">IF(COUNT(P1748:P1749)&lt;1,"",AVERAGE(P1748:P1749))</f>
        <v/>
      </c>
      <c r="R1748" s="278" t="str">
        <f>IF($X$13="/28",IF(COUNT(P1748:P1749)&lt;=1,"",ABS(P1748-P1749)),IF($X$13="/90",IF(COUNT(#REF!)&lt;=1,"",ABS(#REF!-#REF!))))</f>
        <v/>
      </c>
      <c r="S1748" s="278" t="str">
        <f>IF($X$13="/28",IF(Q1748="","",IF(AVERAGE(Q1744:Q1749)&gt;=$W$13,ROUND(AVERAGE(Q1744:Q1749),1)&amp;" ≥ "&amp;$W$13&amp;" OK",ROUND(AVERAGE(Q1744:Q1749),1)&amp;" &lt; "&amp;$W$13&amp;" NC")),IF($X$13="/90",IF(#REF!="","",IF(AVERAGE(#REF!)&gt;=$W$13,ROUND(AVERAGE(#REF!),1)&amp;" ≥ "&amp;$W$13&amp;" OK",ROUND(AVERAGE(#REF!),1)&amp;" &lt; "&amp;$W$13&amp;" NC"))))</f>
        <v/>
      </c>
      <c r="T1748" s="278" t="str">
        <f>IF($X$13="/28",IF(Q1748="","",IF(Q1748&gt;=$W$13-$S$12,ROUND((Q1748),1)&amp;" ≥ "&amp;$W$13-$S$12&amp;" OK",ROUND((Q1748),1)&amp;" &lt; "&amp;$W$13-$S$12&amp;" NC")),IF($X$13="/90",IF(#REF!="","",IF(#REF!&gt;=$W$13-$S$12,ROUND((#REF!),1)&amp;" ≥ "&amp;$W$13-$S$12&amp;" OK",ROUND((#REF!),1)&amp;" &lt; "&amp;$W$13-$S$12&amp;" NC"))))</f>
        <v/>
      </c>
      <c r="U1748" s="14"/>
      <c r="V1748" s="279"/>
      <c r="W1748" s="280"/>
      <c r="X1748" s="281"/>
      <c r="Y1748" s="246"/>
      <c r="Z1748" s="246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BP1748" s="390" t="str">
        <f>IF($X$13="/28",IF(Q1748="","",Q1748),IF($X$13="/90",IF(#REF!="","",#REF!),"Falso"))</f>
        <v/>
      </c>
      <c r="BQ1748" s="392" t="str">
        <f t="shared" ref="BQ1748:BQ1808" si="2720">IF(BP1748="","",BQ1746+1)</f>
        <v/>
      </c>
    </row>
    <row r="1749" spans="1:69" ht="14.25" customHeight="1" x14ac:dyDescent="0.35">
      <c r="A1749" s="294"/>
      <c r="B1749" s="296"/>
      <c r="C1749" s="298"/>
      <c r="D1749" s="300"/>
      <c r="E1749" s="302"/>
      <c r="F1749" s="304"/>
      <c r="G1749" s="276"/>
      <c r="H1749" s="277"/>
      <c r="I1749" s="290"/>
      <c r="J1749" s="290"/>
      <c r="K1749" s="291"/>
      <c r="L1749" s="17"/>
      <c r="M1749" s="286"/>
      <c r="N1749" s="21"/>
      <c r="O1749" s="286"/>
      <c r="P1749" s="21"/>
      <c r="Q1749" s="286"/>
      <c r="R1749" s="248"/>
      <c r="S1749" s="287"/>
      <c r="T1749" s="248"/>
      <c r="U1749" s="13"/>
      <c r="V1749" s="282"/>
      <c r="W1749" s="283"/>
      <c r="X1749" s="284"/>
      <c r="Y1749" s="245"/>
      <c r="Z1749" s="245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BP1749" s="391"/>
      <c r="BQ1749" s="393"/>
    </row>
    <row r="1750" spans="1:69" ht="14.25" customHeight="1" x14ac:dyDescent="0.35">
      <c r="A1750" s="293">
        <v>867</v>
      </c>
      <c r="B1750" s="295"/>
      <c r="C1750" s="297"/>
      <c r="D1750" s="299"/>
      <c r="E1750" s="301"/>
      <c r="F1750" s="303"/>
      <c r="G1750" s="288"/>
      <c r="H1750" s="289"/>
      <c r="I1750" s="290"/>
      <c r="J1750" s="290"/>
      <c r="K1750" s="291"/>
      <c r="L1750" s="18"/>
      <c r="M1750" s="285" t="str">
        <f t="shared" ref="M1750" si="2721">IF(COUNT(L1750:L1751)&lt;1,"",AVERAGE(L1750:L1751))</f>
        <v/>
      </c>
      <c r="N1750" s="22"/>
      <c r="O1750" s="285" t="str">
        <f t="shared" ref="O1750" si="2722">IF(COUNT(N1750:N1751)&lt;1,"",AVERAGE(N1750:N1751))</f>
        <v/>
      </c>
      <c r="P1750" s="22"/>
      <c r="Q1750" s="285" t="str">
        <f t="shared" ref="Q1750" si="2723">IF(COUNT(P1750:P1751)&lt;1,"",AVERAGE(P1750:P1751))</f>
        <v/>
      </c>
      <c r="R1750" s="278" t="str">
        <f>IF($X$13="/28",IF(COUNT(P1750:P1751)&lt;=1,"",ABS(P1750-P1751)),IF($X$13="/90",IF(COUNT(#REF!)&lt;=1,"",ABS(#REF!-#REF!))))</f>
        <v/>
      </c>
      <c r="S1750" s="278" t="str">
        <f>IF($X$13="/28",IF(Q1750="","",IF(AVERAGE(Q1746:Q1751)&gt;=$W$13,ROUND(AVERAGE(Q1746:Q1751),1)&amp;" ≥ "&amp;$W$13&amp;" OK",ROUND(AVERAGE(Q1746:Q1751),1)&amp;" &lt; "&amp;$W$13&amp;" NC")),IF($X$13="/90",IF(#REF!="","",IF(AVERAGE(#REF!)&gt;=$W$13,ROUND(AVERAGE(#REF!),1)&amp;" ≥ "&amp;$W$13&amp;" OK",ROUND(AVERAGE(#REF!),1)&amp;" &lt; "&amp;$W$13&amp;" NC"))))</f>
        <v/>
      </c>
      <c r="T1750" s="278" t="str">
        <f>IF($X$13="/28",IF(Q1750="","",IF(Q1750&gt;=$W$13-$S$12,ROUND((Q1750),1)&amp;" ≥ "&amp;$W$13-$S$12&amp;" OK",ROUND((Q1750),1)&amp;" &lt; "&amp;$W$13-$S$12&amp;" NC")),IF($X$13="/90",IF(#REF!="","",IF(#REF!&gt;=$W$13-$S$12,ROUND((#REF!),1)&amp;" ≥ "&amp;$W$13-$S$12&amp;" OK",ROUND((#REF!),1)&amp;" &lt; "&amp;$W$13-$S$12&amp;" NC"))))</f>
        <v/>
      </c>
      <c r="U1750" s="14"/>
      <c r="V1750" s="279"/>
      <c r="W1750" s="280"/>
      <c r="X1750" s="281"/>
      <c r="Y1750" s="246"/>
      <c r="Z1750" s="246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BP1750" s="390" t="str">
        <f>IF($X$13="/28",IF(Q1750="","",Q1750),IF($X$13="/90",IF(#REF!="","",#REF!),"Falso"))</f>
        <v/>
      </c>
      <c r="BQ1750" s="392" t="str">
        <f t="shared" ref="BQ1750:BQ1810" si="2724">IF(BP1750="","",BQ1748+1)</f>
        <v/>
      </c>
    </row>
    <row r="1751" spans="1:69" ht="14.25" customHeight="1" x14ac:dyDescent="0.35">
      <c r="A1751" s="294"/>
      <c r="B1751" s="296"/>
      <c r="C1751" s="298"/>
      <c r="D1751" s="300"/>
      <c r="E1751" s="302"/>
      <c r="F1751" s="304"/>
      <c r="G1751" s="276"/>
      <c r="H1751" s="277"/>
      <c r="I1751" s="290"/>
      <c r="J1751" s="290"/>
      <c r="K1751" s="291"/>
      <c r="L1751" s="17"/>
      <c r="M1751" s="286"/>
      <c r="N1751" s="21"/>
      <c r="O1751" s="286"/>
      <c r="P1751" s="21"/>
      <c r="Q1751" s="286"/>
      <c r="R1751" s="248"/>
      <c r="S1751" s="287"/>
      <c r="T1751" s="248"/>
      <c r="U1751" s="13"/>
      <c r="V1751" s="282"/>
      <c r="W1751" s="283"/>
      <c r="X1751" s="284"/>
      <c r="Y1751" s="245"/>
      <c r="Z1751" s="245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BP1751" s="391"/>
      <c r="BQ1751" s="393"/>
    </row>
    <row r="1752" spans="1:69" ht="14.25" customHeight="1" x14ac:dyDescent="0.35">
      <c r="A1752" s="293">
        <v>868</v>
      </c>
      <c r="B1752" s="295"/>
      <c r="C1752" s="297"/>
      <c r="D1752" s="299"/>
      <c r="E1752" s="301"/>
      <c r="F1752" s="303"/>
      <c r="G1752" s="288"/>
      <c r="H1752" s="289"/>
      <c r="I1752" s="290"/>
      <c r="J1752" s="290"/>
      <c r="K1752" s="291"/>
      <c r="L1752" s="18"/>
      <c r="M1752" s="285" t="str">
        <f t="shared" ref="M1752" si="2725">IF(COUNT(L1752:L1753)&lt;1,"",AVERAGE(L1752:L1753))</f>
        <v/>
      </c>
      <c r="N1752" s="22"/>
      <c r="O1752" s="285" t="str">
        <f t="shared" ref="O1752" si="2726">IF(COUNT(N1752:N1753)&lt;1,"",AVERAGE(N1752:N1753))</f>
        <v/>
      </c>
      <c r="P1752" s="22"/>
      <c r="Q1752" s="285" t="str">
        <f t="shared" ref="Q1752" si="2727">IF(COUNT(P1752:P1753)&lt;1,"",AVERAGE(P1752:P1753))</f>
        <v/>
      </c>
      <c r="R1752" s="278" t="str">
        <f>IF($X$13="/28",IF(COUNT(P1752:P1753)&lt;=1,"",ABS(P1752-P1753)),IF($X$13="/90",IF(COUNT(#REF!)&lt;=1,"",ABS(#REF!-#REF!))))</f>
        <v/>
      </c>
      <c r="S1752" s="278" t="str">
        <f>IF($X$13="/28",IF(Q1752="","",IF(AVERAGE(Q1748:Q1753)&gt;=$W$13,ROUND(AVERAGE(Q1748:Q1753),1)&amp;" ≥ "&amp;$W$13&amp;" OK",ROUND(AVERAGE(Q1748:Q1753),1)&amp;" &lt; "&amp;$W$13&amp;" NC")),IF($X$13="/90",IF(#REF!="","",IF(AVERAGE(#REF!)&gt;=$W$13,ROUND(AVERAGE(#REF!),1)&amp;" ≥ "&amp;$W$13&amp;" OK",ROUND(AVERAGE(#REF!),1)&amp;" &lt; "&amp;$W$13&amp;" NC"))))</f>
        <v/>
      </c>
      <c r="T1752" s="278" t="str">
        <f>IF($X$13="/28",IF(Q1752="","",IF(Q1752&gt;=$W$13-$S$12,ROUND((Q1752),1)&amp;" ≥ "&amp;$W$13-$S$12&amp;" OK",ROUND((Q1752),1)&amp;" &lt; "&amp;$W$13-$S$12&amp;" NC")),IF($X$13="/90",IF(#REF!="","",IF(#REF!&gt;=$W$13-$S$12,ROUND((#REF!),1)&amp;" ≥ "&amp;$W$13-$S$12&amp;" OK",ROUND((#REF!),1)&amp;" &lt; "&amp;$W$13-$S$12&amp;" NC"))))</f>
        <v/>
      </c>
      <c r="U1752" s="14"/>
      <c r="V1752" s="279"/>
      <c r="W1752" s="280"/>
      <c r="X1752" s="281"/>
      <c r="Y1752" s="246"/>
      <c r="Z1752" s="246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BP1752" s="390" t="str">
        <f>IF($X$13="/28",IF(Q1752="","",Q1752),IF($X$13="/90",IF(#REF!="","",#REF!),"Falso"))</f>
        <v/>
      </c>
      <c r="BQ1752" s="392" t="str">
        <f t="shared" si="2716"/>
        <v/>
      </c>
    </row>
    <row r="1753" spans="1:69" ht="14.25" customHeight="1" x14ac:dyDescent="0.35">
      <c r="A1753" s="294"/>
      <c r="B1753" s="296"/>
      <c r="C1753" s="298"/>
      <c r="D1753" s="300"/>
      <c r="E1753" s="302"/>
      <c r="F1753" s="304"/>
      <c r="G1753" s="276"/>
      <c r="H1753" s="277"/>
      <c r="I1753" s="290"/>
      <c r="J1753" s="290"/>
      <c r="K1753" s="291"/>
      <c r="L1753" s="17"/>
      <c r="M1753" s="286"/>
      <c r="N1753" s="21"/>
      <c r="O1753" s="286"/>
      <c r="P1753" s="21"/>
      <c r="Q1753" s="286"/>
      <c r="R1753" s="248"/>
      <c r="S1753" s="287"/>
      <c r="T1753" s="248"/>
      <c r="U1753" s="13"/>
      <c r="V1753" s="282"/>
      <c r="W1753" s="283"/>
      <c r="X1753" s="284"/>
      <c r="Y1753" s="245"/>
      <c r="Z1753" s="245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BP1753" s="391"/>
      <c r="BQ1753" s="393"/>
    </row>
    <row r="1754" spans="1:69" ht="14.25" customHeight="1" x14ac:dyDescent="0.35">
      <c r="A1754" s="293">
        <v>869</v>
      </c>
      <c r="B1754" s="295"/>
      <c r="C1754" s="297"/>
      <c r="D1754" s="299"/>
      <c r="E1754" s="301"/>
      <c r="F1754" s="303"/>
      <c r="G1754" s="288"/>
      <c r="H1754" s="289"/>
      <c r="I1754" s="290"/>
      <c r="J1754" s="290"/>
      <c r="K1754" s="291"/>
      <c r="L1754" s="18"/>
      <c r="M1754" s="285" t="str">
        <f t="shared" ref="M1754" si="2728">IF(COUNT(L1754:L1755)&lt;1,"",AVERAGE(L1754:L1755))</f>
        <v/>
      </c>
      <c r="N1754" s="22"/>
      <c r="O1754" s="285" t="str">
        <f t="shared" ref="O1754" si="2729">IF(COUNT(N1754:N1755)&lt;1,"",AVERAGE(N1754:N1755))</f>
        <v/>
      </c>
      <c r="P1754" s="22"/>
      <c r="Q1754" s="285" t="str">
        <f t="shared" ref="Q1754" si="2730">IF(COUNT(P1754:P1755)&lt;1,"",AVERAGE(P1754:P1755))</f>
        <v/>
      </c>
      <c r="R1754" s="278" t="str">
        <f>IF($X$13="/28",IF(COUNT(P1754:P1755)&lt;=1,"",ABS(P1754-P1755)),IF($X$13="/90",IF(COUNT(#REF!)&lt;=1,"",ABS(#REF!-#REF!))))</f>
        <v/>
      </c>
      <c r="S1754" s="278" t="str">
        <f>IF($X$13="/28",IF(Q1754="","",IF(AVERAGE(Q1750:Q1755)&gt;=$W$13,ROUND(AVERAGE(Q1750:Q1755),1)&amp;" ≥ "&amp;$W$13&amp;" OK",ROUND(AVERAGE(Q1750:Q1755),1)&amp;" &lt; "&amp;$W$13&amp;" NC")),IF($X$13="/90",IF(#REF!="","",IF(AVERAGE(#REF!)&gt;=$W$13,ROUND(AVERAGE(#REF!),1)&amp;" ≥ "&amp;$W$13&amp;" OK",ROUND(AVERAGE(#REF!),1)&amp;" &lt; "&amp;$W$13&amp;" NC"))))</f>
        <v/>
      </c>
      <c r="T1754" s="278" t="str">
        <f>IF($X$13="/28",IF(Q1754="","",IF(Q1754&gt;=$W$13-$S$12,ROUND((Q1754),1)&amp;" ≥ "&amp;$W$13-$S$12&amp;" OK",ROUND((Q1754),1)&amp;" &lt; "&amp;$W$13-$S$12&amp;" NC")),IF($X$13="/90",IF(#REF!="","",IF(#REF!&gt;=$W$13-$S$12,ROUND((#REF!),1)&amp;" ≥ "&amp;$W$13-$S$12&amp;" OK",ROUND((#REF!),1)&amp;" &lt; "&amp;$W$13-$S$12&amp;" NC"))))</f>
        <v/>
      </c>
      <c r="U1754" s="14"/>
      <c r="V1754" s="279"/>
      <c r="W1754" s="280"/>
      <c r="X1754" s="281"/>
      <c r="Y1754" s="246"/>
      <c r="Z1754" s="246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BP1754" s="390" t="str">
        <f>IF($X$13="/28",IF(Q1754="","",Q1754),IF($X$13="/90",IF(#REF!="","",#REF!),"Falso"))</f>
        <v/>
      </c>
      <c r="BQ1754" s="392" t="str">
        <f t="shared" si="2720"/>
        <v/>
      </c>
    </row>
    <row r="1755" spans="1:69" ht="14.25" customHeight="1" x14ac:dyDescent="0.35">
      <c r="A1755" s="294"/>
      <c r="B1755" s="296"/>
      <c r="C1755" s="298"/>
      <c r="D1755" s="300"/>
      <c r="E1755" s="302"/>
      <c r="F1755" s="304"/>
      <c r="G1755" s="276"/>
      <c r="H1755" s="277"/>
      <c r="I1755" s="290"/>
      <c r="J1755" s="290"/>
      <c r="K1755" s="291"/>
      <c r="L1755" s="17"/>
      <c r="M1755" s="286"/>
      <c r="N1755" s="21"/>
      <c r="O1755" s="286"/>
      <c r="P1755" s="21"/>
      <c r="Q1755" s="286"/>
      <c r="R1755" s="248"/>
      <c r="S1755" s="287"/>
      <c r="T1755" s="248"/>
      <c r="U1755" s="13"/>
      <c r="V1755" s="282"/>
      <c r="W1755" s="283"/>
      <c r="X1755" s="284"/>
      <c r="Y1755" s="245"/>
      <c r="Z1755" s="245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BP1755" s="391"/>
      <c r="BQ1755" s="393"/>
    </row>
    <row r="1756" spans="1:69" ht="14.25" customHeight="1" x14ac:dyDescent="0.35">
      <c r="A1756" s="293">
        <v>870</v>
      </c>
      <c r="B1756" s="295"/>
      <c r="C1756" s="297"/>
      <c r="D1756" s="299"/>
      <c r="E1756" s="301"/>
      <c r="F1756" s="303"/>
      <c r="G1756" s="288"/>
      <c r="H1756" s="289"/>
      <c r="I1756" s="290"/>
      <c r="J1756" s="290"/>
      <c r="K1756" s="291"/>
      <c r="L1756" s="18"/>
      <c r="M1756" s="285" t="str">
        <f t="shared" ref="M1756" si="2731">IF(COUNT(L1756:L1757)&lt;1,"",AVERAGE(L1756:L1757))</f>
        <v/>
      </c>
      <c r="N1756" s="22"/>
      <c r="O1756" s="285" t="str">
        <f t="shared" ref="O1756" si="2732">IF(COUNT(N1756:N1757)&lt;1,"",AVERAGE(N1756:N1757))</f>
        <v/>
      </c>
      <c r="P1756" s="22"/>
      <c r="Q1756" s="285" t="str">
        <f t="shared" ref="Q1756" si="2733">IF(COUNT(P1756:P1757)&lt;1,"",AVERAGE(P1756:P1757))</f>
        <v/>
      </c>
      <c r="R1756" s="278" t="str">
        <f>IF($X$13="/28",IF(COUNT(P1756:P1757)&lt;=1,"",ABS(P1756-P1757)),IF($X$13="/90",IF(COUNT(#REF!)&lt;=1,"",ABS(#REF!-#REF!))))</f>
        <v/>
      </c>
      <c r="S1756" s="278" t="str">
        <f>IF($X$13="/28",IF(Q1756="","",IF(AVERAGE(Q1752:Q1757)&gt;=$W$13,ROUND(AVERAGE(Q1752:Q1757),1)&amp;" ≥ "&amp;$W$13&amp;" OK",ROUND(AVERAGE(Q1752:Q1757),1)&amp;" &lt; "&amp;$W$13&amp;" NC")),IF($X$13="/90",IF(#REF!="","",IF(AVERAGE(#REF!)&gt;=$W$13,ROUND(AVERAGE(#REF!),1)&amp;" ≥ "&amp;$W$13&amp;" OK",ROUND(AVERAGE(#REF!),1)&amp;" &lt; "&amp;$W$13&amp;" NC"))))</f>
        <v/>
      </c>
      <c r="T1756" s="278" t="str">
        <f>IF($X$13="/28",IF(Q1756="","",IF(Q1756&gt;=$W$13-$S$12,ROUND((Q1756),1)&amp;" ≥ "&amp;$W$13-$S$12&amp;" OK",ROUND((Q1756),1)&amp;" &lt; "&amp;$W$13-$S$12&amp;" NC")),IF($X$13="/90",IF(#REF!="","",IF(#REF!&gt;=$W$13-$S$12,ROUND((#REF!),1)&amp;" ≥ "&amp;$W$13-$S$12&amp;" OK",ROUND((#REF!),1)&amp;" &lt; "&amp;$W$13-$S$12&amp;" NC"))))</f>
        <v/>
      </c>
      <c r="U1756" s="14"/>
      <c r="V1756" s="279"/>
      <c r="W1756" s="280"/>
      <c r="X1756" s="281"/>
      <c r="Y1756" s="246"/>
      <c r="Z1756" s="246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BP1756" s="390" t="str">
        <f>IF($X$13="/28",IF(Q1756="","",Q1756),IF($X$13="/90",IF(#REF!="","",#REF!),"Falso"))</f>
        <v/>
      </c>
      <c r="BQ1756" s="392" t="str">
        <f t="shared" si="2724"/>
        <v/>
      </c>
    </row>
    <row r="1757" spans="1:69" ht="14.25" customHeight="1" thickBot="1" x14ac:dyDescent="0.4">
      <c r="A1757" s="384"/>
      <c r="B1757" s="385"/>
      <c r="C1757" s="386"/>
      <c r="D1757" s="387"/>
      <c r="E1757" s="388"/>
      <c r="F1757" s="389"/>
      <c r="G1757" s="377"/>
      <c r="H1757" s="378"/>
      <c r="I1757" s="382"/>
      <c r="J1757" s="382"/>
      <c r="K1757" s="383"/>
      <c r="L1757" s="19"/>
      <c r="M1757" s="379"/>
      <c r="N1757" s="23"/>
      <c r="O1757" s="379"/>
      <c r="P1757" s="23"/>
      <c r="Q1757" s="379"/>
      <c r="R1757" s="380"/>
      <c r="S1757" s="381"/>
      <c r="T1757" s="380"/>
      <c r="U1757" s="15"/>
      <c r="V1757" s="373"/>
      <c r="W1757" s="374"/>
      <c r="X1757" s="375"/>
      <c r="Y1757" s="376"/>
      <c r="Z1757" s="376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BP1757" s="391"/>
      <c r="BQ1757" s="393"/>
    </row>
    <row r="1758" spans="1:69" ht="14.25" customHeight="1" x14ac:dyDescent="0.35">
      <c r="A1758" s="311">
        <v>871</v>
      </c>
      <c r="B1758" s="312"/>
      <c r="C1758" s="313"/>
      <c r="D1758" s="314"/>
      <c r="E1758" s="315"/>
      <c r="F1758" s="353"/>
      <c r="G1758" s="354"/>
      <c r="H1758" s="355"/>
      <c r="I1758" s="356"/>
      <c r="J1758" s="356"/>
      <c r="K1758" s="357"/>
      <c r="L1758" s="16"/>
      <c r="M1758" s="352" t="str">
        <f t="shared" ref="M1758" si="2734">IF(COUNT(L1758:L1759)&lt;1,"",AVERAGE(L1758:L1759))</f>
        <v/>
      </c>
      <c r="N1758" s="20"/>
      <c r="O1758" s="352" t="str">
        <f t="shared" ref="O1758" si="2735">IF(COUNT(N1758:N1759)&lt;1,"",AVERAGE(N1758:N1759))</f>
        <v/>
      </c>
      <c r="P1758" s="20"/>
      <c r="Q1758" s="352" t="str">
        <f t="shared" ref="Q1758" si="2736">IF(COUNT(P1758:P1759)&lt;1,"",AVERAGE(P1758:P1759))</f>
        <v/>
      </c>
      <c r="R1758" s="247" t="str">
        <f>IF($X$13="/28",IF(COUNT(P1758:P1759)&lt;=1,"",ABS(P1758-P1759)),IF($X$13="/90",IF(COUNT(#REF!)&lt;=1,"",ABS(#REF!-#REF!))))</f>
        <v/>
      </c>
      <c r="S1758" s="247" t="str">
        <f>IF($X$13="/28",IF(Q1758="","",IF(AVERAGE(Q1754:Q1759)&gt;=$W$13,ROUND(AVERAGE(Q1754:Q1759),1)&amp;" ≥ "&amp;$W$13&amp;" OK",ROUND(AVERAGE(Q1754:Q1759),1)&amp;" &lt; "&amp;$W$13&amp;" NC")),IF($X$13="/90",IF(#REF!="","",IF(AVERAGE(#REF!)&gt;=$W$13,ROUND(AVERAGE(#REF!),1)&amp;" ≥ "&amp;$W$13&amp;" OK",ROUND(AVERAGE(#REF!),1)&amp;" &lt; "&amp;$W$13&amp;" NC"))))</f>
        <v/>
      </c>
      <c r="T1758" s="247" t="str">
        <f>IF($X$13="/28",IF(Q1758="","",IF(Q1758&gt;=$W$13-$S$12,ROUND((Q1758),1)&amp;" ≥ "&amp;$W$13-$S$12&amp;" OK",ROUND((Q1758),1)&amp;" &lt; "&amp;$W$13-$S$12&amp;" NC")),IF($X$13="/90",IF(#REF!="","",IF(#REF!&gt;=$W$13-$S$12,ROUND((#REF!),1)&amp;" ≥ "&amp;$W$13-$S$12&amp;" OK",ROUND((#REF!),1)&amp;" &lt; "&amp;$W$13-$S$12&amp;" NC"))))</f>
        <v/>
      </c>
      <c r="U1758" s="12"/>
      <c r="V1758" s="349"/>
      <c r="W1758" s="350"/>
      <c r="X1758" s="351"/>
      <c r="Y1758" s="244"/>
      <c r="Z1758" s="244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BP1758" s="390" t="str">
        <f>IF($X$13="/28",IF(Q1758="","",Q1758),IF($X$13="/90",IF(#REF!="","",#REF!),"Falso"))</f>
        <v/>
      </c>
      <c r="BQ1758" s="392" t="str">
        <f t="shared" si="2716"/>
        <v/>
      </c>
    </row>
    <row r="1759" spans="1:69" ht="14.25" customHeight="1" x14ac:dyDescent="0.35">
      <c r="A1759" s="294"/>
      <c r="B1759" s="296"/>
      <c r="C1759" s="298"/>
      <c r="D1759" s="300"/>
      <c r="E1759" s="302"/>
      <c r="F1759" s="304"/>
      <c r="G1759" s="276"/>
      <c r="H1759" s="277"/>
      <c r="I1759" s="290"/>
      <c r="J1759" s="290"/>
      <c r="K1759" s="291"/>
      <c r="L1759" s="17"/>
      <c r="M1759" s="286"/>
      <c r="N1759" s="21"/>
      <c r="O1759" s="286"/>
      <c r="P1759" s="21"/>
      <c r="Q1759" s="286"/>
      <c r="R1759" s="248"/>
      <c r="S1759" s="248"/>
      <c r="T1759" s="248"/>
      <c r="U1759" s="13"/>
      <c r="V1759" s="282"/>
      <c r="W1759" s="283"/>
      <c r="X1759" s="284"/>
      <c r="Y1759" s="245"/>
      <c r="Z1759" s="245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BP1759" s="391"/>
      <c r="BQ1759" s="393"/>
    </row>
    <row r="1760" spans="1:69" ht="14.25" customHeight="1" x14ac:dyDescent="0.35">
      <c r="A1760" s="293">
        <v>872</v>
      </c>
      <c r="B1760" s="295"/>
      <c r="C1760" s="297"/>
      <c r="D1760" s="299"/>
      <c r="E1760" s="301"/>
      <c r="F1760" s="303"/>
      <c r="G1760" s="288"/>
      <c r="H1760" s="289"/>
      <c r="I1760" s="290"/>
      <c r="J1760" s="290"/>
      <c r="K1760" s="291"/>
      <c r="L1760" s="18"/>
      <c r="M1760" s="285" t="str">
        <f t="shared" ref="M1760" si="2737">IF(COUNT(L1760:L1761)&lt;1,"",AVERAGE(L1760:L1761))</f>
        <v/>
      </c>
      <c r="N1760" s="22"/>
      <c r="O1760" s="285" t="str">
        <f t="shared" ref="O1760" si="2738">IF(COUNT(N1760:N1761)&lt;1,"",AVERAGE(N1760:N1761))</f>
        <v/>
      </c>
      <c r="P1760" s="22"/>
      <c r="Q1760" s="285" t="str">
        <f t="shared" ref="Q1760" si="2739">IF(COUNT(P1760:P1761)&lt;1,"",AVERAGE(P1760:P1761))</f>
        <v/>
      </c>
      <c r="R1760" s="278" t="str">
        <f>IF($X$13="/28",IF(COUNT(P1760:P1761)&lt;=1,"",ABS(P1760-P1761)),IF($X$13="/90",IF(COUNT(#REF!)&lt;=1,"",ABS(#REF!-#REF!))))</f>
        <v/>
      </c>
      <c r="S1760" s="278" t="str">
        <f>IF($X$13="/28",IF(Q1760="","",IF(AVERAGE(Q1756:Q1761)&gt;=$W$13,ROUND(AVERAGE(Q1756:Q1761),1)&amp;" ≥ "&amp;$W$13&amp;" OK",ROUND(AVERAGE(Q1756:Q1761),1)&amp;" &lt; "&amp;$W$13&amp;" NC")),IF($X$13="/90",IF(#REF!="","",IF(AVERAGE(#REF!)&gt;=$W$13,ROUND(AVERAGE(#REF!),1)&amp;" ≥ "&amp;$W$13&amp;" OK",ROUND(AVERAGE(#REF!),1)&amp;" &lt; "&amp;$W$13&amp;" NC"))))</f>
        <v/>
      </c>
      <c r="T1760" s="278" t="str">
        <f>IF($X$13="/28",IF(Q1760="","",IF(Q1760&gt;=$W$13-$S$12,ROUND((Q1760),1)&amp;" ≥ "&amp;$W$13-$S$12&amp;" OK",ROUND((Q1760),1)&amp;" &lt; "&amp;$W$13-$S$12&amp;" NC")),IF($X$13="/90",IF(#REF!="","",IF(#REF!&gt;=$W$13-$S$12,ROUND((#REF!),1)&amp;" ≥ "&amp;$W$13-$S$12&amp;" OK",ROUND((#REF!),1)&amp;" &lt; "&amp;$W$13-$S$12&amp;" NC"))))</f>
        <v/>
      </c>
      <c r="U1760" s="14"/>
      <c r="V1760" s="279"/>
      <c r="W1760" s="280"/>
      <c r="X1760" s="281"/>
      <c r="Y1760" s="246"/>
      <c r="Z1760" s="246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BP1760" s="390" t="str">
        <f>IF($X$13="/28",IF(Q1760="","",Q1760),IF($X$13="/90",IF(#REF!="","",#REF!),"Falso"))</f>
        <v/>
      </c>
      <c r="BQ1760" s="392" t="str">
        <f t="shared" si="2720"/>
        <v/>
      </c>
    </row>
    <row r="1761" spans="1:69" ht="14.25" customHeight="1" x14ac:dyDescent="0.35">
      <c r="A1761" s="294"/>
      <c r="B1761" s="296"/>
      <c r="C1761" s="298"/>
      <c r="D1761" s="300"/>
      <c r="E1761" s="302"/>
      <c r="F1761" s="304"/>
      <c r="G1761" s="276"/>
      <c r="H1761" s="277"/>
      <c r="I1761" s="290"/>
      <c r="J1761" s="290"/>
      <c r="K1761" s="291"/>
      <c r="L1761" s="17"/>
      <c r="M1761" s="286"/>
      <c r="N1761" s="21"/>
      <c r="O1761" s="286"/>
      <c r="P1761" s="21"/>
      <c r="Q1761" s="286"/>
      <c r="R1761" s="248"/>
      <c r="S1761" s="248"/>
      <c r="T1761" s="248"/>
      <c r="U1761" s="13"/>
      <c r="V1761" s="282"/>
      <c r="W1761" s="283"/>
      <c r="X1761" s="284"/>
      <c r="Y1761" s="245"/>
      <c r="Z1761" s="245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BP1761" s="391"/>
      <c r="BQ1761" s="393"/>
    </row>
    <row r="1762" spans="1:69" ht="14.25" customHeight="1" x14ac:dyDescent="0.35">
      <c r="A1762" s="293">
        <v>873</v>
      </c>
      <c r="B1762" s="295"/>
      <c r="C1762" s="297"/>
      <c r="D1762" s="299"/>
      <c r="E1762" s="301"/>
      <c r="F1762" s="303"/>
      <c r="G1762" s="288"/>
      <c r="H1762" s="289"/>
      <c r="I1762" s="290"/>
      <c r="J1762" s="290"/>
      <c r="K1762" s="291"/>
      <c r="L1762" s="18"/>
      <c r="M1762" s="285" t="str">
        <f t="shared" ref="M1762" si="2740">IF(COUNT(L1762:L1763)&lt;1,"",AVERAGE(L1762:L1763))</f>
        <v/>
      </c>
      <c r="N1762" s="22"/>
      <c r="O1762" s="285" t="str">
        <f t="shared" ref="O1762" si="2741">IF(COUNT(N1762:N1763)&lt;1,"",AVERAGE(N1762:N1763))</f>
        <v/>
      </c>
      <c r="P1762" s="22"/>
      <c r="Q1762" s="285" t="str">
        <f t="shared" ref="Q1762" si="2742">IF(COUNT(P1762:P1763)&lt;1,"",AVERAGE(P1762:P1763))</f>
        <v/>
      </c>
      <c r="R1762" s="278" t="str">
        <f>IF($X$13="/28",IF(COUNT(P1762:P1763)&lt;=1,"",ABS(P1762-P1763)),IF($X$13="/90",IF(COUNT(#REF!)&lt;=1,"",ABS(#REF!-#REF!))))</f>
        <v/>
      </c>
      <c r="S1762" s="278" t="str">
        <f>IF($X$13="/28",IF(Q1762="","",IF(AVERAGE(Q1758:Q1763)&gt;=$W$13,ROUND(AVERAGE(Q1758:Q1763),1)&amp;" ≥ "&amp;$W$13&amp;" OK",ROUND(AVERAGE(Q1758:Q1763),1)&amp;" &lt; "&amp;$W$13&amp;" NC")),IF($X$13="/90",IF(#REF!="","",IF(AVERAGE(#REF!)&gt;=$W$13,ROUND(AVERAGE(#REF!),1)&amp;" ≥ "&amp;$W$13&amp;" OK",ROUND(AVERAGE(#REF!),1)&amp;" &lt; "&amp;$W$13&amp;" NC"))))</f>
        <v/>
      </c>
      <c r="T1762" s="278" t="str">
        <f>IF($X$13="/28",IF(Q1762="","",IF(Q1762&gt;=$W$13-$S$12,ROUND((Q1762),1)&amp;" ≥ "&amp;$W$13-$S$12&amp;" OK",ROUND((Q1762),1)&amp;" &lt; "&amp;$W$13-$S$12&amp;" NC")),IF($X$13="/90",IF(#REF!="","",IF(#REF!&gt;=$W$13-$S$12,ROUND((#REF!),1)&amp;" ≥ "&amp;$W$13-$S$12&amp;" OK",ROUND((#REF!),1)&amp;" &lt; "&amp;$W$13-$S$12&amp;" NC"))))</f>
        <v/>
      </c>
      <c r="U1762" s="14"/>
      <c r="V1762" s="279"/>
      <c r="W1762" s="280"/>
      <c r="X1762" s="281"/>
      <c r="Y1762" s="246"/>
      <c r="Z1762" s="246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BP1762" s="390" t="str">
        <f>IF($X$13="/28",IF(Q1762="","",Q1762),IF($X$13="/90",IF(#REF!="","",#REF!),"Falso"))</f>
        <v/>
      </c>
      <c r="BQ1762" s="392" t="str">
        <f t="shared" si="2724"/>
        <v/>
      </c>
    </row>
    <row r="1763" spans="1:69" ht="14.25" customHeight="1" x14ac:dyDescent="0.35">
      <c r="A1763" s="294"/>
      <c r="B1763" s="296"/>
      <c r="C1763" s="298"/>
      <c r="D1763" s="300"/>
      <c r="E1763" s="302"/>
      <c r="F1763" s="304"/>
      <c r="G1763" s="276"/>
      <c r="H1763" s="277"/>
      <c r="I1763" s="290"/>
      <c r="J1763" s="290"/>
      <c r="K1763" s="291"/>
      <c r="L1763" s="17"/>
      <c r="M1763" s="286"/>
      <c r="N1763" s="21"/>
      <c r="O1763" s="286"/>
      <c r="P1763" s="21"/>
      <c r="Q1763" s="286"/>
      <c r="R1763" s="248"/>
      <c r="S1763" s="287"/>
      <c r="T1763" s="248"/>
      <c r="U1763" s="13"/>
      <c r="V1763" s="282"/>
      <c r="W1763" s="283"/>
      <c r="X1763" s="284"/>
      <c r="Y1763" s="245"/>
      <c r="Z1763" s="245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BP1763" s="391"/>
      <c r="BQ1763" s="393"/>
    </row>
    <row r="1764" spans="1:69" ht="14.25" customHeight="1" x14ac:dyDescent="0.35">
      <c r="A1764" s="293">
        <v>874</v>
      </c>
      <c r="B1764" s="295"/>
      <c r="C1764" s="297"/>
      <c r="D1764" s="299"/>
      <c r="E1764" s="301"/>
      <c r="F1764" s="303"/>
      <c r="G1764" s="288"/>
      <c r="H1764" s="289"/>
      <c r="I1764" s="290"/>
      <c r="J1764" s="290"/>
      <c r="K1764" s="291"/>
      <c r="L1764" s="18"/>
      <c r="M1764" s="285" t="str">
        <f t="shared" ref="M1764" si="2743">IF(COUNT(L1764:L1765)&lt;1,"",AVERAGE(L1764:L1765))</f>
        <v/>
      </c>
      <c r="N1764" s="22"/>
      <c r="O1764" s="285" t="str">
        <f t="shared" ref="O1764" si="2744">IF(COUNT(N1764:N1765)&lt;1,"",AVERAGE(N1764:N1765))</f>
        <v/>
      </c>
      <c r="P1764" s="22"/>
      <c r="Q1764" s="285" t="str">
        <f t="shared" ref="Q1764" si="2745">IF(COUNT(P1764:P1765)&lt;1,"",AVERAGE(P1764:P1765))</f>
        <v/>
      </c>
      <c r="R1764" s="278" t="str">
        <f>IF($X$13="/28",IF(COUNT(P1764:P1765)&lt;=1,"",ABS(P1764-P1765)),IF($X$13="/90",IF(COUNT(#REF!)&lt;=1,"",ABS(#REF!-#REF!))))</f>
        <v/>
      </c>
      <c r="S1764" s="278" t="str">
        <f>IF($X$13="/28",IF(Q1764="","",IF(AVERAGE(Q1760:Q1765)&gt;=$W$13,ROUND(AVERAGE(Q1760:Q1765),1)&amp;" ≥ "&amp;$W$13&amp;" OK",ROUND(AVERAGE(Q1760:Q1765),1)&amp;" &lt; "&amp;$W$13&amp;" NC")),IF($X$13="/90",IF(#REF!="","",IF(AVERAGE(#REF!)&gt;=$W$13,ROUND(AVERAGE(#REF!),1)&amp;" ≥ "&amp;$W$13&amp;" OK",ROUND(AVERAGE(#REF!),1)&amp;" &lt; "&amp;$W$13&amp;" NC"))))</f>
        <v/>
      </c>
      <c r="T1764" s="278" t="str">
        <f>IF($X$13="/28",IF(Q1764="","",IF(Q1764&gt;=$W$13-$S$12,ROUND((Q1764),1)&amp;" ≥ "&amp;$W$13-$S$12&amp;" OK",ROUND((Q1764),1)&amp;" &lt; "&amp;$W$13-$S$12&amp;" NC")),IF($X$13="/90",IF(#REF!="","",IF(#REF!&gt;=$W$13-$S$12,ROUND((#REF!),1)&amp;" ≥ "&amp;$W$13-$S$12&amp;" OK",ROUND((#REF!),1)&amp;" &lt; "&amp;$W$13-$S$12&amp;" NC"))))</f>
        <v/>
      </c>
      <c r="U1764" s="14"/>
      <c r="V1764" s="279"/>
      <c r="W1764" s="280"/>
      <c r="X1764" s="281"/>
      <c r="Y1764" s="246"/>
      <c r="Z1764" s="246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BP1764" s="390" t="str">
        <f>IF($X$13="/28",IF(Q1764="","",Q1764),IF($X$13="/90",IF(#REF!="","",#REF!),"Falso"))</f>
        <v/>
      </c>
      <c r="BQ1764" s="392" t="str">
        <f t="shared" si="2716"/>
        <v/>
      </c>
    </row>
    <row r="1765" spans="1:69" ht="14.25" customHeight="1" x14ac:dyDescent="0.35">
      <c r="A1765" s="294"/>
      <c r="B1765" s="296"/>
      <c r="C1765" s="298"/>
      <c r="D1765" s="300"/>
      <c r="E1765" s="302"/>
      <c r="F1765" s="304"/>
      <c r="G1765" s="276"/>
      <c r="H1765" s="277"/>
      <c r="I1765" s="290"/>
      <c r="J1765" s="290"/>
      <c r="K1765" s="291"/>
      <c r="L1765" s="17"/>
      <c r="M1765" s="286"/>
      <c r="N1765" s="21"/>
      <c r="O1765" s="286"/>
      <c r="P1765" s="21"/>
      <c r="Q1765" s="286"/>
      <c r="R1765" s="248"/>
      <c r="S1765" s="287"/>
      <c r="T1765" s="248"/>
      <c r="U1765" s="13"/>
      <c r="V1765" s="282"/>
      <c r="W1765" s="283"/>
      <c r="X1765" s="284"/>
      <c r="Y1765" s="245"/>
      <c r="Z1765" s="245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BP1765" s="391"/>
      <c r="BQ1765" s="393"/>
    </row>
    <row r="1766" spans="1:69" ht="14.25" customHeight="1" x14ac:dyDescent="0.35">
      <c r="A1766" s="293">
        <v>875</v>
      </c>
      <c r="B1766" s="295"/>
      <c r="C1766" s="297"/>
      <c r="D1766" s="299"/>
      <c r="E1766" s="301"/>
      <c r="F1766" s="303"/>
      <c r="G1766" s="288"/>
      <c r="H1766" s="289"/>
      <c r="I1766" s="290"/>
      <c r="J1766" s="290"/>
      <c r="K1766" s="291"/>
      <c r="L1766" s="18"/>
      <c r="M1766" s="285" t="str">
        <f t="shared" ref="M1766" si="2746">IF(COUNT(L1766:L1767)&lt;1,"",AVERAGE(L1766:L1767))</f>
        <v/>
      </c>
      <c r="N1766" s="22"/>
      <c r="O1766" s="285" t="str">
        <f t="shared" ref="O1766" si="2747">IF(COUNT(N1766:N1767)&lt;1,"",AVERAGE(N1766:N1767))</f>
        <v/>
      </c>
      <c r="P1766" s="22"/>
      <c r="Q1766" s="285" t="str">
        <f t="shared" ref="Q1766" si="2748">IF(COUNT(P1766:P1767)&lt;1,"",AVERAGE(P1766:P1767))</f>
        <v/>
      </c>
      <c r="R1766" s="278" t="str">
        <f>IF($X$13="/28",IF(COUNT(P1766:P1767)&lt;=1,"",ABS(P1766-P1767)),IF($X$13="/90",IF(COUNT(#REF!)&lt;=1,"",ABS(#REF!-#REF!))))</f>
        <v/>
      </c>
      <c r="S1766" s="278" t="str">
        <f>IF($X$13="/28",IF(Q1766="","",IF(AVERAGE(Q1762:Q1767)&gt;=$W$13,ROUND(AVERAGE(Q1762:Q1767),1)&amp;" ≥ "&amp;$W$13&amp;" OK",ROUND(AVERAGE(Q1762:Q1767),1)&amp;" &lt; "&amp;$W$13&amp;" NC")),IF($X$13="/90",IF(#REF!="","",IF(AVERAGE(#REF!)&gt;=$W$13,ROUND(AVERAGE(#REF!),1)&amp;" ≥ "&amp;$W$13&amp;" OK",ROUND(AVERAGE(#REF!),1)&amp;" &lt; "&amp;$W$13&amp;" NC"))))</f>
        <v/>
      </c>
      <c r="T1766" s="278" t="str">
        <f>IF($X$13="/28",IF(Q1766="","",IF(Q1766&gt;=$W$13-$S$12,ROUND((Q1766),1)&amp;" ≥ "&amp;$W$13-$S$12&amp;" OK",ROUND((Q1766),1)&amp;" &lt; "&amp;$W$13-$S$12&amp;" NC")),IF($X$13="/90",IF(#REF!="","",IF(#REF!&gt;=$W$13-$S$12,ROUND((#REF!),1)&amp;" ≥ "&amp;$W$13-$S$12&amp;" OK",ROUND((#REF!),1)&amp;" &lt; "&amp;$W$13-$S$12&amp;" NC"))))</f>
        <v/>
      </c>
      <c r="U1766" s="14"/>
      <c r="V1766" s="279"/>
      <c r="W1766" s="280"/>
      <c r="X1766" s="281"/>
      <c r="Y1766" s="246"/>
      <c r="Z1766" s="246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BP1766" s="390" t="str">
        <f>IF($X$13="/28",IF(Q1766="","",Q1766),IF($X$13="/90",IF(#REF!="","",#REF!),"Falso"))</f>
        <v/>
      </c>
      <c r="BQ1766" s="392" t="str">
        <f t="shared" si="2720"/>
        <v/>
      </c>
    </row>
    <row r="1767" spans="1:69" ht="14.25" customHeight="1" x14ac:dyDescent="0.35">
      <c r="A1767" s="294"/>
      <c r="B1767" s="296"/>
      <c r="C1767" s="298"/>
      <c r="D1767" s="300"/>
      <c r="E1767" s="302"/>
      <c r="F1767" s="304"/>
      <c r="G1767" s="276"/>
      <c r="H1767" s="277"/>
      <c r="I1767" s="290"/>
      <c r="J1767" s="290"/>
      <c r="K1767" s="291"/>
      <c r="L1767" s="17"/>
      <c r="M1767" s="286"/>
      <c r="N1767" s="21"/>
      <c r="O1767" s="286"/>
      <c r="P1767" s="21"/>
      <c r="Q1767" s="286"/>
      <c r="R1767" s="248"/>
      <c r="S1767" s="287"/>
      <c r="T1767" s="248"/>
      <c r="U1767" s="13"/>
      <c r="V1767" s="282"/>
      <c r="W1767" s="283"/>
      <c r="X1767" s="284"/>
      <c r="Y1767" s="245"/>
      <c r="Z1767" s="245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BP1767" s="391"/>
      <c r="BQ1767" s="393"/>
    </row>
    <row r="1768" spans="1:69" ht="14.25" customHeight="1" x14ac:dyDescent="0.35">
      <c r="A1768" s="293">
        <v>876</v>
      </c>
      <c r="B1768" s="295"/>
      <c r="C1768" s="297"/>
      <c r="D1768" s="299"/>
      <c r="E1768" s="301"/>
      <c r="F1768" s="303"/>
      <c r="G1768" s="288"/>
      <c r="H1768" s="289"/>
      <c r="I1768" s="290"/>
      <c r="J1768" s="290"/>
      <c r="K1768" s="291"/>
      <c r="L1768" s="18"/>
      <c r="M1768" s="285" t="str">
        <f t="shared" ref="M1768" si="2749">IF(COUNT(L1768:L1769)&lt;1,"",AVERAGE(L1768:L1769))</f>
        <v/>
      </c>
      <c r="N1768" s="22"/>
      <c r="O1768" s="285" t="str">
        <f t="shared" ref="O1768" si="2750">IF(COUNT(N1768:N1769)&lt;1,"",AVERAGE(N1768:N1769))</f>
        <v/>
      </c>
      <c r="P1768" s="22"/>
      <c r="Q1768" s="285" t="str">
        <f t="shared" ref="Q1768" si="2751">IF(COUNT(P1768:P1769)&lt;1,"",AVERAGE(P1768:P1769))</f>
        <v/>
      </c>
      <c r="R1768" s="278" t="str">
        <f>IF($X$13="/28",IF(COUNT(P1768:P1769)&lt;=1,"",ABS(P1768-P1769)),IF($X$13="/90",IF(COUNT(#REF!)&lt;=1,"",ABS(#REF!-#REF!))))</f>
        <v/>
      </c>
      <c r="S1768" s="278" t="str">
        <f>IF($X$13="/28",IF(Q1768="","",IF(AVERAGE(Q1764:Q1769)&gt;=$W$13,ROUND(AVERAGE(Q1764:Q1769),1)&amp;" ≥ "&amp;$W$13&amp;" OK",ROUND(AVERAGE(Q1764:Q1769),1)&amp;" &lt; "&amp;$W$13&amp;" NC")),IF($X$13="/90",IF(#REF!="","",IF(AVERAGE(#REF!)&gt;=$W$13,ROUND(AVERAGE(#REF!),1)&amp;" ≥ "&amp;$W$13&amp;" OK",ROUND(AVERAGE(#REF!),1)&amp;" &lt; "&amp;$W$13&amp;" NC"))))</f>
        <v/>
      </c>
      <c r="T1768" s="278" t="str">
        <f>IF($X$13="/28",IF(Q1768="","",IF(Q1768&gt;=$W$13-$S$12,ROUND((Q1768),1)&amp;" ≥ "&amp;$W$13-$S$12&amp;" OK",ROUND((Q1768),1)&amp;" &lt; "&amp;$W$13-$S$12&amp;" NC")),IF($X$13="/90",IF(#REF!="","",IF(#REF!&gt;=$W$13-$S$12,ROUND((#REF!),1)&amp;" ≥ "&amp;$W$13-$S$12&amp;" OK",ROUND((#REF!),1)&amp;" &lt; "&amp;$W$13-$S$12&amp;" NC"))))</f>
        <v/>
      </c>
      <c r="U1768" s="14"/>
      <c r="V1768" s="279"/>
      <c r="W1768" s="280"/>
      <c r="X1768" s="281"/>
      <c r="Y1768" s="246"/>
      <c r="Z1768" s="246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BP1768" s="390" t="str">
        <f>IF($X$13="/28",IF(Q1768="","",Q1768),IF($X$13="/90",IF(#REF!="","",#REF!),"Falso"))</f>
        <v/>
      </c>
      <c r="BQ1768" s="392" t="str">
        <f t="shared" si="2724"/>
        <v/>
      </c>
    </row>
    <row r="1769" spans="1:69" ht="14.25" customHeight="1" x14ac:dyDescent="0.35">
      <c r="A1769" s="294"/>
      <c r="B1769" s="296"/>
      <c r="C1769" s="298"/>
      <c r="D1769" s="300"/>
      <c r="E1769" s="302"/>
      <c r="F1769" s="304"/>
      <c r="G1769" s="276"/>
      <c r="H1769" s="277"/>
      <c r="I1769" s="290"/>
      <c r="J1769" s="290"/>
      <c r="K1769" s="291"/>
      <c r="L1769" s="17"/>
      <c r="M1769" s="286"/>
      <c r="N1769" s="21"/>
      <c r="O1769" s="286"/>
      <c r="P1769" s="21"/>
      <c r="Q1769" s="286"/>
      <c r="R1769" s="248"/>
      <c r="S1769" s="287"/>
      <c r="T1769" s="248"/>
      <c r="U1769" s="13"/>
      <c r="V1769" s="282"/>
      <c r="W1769" s="283"/>
      <c r="X1769" s="284"/>
      <c r="Y1769" s="245"/>
      <c r="Z1769" s="245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BP1769" s="391"/>
      <c r="BQ1769" s="393"/>
    </row>
    <row r="1770" spans="1:69" ht="14.25" customHeight="1" x14ac:dyDescent="0.35">
      <c r="A1770" s="293">
        <v>877</v>
      </c>
      <c r="B1770" s="295"/>
      <c r="C1770" s="297"/>
      <c r="D1770" s="299"/>
      <c r="E1770" s="301"/>
      <c r="F1770" s="303"/>
      <c r="G1770" s="288"/>
      <c r="H1770" s="289"/>
      <c r="I1770" s="290"/>
      <c r="J1770" s="290"/>
      <c r="K1770" s="291"/>
      <c r="L1770" s="18"/>
      <c r="M1770" s="285" t="str">
        <f t="shared" ref="M1770" si="2752">IF(COUNT(L1770:L1771)&lt;1,"",AVERAGE(L1770:L1771))</f>
        <v/>
      </c>
      <c r="N1770" s="22"/>
      <c r="O1770" s="285" t="str">
        <f t="shared" ref="O1770" si="2753">IF(COUNT(N1770:N1771)&lt;1,"",AVERAGE(N1770:N1771))</f>
        <v/>
      </c>
      <c r="P1770" s="22"/>
      <c r="Q1770" s="285" t="str">
        <f t="shared" ref="Q1770" si="2754">IF(COUNT(P1770:P1771)&lt;1,"",AVERAGE(P1770:P1771))</f>
        <v/>
      </c>
      <c r="R1770" s="278" t="str">
        <f>IF($X$13="/28",IF(COUNT(P1770:P1771)&lt;=1,"",ABS(P1770-P1771)),IF($X$13="/90",IF(COUNT(#REF!)&lt;=1,"",ABS(#REF!-#REF!))))</f>
        <v/>
      </c>
      <c r="S1770" s="278" t="str">
        <f>IF($X$13="/28",IF(Q1770="","",IF(AVERAGE(Q1766:Q1771)&gt;=$W$13,ROUND(AVERAGE(Q1766:Q1771),1)&amp;" ≥ "&amp;$W$13&amp;" OK",ROUND(AVERAGE(Q1766:Q1771),1)&amp;" &lt; "&amp;$W$13&amp;" NC")),IF($X$13="/90",IF(#REF!="","",IF(AVERAGE(#REF!)&gt;=$W$13,ROUND(AVERAGE(#REF!),1)&amp;" ≥ "&amp;$W$13&amp;" OK",ROUND(AVERAGE(#REF!),1)&amp;" &lt; "&amp;$W$13&amp;" NC"))))</f>
        <v/>
      </c>
      <c r="T1770" s="278" t="str">
        <f>IF($X$13="/28",IF(Q1770="","",IF(Q1770&gt;=$W$13-$S$12,ROUND((Q1770),1)&amp;" ≥ "&amp;$W$13-$S$12&amp;" OK",ROUND((Q1770),1)&amp;" &lt; "&amp;$W$13-$S$12&amp;" NC")),IF($X$13="/90",IF(#REF!="","",IF(#REF!&gt;=$W$13-$S$12,ROUND((#REF!),1)&amp;" ≥ "&amp;$W$13-$S$12&amp;" OK",ROUND((#REF!),1)&amp;" &lt; "&amp;$W$13-$S$12&amp;" NC"))))</f>
        <v/>
      </c>
      <c r="U1770" s="14"/>
      <c r="V1770" s="279"/>
      <c r="W1770" s="280"/>
      <c r="X1770" s="281"/>
      <c r="Y1770" s="246"/>
      <c r="Z1770" s="246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BP1770" s="390" t="str">
        <f>IF($X$13="/28",IF(Q1770="","",Q1770),IF($X$13="/90",IF(#REF!="","",#REF!),"Falso"))</f>
        <v/>
      </c>
      <c r="BQ1770" s="392" t="str">
        <f t="shared" si="2716"/>
        <v/>
      </c>
    </row>
    <row r="1771" spans="1:69" ht="14.25" customHeight="1" x14ac:dyDescent="0.35">
      <c r="A1771" s="294"/>
      <c r="B1771" s="296"/>
      <c r="C1771" s="298"/>
      <c r="D1771" s="300"/>
      <c r="E1771" s="302"/>
      <c r="F1771" s="304"/>
      <c r="G1771" s="276"/>
      <c r="H1771" s="277"/>
      <c r="I1771" s="290"/>
      <c r="J1771" s="290"/>
      <c r="K1771" s="291"/>
      <c r="L1771" s="17"/>
      <c r="M1771" s="286"/>
      <c r="N1771" s="21"/>
      <c r="O1771" s="286"/>
      <c r="P1771" s="21"/>
      <c r="Q1771" s="286"/>
      <c r="R1771" s="248"/>
      <c r="S1771" s="287"/>
      <c r="T1771" s="248"/>
      <c r="U1771" s="13"/>
      <c r="V1771" s="282"/>
      <c r="W1771" s="283"/>
      <c r="X1771" s="284"/>
      <c r="Y1771" s="245"/>
      <c r="Z1771" s="245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BP1771" s="391"/>
      <c r="BQ1771" s="393"/>
    </row>
    <row r="1772" spans="1:69" ht="14.25" customHeight="1" x14ac:dyDescent="0.35">
      <c r="A1772" s="293">
        <v>878</v>
      </c>
      <c r="B1772" s="295"/>
      <c r="C1772" s="297"/>
      <c r="D1772" s="299"/>
      <c r="E1772" s="301"/>
      <c r="F1772" s="303"/>
      <c r="G1772" s="288"/>
      <c r="H1772" s="289"/>
      <c r="I1772" s="290"/>
      <c r="J1772" s="290"/>
      <c r="K1772" s="291"/>
      <c r="L1772" s="18"/>
      <c r="M1772" s="285" t="str">
        <f t="shared" ref="M1772" si="2755">IF(COUNT(L1772:L1773)&lt;1,"",AVERAGE(L1772:L1773))</f>
        <v/>
      </c>
      <c r="N1772" s="22"/>
      <c r="O1772" s="285" t="str">
        <f t="shared" ref="O1772" si="2756">IF(COUNT(N1772:N1773)&lt;1,"",AVERAGE(N1772:N1773))</f>
        <v/>
      </c>
      <c r="P1772" s="22"/>
      <c r="Q1772" s="285" t="str">
        <f t="shared" ref="Q1772" si="2757">IF(COUNT(P1772:P1773)&lt;1,"",AVERAGE(P1772:P1773))</f>
        <v/>
      </c>
      <c r="R1772" s="278" t="str">
        <f>IF($X$13="/28",IF(COUNT(P1772:P1773)&lt;=1,"",ABS(P1772-P1773)),IF($X$13="/90",IF(COUNT(#REF!)&lt;=1,"",ABS(#REF!-#REF!))))</f>
        <v/>
      </c>
      <c r="S1772" s="278" t="str">
        <f>IF($X$13="/28",IF(Q1772="","",IF(AVERAGE(Q1768:Q1773)&gt;=$W$13,ROUND(AVERAGE(Q1768:Q1773),1)&amp;" ≥ "&amp;$W$13&amp;" OK",ROUND(AVERAGE(Q1768:Q1773),1)&amp;" &lt; "&amp;$W$13&amp;" NC")),IF($X$13="/90",IF(#REF!="","",IF(AVERAGE(#REF!)&gt;=$W$13,ROUND(AVERAGE(#REF!),1)&amp;" ≥ "&amp;$W$13&amp;" OK",ROUND(AVERAGE(#REF!),1)&amp;" &lt; "&amp;$W$13&amp;" NC"))))</f>
        <v/>
      </c>
      <c r="T1772" s="278" t="str">
        <f>IF($X$13="/28",IF(Q1772="","",IF(Q1772&gt;=$W$13-$S$12,ROUND((Q1772),1)&amp;" ≥ "&amp;$W$13-$S$12&amp;" OK",ROUND((Q1772),1)&amp;" &lt; "&amp;$W$13-$S$12&amp;" NC")),IF($X$13="/90",IF(#REF!="","",IF(#REF!&gt;=$W$13-$S$12,ROUND((#REF!),1)&amp;" ≥ "&amp;$W$13-$S$12&amp;" OK",ROUND((#REF!),1)&amp;" &lt; "&amp;$W$13-$S$12&amp;" NC"))))</f>
        <v/>
      </c>
      <c r="U1772" s="14"/>
      <c r="V1772" s="279"/>
      <c r="W1772" s="280"/>
      <c r="X1772" s="281"/>
      <c r="Y1772" s="246"/>
      <c r="Z1772" s="246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BP1772" s="390" t="str">
        <f>IF($X$13="/28",IF(Q1772="","",Q1772),IF($X$13="/90",IF(#REF!="","",#REF!),"Falso"))</f>
        <v/>
      </c>
      <c r="BQ1772" s="392" t="str">
        <f t="shared" si="2720"/>
        <v/>
      </c>
    </row>
    <row r="1773" spans="1:69" ht="14.25" customHeight="1" x14ac:dyDescent="0.35">
      <c r="A1773" s="294"/>
      <c r="B1773" s="296"/>
      <c r="C1773" s="298"/>
      <c r="D1773" s="300"/>
      <c r="E1773" s="302"/>
      <c r="F1773" s="304"/>
      <c r="G1773" s="276"/>
      <c r="H1773" s="277"/>
      <c r="I1773" s="290"/>
      <c r="J1773" s="290"/>
      <c r="K1773" s="291"/>
      <c r="L1773" s="17"/>
      <c r="M1773" s="286"/>
      <c r="N1773" s="21"/>
      <c r="O1773" s="286"/>
      <c r="P1773" s="21"/>
      <c r="Q1773" s="286"/>
      <c r="R1773" s="248"/>
      <c r="S1773" s="287"/>
      <c r="T1773" s="248"/>
      <c r="U1773" s="13"/>
      <c r="V1773" s="282"/>
      <c r="W1773" s="283"/>
      <c r="X1773" s="284"/>
      <c r="Y1773" s="245"/>
      <c r="Z1773" s="245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BP1773" s="391"/>
      <c r="BQ1773" s="393"/>
    </row>
    <row r="1774" spans="1:69" ht="14.25" customHeight="1" x14ac:dyDescent="0.35">
      <c r="A1774" s="293">
        <v>879</v>
      </c>
      <c r="B1774" s="295"/>
      <c r="C1774" s="297"/>
      <c r="D1774" s="299"/>
      <c r="E1774" s="301"/>
      <c r="F1774" s="303"/>
      <c r="G1774" s="288"/>
      <c r="H1774" s="289"/>
      <c r="I1774" s="290"/>
      <c r="J1774" s="290"/>
      <c r="K1774" s="291"/>
      <c r="L1774" s="18"/>
      <c r="M1774" s="285" t="str">
        <f t="shared" ref="M1774" si="2758">IF(COUNT(L1774:L1775)&lt;1,"",AVERAGE(L1774:L1775))</f>
        <v/>
      </c>
      <c r="N1774" s="22"/>
      <c r="O1774" s="285" t="str">
        <f t="shared" ref="O1774" si="2759">IF(COUNT(N1774:N1775)&lt;1,"",AVERAGE(N1774:N1775))</f>
        <v/>
      </c>
      <c r="P1774" s="22"/>
      <c r="Q1774" s="285" t="str">
        <f t="shared" ref="Q1774" si="2760">IF(COUNT(P1774:P1775)&lt;1,"",AVERAGE(P1774:P1775))</f>
        <v/>
      </c>
      <c r="R1774" s="278" t="str">
        <f>IF($X$13="/28",IF(COUNT(P1774:P1775)&lt;=1,"",ABS(P1774-P1775)),IF($X$13="/90",IF(COUNT(#REF!)&lt;=1,"",ABS(#REF!-#REF!))))</f>
        <v/>
      </c>
      <c r="S1774" s="278" t="str">
        <f>IF($X$13="/28",IF(Q1774="","",IF(AVERAGE(Q1770:Q1775)&gt;=$W$13,ROUND(AVERAGE(Q1770:Q1775),1)&amp;" ≥ "&amp;$W$13&amp;" OK",ROUND(AVERAGE(Q1770:Q1775),1)&amp;" &lt; "&amp;$W$13&amp;" NC")),IF($X$13="/90",IF(#REF!="","",IF(AVERAGE(#REF!)&gt;=$W$13,ROUND(AVERAGE(#REF!),1)&amp;" ≥ "&amp;$W$13&amp;" OK",ROUND(AVERAGE(#REF!),1)&amp;" &lt; "&amp;$W$13&amp;" NC"))))</f>
        <v/>
      </c>
      <c r="T1774" s="278" t="str">
        <f>IF($X$13="/28",IF(Q1774="","",IF(Q1774&gt;=$W$13-$S$12,ROUND((Q1774),1)&amp;" ≥ "&amp;$W$13-$S$12&amp;" OK",ROUND((Q1774),1)&amp;" &lt; "&amp;$W$13-$S$12&amp;" NC")),IF($X$13="/90",IF(#REF!="","",IF(#REF!&gt;=$W$13-$S$12,ROUND((#REF!),1)&amp;" ≥ "&amp;$W$13-$S$12&amp;" OK",ROUND((#REF!),1)&amp;" &lt; "&amp;$W$13-$S$12&amp;" NC"))))</f>
        <v/>
      </c>
      <c r="U1774" s="14"/>
      <c r="V1774" s="279"/>
      <c r="W1774" s="280"/>
      <c r="X1774" s="281"/>
      <c r="Y1774" s="246"/>
      <c r="Z1774" s="246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BP1774" s="390" t="str">
        <f>IF($X$13="/28",IF(Q1774="","",Q1774),IF($X$13="/90",IF(#REF!="","",#REF!),"Falso"))</f>
        <v/>
      </c>
      <c r="BQ1774" s="392" t="str">
        <f t="shared" si="2724"/>
        <v/>
      </c>
    </row>
    <row r="1775" spans="1:69" ht="14.25" customHeight="1" x14ac:dyDescent="0.35">
      <c r="A1775" s="294"/>
      <c r="B1775" s="296"/>
      <c r="C1775" s="298"/>
      <c r="D1775" s="300"/>
      <c r="E1775" s="302"/>
      <c r="F1775" s="304"/>
      <c r="G1775" s="276"/>
      <c r="H1775" s="277"/>
      <c r="I1775" s="290"/>
      <c r="J1775" s="290"/>
      <c r="K1775" s="291"/>
      <c r="L1775" s="17"/>
      <c r="M1775" s="286"/>
      <c r="N1775" s="21"/>
      <c r="O1775" s="286"/>
      <c r="P1775" s="21"/>
      <c r="Q1775" s="286"/>
      <c r="R1775" s="248"/>
      <c r="S1775" s="287"/>
      <c r="T1775" s="248"/>
      <c r="U1775" s="13"/>
      <c r="V1775" s="282"/>
      <c r="W1775" s="283"/>
      <c r="X1775" s="284"/>
      <c r="Y1775" s="245"/>
      <c r="Z1775" s="245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BP1775" s="391"/>
      <c r="BQ1775" s="393"/>
    </row>
    <row r="1776" spans="1:69" ht="14.25" customHeight="1" x14ac:dyDescent="0.35">
      <c r="A1776" s="293">
        <v>880</v>
      </c>
      <c r="B1776" s="295"/>
      <c r="C1776" s="297"/>
      <c r="D1776" s="299"/>
      <c r="E1776" s="301"/>
      <c r="F1776" s="303"/>
      <c r="G1776" s="288"/>
      <c r="H1776" s="289"/>
      <c r="I1776" s="290"/>
      <c r="J1776" s="290"/>
      <c r="K1776" s="291"/>
      <c r="L1776" s="18"/>
      <c r="M1776" s="285" t="str">
        <f t="shared" ref="M1776" si="2761">IF(COUNT(L1776:L1777)&lt;1,"",AVERAGE(L1776:L1777))</f>
        <v/>
      </c>
      <c r="N1776" s="22"/>
      <c r="O1776" s="285" t="str">
        <f t="shared" ref="O1776" si="2762">IF(COUNT(N1776:N1777)&lt;1,"",AVERAGE(N1776:N1777))</f>
        <v/>
      </c>
      <c r="P1776" s="22"/>
      <c r="Q1776" s="285" t="str">
        <f t="shared" ref="Q1776" si="2763">IF(COUNT(P1776:P1777)&lt;1,"",AVERAGE(P1776:P1777))</f>
        <v/>
      </c>
      <c r="R1776" s="278" t="str">
        <f>IF($X$13="/28",IF(COUNT(P1776:P1777)&lt;=1,"",ABS(P1776-P1777)),IF($X$13="/90",IF(COUNT(#REF!)&lt;=1,"",ABS(#REF!-#REF!))))</f>
        <v/>
      </c>
      <c r="S1776" s="278" t="str">
        <f>IF($X$13="/28",IF(Q1776="","",IF(AVERAGE(Q1772:Q1777)&gt;=$W$13,ROUND(AVERAGE(Q1772:Q1777),1)&amp;" ≥ "&amp;$W$13&amp;" OK",ROUND(AVERAGE(Q1772:Q1777),1)&amp;" &lt; "&amp;$W$13&amp;" NC")),IF($X$13="/90",IF(#REF!="","",IF(AVERAGE(#REF!)&gt;=$W$13,ROUND(AVERAGE(#REF!),1)&amp;" ≥ "&amp;$W$13&amp;" OK",ROUND(AVERAGE(#REF!),1)&amp;" &lt; "&amp;$W$13&amp;" NC"))))</f>
        <v/>
      </c>
      <c r="T1776" s="278" t="str">
        <f>IF($X$13="/28",IF(Q1776="","",IF(Q1776&gt;=$W$13-$S$12,ROUND((Q1776),1)&amp;" ≥ "&amp;$W$13-$S$12&amp;" OK",ROUND((Q1776),1)&amp;" &lt; "&amp;$W$13-$S$12&amp;" NC")),IF($X$13="/90",IF(#REF!="","",IF(#REF!&gt;=$W$13-$S$12,ROUND((#REF!),1)&amp;" ≥ "&amp;$W$13-$S$12&amp;" OK",ROUND((#REF!),1)&amp;" &lt; "&amp;$W$13-$S$12&amp;" NC"))))</f>
        <v/>
      </c>
      <c r="U1776" s="14"/>
      <c r="V1776" s="279"/>
      <c r="W1776" s="280"/>
      <c r="X1776" s="281"/>
      <c r="Y1776" s="246"/>
      <c r="Z1776" s="246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BP1776" s="390" t="str">
        <f>IF($X$13="/28",IF(Q1776="","",Q1776),IF($X$13="/90",IF(#REF!="","",#REF!),"Falso"))</f>
        <v/>
      </c>
      <c r="BQ1776" s="392" t="str">
        <f t="shared" si="2716"/>
        <v/>
      </c>
    </row>
    <row r="1777" spans="1:69" ht="14.25" customHeight="1" x14ac:dyDescent="0.35">
      <c r="A1777" s="294"/>
      <c r="B1777" s="296"/>
      <c r="C1777" s="298"/>
      <c r="D1777" s="300"/>
      <c r="E1777" s="302"/>
      <c r="F1777" s="304"/>
      <c r="G1777" s="276"/>
      <c r="H1777" s="277"/>
      <c r="I1777" s="290"/>
      <c r="J1777" s="290"/>
      <c r="K1777" s="291"/>
      <c r="L1777" s="17"/>
      <c r="M1777" s="286"/>
      <c r="N1777" s="21"/>
      <c r="O1777" s="286"/>
      <c r="P1777" s="21"/>
      <c r="Q1777" s="286"/>
      <c r="R1777" s="248"/>
      <c r="S1777" s="287"/>
      <c r="T1777" s="248"/>
      <c r="U1777" s="13"/>
      <c r="V1777" s="282"/>
      <c r="W1777" s="283"/>
      <c r="X1777" s="284"/>
      <c r="Y1777" s="245"/>
      <c r="Z1777" s="245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BP1777" s="391"/>
      <c r="BQ1777" s="393"/>
    </row>
    <row r="1778" spans="1:69" ht="14.25" customHeight="1" x14ac:dyDescent="0.35">
      <c r="A1778" s="293">
        <v>881</v>
      </c>
      <c r="B1778" s="295"/>
      <c r="C1778" s="297"/>
      <c r="D1778" s="299"/>
      <c r="E1778" s="301"/>
      <c r="F1778" s="303"/>
      <c r="G1778" s="288"/>
      <c r="H1778" s="289"/>
      <c r="I1778" s="290"/>
      <c r="J1778" s="290"/>
      <c r="K1778" s="291"/>
      <c r="L1778" s="18"/>
      <c r="M1778" s="285" t="str">
        <f t="shared" ref="M1778" si="2764">IF(COUNT(L1778:L1779)&lt;1,"",AVERAGE(L1778:L1779))</f>
        <v/>
      </c>
      <c r="N1778" s="22"/>
      <c r="O1778" s="285" t="str">
        <f t="shared" ref="O1778" si="2765">IF(COUNT(N1778:N1779)&lt;1,"",AVERAGE(N1778:N1779))</f>
        <v/>
      </c>
      <c r="P1778" s="22"/>
      <c r="Q1778" s="285" t="str">
        <f t="shared" ref="Q1778" si="2766">IF(COUNT(P1778:P1779)&lt;1,"",AVERAGE(P1778:P1779))</f>
        <v/>
      </c>
      <c r="R1778" s="278" t="str">
        <f>IF($X$13="/28",IF(COUNT(P1778:P1779)&lt;=1,"",ABS(P1778-P1779)),IF($X$13="/90",IF(COUNT(#REF!)&lt;=1,"",ABS(#REF!-#REF!))))</f>
        <v/>
      </c>
      <c r="S1778" s="278" t="str">
        <f>IF($X$13="/28",IF(Q1778="","",IF(AVERAGE(Q1774:Q1779)&gt;=$W$13,ROUND(AVERAGE(Q1774:Q1779),1)&amp;" ≥ "&amp;$W$13&amp;" OK",ROUND(AVERAGE(Q1774:Q1779),1)&amp;" &lt; "&amp;$W$13&amp;" NC")),IF($X$13="/90",IF(#REF!="","",IF(AVERAGE(#REF!)&gt;=$W$13,ROUND(AVERAGE(#REF!),1)&amp;" ≥ "&amp;$W$13&amp;" OK",ROUND(AVERAGE(#REF!),1)&amp;" &lt; "&amp;$W$13&amp;" NC"))))</f>
        <v/>
      </c>
      <c r="T1778" s="278" t="str">
        <f>IF($X$13="/28",IF(Q1778="","",IF(Q1778&gt;=$W$13-$S$12,ROUND((Q1778),1)&amp;" ≥ "&amp;$W$13-$S$12&amp;" OK",ROUND((Q1778),1)&amp;" &lt; "&amp;$W$13-$S$12&amp;" NC")),IF($X$13="/90",IF(#REF!="","",IF(#REF!&gt;=$W$13-$S$12,ROUND((#REF!),1)&amp;" ≥ "&amp;$W$13-$S$12&amp;" OK",ROUND((#REF!),1)&amp;" &lt; "&amp;$W$13-$S$12&amp;" NC"))))</f>
        <v/>
      </c>
      <c r="U1778" s="14"/>
      <c r="V1778" s="279"/>
      <c r="W1778" s="280"/>
      <c r="X1778" s="281"/>
      <c r="Y1778" s="246"/>
      <c r="Z1778" s="246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BP1778" s="390" t="str">
        <f>IF($X$13="/28",IF(Q1778="","",Q1778),IF($X$13="/90",IF(#REF!="","",#REF!),"Falso"))</f>
        <v/>
      </c>
      <c r="BQ1778" s="392" t="str">
        <f t="shared" si="2720"/>
        <v/>
      </c>
    </row>
    <row r="1779" spans="1:69" ht="14.25" customHeight="1" x14ac:dyDescent="0.35">
      <c r="A1779" s="294"/>
      <c r="B1779" s="296"/>
      <c r="C1779" s="298"/>
      <c r="D1779" s="300"/>
      <c r="E1779" s="302"/>
      <c r="F1779" s="304"/>
      <c r="G1779" s="276"/>
      <c r="H1779" s="277"/>
      <c r="I1779" s="290"/>
      <c r="J1779" s="290"/>
      <c r="K1779" s="291"/>
      <c r="L1779" s="17"/>
      <c r="M1779" s="286"/>
      <c r="N1779" s="21"/>
      <c r="O1779" s="286"/>
      <c r="P1779" s="21"/>
      <c r="Q1779" s="286"/>
      <c r="R1779" s="248"/>
      <c r="S1779" s="287"/>
      <c r="T1779" s="248"/>
      <c r="U1779" s="13"/>
      <c r="V1779" s="282"/>
      <c r="W1779" s="283"/>
      <c r="X1779" s="284"/>
      <c r="Y1779" s="245"/>
      <c r="Z1779" s="245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BP1779" s="391"/>
      <c r="BQ1779" s="393"/>
    </row>
    <row r="1780" spans="1:69" ht="14.25" customHeight="1" x14ac:dyDescent="0.35">
      <c r="A1780" s="293">
        <v>882</v>
      </c>
      <c r="B1780" s="295"/>
      <c r="C1780" s="297"/>
      <c r="D1780" s="299"/>
      <c r="E1780" s="301"/>
      <c r="F1780" s="303"/>
      <c r="G1780" s="288"/>
      <c r="H1780" s="289"/>
      <c r="I1780" s="290"/>
      <c r="J1780" s="290"/>
      <c r="K1780" s="291"/>
      <c r="L1780" s="18"/>
      <c r="M1780" s="285" t="str">
        <f t="shared" ref="M1780" si="2767">IF(COUNT(L1780:L1781)&lt;1,"",AVERAGE(L1780:L1781))</f>
        <v/>
      </c>
      <c r="N1780" s="22"/>
      <c r="O1780" s="285" t="str">
        <f t="shared" ref="O1780" si="2768">IF(COUNT(N1780:N1781)&lt;1,"",AVERAGE(N1780:N1781))</f>
        <v/>
      </c>
      <c r="P1780" s="22"/>
      <c r="Q1780" s="285" t="str">
        <f t="shared" ref="Q1780" si="2769">IF(COUNT(P1780:P1781)&lt;1,"",AVERAGE(P1780:P1781))</f>
        <v/>
      </c>
      <c r="R1780" s="278" t="str">
        <f>IF($X$13="/28",IF(COUNT(P1780:P1781)&lt;=1,"",ABS(P1780-P1781)),IF($X$13="/90",IF(COUNT(#REF!)&lt;=1,"",ABS(#REF!-#REF!))))</f>
        <v/>
      </c>
      <c r="S1780" s="278" t="str">
        <f>IF($X$13="/28",IF(Q1780="","",IF(AVERAGE(Q1776:Q1781)&gt;=$W$13,ROUND(AVERAGE(Q1776:Q1781),1)&amp;" ≥ "&amp;$W$13&amp;" OK",ROUND(AVERAGE(Q1776:Q1781),1)&amp;" &lt; "&amp;$W$13&amp;" NC")),IF($X$13="/90",IF(#REF!="","",IF(AVERAGE(#REF!)&gt;=$W$13,ROUND(AVERAGE(#REF!),1)&amp;" ≥ "&amp;$W$13&amp;" OK",ROUND(AVERAGE(#REF!),1)&amp;" &lt; "&amp;$W$13&amp;" NC"))))</f>
        <v/>
      </c>
      <c r="T1780" s="278" t="str">
        <f>IF($X$13="/28",IF(Q1780="","",IF(Q1780&gt;=$W$13-$S$12,ROUND((Q1780),1)&amp;" ≥ "&amp;$W$13-$S$12&amp;" OK",ROUND((Q1780),1)&amp;" &lt; "&amp;$W$13-$S$12&amp;" NC")),IF($X$13="/90",IF(#REF!="","",IF(#REF!&gt;=$W$13-$S$12,ROUND((#REF!),1)&amp;" ≥ "&amp;$W$13-$S$12&amp;" OK",ROUND((#REF!),1)&amp;" &lt; "&amp;$W$13-$S$12&amp;" NC"))))</f>
        <v/>
      </c>
      <c r="U1780" s="14"/>
      <c r="V1780" s="279"/>
      <c r="W1780" s="280"/>
      <c r="X1780" s="281"/>
      <c r="Y1780" s="246"/>
      <c r="Z1780" s="246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BP1780" s="390" t="str">
        <f>IF($X$13="/28",IF(Q1780="","",Q1780),IF($X$13="/90",IF(#REF!="","",#REF!),"Falso"))</f>
        <v/>
      </c>
      <c r="BQ1780" s="392" t="str">
        <f t="shared" si="2724"/>
        <v/>
      </c>
    </row>
    <row r="1781" spans="1:69" ht="14.25" customHeight="1" x14ac:dyDescent="0.35">
      <c r="A1781" s="294"/>
      <c r="B1781" s="296"/>
      <c r="C1781" s="298"/>
      <c r="D1781" s="300"/>
      <c r="E1781" s="302"/>
      <c r="F1781" s="304"/>
      <c r="G1781" s="276"/>
      <c r="H1781" s="277"/>
      <c r="I1781" s="290"/>
      <c r="J1781" s="290"/>
      <c r="K1781" s="291"/>
      <c r="L1781" s="17"/>
      <c r="M1781" s="286"/>
      <c r="N1781" s="21"/>
      <c r="O1781" s="286"/>
      <c r="P1781" s="21"/>
      <c r="Q1781" s="286"/>
      <c r="R1781" s="248"/>
      <c r="S1781" s="287"/>
      <c r="T1781" s="248"/>
      <c r="U1781" s="13"/>
      <c r="V1781" s="282"/>
      <c r="W1781" s="283"/>
      <c r="X1781" s="284"/>
      <c r="Y1781" s="245"/>
      <c r="Z1781" s="245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BP1781" s="391"/>
      <c r="BQ1781" s="393"/>
    </row>
    <row r="1782" spans="1:69" ht="14.25" customHeight="1" x14ac:dyDescent="0.35">
      <c r="A1782" s="293">
        <v>883</v>
      </c>
      <c r="B1782" s="295"/>
      <c r="C1782" s="297"/>
      <c r="D1782" s="299"/>
      <c r="E1782" s="301"/>
      <c r="F1782" s="303"/>
      <c r="G1782" s="288"/>
      <c r="H1782" s="289"/>
      <c r="I1782" s="290"/>
      <c r="J1782" s="290"/>
      <c r="K1782" s="291"/>
      <c r="L1782" s="18"/>
      <c r="M1782" s="285" t="str">
        <f t="shared" ref="M1782" si="2770">IF(COUNT(L1782:L1783)&lt;1,"",AVERAGE(L1782:L1783))</f>
        <v/>
      </c>
      <c r="N1782" s="22"/>
      <c r="O1782" s="285" t="str">
        <f t="shared" ref="O1782" si="2771">IF(COUNT(N1782:N1783)&lt;1,"",AVERAGE(N1782:N1783))</f>
        <v/>
      </c>
      <c r="P1782" s="22"/>
      <c r="Q1782" s="285" t="str">
        <f t="shared" ref="Q1782" si="2772">IF(COUNT(P1782:P1783)&lt;1,"",AVERAGE(P1782:P1783))</f>
        <v/>
      </c>
      <c r="R1782" s="278" t="str">
        <f>IF($X$13="/28",IF(COUNT(P1782:P1783)&lt;=1,"",ABS(P1782-P1783)),IF($X$13="/90",IF(COUNT(#REF!)&lt;=1,"",ABS(#REF!-#REF!))))</f>
        <v/>
      </c>
      <c r="S1782" s="278" t="str">
        <f>IF($X$13="/28",IF(Q1782="","",IF(AVERAGE(Q1778:Q1783)&gt;=$W$13,ROUND(AVERAGE(Q1778:Q1783),1)&amp;" ≥ "&amp;$W$13&amp;" OK",ROUND(AVERAGE(Q1778:Q1783),1)&amp;" &lt; "&amp;$W$13&amp;" NC")),IF($X$13="/90",IF(#REF!="","",IF(AVERAGE(#REF!)&gt;=$W$13,ROUND(AVERAGE(#REF!),1)&amp;" ≥ "&amp;$W$13&amp;" OK",ROUND(AVERAGE(#REF!),1)&amp;" &lt; "&amp;$W$13&amp;" NC"))))</f>
        <v/>
      </c>
      <c r="T1782" s="278" t="str">
        <f>IF($X$13="/28",IF(Q1782="","",IF(Q1782&gt;=$W$13-$S$12,ROUND((Q1782),1)&amp;" ≥ "&amp;$W$13-$S$12&amp;" OK",ROUND((Q1782),1)&amp;" &lt; "&amp;$W$13-$S$12&amp;" NC")),IF($X$13="/90",IF(#REF!="","",IF(#REF!&gt;=$W$13-$S$12,ROUND((#REF!),1)&amp;" ≥ "&amp;$W$13-$S$12&amp;" OK",ROUND((#REF!),1)&amp;" &lt; "&amp;$W$13-$S$12&amp;" NC"))))</f>
        <v/>
      </c>
      <c r="U1782" s="14"/>
      <c r="V1782" s="279"/>
      <c r="W1782" s="280"/>
      <c r="X1782" s="281"/>
      <c r="Y1782" s="246"/>
      <c r="Z1782" s="246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BP1782" s="390" t="str">
        <f>IF($X$13="/28",IF(Q1782="","",Q1782),IF($X$13="/90",IF(#REF!="","",#REF!),"Falso"))</f>
        <v/>
      </c>
      <c r="BQ1782" s="392" t="str">
        <f t="shared" si="2716"/>
        <v/>
      </c>
    </row>
    <row r="1783" spans="1:69" ht="14.25" customHeight="1" x14ac:dyDescent="0.35">
      <c r="A1783" s="294"/>
      <c r="B1783" s="296"/>
      <c r="C1783" s="298"/>
      <c r="D1783" s="300"/>
      <c r="E1783" s="302"/>
      <c r="F1783" s="304"/>
      <c r="G1783" s="276"/>
      <c r="H1783" s="277"/>
      <c r="I1783" s="290"/>
      <c r="J1783" s="290"/>
      <c r="K1783" s="291"/>
      <c r="L1783" s="17"/>
      <c r="M1783" s="286"/>
      <c r="N1783" s="21"/>
      <c r="O1783" s="286"/>
      <c r="P1783" s="21"/>
      <c r="Q1783" s="286"/>
      <c r="R1783" s="248"/>
      <c r="S1783" s="287"/>
      <c r="T1783" s="248"/>
      <c r="U1783" s="13"/>
      <c r="V1783" s="282"/>
      <c r="W1783" s="283"/>
      <c r="X1783" s="284"/>
      <c r="Y1783" s="245"/>
      <c r="Z1783" s="245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BP1783" s="391"/>
      <c r="BQ1783" s="393"/>
    </row>
    <row r="1784" spans="1:69" ht="14.25" customHeight="1" x14ac:dyDescent="0.35">
      <c r="A1784" s="293">
        <v>884</v>
      </c>
      <c r="B1784" s="295"/>
      <c r="C1784" s="297"/>
      <c r="D1784" s="299"/>
      <c r="E1784" s="301"/>
      <c r="F1784" s="303"/>
      <c r="G1784" s="288"/>
      <c r="H1784" s="289"/>
      <c r="I1784" s="290"/>
      <c r="J1784" s="290"/>
      <c r="K1784" s="291"/>
      <c r="L1784" s="18"/>
      <c r="M1784" s="285" t="str">
        <f t="shared" ref="M1784" si="2773">IF(COUNT(L1784:L1785)&lt;1,"",AVERAGE(L1784:L1785))</f>
        <v/>
      </c>
      <c r="N1784" s="22"/>
      <c r="O1784" s="285" t="str">
        <f t="shared" ref="O1784" si="2774">IF(COUNT(N1784:N1785)&lt;1,"",AVERAGE(N1784:N1785))</f>
        <v/>
      </c>
      <c r="P1784" s="22"/>
      <c r="Q1784" s="285" t="str">
        <f t="shared" ref="Q1784" si="2775">IF(COUNT(P1784:P1785)&lt;1,"",AVERAGE(P1784:P1785))</f>
        <v/>
      </c>
      <c r="R1784" s="278" t="str">
        <f>IF($X$13="/28",IF(COUNT(P1784:P1785)&lt;=1,"",ABS(P1784-P1785)),IF($X$13="/90",IF(COUNT(#REF!)&lt;=1,"",ABS(#REF!-#REF!))))</f>
        <v/>
      </c>
      <c r="S1784" s="278" t="str">
        <f>IF($X$13="/28",IF(Q1784="","",IF(AVERAGE(Q1780:Q1785)&gt;=$W$13,ROUND(AVERAGE(Q1780:Q1785),1)&amp;" ≥ "&amp;$W$13&amp;" OK",ROUND(AVERAGE(Q1780:Q1785),1)&amp;" &lt; "&amp;$W$13&amp;" NC")),IF($X$13="/90",IF(#REF!="","",IF(AVERAGE(#REF!)&gt;=$W$13,ROUND(AVERAGE(#REF!),1)&amp;" ≥ "&amp;$W$13&amp;" OK",ROUND(AVERAGE(#REF!),1)&amp;" &lt; "&amp;$W$13&amp;" NC"))))</f>
        <v/>
      </c>
      <c r="T1784" s="278" t="str">
        <f>IF($X$13="/28",IF(Q1784="","",IF(Q1784&gt;=$W$13-$S$12,ROUND((Q1784),1)&amp;" ≥ "&amp;$W$13-$S$12&amp;" OK",ROUND((Q1784),1)&amp;" &lt; "&amp;$W$13-$S$12&amp;" NC")),IF($X$13="/90",IF(#REF!="","",IF(#REF!&gt;=$W$13-$S$12,ROUND((#REF!),1)&amp;" ≥ "&amp;$W$13-$S$12&amp;" OK",ROUND((#REF!),1)&amp;" &lt; "&amp;$W$13-$S$12&amp;" NC"))))</f>
        <v/>
      </c>
      <c r="U1784" s="14"/>
      <c r="V1784" s="279"/>
      <c r="W1784" s="280"/>
      <c r="X1784" s="281"/>
      <c r="Y1784" s="246"/>
      <c r="Z1784" s="246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BP1784" s="390" t="str">
        <f>IF($X$13="/28",IF(Q1784="","",Q1784),IF($X$13="/90",IF(#REF!="","",#REF!),"Falso"))</f>
        <v/>
      </c>
      <c r="BQ1784" s="392" t="str">
        <f t="shared" si="2720"/>
        <v/>
      </c>
    </row>
    <row r="1785" spans="1:69" ht="14.25" customHeight="1" x14ac:dyDescent="0.35">
      <c r="A1785" s="294"/>
      <c r="B1785" s="296"/>
      <c r="C1785" s="298"/>
      <c r="D1785" s="300"/>
      <c r="E1785" s="302"/>
      <c r="F1785" s="304"/>
      <c r="G1785" s="276"/>
      <c r="H1785" s="277"/>
      <c r="I1785" s="290"/>
      <c r="J1785" s="290"/>
      <c r="K1785" s="291"/>
      <c r="L1785" s="17"/>
      <c r="M1785" s="286"/>
      <c r="N1785" s="21"/>
      <c r="O1785" s="286"/>
      <c r="P1785" s="21"/>
      <c r="Q1785" s="286"/>
      <c r="R1785" s="248"/>
      <c r="S1785" s="287"/>
      <c r="T1785" s="248"/>
      <c r="U1785" s="13"/>
      <c r="V1785" s="282"/>
      <c r="W1785" s="283"/>
      <c r="X1785" s="284"/>
      <c r="Y1785" s="245"/>
      <c r="Z1785" s="245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BP1785" s="391"/>
      <c r="BQ1785" s="393"/>
    </row>
    <row r="1786" spans="1:69" ht="14.25" customHeight="1" x14ac:dyDescent="0.35">
      <c r="A1786" s="293">
        <v>885</v>
      </c>
      <c r="B1786" s="295"/>
      <c r="C1786" s="297"/>
      <c r="D1786" s="299"/>
      <c r="E1786" s="301"/>
      <c r="F1786" s="303"/>
      <c r="G1786" s="288"/>
      <c r="H1786" s="289"/>
      <c r="I1786" s="290"/>
      <c r="J1786" s="290"/>
      <c r="K1786" s="291"/>
      <c r="L1786" s="18"/>
      <c r="M1786" s="285" t="str">
        <f t="shared" ref="M1786" si="2776">IF(COUNT(L1786:L1787)&lt;1,"",AVERAGE(L1786:L1787))</f>
        <v/>
      </c>
      <c r="N1786" s="22"/>
      <c r="O1786" s="285" t="str">
        <f t="shared" ref="O1786" si="2777">IF(COUNT(N1786:N1787)&lt;1,"",AVERAGE(N1786:N1787))</f>
        <v/>
      </c>
      <c r="P1786" s="22"/>
      <c r="Q1786" s="285" t="str">
        <f t="shared" ref="Q1786" si="2778">IF(COUNT(P1786:P1787)&lt;1,"",AVERAGE(P1786:P1787))</f>
        <v/>
      </c>
      <c r="R1786" s="278" t="str">
        <f>IF($X$13="/28",IF(COUNT(P1786:P1787)&lt;=1,"",ABS(P1786-P1787)),IF($X$13="/90",IF(COUNT(#REF!)&lt;=1,"",ABS(#REF!-#REF!))))</f>
        <v/>
      </c>
      <c r="S1786" s="278" t="str">
        <f>IF($X$13="/28",IF(Q1786="","",IF(AVERAGE(Q1782:Q1787)&gt;=$W$13,ROUND(AVERAGE(Q1782:Q1787),1)&amp;" ≥ "&amp;$W$13&amp;" OK",ROUND(AVERAGE(Q1782:Q1787),1)&amp;" &lt; "&amp;$W$13&amp;" NC")),IF($X$13="/90",IF(#REF!="","",IF(AVERAGE(#REF!)&gt;=$W$13,ROUND(AVERAGE(#REF!),1)&amp;" ≥ "&amp;$W$13&amp;" OK",ROUND(AVERAGE(#REF!),1)&amp;" &lt; "&amp;$W$13&amp;" NC"))))</f>
        <v/>
      </c>
      <c r="T1786" s="278" t="str">
        <f>IF($X$13="/28",IF(Q1786="","",IF(Q1786&gt;=$W$13-$S$12,ROUND((Q1786),1)&amp;" ≥ "&amp;$W$13-$S$12&amp;" OK",ROUND((Q1786),1)&amp;" &lt; "&amp;$W$13-$S$12&amp;" NC")),IF($X$13="/90",IF(#REF!="","",IF(#REF!&gt;=$W$13-$S$12,ROUND((#REF!),1)&amp;" ≥ "&amp;$W$13-$S$12&amp;" OK",ROUND((#REF!),1)&amp;" &lt; "&amp;$W$13-$S$12&amp;" NC"))))</f>
        <v/>
      </c>
      <c r="U1786" s="14"/>
      <c r="V1786" s="279"/>
      <c r="W1786" s="280"/>
      <c r="X1786" s="281"/>
      <c r="Y1786" s="246"/>
      <c r="Z1786" s="246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BP1786" s="390" t="str">
        <f>IF($X$13="/28",IF(Q1786="","",Q1786),IF($X$13="/90",IF(#REF!="","",#REF!),"Falso"))</f>
        <v/>
      </c>
      <c r="BQ1786" s="392" t="str">
        <f t="shared" si="2724"/>
        <v/>
      </c>
    </row>
    <row r="1787" spans="1:69" ht="14.25" customHeight="1" x14ac:dyDescent="0.35">
      <c r="A1787" s="294"/>
      <c r="B1787" s="296"/>
      <c r="C1787" s="298"/>
      <c r="D1787" s="300"/>
      <c r="E1787" s="302"/>
      <c r="F1787" s="304"/>
      <c r="G1787" s="276"/>
      <c r="H1787" s="277"/>
      <c r="I1787" s="290"/>
      <c r="J1787" s="290"/>
      <c r="K1787" s="291"/>
      <c r="L1787" s="17"/>
      <c r="M1787" s="286"/>
      <c r="N1787" s="21"/>
      <c r="O1787" s="286"/>
      <c r="P1787" s="21"/>
      <c r="Q1787" s="286"/>
      <c r="R1787" s="248"/>
      <c r="S1787" s="287"/>
      <c r="T1787" s="248"/>
      <c r="U1787" s="13"/>
      <c r="V1787" s="282"/>
      <c r="W1787" s="283"/>
      <c r="X1787" s="284"/>
      <c r="Y1787" s="245"/>
      <c r="Z1787" s="245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BP1787" s="391"/>
      <c r="BQ1787" s="393"/>
    </row>
    <row r="1788" spans="1:69" ht="14.25" customHeight="1" x14ac:dyDescent="0.35">
      <c r="A1788" s="293">
        <v>886</v>
      </c>
      <c r="B1788" s="295"/>
      <c r="C1788" s="297"/>
      <c r="D1788" s="299"/>
      <c r="E1788" s="301"/>
      <c r="F1788" s="303"/>
      <c r="G1788" s="288"/>
      <c r="H1788" s="289"/>
      <c r="I1788" s="290"/>
      <c r="J1788" s="290"/>
      <c r="K1788" s="291"/>
      <c r="L1788" s="18"/>
      <c r="M1788" s="285" t="str">
        <f t="shared" ref="M1788" si="2779">IF(COUNT(L1788:L1789)&lt;1,"",AVERAGE(L1788:L1789))</f>
        <v/>
      </c>
      <c r="N1788" s="22"/>
      <c r="O1788" s="285" t="str">
        <f t="shared" ref="O1788" si="2780">IF(COUNT(N1788:N1789)&lt;1,"",AVERAGE(N1788:N1789))</f>
        <v/>
      </c>
      <c r="P1788" s="22"/>
      <c r="Q1788" s="285" t="str">
        <f t="shared" ref="Q1788" si="2781">IF(COUNT(P1788:P1789)&lt;1,"",AVERAGE(P1788:P1789))</f>
        <v/>
      </c>
      <c r="R1788" s="278" t="str">
        <f>IF($X$13="/28",IF(COUNT(P1788:P1789)&lt;=1,"",ABS(P1788-P1789)),IF($X$13="/90",IF(COUNT(#REF!)&lt;=1,"",ABS(#REF!-#REF!))))</f>
        <v/>
      </c>
      <c r="S1788" s="278" t="str">
        <f>IF($X$13="/28",IF(Q1788="","",IF(AVERAGE(Q1784:Q1789)&gt;=$W$13,ROUND(AVERAGE(Q1784:Q1789),1)&amp;" ≥ "&amp;$W$13&amp;" OK",ROUND(AVERAGE(Q1784:Q1789),1)&amp;" &lt; "&amp;$W$13&amp;" NC")),IF($X$13="/90",IF(#REF!="","",IF(AVERAGE(#REF!)&gt;=$W$13,ROUND(AVERAGE(#REF!),1)&amp;" ≥ "&amp;$W$13&amp;" OK",ROUND(AVERAGE(#REF!),1)&amp;" &lt; "&amp;$W$13&amp;" NC"))))</f>
        <v/>
      </c>
      <c r="T1788" s="278" t="str">
        <f>IF($X$13="/28",IF(Q1788="","",IF(Q1788&gt;=$W$13-$S$12,ROUND((Q1788),1)&amp;" ≥ "&amp;$W$13-$S$12&amp;" OK",ROUND((Q1788),1)&amp;" &lt; "&amp;$W$13-$S$12&amp;" NC")),IF($X$13="/90",IF(#REF!="","",IF(#REF!&gt;=$W$13-$S$12,ROUND((#REF!),1)&amp;" ≥ "&amp;$W$13-$S$12&amp;" OK",ROUND((#REF!),1)&amp;" &lt; "&amp;$W$13-$S$12&amp;" NC"))))</f>
        <v/>
      </c>
      <c r="U1788" s="14"/>
      <c r="V1788" s="279"/>
      <c r="W1788" s="280"/>
      <c r="X1788" s="281"/>
      <c r="Y1788" s="246"/>
      <c r="Z1788" s="246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BP1788" s="390" t="str">
        <f>IF($X$13="/28",IF(Q1788="","",Q1788),IF($X$13="/90",IF(#REF!="","",#REF!),"Falso"))</f>
        <v/>
      </c>
      <c r="BQ1788" s="392" t="str">
        <f t="shared" si="2716"/>
        <v/>
      </c>
    </row>
    <row r="1789" spans="1:69" ht="14.25" customHeight="1" x14ac:dyDescent="0.35">
      <c r="A1789" s="294"/>
      <c r="B1789" s="296"/>
      <c r="C1789" s="298"/>
      <c r="D1789" s="300"/>
      <c r="E1789" s="302"/>
      <c r="F1789" s="304"/>
      <c r="G1789" s="276"/>
      <c r="H1789" s="277"/>
      <c r="I1789" s="290"/>
      <c r="J1789" s="290"/>
      <c r="K1789" s="291"/>
      <c r="L1789" s="17"/>
      <c r="M1789" s="286"/>
      <c r="N1789" s="21"/>
      <c r="O1789" s="286"/>
      <c r="P1789" s="21"/>
      <c r="Q1789" s="286"/>
      <c r="R1789" s="248"/>
      <c r="S1789" s="287"/>
      <c r="T1789" s="248"/>
      <c r="U1789" s="13"/>
      <c r="V1789" s="282"/>
      <c r="W1789" s="283"/>
      <c r="X1789" s="284"/>
      <c r="Y1789" s="245"/>
      <c r="Z1789" s="245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BP1789" s="391"/>
      <c r="BQ1789" s="393"/>
    </row>
    <row r="1790" spans="1:69" ht="14.25" customHeight="1" x14ac:dyDescent="0.35">
      <c r="A1790" s="293">
        <v>887</v>
      </c>
      <c r="B1790" s="295"/>
      <c r="C1790" s="297"/>
      <c r="D1790" s="299"/>
      <c r="E1790" s="301"/>
      <c r="F1790" s="303"/>
      <c r="G1790" s="288"/>
      <c r="H1790" s="289"/>
      <c r="I1790" s="290"/>
      <c r="J1790" s="290"/>
      <c r="K1790" s="291"/>
      <c r="L1790" s="18"/>
      <c r="M1790" s="285" t="str">
        <f t="shared" ref="M1790" si="2782">IF(COUNT(L1790:L1791)&lt;1,"",AVERAGE(L1790:L1791))</f>
        <v/>
      </c>
      <c r="N1790" s="22"/>
      <c r="O1790" s="285" t="str">
        <f t="shared" ref="O1790" si="2783">IF(COUNT(N1790:N1791)&lt;1,"",AVERAGE(N1790:N1791))</f>
        <v/>
      </c>
      <c r="P1790" s="22"/>
      <c r="Q1790" s="285" t="str">
        <f t="shared" ref="Q1790" si="2784">IF(COUNT(P1790:P1791)&lt;1,"",AVERAGE(P1790:P1791))</f>
        <v/>
      </c>
      <c r="R1790" s="278" t="str">
        <f>IF($X$13="/28",IF(COUNT(P1790:P1791)&lt;=1,"",ABS(P1790-P1791)),IF($X$13="/90",IF(COUNT(#REF!)&lt;=1,"",ABS(#REF!-#REF!))))</f>
        <v/>
      </c>
      <c r="S1790" s="278" t="str">
        <f>IF($X$13="/28",IF(Q1790="","",IF(AVERAGE(Q1786:Q1791)&gt;=$W$13,ROUND(AVERAGE(Q1786:Q1791),1)&amp;" ≥ "&amp;$W$13&amp;" OK",ROUND(AVERAGE(Q1786:Q1791),1)&amp;" &lt; "&amp;$W$13&amp;" NC")),IF($X$13="/90",IF(#REF!="","",IF(AVERAGE(#REF!)&gt;=$W$13,ROUND(AVERAGE(#REF!),1)&amp;" ≥ "&amp;$W$13&amp;" OK",ROUND(AVERAGE(#REF!),1)&amp;" &lt; "&amp;$W$13&amp;" NC"))))</f>
        <v/>
      </c>
      <c r="T1790" s="278" t="str">
        <f>IF($X$13="/28",IF(Q1790="","",IF(Q1790&gt;=$W$13-$S$12,ROUND((Q1790),1)&amp;" ≥ "&amp;$W$13-$S$12&amp;" OK",ROUND((Q1790),1)&amp;" &lt; "&amp;$W$13-$S$12&amp;" NC")),IF($X$13="/90",IF(#REF!="","",IF(#REF!&gt;=$W$13-$S$12,ROUND((#REF!),1)&amp;" ≥ "&amp;$W$13-$S$12&amp;" OK",ROUND((#REF!),1)&amp;" &lt; "&amp;$W$13-$S$12&amp;" NC"))))</f>
        <v/>
      </c>
      <c r="U1790" s="14"/>
      <c r="V1790" s="279"/>
      <c r="W1790" s="280"/>
      <c r="X1790" s="281"/>
      <c r="Y1790" s="246"/>
      <c r="Z1790" s="246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BP1790" s="390" t="str">
        <f>IF($X$13="/28",IF(Q1790="","",Q1790),IF($X$13="/90",IF(#REF!="","",#REF!),"Falso"))</f>
        <v/>
      </c>
      <c r="BQ1790" s="392" t="str">
        <f t="shared" si="2720"/>
        <v/>
      </c>
    </row>
    <row r="1791" spans="1:69" ht="14.25" customHeight="1" x14ac:dyDescent="0.35">
      <c r="A1791" s="294"/>
      <c r="B1791" s="296"/>
      <c r="C1791" s="298"/>
      <c r="D1791" s="300"/>
      <c r="E1791" s="302"/>
      <c r="F1791" s="304"/>
      <c r="G1791" s="276"/>
      <c r="H1791" s="277"/>
      <c r="I1791" s="290"/>
      <c r="J1791" s="290"/>
      <c r="K1791" s="291"/>
      <c r="L1791" s="17"/>
      <c r="M1791" s="286"/>
      <c r="N1791" s="21"/>
      <c r="O1791" s="286"/>
      <c r="P1791" s="21"/>
      <c r="Q1791" s="286"/>
      <c r="R1791" s="248"/>
      <c r="S1791" s="287"/>
      <c r="T1791" s="248"/>
      <c r="U1791" s="13"/>
      <c r="V1791" s="282"/>
      <c r="W1791" s="283"/>
      <c r="X1791" s="284"/>
      <c r="Y1791" s="245"/>
      <c r="Z1791" s="245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BP1791" s="391"/>
      <c r="BQ1791" s="393"/>
    </row>
    <row r="1792" spans="1:69" ht="14.25" customHeight="1" x14ac:dyDescent="0.35">
      <c r="A1792" s="293">
        <v>888</v>
      </c>
      <c r="B1792" s="295"/>
      <c r="C1792" s="297"/>
      <c r="D1792" s="299"/>
      <c r="E1792" s="301"/>
      <c r="F1792" s="303"/>
      <c r="G1792" s="288"/>
      <c r="H1792" s="289"/>
      <c r="I1792" s="290"/>
      <c r="J1792" s="290"/>
      <c r="K1792" s="291"/>
      <c r="L1792" s="18"/>
      <c r="M1792" s="285" t="str">
        <f t="shared" ref="M1792" si="2785">IF(COUNT(L1792:L1793)&lt;1,"",AVERAGE(L1792:L1793))</f>
        <v/>
      </c>
      <c r="N1792" s="22"/>
      <c r="O1792" s="285" t="str">
        <f t="shared" ref="O1792" si="2786">IF(COUNT(N1792:N1793)&lt;1,"",AVERAGE(N1792:N1793))</f>
        <v/>
      </c>
      <c r="P1792" s="22"/>
      <c r="Q1792" s="285" t="str">
        <f t="shared" ref="Q1792" si="2787">IF(COUNT(P1792:P1793)&lt;1,"",AVERAGE(P1792:P1793))</f>
        <v/>
      </c>
      <c r="R1792" s="278" t="str">
        <f>IF($X$13="/28",IF(COUNT(P1792:P1793)&lt;=1,"",ABS(P1792-P1793)),IF($X$13="/90",IF(COUNT(#REF!)&lt;=1,"",ABS(#REF!-#REF!))))</f>
        <v/>
      </c>
      <c r="S1792" s="278" t="str">
        <f>IF($X$13="/28",IF(Q1792="","",IF(AVERAGE(Q1788:Q1793)&gt;=$W$13,ROUND(AVERAGE(Q1788:Q1793),1)&amp;" ≥ "&amp;$W$13&amp;" OK",ROUND(AVERAGE(Q1788:Q1793),1)&amp;" &lt; "&amp;$W$13&amp;" NC")),IF($X$13="/90",IF(#REF!="","",IF(AVERAGE(#REF!)&gt;=$W$13,ROUND(AVERAGE(#REF!),1)&amp;" ≥ "&amp;$W$13&amp;" OK",ROUND(AVERAGE(#REF!),1)&amp;" &lt; "&amp;$W$13&amp;" NC"))))</f>
        <v/>
      </c>
      <c r="T1792" s="278" t="str">
        <f>IF($X$13="/28",IF(Q1792="","",IF(Q1792&gt;=$W$13-$S$12,ROUND((Q1792),1)&amp;" ≥ "&amp;$W$13-$S$12&amp;" OK",ROUND((Q1792),1)&amp;" &lt; "&amp;$W$13-$S$12&amp;" NC")),IF($X$13="/90",IF(#REF!="","",IF(#REF!&gt;=$W$13-$S$12,ROUND((#REF!),1)&amp;" ≥ "&amp;$W$13-$S$12&amp;" OK",ROUND((#REF!),1)&amp;" &lt; "&amp;$W$13-$S$12&amp;" NC"))))</f>
        <v/>
      </c>
      <c r="U1792" s="14"/>
      <c r="V1792" s="279"/>
      <c r="W1792" s="280"/>
      <c r="X1792" s="281"/>
      <c r="Y1792" s="246"/>
      <c r="Z1792" s="246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BP1792" s="390" t="str">
        <f>IF($X$13="/28",IF(Q1792="","",Q1792),IF($X$13="/90",IF(#REF!="","",#REF!),"Falso"))</f>
        <v/>
      </c>
      <c r="BQ1792" s="392" t="str">
        <f t="shared" si="2724"/>
        <v/>
      </c>
    </row>
    <row r="1793" spans="1:69" ht="14.25" customHeight="1" x14ac:dyDescent="0.35">
      <c r="A1793" s="294"/>
      <c r="B1793" s="296"/>
      <c r="C1793" s="298"/>
      <c r="D1793" s="300"/>
      <c r="E1793" s="302"/>
      <c r="F1793" s="304"/>
      <c r="G1793" s="276"/>
      <c r="H1793" s="277"/>
      <c r="I1793" s="290"/>
      <c r="J1793" s="290"/>
      <c r="K1793" s="291"/>
      <c r="L1793" s="17"/>
      <c r="M1793" s="286"/>
      <c r="N1793" s="21"/>
      <c r="O1793" s="286"/>
      <c r="P1793" s="21"/>
      <c r="Q1793" s="286"/>
      <c r="R1793" s="248"/>
      <c r="S1793" s="287"/>
      <c r="T1793" s="248"/>
      <c r="U1793" s="13"/>
      <c r="V1793" s="282"/>
      <c r="W1793" s="283"/>
      <c r="X1793" s="284"/>
      <c r="Y1793" s="245"/>
      <c r="Z1793" s="245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BP1793" s="391"/>
      <c r="BQ1793" s="393"/>
    </row>
    <row r="1794" spans="1:69" ht="14.25" customHeight="1" x14ac:dyDescent="0.35">
      <c r="A1794" s="293">
        <v>889</v>
      </c>
      <c r="B1794" s="295"/>
      <c r="C1794" s="297"/>
      <c r="D1794" s="299"/>
      <c r="E1794" s="301"/>
      <c r="F1794" s="303"/>
      <c r="G1794" s="288"/>
      <c r="H1794" s="289"/>
      <c r="I1794" s="290"/>
      <c r="J1794" s="290"/>
      <c r="K1794" s="291"/>
      <c r="L1794" s="18"/>
      <c r="M1794" s="285" t="str">
        <f t="shared" ref="M1794" si="2788">IF(COUNT(L1794:L1795)&lt;1,"",AVERAGE(L1794:L1795))</f>
        <v/>
      </c>
      <c r="N1794" s="22"/>
      <c r="O1794" s="285" t="str">
        <f t="shared" ref="O1794" si="2789">IF(COUNT(N1794:N1795)&lt;1,"",AVERAGE(N1794:N1795))</f>
        <v/>
      </c>
      <c r="P1794" s="22"/>
      <c r="Q1794" s="285" t="str">
        <f t="shared" ref="Q1794" si="2790">IF(COUNT(P1794:P1795)&lt;1,"",AVERAGE(P1794:P1795))</f>
        <v/>
      </c>
      <c r="R1794" s="278" t="str">
        <f>IF($X$13="/28",IF(COUNT(P1794:P1795)&lt;=1,"",ABS(P1794-P1795)),IF($X$13="/90",IF(COUNT(#REF!)&lt;=1,"",ABS(#REF!-#REF!))))</f>
        <v/>
      </c>
      <c r="S1794" s="278" t="str">
        <f>IF($X$13="/28",IF(Q1794="","",IF(AVERAGE(Q1790:Q1795)&gt;=$W$13,ROUND(AVERAGE(Q1790:Q1795),1)&amp;" ≥ "&amp;$W$13&amp;" OK",ROUND(AVERAGE(Q1790:Q1795),1)&amp;" &lt; "&amp;$W$13&amp;" NC")),IF($X$13="/90",IF(#REF!="","",IF(AVERAGE(#REF!)&gt;=$W$13,ROUND(AVERAGE(#REF!),1)&amp;" ≥ "&amp;$W$13&amp;" OK",ROUND(AVERAGE(#REF!),1)&amp;" &lt; "&amp;$W$13&amp;" NC"))))</f>
        <v/>
      </c>
      <c r="T1794" s="278" t="str">
        <f>IF($X$13="/28",IF(Q1794="","",IF(Q1794&gt;=$W$13-$S$12,ROUND((Q1794),1)&amp;" ≥ "&amp;$W$13-$S$12&amp;" OK",ROUND((Q1794),1)&amp;" &lt; "&amp;$W$13-$S$12&amp;" NC")),IF($X$13="/90",IF(#REF!="","",IF(#REF!&gt;=$W$13-$S$12,ROUND((#REF!),1)&amp;" ≥ "&amp;$W$13-$S$12&amp;" OK",ROUND((#REF!),1)&amp;" &lt; "&amp;$W$13-$S$12&amp;" NC"))))</f>
        <v/>
      </c>
      <c r="U1794" s="14"/>
      <c r="V1794" s="279"/>
      <c r="W1794" s="280"/>
      <c r="X1794" s="281"/>
      <c r="Y1794" s="246"/>
      <c r="Z1794" s="246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BP1794" s="390" t="str">
        <f>IF($X$13="/28",IF(Q1794="","",Q1794),IF($X$13="/90",IF(#REF!="","",#REF!),"Falso"))</f>
        <v/>
      </c>
      <c r="BQ1794" s="392" t="str">
        <f t="shared" si="2716"/>
        <v/>
      </c>
    </row>
    <row r="1795" spans="1:69" ht="14.25" customHeight="1" x14ac:dyDescent="0.35">
      <c r="A1795" s="294"/>
      <c r="B1795" s="296"/>
      <c r="C1795" s="298"/>
      <c r="D1795" s="300"/>
      <c r="E1795" s="302"/>
      <c r="F1795" s="304"/>
      <c r="G1795" s="276"/>
      <c r="H1795" s="277"/>
      <c r="I1795" s="290"/>
      <c r="J1795" s="290"/>
      <c r="K1795" s="291"/>
      <c r="L1795" s="17"/>
      <c r="M1795" s="286"/>
      <c r="N1795" s="21"/>
      <c r="O1795" s="286"/>
      <c r="P1795" s="21"/>
      <c r="Q1795" s="286"/>
      <c r="R1795" s="248"/>
      <c r="S1795" s="287"/>
      <c r="T1795" s="248"/>
      <c r="U1795" s="13"/>
      <c r="V1795" s="282"/>
      <c r="W1795" s="283"/>
      <c r="X1795" s="284"/>
      <c r="Y1795" s="245"/>
      <c r="Z1795" s="245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BP1795" s="391"/>
      <c r="BQ1795" s="393"/>
    </row>
    <row r="1796" spans="1:69" ht="14.25" customHeight="1" x14ac:dyDescent="0.35">
      <c r="A1796" s="293">
        <v>890</v>
      </c>
      <c r="B1796" s="295"/>
      <c r="C1796" s="297"/>
      <c r="D1796" s="299"/>
      <c r="E1796" s="301"/>
      <c r="F1796" s="303"/>
      <c r="G1796" s="288"/>
      <c r="H1796" s="289"/>
      <c r="I1796" s="290"/>
      <c r="J1796" s="290"/>
      <c r="K1796" s="291"/>
      <c r="L1796" s="18"/>
      <c r="M1796" s="285" t="str">
        <f t="shared" ref="M1796" si="2791">IF(COUNT(L1796:L1797)&lt;1,"",AVERAGE(L1796:L1797))</f>
        <v/>
      </c>
      <c r="N1796" s="22"/>
      <c r="O1796" s="285" t="str">
        <f t="shared" ref="O1796" si="2792">IF(COUNT(N1796:N1797)&lt;1,"",AVERAGE(N1796:N1797))</f>
        <v/>
      </c>
      <c r="P1796" s="22"/>
      <c r="Q1796" s="285" t="str">
        <f t="shared" ref="Q1796" si="2793">IF(COUNT(P1796:P1797)&lt;1,"",AVERAGE(P1796:P1797))</f>
        <v/>
      </c>
      <c r="R1796" s="278" t="str">
        <f>IF($X$13="/28",IF(COUNT(P1796:P1797)&lt;=1,"",ABS(P1796-P1797)),IF($X$13="/90",IF(COUNT(#REF!)&lt;=1,"",ABS(#REF!-#REF!))))</f>
        <v/>
      </c>
      <c r="S1796" s="278" t="str">
        <f>IF($X$13="/28",IF(Q1796="","",IF(AVERAGE(Q1792:Q1797)&gt;=$W$13,ROUND(AVERAGE(Q1792:Q1797),1)&amp;" ≥ "&amp;$W$13&amp;" OK",ROUND(AVERAGE(Q1792:Q1797),1)&amp;" &lt; "&amp;$W$13&amp;" NC")),IF($X$13="/90",IF(#REF!="","",IF(AVERAGE(#REF!)&gt;=$W$13,ROUND(AVERAGE(#REF!),1)&amp;" ≥ "&amp;$W$13&amp;" OK",ROUND(AVERAGE(#REF!),1)&amp;" &lt; "&amp;$W$13&amp;" NC"))))</f>
        <v/>
      </c>
      <c r="T1796" s="278" t="str">
        <f>IF($X$13="/28",IF(Q1796="","",IF(Q1796&gt;=$W$13-$S$12,ROUND((Q1796),1)&amp;" ≥ "&amp;$W$13-$S$12&amp;" OK",ROUND((Q1796),1)&amp;" &lt; "&amp;$W$13-$S$12&amp;" NC")),IF($X$13="/90",IF(#REF!="","",IF(#REF!&gt;=$W$13-$S$12,ROUND((#REF!),1)&amp;" ≥ "&amp;$W$13-$S$12&amp;" OK",ROUND((#REF!),1)&amp;" &lt; "&amp;$W$13-$S$12&amp;" NC"))))</f>
        <v/>
      </c>
      <c r="U1796" s="14"/>
      <c r="V1796" s="279"/>
      <c r="W1796" s="280"/>
      <c r="X1796" s="281"/>
      <c r="Y1796" s="246"/>
      <c r="Z1796" s="246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BP1796" s="390" t="str">
        <f>IF($X$13="/28",IF(Q1796="","",Q1796),IF($X$13="/90",IF(#REF!="","",#REF!),"Falso"))</f>
        <v/>
      </c>
      <c r="BQ1796" s="392" t="str">
        <f t="shared" si="2720"/>
        <v/>
      </c>
    </row>
    <row r="1797" spans="1:69" ht="14.25" customHeight="1" x14ac:dyDescent="0.35">
      <c r="A1797" s="294"/>
      <c r="B1797" s="296"/>
      <c r="C1797" s="298"/>
      <c r="D1797" s="300"/>
      <c r="E1797" s="302"/>
      <c r="F1797" s="304"/>
      <c r="G1797" s="276"/>
      <c r="H1797" s="277"/>
      <c r="I1797" s="290"/>
      <c r="J1797" s="290"/>
      <c r="K1797" s="291"/>
      <c r="L1797" s="17"/>
      <c r="M1797" s="286"/>
      <c r="N1797" s="21"/>
      <c r="O1797" s="286"/>
      <c r="P1797" s="21"/>
      <c r="Q1797" s="286"/>
      <c r="R1797" s="248"/>
      <c r="S1797" s="287"/>
      <c r="T1797" s="248"/>
      <c r="U1797" s="13"/>
      <c r="V1797" s="282"/>
      <c r="W1797" s="283"/>
      <c r="X1797" s="284"/>
      <c r="Y1797" s="245"/>
      <c r="Z1797" s="245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BP1797" s="391"/>
      <c r="BQ1797" s="393"/>
    </row>
    <row r="1798" spans="1:69" ht="14.25" customHeight="1" x14ac:dyDescent="0.35">
      <c r="A1798" s="293">
        <v>891</v>
      </c>
      <c r="B1798" s="295"/>
      <c r="C1798" s="297"/>
      <c r="D1798" s="299"/>
      <c r="E1798" s="301"/>
      <c r="F1798" s="303"/>
      <c r="G1798" s="288"/>
      <c r="H1798" s="289"/>
      <c r="I1798" s="290"/>
      <c r="J1798" s="290"/>
      <c r="K1798" s="291"/>
      <c r="L1798" s="18"/>
      <c r="M1798" s="285" t="str">
        <f t="shared" ref="M1798" si="2794">IF(COUNT(L1798:L1799)&lt;1,"",AVERAGE(L1798:L1799))</f>
        <v/>
      </c>
      <c r="N1798" s="22"/>
      <c r="O1798" s="285" t="str">
        <f t="shared" ref="O1798" si="2795">IF(COUNT(N1798:N1799)&lt;1,"",AVERAGE(N1798:N1799))</f>
        <v/>
      </c>
      <c r="P1798" s="22"/>
      <c r="Q1798" s="285" t="str">
        <f t="shared" ref="Q1798" si="2796">IF(COUNT(P1798:P1799)&lt;1,"",AVERAGE(P1798:P1799))</f>
        <v/>
      </c>
      <c r="R1798" s="278" t="str">
        <f>IF($X$13="/28",IF(COUNT(P1798:P1799)&lt;=1,"",ABS(P1798-P1799)),IF($X$13="/90",IF(COUNT(#REF!)&lt;=1,"",ABS(#REF!-#REF!))))</f>
        <v/>
      </c>
      <c r="S1798" s="278" t="str">
        <f>IF($X$13="/28",IF(Q1798="","",IF(AVERAGE(Q1794:Q1799)&gt;=$W$13,ROUND(AVERAGE(Q1794:Q1799),1)&amp;" ≥ "&amp;$W$13&amp;" OK",ROUND(AVERAGE(Q1794:Q1799),1)&amp;" &lt; "&amp;$W$13&amp;" NC")),IF($X$13="/90",IF(#REF!="","",IF(AVERAGE(#REF!)&gt;=$W$13,ROUND(AVERAGE(#REF!),1)&amp;" ≥ "&amp;$W$13&amp;" OK",ROUND(AVERAGE(#REF!),1)&amp;" &lt; "&amp;$W$13&amp;" NC"))))</f>
        <v/>
      </c>
      <c r="T1798" s="278" t="str">
        <f>IF($X$13="/28",IF(Q1798="","",IF(Q1798&gt;=$W$13-$S$12,ROUND((Q1798),1)&amp;" ≥ "&amp;$W$13-$S$12&amp;" OK",ROUND((Q1798),1)&amp;" &lt; "&amp;$W$13-$S$12&amp;" NC")),IF($X$13="/90",IF(#REF!="","",IF(#REF!&gt;=$W$13-$S$12,ROUND((#REF!),1)&amp;" ≥ "&amp;$W$13-$S$12&amp;" OK",ROUND((#REF!),1)&amp;" &lt; "&amp;$W$13-$S$12&amp;" NC"))))</f>
        <v/>
      </c>
      <c r="U1798" s="14"/>
      <c r="V1798" s="279"/>
      <c r="W1798" s="280"/>
      <c r="X1798" s="281"/>
      <c r="Y1798" s="246"/>
      <c r="Z1798" s="246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BP1798" s="390" t="str">
        <f>IF($X$13="/28",IF(Q1798="","",Q1798),IF($X$13="/90",IF(#REF!="","",#REF!),"Falso"))</f>
        <v/>
      </c>
      <c r="BQ1798" s="392" t="str">
        <f t="shared" si="2724"/>
        <v/>
      </c>
    </row>
    <row r="1799" spans="1:69" ht="14.25" customHeight="1" x14ac:dyDescent="0.35">
      <c r="A1799" s="294"/>
      <c r="B1799" s="296"/>
      <c r="C1799" s="298"/>
      <c r="D1799" s="300"/>
      <c r="E1799" s="302"/>
      <c r="F1799" s="304"/>
      <c r="G1799" s="276"/>
      <c r="H1799" s="277"/>
      <c r="I1799" s="290"/>
      <c r="J1799" s="290"/>
      <c r="K1799" s="291"/>
      <c r="L1799" s="17"/>
      <c r="M1799" s="286"/>
      <c r="N1799" s="21"/>
      <c r="O1799" s="286"/>
      <c r="P1799" s="21"/>
      <c r="Q1799" s="286"/>
      <c r="R1799" s="248"/>
      <c r="S1799" s="287"/>
      <c r="T1799" s="248"/>
      <c r="U1799" s="13"/>
      <c r="V1799" s="282"/>
      <c r="W1799" s="283"/>
      <c r="X1799" s="284"/>
      <c r="Y1799" s="245"/>
      <c r="Z1799" s="245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BP1799" s="391"/>
      <c r="BQ1799" s="393"/>
    </row>
    <row r="1800" spans="1:69" ht="14.25" customHeight="1" x14ac:dyDescent="0.35">
      <c r="A1800" s="293">
        <v>892</v>
      </c>
      <c r="B1800" s="295"/>
      <c r="C1800" s="297"/>
      <c r="D1800" s="299"/>
      <c r="E1800" s="301"/>
      <c r="F1800" s="303"/>
      <c r="G1800" s="288"/>
      <c r="H1800" s="289"/>
      <c r="I1800" s="290"/>
      <c r="J1800" s="290"/>
      <c r="K1800" s="291"/>
      <c r="L1800" s="18"/>
      <c r="M1800" s="285" t="str">
        <f t="shared" ref="M1800" si="2797">IF(COUNT(L1800:L1801)&lt;1,"",AVERAGE(L1800:L1801))</f>
        <v/>
      </c>
      <c r="N1800" s="22"/>
      <c r="O1800" s="285" t="str">
        <f t="shared" ref="O1800" si="2798">IF(COUNT(N1800:N1801)&lt;1,"",AVERAGE(N1800:N1801))</f>
        <v/>
      </c>
      <c r="P1800" s="22"/>
      <c r="Q1800" s="285" t="str">
        <f t="shared" ref="Q1800" si="2799">IF(COUNT(P1800:P1801)&lt;1,"",AVERAGE(P1800:P1801))</f>
        <v/>
      </c>
      <c r="R1800" s="278" t="str">
        <f>IF($X$13="/28",IF(COUNT(P1800:P1801)&lt;=1,"",ABS(P1800-P1801)),IF($X$13="/90",IF(COUNT(#REF!)&lt;=1,"",ABS(#REF!-#REF!))))</f>
        <v/>
      </c>
      <c r="S1800" s="278" t="str">
        <f>IF($X$13="/28",IF(Q1800="","",IF(AVERAGE(Q1796:Q1801)&gt;=$W$13,ROUND(AVERAGE(Q1796:Q1801),1)&amp;" ≥ "&amp;$W$13&amp;" OK",ROUND(AVERAGE(Q1796:Q1801),1)&amp;" &lt; "&amp;$W$13&amp;" NC")),IF($X$13="/90",IF(#REF!="","",IF(AVERAGE(#REF!)&gt;=$W$13,ROUND(AVERAGE(#REF!),1)&amp;" ≥ "&amp;$W$13&amp;" OK",ROUND(AVERAGE(#REF!),1)&amp;" &lt; "&amp;$W$13&amp;" NC"))))</f>
        <v/>
      </c>
      <c r="T1800" s="278" t="str">
        <f>IF($X$13="/28",IF(Q1800="","",IF(Q1800&gt;=$W$13-$S$12,ROUND((Q1800),1)&amp;" ≥ "&amp;$W$13-$S$12&amp;" OK",ROUND((Q1800),1)&amp;" &lt; "&amp;$W$13-$S$12&amp;" NC")),IF($X$13="/90",IF(#REF!="","",IF(#REF!&gt;=$W$13-$S$12,ROUND((#REF!),1)&amp;" ≥ "&amp;$W$13-$S$12&amp;" OK",ROUND((#REF!),1)&amp;" &lt; "&amp;$W$13-$S$12&amp;" NC"))))</f>
        <v/>
      </c>
      <c r="U1800" s="14"/>
      <c r="V1800" s="279"/>
      <c r="W1800" s="280"/>
      <c r="X1800" s="281"/>
      <c r="Y1800" s="246"/>
      <c r="Z1800" s="246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BP1800" s="390" t="str">
        <f>IF($X$13="/28",IF(Q1800="","",Q1800),IF($X$13="/90",IF(#REF!="","",#REF!),"Falso"))</f>
        <v/>
      </c>
      <c r="BQ1800" s="392" t="str">
        <f t="shared" si="2716"/>
        <v/>
      </c>
    </row>
    <row r="1801" spans="1:69" ht="14.25" customHeight="1" x14ac:dyDescent="0.35">
      <c r="A1801" s="294"/>
      <c r="B1801" s="296"/>
      <c r="C1801" s="298"/>
      <c r="D1801" s="300"/>
      <c r="E1801" s="302"/>
      <c r="F1801" s="304"/>
      <c r="G1801" s="276"/>
      <c r="H1801" s="277"/>
      <c r="I1801" s="290"/>
      <c r="J1801" s="290"/>
      <c r="K1801" s="291"/>
      <c r="L1801" s="17"/>
      <c r="M1801" s="286"/>
      <c r="N1801" s="21"/>
      <c r="O1801" s="286"/>
      <c r="P1801" s="21"/>
      <c r="Q1801" s="286"/>
      <c r="R1801" s="248"/>
      <c r="S1801" s="287"/>
      <c r="T1801" s="248"/>
      <c r="U1801" s="13"/>
      <c r="V1801" s="282"/>
      <c r="W1801" s="283"/>
      <c r="X1801" s="284"/>
      <c r="Y1801" s="245"/>
      <c r="Z1801" s="245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BP1801" s="391"/>
      <c r="BQ1801" s="393"/>
    </row>
    <row r="1802" spans="1:69" ht="14.25" customHeight="1" x14ac:dyDescent="0.35">
      <c r="A1802" s="293">
        <v>893</v>
      </c>
      <c r="B1802" s="295"/>
      <c r="C1802" s="297"/>
      <c r="D1802" s="299"/>
      <c r="E1802" s="301"/>
      <c r="F1802" s="303"/>
      <c r="G1802" s="288"/>
      <c r="H1802" s="289"/>
      <c r="I1802" s="290"/>
      <c r="J1802" s="290"/>
      <c r="K1802" s="291"/>
      <c r="L1802" s="18"/>
      <c r="M1802" s="285" t="str">
        <f t="shared" ref="M1802" si="2800">IF(COUNT(L1802:L1803)&lt;1,"",AVERAGE(L1802:L1803))</f>
        <v/>
      </c>
      <c r="N1802" s="22"/>
      <c r="O1802" s="285" t="str">
        <f t="shared" ref="O1802" si="2801">IF(COUNT(N1802:N1803)&lt;1,"",AVERAGE(N1802:N1803))</f>
        <v/>
      </c>
      <c r="P1802" s="22"/>
      <c r="Q1802" s="285" t="str">
        <f t="shared" ref="Q1802" si="2802">IF(COUNT(P1802:P1803)&lt;1,"",AVERAGE(P1802:P1803))</f>
        <v/>
      </c>
      <c r="R1802" s="278" t="str">
        <f>IF($X$13="/28",IF(COUNT(P1802:P1803)&lt;=1,"",ABS(P1802-P1803)),IF($X$13="/90",IF(COUNT(#REF!)&lt;=1,"",ABS(#REF!-#REF!))))</f>
        <v/>
      </c>
      <c r="S1802" s="278" t="str">
        <f>IF($X$13="/28",IF(Q1802="","",IF(AVERAGE(Q1798:Q1803)&gt;=$W$13,ROUND(AVERAGE(Q1798:Q1803),1)&amp;" ≥ "&amp;$W$13&amp;" OK",ROUND(AVERAGE(Q1798:Q1803),1)&amp;" &lt; "&amp;$W$13&amp;" NC")),IF($X$13="/90",IF(#REF!="","",IF(AVERAGE(#REF!)&gt;=$W$13,ROUND(AVERAGE(#REF!),1)&amp;" ≥ "&amp;$W$13&amp;" OK",ROUND(AVERAGE(#REF!),1)&amp;" &lt; "&amp;$W$13&amp;" NC"))))</f>
        <v/>
      </c>
      <c r="T1802" s="278" t="str">
        <f>IF($X$13="/28",IF(Q1802="","",IF(Q1802&gt;=$W$13-$S$12,ROUND((Q1802),1)&amp;" ≥ "&amp;$W$13-$S$12&amp;" OK",ROUND((Q1802),1)&amp;" &lt; "&amp;$W$13-$S$12&amp;" NC")),IF($X$13="/90",IF(#REF!="","",IF(#REF!&gt;=$W$13-$S$12,ROUND((#REF!),1)&amp;" ≥ "&amp;$W$13-$S$12&amp;" OK",ROUND((#REF!),1)&amp;" &lt; "&amp;$W$13-$S$12&amp;" NC"))))</f>
        <v/>
      </c>
      <c r="U1802" s="14"/>
      <c r="V1802" s="279"/>
      <c r="W1802" s="280"/>
      <c r="X1802" s="281"/>
      <c r="Y1802" s="246"/>
      <c r="Z1802" s="246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BP1802" s="390" t="str">
        <f>IF($X$13="/28",IF(Q1802="","",Q1802),IF($X$13="/90",IF(#REF!="","",#REF!),"Falso"))</f>
        <v/>
      </c>
      <c r="BQ1802" s="392" t="str">
        <f t="shared" si="2720"/>
        <v/>
      </c>
    </row>
    <row r="1803" spans="1:69" ht="14.25" customHeight="1" x14ac:dyDescent="0.35">
      <c r="A1803" s="294"/>
      <c r="B1803" s="296"/>
      <c r="C1803" s="298"/>
      <c r="D1803" s="300"/>
      <c r="E1803" s="302"/>
      <c r="F1803" s="304"/>
      <c r="G1803" s="276"/>
      <c r="H1803" s="277"/>
      <c r="I1803" s="290"/>
      <c r="J1803" s="290"/>
      <c r="K1803" s="291"/>
      <c r="L1803" s="17"/>
      <c r="M1803" s="286"/>
      <c r="N1803" s="21"/>
      <c r="O1803" s="286"/>
      <c r="P1803" s="21"/>
      <c r="Q1803" s="286"/>
      <c r="R1803" s="248"/>
      <c r="S1803" s="287"/>
      <c r="T1803" s="248"/>
      <c r="U1803" s="13"/>
      <c r="V1803" s="282"/>
      <c r="W1803" s="283"/>
      <c r="X1803" s="284"/>
      <c r="Y1803" s="245"/>
      <c r="Z1803" s="245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BP1803" s="391"/>
      <c r="BQ1803" s="393"/>
    </row>
    <row r="1804" spans="1:69" ht="14.25" customHeight="1" x14ac:dyDescent="0.35">
      <c r="A1804" s="293">
        <v>894</v>
      </c>
      <c r="B1804" s="295"/>
      <c r="C1804" s="297"/>
      <c r="D1804" s="299"/>
      <c r="E1804" s="301"/>
      <c r="F1804" s="303"/>
      <c r="G1804" s="288"/>
      <c r="H1804" s="289"/>
      <c r="I1804" s="290"/>
      <c r="J1804" s="290"/>
      <c r="K1804" s="291"/>
      <c r="L1804" s="18"/>
      <c r="M1804" s="285" t="str">
        <f t="shared" ref="M1804" si="2803">IF(COUNT(L1804:L1805)&lt;1,"",AVERAGE(L1804:L1805))</f>
        <v/>
      </c>
      <c r="N1804" s="22"/>
      <c r="O1804" s="285" t="str">
        <f t="shared" ref="O1804" si="2804">IF(COUNT(N1804:N1805)&lt;1,"",AVERAGE(N1804:N1805))</f>
        <v/>
      </c>
      <c r="P1804" s="22"/>
      <c r="Q1804" s="285" t="str">
        <f t="shared" ref="Q1804" si="2805">IF(COUNT(P1804:P1805)&lt;1,"",AVERAGE(P1804:P1805))</f>
        <v/>
      </c>
      <c r="R1804" s="278" t="str">
        <f>IF($X$13="/28",IF(COUNT(P1804:P1805)&lt;=1,"",ABS(P1804-P1805)),IF($X$13="/90",IF(COUNT(#REF!)&lt;=1,"",ABS(#REF!-#REF!))))</f>
        <v/>
      </c>
      <c r="S1804" s="278" t="str">
        <f>IF($X$13="/28",IF(Q1804="","",IF(AVERAGE(Q1800:Q1805)&gt;=$W$13,ROUND(AVERAGE(Q1800:Q1805),1)&amp;" ≥ "&amp;$W$13&amp;" OK",ROUND(AVERAGE(Q1800:Q1805),1)&amp;" &lt; "&amp;$W$13&amp;" NC")),IF($X$13="/90",IF(#REF!="","",IF(AVERAGE(#REF!)&gt;=$W$13,ROUND(AVERAGE(#REF!),1)&amp;" ≥ "&amp;$W$13&amp;" OK",ROUND(AVERAGE(#REF!),1)&amp;" &lt; "&amp;$W$13&amp;" NC"))))</f>
        <v/>
      </c>
      <c r="T1804" s="278" t="str">
        <f>IF($X$13="/28",IF(Q1804="","",IF(Q1804&gt;=$W$13-$S$12,ROUND((Q1804),1)&amp;" ≥ "&amp;$W$13-$S$12&amp;" OK",ROUND((Q1804),1)&amp;" &lt; "&amp;$W$13-$S$12&amp;" NC")),IF($X$13="/90",IF(#REF!="","",IF(#REF!&gt;=$W$13-$S$12,ROUND((#REF!),1)&amp;" ≥ "&amp;$W$13-$S$12&amp;" OK",ROUND((#REF!),1)&amp;" &lt; "&amp;$W$13-$S$12&amp;" NC"))))</f>
        <v/>
      </c>
      <c r="U1804" s="14"/>
      <c r="V1804" s="279"/>
      <c r="W1804" s="280"/>
      <c r="X1804" s="281"/>
      <c r="Y1804" s="246"/>
      <c r="Z1804" s="246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BP1804" s="390" t="str">
        <f>IF($X$13="/28",IF(Q1804="","",Q1804),IF($X$13="/90",IF(#REF!="","",#REF!),"Falso"))</f>
        <v/>
      </c>
      <c r="BQ1804" s="392" t="str">
        <f t="shared" si="2724"/>
        <v/>
      </c>
    </row>
    <row r="1805" spans="1:69" ht="14.25" customHeight="1" x14ac:dyDescent="0.35">
      <c r="A1805" s="294"/>
      <c r="B1805" s="296"/>
      <c r="C1805" s="298"/>
      <c r="D1805" s="300"/>
      <c r="E1805" s="302"/>
      <c r="F1805" s="304"/>
      <c r="G1805" s="276"/>
      <c r="H1805" s="277"/>
      <c r="I1805" s="290"/>
      <c r="J1805" s="290"/>
      <c r="K1805" s="291"/>
      <c r="L1805" s="17"/>
      <c r="M1805" s="286"/>
      <c r="N1805" s="21"/>
      <c r="O1805" s="286"/>
      <c r="P1805" s="21"/>
      <c r="Q1805" s="286"/>
      <c r="R1805" s="248"/>
      <c r="S1805" s="287"/>
      <c r="T1805" s="248"/>
      <c r="U1805" s="13"/>
      <c r="V1805" s="282"/>
      <c r="W1805" s="283"/>
      <c r="X1805" s="284"/>
      <c r="Y1805" s="245"/>
      <c r="Z1805" s="245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BP1805" s="391"/>
      <c r="BQ1805" s="393"/>
    </row>
    <row r="1806" spans="1:69" ht="14.25" customHeight="1" x14ac:dyDescent="0.35">
      <c r="A1806" s="293">
        <v>895</v>
      </c>
      <c r="B1806" s="295"/>
      <c r="C1806" s="297"/>
      <c r="D1806" s="299"/>
      <c r="E1806" s="301"/>
      <c r="F1806" s="303"/>
      <c r="G1806" s="288"/>
      <c r="H1806" s="289"/>
      <c r="I1806" s="290"/>
      <c r="J1806" s="290"/>
      <c r="K1806" s="291"/>
      <c r="L1806" s="18"/>
      <c r="M1806" s="285" t="str">
        <f t="shared" ref="M1806" si="2806">IF(COUNT(L1806:L1807)&lt;1,"",AVERAGE(L1806:L1807))</f>
        <v/>
      </c>
      <c r="N1806" s="22"/>
      <c r="O1806" s="285" t="str">
        <f t="shared" ref="O1806" si="2807">IF(COUNT(N1806:N1807)&lt;1,"",AVERAGE(N1806:N1807))</f>
        <v/>
      </c>
      <c r="P1806" s="22"/>
      <c r="Q1806" s="285" t="str">
        <f t="shared" ref="Q1806" si="2808">IF(COUNT(P1806:P1807)&lt;1,"",AVERAGE(P1806:P1807))</f>
        <v/>
      </c>
      <c r="R1806" s="278" t="str">
        <f>IF($X$13="/28",IF(COUNT(P1806:P1807)&lt;=1,"",ABS(P1806-P1807)),IF($X$13="/90",IF(COUNT(#REF!)&lt;=1,"",ABS(#REF!-#REF!))))</f>
        <v/>
      </c>
      <c r="S1806" s="278" t="str">
        <f>IF($X$13="/28",IF(Q1806="","",IF(AVERAGE(Q1802:Q1807)&gt;=$W$13,ROUND(AVERAGE(Q1802:Q1807),1)&amp;" ≥ "&amp;$W$13&amp;" OK",ROUND(AVERAGE(Q1802:Q1807),1)&amp;" &lt; "&amp;$W$13&amp;" NC")),IF($X$13="/90",IF(#REF!="","",IF(AVERAGE(#REF!)&gt;=$W$13,ROUND(AVERAGE(#REF!),1)&amp;" ≥ "&amp;$W$13&amp;" OK",ROUND(AVERAGE(#REF!),1)&amp;" &lt; "&amp;$W$13&amp;" NC"))))</f>
        <v/>
      </c>
      <c r="T1806" s="278" t="str">
        <f>IF($X$13="/28",IF(Q1806="","",IF(Q1806&gt;=$W$13-$S$12,ROUND((Q1806),1)&amp;" ≥ "&amp;$W$13-$S$12&amp;" OK",ROUND((Q1806),1)&amp;" &lt; "&amp;$W$13-$S$12&amp;" NC")),IF($X$13="/90",IF(#REF!="","",IF(#REF!&gt;=$W$13-$S$12,ROUND((#REF!),1)&amp;" ≥ "&amp;$W$13-$S$12&amp;" OK",ROUND((#REF!),1)&amp;" &lt; "&amp;$W$13-$S$12&amp;" NC"))))</f>
        <v/>
      </c>
      <c r="U1806" s="14"/>
      <c r="V1806" s="279"/>
      <c r="W1806" s="280"/>
      <c r="X1806" s="281"/>
      <c r="Y1806" s="246"/>
      <c r="Z1806" s="246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BP1806" s="390" t="str">
        <f>IF($X$13="/28",IF(Q1806="","",Q1806),IF($X$13="/90",IF(#REF!="","",#REF!),"Falso"))</f>
        <v/>
      </c>
      <c r="BQ1806" s="392" t="str">
        <f t="shared" si="2716"/>
        <v/>
      </c>
    </row>
    <row r="1807" spans="1:69" ht="14.25" customHeight="1" x14ac:dyDescent="0.35">
      <c r="A1807" s="294"/>
      <c r="B1807" s="296"/>
      <c r="C1807" s="298"/>
      <c r="D1807" s="300"/>
      <c r="E1807" s="302"/>
      <c r="F1807" s="304"/>
      <c r="G1807" s="276"/>
      <c r="H1807" s="277"/>
      <c r="I1807" s="290"/>
      <c r="J1807" s="290"/>
      <c r="K1807" s="291"/>
      <c r="L1807" s="17"/>
      <c r="M1807" s="286"/>
      <c r="N1807" s="21"/>
      <c r="O1807" s="286"/>
      <c r="P1807" s="21"/>
      <c r="Q1807" s="286"/>
      <c r="R1807" s="248"/>
      <c r="S1807" s="287"/>
      <c r="T1807" s="248"/>
      <c r="U1807" s="13"/>
      <c r="V1807" s="282"/>
      <c r="W1807" s="283"/>
      <c r="X1807" s="284"/>
      <c r="Y1807" s="245"/>
      <c r="Z1807" s="245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BP1807" s="391"/>
      <c r="BQ1807" s="393"/>
    </row>
    <row r="1808" spans="1:69" ht="14.25" customHeight="1" x14ac:dyDescent="0.35">
      <c r="A1808" s="293">
        <v>896</v>
      </c>
      <c r="B1808" s="295"/>
      <c r="C1808" s="297"/>
      <c r="D1808" s="299"/>
      <c r="E1808" s="301"/>
      <c r="F1808" s="303"/>
      <c r="G1808" s="288"/>
      <c r="H1808" s="289"/>
      <c r="I1808" s="290"/>
      <c r="J1808" s="290"/>
      <c r="K1808" s="291"/>
      <c r="L1808" s="18"/>
      <c r="M1808" s="285" t="str">
        <f t="shared" ref="M1808" si="2809">IF(COUNT(L1808:L1809)&lt;1,"",AVERAGE(L1808:L1809))</f>
        <v/>
      </c>
      <c r="N1808" s="22"/>
      <c r="O1808" s="285" t="str">
        <f t="shared" ref="O1808" si="2810">IF(COUNT(N1808:N1809)&lt;1,"",AVERAGE(N1808:N1809))</f>
        <v/>
      </c>
      <c r="P1808" s="22"/>
      <c r="Q1808" s="285" t="str">
        <f t="shared" ref="Q1808" si="2811">IF(COUNT(P1808:P1809)&lt;1,"",AVERAGE(P1808:P1809))</f>
        <v/>
      </c>
      <c r="R1808" s="278" t="str">
        <f>IF($X$13="/28",IF(COUNT(P1808:P1809)&lt;=1,"",ABS(P1808-P1809)),IF($X$13="/90",IF(COUNT(#REF!)&lt;=1,"",ABS(#REF!-#REF!))))</f>
        <v/>
      </c>
      <c r="S1808" s="278" t="str">
        <f>IF($X$13="/28",IF(Q1808="","",IF(AVERAGE(Q1804:Q1809)&gt;=$W$13,ROUND(AVERAGE(Q1804:Q1809),1)&amp;" ≥ "&amp;$W$13&amp;" OK",ROUND(AVERAGE(Q1804:Q1809),1)&amp;" &lt; "&amp;$W$13&amp;" NC")),IF($X$13="/90",IF(#REF!="","",IF(AVERAGE(#REF!)&gt;=$W$13,ROUND(AVERAGE(#REF!),1)&amp;" ≥ "&amp;$W$13&amp;" OK",ROUND(AVERAGE(#REF!),1)&amp;" &lt; "&amp;$W$13&amp;" NC"))))</f>
        <v/>
      </c>
      <c r="T1808" s="278" t="str">
        <f>IF($X$13="/28",IF(Q1808="","",IF(Q1808&gt;=$W$13-$S$12,ROUND((Q1808),1)&amp;" ≥ "&amp;$W$13-$S$12&amp;" OK",ROUND((Q1808),1)&amp;" &lt; "&amp;$W$13-$S$12&amp;" NC")),IF($X$13="/90",IF(#REF!="","",IF(#REF!&gt;=$W$13-$S$12,ROUND((#REF!),1)&amp;" ≥ "&amp;$W$13-$S$12&amp;" OK",ROUND((#REF!),1)&amp;" &lt; "&amp;$W$13-$S$12&amp;" NC"))))</f>
        <v/>
      </c>
      <c r="U1808" s="14"/>
      <c r="V1808" s="279"/>
      <c r="W1808" s="280"/>
      <c r="X1808" s="281"/>
      <c r="Y1808" s="246"/>
      <c r="Z1808" s="246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BP1808" s="390" t="str">
        <f>IF($X$13="/28",IF(Q1808="","",Q1808),IF($X$13="/90",IF(#REF!="","",#REF!),"Falso"))</f>
        <v/>
      </c>
      <c r="BQ1808" s="392" t="str">
        <f t="shared" si="2720"/>
        <v/>
      </c>
    </row>
    <row r="1809" spans="1:69" ht="14.25" customHeight="1" x14ac:dyDescent="0.35">
      <c r="A1809" s="294"/>
      <c r="B1809" s="296"/>
      <c r="C1809" s="298"/>
      <c r="D1809" s="300"/>
      <c r="E1809" s="302"/>
      <c r="F1809" s="304"/>
      <c r="G1809" s="276"/>
      <c r="H1809" s="277"/>
      <c r="I1809" s="290"/>
      <c r="J1809" s="290"/>
      <c r="K1809" s="291"/>
      <c r="L1809" s="17"/>
      <c r="M1809" s="286"/>
      <c r="N1809" s="21"/>
      <c r="O1809" s="286"/>
      <c r="P1809" s="21"/>
      <c r="Q1809" s="286"/>
      <c r="R1809" s="248"/>
      <c r="S1809" s="287"/>
      <c r="T1809" s="248"/>
      <c r="U1809" s="13"/>
      <c r="V1809" s="282"/>
      <c r="W1809" s="283"/>
      <c r="X1809" s="284"/>
      <c r="Y1809" s="245"/>
      <c r="Z1809" s="245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BP1809" s="391"/>
      <c r="BQ1809" s="393"/>
    </row>
    <row r="1810" spans="1:69" ht="14.25" customHeight="1" x14ac:dyDescent="0.35">
      <c r="A1810" s="293">
        <v>897</v>
      </c>
      <c r="B1810" s="295"/>
      <c r="C1810" s="297"/>
      <c r="D1810" s="299"/>
      <c r="E1810" s="301"/>
      <c r="F1810" s="303"/>
      <c r="G1810" s="288"/>
      <c r="H1810" s="289"/>
      <c r="I1810" s="290"/>
      <c r="J1810" s="290"/>
      <c r="K1810" s="291"/>
      <c r="L1810" s="18"/>
      <c r="M1810" s="285" t="str">
        <f t="shared" ref="M1810" si="2812">IF(COUNT(L1810:L1811)&lt;1,"",AVERAGE(L1810:L1811))</f>
        <v/>
      </c>
      <c r="N1810" s="22"/>
      <c r="O1810" s="285" t="str">
        <f t="shared" ref="O1810" si="2813">IF(COUNT(N1810:N1811)&lt;1,"",AVERAGE(N1810:N1811))</f>
        <v/>
      </c>
      <c r="P1810" s="22"/>
      <c r="Q1810" s="285" t="str">
        <f t="shared" ref="Q1810" si="2814">IF(COUNT(P1810:P1811)&lt;1,"",AVERAGE(P1810:P1811))</f>
        <v/>
      </c>
      <c r="R1810" s="278" t="str">
        <f>IF($X$13="/28",IF(COUNT(P1810:P1811)&lt;=1,"",ABS(P1810-P1811)),IF($X$13="/90",IF(COUNT(#REF!)&lt;=1,"",ABS(#REF!-#REF!))))</f>
        <v/>
      </c>
      <c r="S1810" s="278" t="str">
        <f>IF($X$13="/28",IF(Q1810="","",IF(AVERAGE(Q1806:Q1811)&gt;=$W$13,ROUND(AVERAGE(Q1806:Q1811),1)&amp;" ≥ "&amp;$W$13&amp;" OK",ROUND(AVERAGE(Q1806:Q1811),1)&amp;" &lt; "&amp;$W$13&amp;" NC")),IF($X$13="/90",IF(#REF!="","",IF(AVERAGE(#REF!)&gt;=$W$13,ROUND(AVERAGE(#REF!),1)&amp;" ≥ "&amp;$W$13&amp;" OK",ROUND(AVERAGE(#REF!),1)&amp;" &lt; "&amp;$W$13&amp;" NC"))))</f>
        <v/>
      </c>
      <c r="T1810" s="278" t="str">
        <f>IF($X$13="/28",IF(Q1810="","",IF(Q1810&gt;=$W$13-$S$12,ROUND((Q1810),1)&amp;" ≥ "&amp;$W$13-$S$12&amp;" OK",ROUND((Q1810),1)&amp;" &lt; "&amp;$W$13-$S$12&amp;" NC")),IF($X$13="/90",IF(#REF!="","",IF(#REF!&gt;=$W$13-$S$12,ROUND((#REF!),1)&amp;" ≥ "&amp;$W$13-$S$12&amp;" OK",ROUND((#REF!),1)&amp;" &lt; "&amp;$W$13-$S$12&amp;" NC"))))</f>
        <v/>
      </c>
      <c r="U1810" s="14"/>
      <c r="V1810" s="279"/>
      <c r="W1810" s="280"/>
      <c r="X1810" s="281"/>
      <c r="Y1810" s="246"/>
      <c r="Z1810" s="246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BP1810" s="390" t="str">
        <f>IF($X$13="/28",IF(Q1810="","",Q1810),IF($X$13="/90",IF(#REF!="","",#REF!),"Falso"))</f>
        <v/>
      </c>
      <c r="BQ1810" s="392" t="str">
        <f t="shared" si="2724"/>
        <v/>
      </c>
    </row>
    <row r="1811" spans="1:69" ht="14.25" customHeight="1" x14ac:dyDescent="0.35">
      <c r="A1811" s="294"/>
      <c r="B1811" s="296"/>
      <c r="C1811" s="298"/>
      <c r="D1811" s="300"/>
      <c r="E1811" s="302"/>
      <c r="F1811" s="304"/>
      <c r="G1811" s="276"/>
      <c r="H1811" s="277"/>
      <c r="I1811" s="290"/>
      <c r="J1811" s="290"/>
      <c r="K1811" s="291"/>
      <c r="L1811" s="17"/>
      <c r="M1811" s="286"/>
      <c r="N1811" s="21"/>
      <c r="O1811" s="286"/>
      <c r="P1811" s="21"/>
      <c r="Q1811" s="286"/>
      <c r="R1811" s="248"/>
      <c r="S1811" s="287"/>
      <c r="T1811" s="248"/>
      <c r="U1811" s="13"/>
      <c r="V1811" s="282"/>
      <c r="W1811" s="283"/>
      <c r="X1811" s="284"/>
      <c r="Y1811" s="245"/>
      <c r="Z1811" s="245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BP1811" s="391"/>
      <c r="BQ1811" s="393"/>
    </row>
    <row r="1812" spans="1:69" ht="14.25" customHeight="1" x14ac:dyDescent="0.35">
      <c r="A1812" s="293">
        <v>898</v>
      </c>
      <c r="B1812" s="295"/>
      <c r="C1812" s="297"/>
      <c r="D1812" s="299"/>
      <c r="E1812" s="301"/>
      <c r="F1812" s="303"/>
      <c r="G1812" s="288"/>
      <c r="H1812" s="289"/>
      <c r="I1812" s="290"/>
      <c r="J1812" s="290"/>
      <c r="K1812" s="291"/>
      <c r="L1812" s="18"/>
      <c r="M1812" s="285" t="str">
        <f t="shared" ref="M1812" si="2815">IF(COUNT(L1812:L1813)&lt;1,"",AVERAGE(L1812:L1813))</f>
        <v/>
      </c>
      <c r="N1812" s="22"/>
      <c r="O1812" s="285" t="str">
        <f t="shared" ref="O1812" si="2816">IF(COUNT(N1812:N1813)&lt;1,"",AVERAGE(N1812:N1813))</f>
        <v/>
      </c>
      <c r="P1812" s="22"/>
      <c r="Q1812" s="285" t="str">
        <f t="shared" ref="Q1812" si="2817">IF(COUNT(P1812:P1813)&lt;1,"",AVERAGE(P1812:P1813))</f>
        <v/>
      </c>
      <c r="R1812" s="278" t="str">
        <f>IF($X$13="/28",IF(COUNT(P1812:P1813)&lt;=1,"",ABS(P1812-P1813)),IF($X$13="/90",IF(COUNT(#REF!)&lt;=1,"",ABS(#REF!-#REF!))))</f>
        <v/>
      </c>
      <c r="S1812" s="278" t="str">
        <f>IF($X$13="/28",IF(Q1812="","",IF(AVERAGE(Q1808:Q1813)&gt;=$W$13,ROUND(AVERAGE(Q1808:Q1813),1)&amp;" ≥ "&amp;$W$13&amp;" OK",ROUND(AVERAGE(Q1808:Q1813),1)&amp;" &lt; "&amp;$W$13&amp;" NC")),IF($X$13="/90",IF(#REF!="","",IF(AVERAGE(#REF!)&gt;=$W$13,ROUND(AVERAGE(#REF!),1)&amp;" ≥ "&amp;$W$13&amp;" OK",ROUND(AVERAGE(#REF!),1)&amp;" &lt; "&amp;$W$13&amp;" NC"))))</f>
        <v/>
      </c>
      <c r="T1812" s="278" t="str">
        <f>IF($X$13="/28",IF(Q1812="","",IF(Q1812&gt;=$W$13-$S$12,ROUND((Q1812),1)&amp;" ≥ "&amp;$W$13-$S$12&amp;" OK",ROUND((Q1812),1)&amp;" &lt; "&amp;$W$13-$S$12&amp;" NC")),IF($X$13="/90",IF(#REF!="","",IF(#REF!&gt;=$W$13-$S$12,ROUND((#REF!),1)&amp;" ≥ "&amp;$W$13-$S$12&amp;" OK",ROUND((#REF!),1)&amp;" &lt; "&amp;$W$13-$S$12&amp;" NC"))))</f>
        <v/>
      </c>
      <c r="U1812" s="14"/>
      <c r="V1812" s="279"/>
      <c r="W1812" s="280"/>
      <c r="X1812" s="281"/>
      <c r="Y1812" s="246"/>
      <c r="Z1812" s="246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BP1812" s="390" t="str">
        <f>IF($X$13="/28",IF(Q1812="","",Q1812),IF($X$13="/90",IF(#REF!="","",#REF!),"Falso"))</f>
        <v/>
      </c>
      <c r="BQ1812" s="392" t="str">
        <f t="shared" ref="BQ1812:BQ1872" si="2818">IF(BP1812="","",BQ1810+1)</f>
        <v/>
      </c>
    </row>
    <row r="1813" spans="1:69" ht="14.25" customHeight="1" x14ac:dyDescent="0.35">
      <c r="A1813" s="294"/>
      <c r="B1813" s="296"/>
      <c r="C1813" s="298"/>
      <c r="D1813" s="300"/>
      <c r="E1813" s="302"/>
      <c r="F1813" s="304"/>
      <c r="G1813" s="276"/>
      <c r="H1813" s="277"/>
      <c r="I1813" s="290"/>
      <c r="J1813" s="290"/>
      <c r="K1813" s="291"/>
      <c r="L1813" s="17"/>
      <c r="M1813" s="286"/>
      <c r="N1813" s="21"/>
      <c r="O1813" s="286"/>
      <c r="P1813" s="21"/>
      <c r="Q1813" s="286"/>
      <c r="R1813" s="248"/>
      <c r="S1813" s="287"/>
      <c r="T1813" s="248"/>
      <c r="U1813" s="13"/>
      <c r="V1813" s="282"/>
      <c r="W1813" s="283"/>
      <c r="X1813" s="284"/>
      <c r="Y1813" s="245"/>
      <c r="Z1813" s="245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BP1813" s="391"/>
      <c r="BQ1813" s="393"/>
    </row>
    <row r="1814" spans="1:69" ht="14.25" customHeight="1" x14ac:dyDescent="0.35">
      <c r="A1814" s="293">
        <v>899</v>
      </c>
      <c r="B1814" s="295"/>
      <c r="C1814" s="297"/>
      <c r="D1814" s="299"/>
      <c r="E1814" s="301"/>
      <c r="F1814" s="303"/>
      <c r="G1814" s="288"/>
      <c r="H1814" s="289"/>
      <c r="I1814" s="290"/>
      <c r="J1814" s="290"/>
      <c r="K1814" s="291"/>
      <c r="L1814" s="18"/>
      <c r="M1814" s="285" t="str">
        <f t="shared" ref="M1814" si="2819">IF(COUNT(L1814:L1815)&lt;1,"",AVERAGE(L1814:L1815))</f>
        <v/>
      </c>
      <c r="N1814" s="22"/>
      <c r="O1814" s="285" t="str">
        <f t="shared" ref="O1814" si="2820">IF(COUNT(N1814:N1815)&lt;1,"",AVERAGE(N1814:N1815))</f>
        <v/>
      </c>
      <c r="P1814" s="22"/>
      <c r="Q1814" s="285" t="str">
        <f t="shared" ref="Q1814" si="2821">IF(COUNT(P1814:P1815)&lt;1,"",AVERAGE(P1814:P1815))</f>
        <v/>
      </c>
      <c r="R1814" s="278" t="str">
        <f>IF($X$13="/28",IF(COUNT(P1814:P1815)&lt;=1,"",ABS(P1814-P1815)),IF($X$13="/90",IF(COUNT(#REF!)&lt;=1,"",ABS(#REF!-#REF!))))</f>
        <v/>
      </c>
      <c r="S1814" s="278" t="str">
        <f>IF($X$13="/28",IF(Q1814="","",IF(AVERAGE(Q1810:Q1815)&gt;=$W$13,ROUND(AVERAGE(Q1810:Q1815),1)&amp;" ≥ "&amp;$W$13&amp;" OK",ROUND(AVERAGE(Q1810:Q1815),1)&amp;" &lt; "&amp;$W$13&amp;" NC")),IF($X$13="/90",IF(#REF!="","",IF(AVERAGE(#REF!)&gt;=$W$13,ROUND(AVERAGE(#REF!),1)&amp;" ≥ "&amp;$W$13&amp;" OK",ROUND(AVERAGE(#REF!),1)&amp;" &lt; "&amp;$W$13&amp;" NC"))))</f>
        <v/>
      </c>
      <c r="T1814" s="278" t="str">
        <f>IF($X$13="/28",IF(Q1814="","",IF(Q1814&gt;=$W$13-$S$12,ROUND((Q1814),1)&amp;" ≥ "&amp;$W$13-$S$12&amp;" OK",ROUND((Q1814),1)&amp;" &lt; "&amp;$W$13-$S$12&amp;" NC")),IF($X$13="/90",IF(#REF!="","",IF(#REF!&gt;=$W$13-$S$12,ROUND((#REF!),1)&amp;" ≥ "&amp;$W$13-$S$12&amp;" OK",ROUND((#REF!),1)&amp;" &lt; "&amp;$W$13-$S$12&amp;" NC"))))</f>
        <v/>
      </c>
      <c r="U1814" s="14"/>
      <c r="V1814" s="279"/>
      <c r="W1814" s="280"/>
      <c r="X1814" s="281"/>
      <c r="Y1814" s="246"/>
      <c r="Z1814" s="246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BP1814" s="390" t="str">
        <f>IF($X$13="/28",IF(Q1814="","",Q1814),IF($X$13="/90",IF(#REF!="","",#REF!),"Falso"))</f>
        <v/>
      </c>
      <c r="BQ1814" s="392" t="str">
        <f t="shared" ref="BQ1814:BQ1874" si="2822">IF(BP1814="","",BQ1812+1)</f>
        <v/>
      </c>
    </row>
    <row r="1815" spans="1:69" ht="14.25" customHeight="1" x14ac:dyDescent="0.35">
      <c r="A1815" s="294"/>
      <c r="B1815" s="296"/>
      <c r="C1815" s="298"/>
      <c r="D1815" s="300"/>
      <c r="E1815" s="302"/>
      <c r="F1815" s="304"/>
      <c r="G1815" s="276"/>
      <c r="H1815" s="277"/>
      <c r="I1815" s="290"/>
      <c r="J1815" s="290"/>
      <c r="K1815" s="291"/>
      <c r="L1815" s="17"/>
      <c r="M1815" s="286"/>
      <c r="N1815" s="21"/>
      <c r="O1815" s="286"/>
      <c r="P1815" s="21"/>
      <c r="Q1815" s="286"/>
      <c r="R1815" s="248"/>
      <c r="S1815" s="287"/>
      <c r="T1815" s="248"/>
      <c r="U1815" s="13"/>
      <c r="V1815" s="282"/>
      <c r="W1815" s="283"/>
      <c r="X1815" s="284"/>
      <c r="Y1815" s="245"/>
      <c r="Z1815" s="245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BP1815" s="391"/>
      <c r="BQ1815" s="393"/>
    </row>
    <row r="1816" spans="1:69" ht="14.25" customHeight="1" x14ac:dyDescent="0.35">
      <c r="A1816" s="293">
        <v>900</v>
      </c>
      <c r="B1816" s="295"/>
      <c r="C1816" s="297"/>
      <c r="D1816" s="299"/>
      <c r="E1816" s="301"/>
      <c r="F1816" s="303"/>
      <c r="G1816" s="288"/>
      <c r="H1816" s="289"/>
      <c r="I1816" s="290"/>
      <c r="J1816" s="290"/>
      <c r="K1816" s="291"/>
      <c r="L1816" s="18"/>
      <c r="M1816" s="285" t="str">
        <f t="shared" ref="M1816" si="2823">IF(COUNT(L1816:L1817)&lt;1,"",AVERAGE(L1816:L1817))</f>
        <v/>
      </c>
      <c r="N1816" s="22"/>
      <c r="O1816" s="285" t="str">
        <f t="shared" ref="O1816" si="2824">IF(COUNT(N1816:N1817)&lt;1,"",AVERAGE(N1816:N1817))</f>
        <v/>
      </c>
      <c r="P1816" s="22"/>
      <c r="Q1816" s="285" t="str">
        <f t="shared" ref="Q1816" si="2825">IF(COUNT(P1816:P1817)&lt;1,"",AVERAGE(P1816:P1817))</f>
        <v/>
      </c>
      <c r="R1816" s="278" t="str">
        <f>IF($X$13="/28",IF(COUNT(P1816:P1817)&lt;=1,"",ABS(P1816-P1817)),IF($X$13="/90",IF(COUNT(#REF!)&lt;=1,"",ABS(#REF!-#REF!))))</f>
        <v/>
      </c>
      <c r="S1816" s="278" t="str">
        <f>IF($X$13="/28",IF(Q1816="","",IF(AVERAGE(Q1812:Q1817)&gt;=$W$13,ROUND(AVERAGE(Q1812:Q1817),1)&amp;" ≥ "&amp;$W$13&amp;" OK",ROUND(AVERAGE(Q1812:Q1817),1)&amp;" &lt; "&amp;$W$13&amp;" NC")),IF($X$13="/90",IF(#REF!="","",IF(AVERAGE(#REF!)&gt;=$W$13,ROUND(AVERAGE(#REF!),1)&amp;" ≥ "&amp;$W$13&amp;" OK",ROUND(AVERAGE(#REF!),1)&amp;" &lt; "&amp;$W$13&amp;" NC"))))</f>
        <v/>
      </c>
      <c r="T1816" s="278" t="str">
        <f>IF($X$13="/28",IF(Q1816="","",IF(Q1816&gt;=$W$13-$S$12,ROUND((Q1816),1)&amp;" ≥ "&amp;$W$13-$S$12&amp;" OK",ROUND((Q1816),1)&amp;" &lt; "&amp;$W$13-$S$12&amp;" NC")),IF($X$13="/90",IF(#REF!="","",IF(#REF!&gt;=$W$13-$S$12,ROUND((#REF!),1)&amp;" ≥ "&amp;$W$13-$S$12&amp;" OK",ROUND((#REF!),1)&amp;" &lt; "&amp;$W$13-$S$12&amp;" NC"))))</f>
        <v/>
      </c>
      <c r="U1816" s="14"/>
      <c r="V1816" s="279"/>
      <c r="W1816" s="280"/>
      <c r="X1816" s="281"/>
      <c r="Y1816" s="246"/>
      <c r="Z1816" s="246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BP1816" s="390" t="str">
        <f>IF($X$13="/28",IF(Q1816="","",Q1816),IF($X$13="/90",IF(#REF!="","",#REF!),"Falso"))</f>
        <v/>
      </c>
      <c r="BQ1816" s="392" t="str">
        <f t="shared" ref="BQ1816:BQ1876" si="2826">IF(BP1816="","",BQ1814+1)</f>
        <v/>
      </c>
    </row>
    <row r="1817" spans="1:69" ht="14.25" customHeight="1" thickBot="1" x14ac:dyDescent="0.4">
      <c r="A1817" s="384"/>
      <c r="B1817" s="385"/>
      <c r="C1817" s="386"/>
      <c r="D1817" s="387"/>
      <c r="E1817" s="388"/>
      <c r="F1817" s="389"/>
      <c r="G1817" s="377"/>
      <c r="H1817" s="378"/>
      <c r="I1817" s="382"/>
      <c r="J1817" s="382"/>
      <c r="K1817" s="383"/>
      <c r="L1817" s="19"/>
      <c r="M1817" s="379"/>
      <c r="N1817" s="23"/>
      <c r="O1817" s="379"/>
      <c r="P1817" s="23"/>
      <c r="Q1817" s="379"/>
      <c r="R1817" s="380"/>
      <c r="S1817" s="381"/>
      <c r="T1817" s="380"/>
      <c r="U1817" s="15"/>
      <c r="V1817" s="373"/>
      <c r="W1817" s="374"/>
      <c r="X1817" s="375"/>
      <c r="Y1817" s="376"/>
      <c r="Z1817" s="376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BP1817" s="391"/>
      <c r="BQ1817" s="393"/>
    </row>
    <row r="1818" spans="1:69" ht="14.25" customHeight="1" x14ac:dyDescent="0.35">
      <c r="A1818" s="311">
        <v>901</v>
      </c>
      <c r="B1818" s="312"/>
      <c r="C1818" s="313"/>
      <c r="D1818" s="314"/>
      <c r="E1818" s="315"/>
      <c r="F1818" s="353"/>
      <c r="G1818" s="354"/>
      <c r="H1818" s="355"/>
      <c r="I1818" s="356"/>
      <c r="J1818" s="356"/>
      <c r="K1818" s="357"/>
      <c r="L1818" s="16"/>
      <c r="M1818" s="352" t="str">
        <f t="shared" ref="M1818" si="2827">IF(COUNT(L1818:L1819)&lt;1,"",AVERAGE(L1818:L1819))</f>
        <v/>
      </c>
      <c r="N1818" s="20"/>
      <c r="O1818" s="352" t="str">
        <f t="shared" ref="O1818" si="2828">IF(COUNT(N1818:N1819)&lt;1,"",AVERAGE(N1818:N1819))</f>
        <v/>
      </c>
      <c r="P1818" s="20"/>
      <c r="Q1818" s="352" t="str">
        <f t="shared" ref="Q1818" si="2829">IF(COUNT(P1818:P1819)&lt;1,"",AVERAGE(P1818:P1819))</f>
        <v/>
      </c>
      <c r="R1818" s="247" t="str">
        <f>IF($X$13="/28",IF(COUNT(P1818:P1819)&lt;=1,"",ABS(P1818-P1819)),IF($X$13="/90",IF(COUNT(#REF!)&lt;=1,"",ABS(#REF!-#REF!))))</f>
        <v/>
      </c>
      <c r="S1818" s="247" t="str">
        <f>IF($X$13="/28",IF(Q1818="","",IF(AVERAGE(Q1814:Q1819)&gt;=$W$13,ROUND(AVERAGE(Q1814:Q1819),1)&amp;" ≥ "&amp;$W$13&amp;" OK",ROUND(AVERAGE(Q1814:Q1819),1)&amp;" &lt; "&amp;$W$13&amp;" NC")),IF($X$13="/90",IF(#REF!="","",IF(AVERAGE(#REF!)&gt;=$W$13,ROUND(AVERAGE(#REF!),1)&amp;" ≥ "&amp;$W$13&amp;" OK",ROUND(AVERAGE(#REF!),1)&amp;" &lt; "&amp;$W$13&amp;" NC"))))</f>
        <v/>
      </c>
      <c r="T1818" s="247" t="str">
        <f>IF($X$13="/28",IF(Q1818="","",IF(Q1818&gt;=$W$13-$S$12,ROUND((Q1818),1)&amp;" ≥ "&amp;$W$13-$S$12&amp;" OK",ROUND((Q1818),1)&amp;" &lt; "&amp;$W$13-$S$12&amp;" NC")),IF($X$13="/90",IF(#REF!="","",IF(#REF!&gt;=$W$13-$S$12,ROUND((#REF!),1)&amp;" ≥ "&amp;$W$13-$S$12&amp;" OK",ROUND((#REF!),1)&amp;" &lt; "&amp;$W$13-$S$12&amp;" NC"))))</f>
        <v/>
      </c>
      <c r="U1818" s="12"/>
      <c r="V1818" s="349"/>
      <c r="W1818" s="350"/>
      <c r="X1818" s="351"/>
      <c r="Y1818" s="244"/>
      <c r="Z1818" s="244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BP1818" s="390" t="str">
        <f>IF($X$13="/28",IF(Q1818="","",Q1818),IF($X$13="/90",IF(#REF!="","",#REF!),"Falso"))</f>
        <v/>
      </c>
      <c r="BQ1818" s="392" t="str">
        <f t="shared" si="2818"/>
        <v/>
      </c>
    </row>
    <row r="1819" spans="1:69" ht="14.25" customHeight="1" x14ac:dyDescent="0.35">
      <c r="A1819" s="294"/>
      <c r="B1819" s="296"/>
      <c r="C1819" s="298"/>
      <c r="D1819" s="300"/>
      <c r="E1819" s="302"/>
      <c r="F1819" s="304"/>
      <c r="G1819" s="276"/>
      <c r="H1819" s="277"/>
      <c r="I1819" s="290"/>
      <c r="J1819" s="290"/>
      <c r="K1819" s="291"/>
      <c r="L1819" s="17"/>
      <c r="M1819" s="286"/>
      <c r="N1819" s="21"/>
      <c r="O1819" s="286"/>
      <c r="P1819" s="21"/>
      <c r="Q1819" s="286"/>
      <c r="R1819" s="248"/>
      <c r="S1819" s="248"/>
      <c r="T1819" s="248"/>
      <c r="U1819" s="13"/>
      <c r="V1819" s="282"/>
      <c r="W1819" s="283"/>
      <c r="X1819" s="284"/>
      <c r="Y1819" s="245"/>
      <c r="Z1819" s="245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BP1819" s="391"/>
      <c r="BQ1819" s="393"/>
    </row>
    <row r="1820" spans="1:69" ht="14.25" customHeight="1" x14ac:dyDescent="0.35">
      <c r="A1820" s="293">
        <v>902</v>
      </c>
      <c r="B1820" s="295"/>
      <c r="C1820" s="297"/>
      <c r="D1820" s="299"/>
      <c r="E1820" s="301"/>
      <c r="F1820" s="303"/>
      <c r="G1820" s="288"/>
      <c r="H1820" s="289"/>
      <c r="I1820" s="290"/>
      <c r="J1820" s="290"/>
      <c r="K1820" s="291"/>
      <c r="L1820" s="18"/>
      <c r="M1820" s="285" t="str">
        <f t="shared" ref="M1820" si="2830">IF(COUNT(L1820:L1821)&lt;1,"",AVERAGE(L1820:L1821))</f>
        <v/>
      </c>
      <c r="N1820" s="22"/>
      <c r="O1820" s="285" t="str">
        <f t="shared" ref="O1820" si="2831">IF(COUNT(N1820:N1821)&lt;1,"",AVERAGE(N1820:N1821))</f>
        <v/>
      </c>
      <c r="P1820" s="22"/>
      <c r="Q1820" s="285" t="str">
        <f t="shared" ref="Q1820" si="2832">IF(COUNT(P1820:P1821)&lt;1,"",AVERAGE(P1820:P1821))</f>
        <v/>
      </c>
      <c r="R1820" s="278" t="str">
        <f>IF($X$13="/28",IF(COUNT(P1820:P1821)&lt;=1,"",ABS(P1820-P1821)),IF($X$13="/90",IF(COUNT(#REF!)&lt;=1,"",ABS(#REF!-#REF!))))</f>
        <v/>
      </c>
      <c r="S1820" s="278" t="str">
        <f>IF($X$13="/28",IF(Q1820="","",IF(AVERAGE(Q1816:Q1821)&gt;=$W$13,ROUND(AVERAGE(Q1816:Q1821),1)&amp;" ≥ "&amp;$W$13&amp;" OK",ROUND(AVERAGE(Q1816:Q1821),1)&amp;" &lt; "&amp;$W$13&amp;" NC")),IF($X$13="/90",IF(#REF!="","",IF(AVERAGE(#REF!)&gt;=$W$13,ROUND(AVERAGE(#REF!),1)&amp;" ≥ "&amp;$W$13&amp;" OK",ROUND(AVERAGE(#REF!),1)&amp;" &lt; "&amp;$W$13&amp;" NC"))))</f>
        <v/>
      </c>
      <c r="T1820" s="278" t="str">
        <f>IF($X$13="/28",IF(Q1820="","",IF(Q1820&gt;=$W$13-$S$12,ROUND((Q1820),1)&amp;" ≥ "&amp;$W$13-$S$12&amp;" OK",ROUND((Q1820),1)&amp;" &lt; "&amp;$W$13-$S$12&amp;" NC")),IF($X$13="/90",IF(#REF!="","",IF(#REF!&gt;=$W$13-$S$12,ROUND((#REF!),1)&amp;" ≥ "&amp;$W$13-$S$12&amp;" OK",ROUND((#REF!),1)&amp;" &lt; "&amp;$W$13-$S$12&amp;" NC"))))</f>
        <v/>
      </c>
      <c r="U1820" s="14"/>
      <c r="V1820" s="279"/>
      <c r="W1820" s="280"/>
      <c r="X1820" s="281"/>
      <c r="Y1820" s="246"/>
      <c r="Z1820" s="246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BP1820" s="390" t="str">
        <f>IF($X$13="/28",IF(Q1820="","",Q1820),IF($X$13="/90",IF(#REF!="","",#REF!),"Falso"))</f>
        <v/>
      </c>
      <c r="BQ1820" s="392" t="str">
        <f t="shared" si="2822"/>
        <v/>
      </c>
    </row>
    <row r="1821" spans="1:69" ht="14.25" customHeight="1" x14ac:dyDescent="0.35">
      <c r="A1821" s="294"/>
      <c r="B1821" s="296"/>
      <c r="C1821" s="298"/>
      <c r="D1821" s="300"/>
      <c r="E1821" s="302"/>
      <c r="F1821" s="304"/>
      <c r="G1821" s="276"/>
      <c r="H1821" s="277"/>
      <c r="I1821" s="290"/>
      <c r="J1821" s="290"/>
      <c r="K1821" s="291"/>
      <c r="L1821" s="17"/>
      <c r="M1821" s="286"/>
      <c r="N1821" s="21"/>
      <c r="O1821" s="286"/>
      <c r="P1821" s="21"/>
      <c r="Q1821" s="286"/>
      <c r="R1821" s="248"/>
      <c r="S1821" s="248"/>
      <c r="T1821" s="248"/>
      <c r="U1821" s="13"/>
      <c r="V1821" s="282"/>
      <c r="W1821" s="283"/>
      <c r="X1821" s="284"/>
      <c r="Y1821" s="245"/>
      <c r="Z1821" s="245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BP1821" s="391"/>
      <c r="BQ1821" s="393"/>
    </row>
    <row r="1822" spans="1:69" ht="14.25" customHeight="1" x14ac:dyDescent="0.35">
      <c r="A1822" s="293">
        <v>903</v>
      </c>
      <c r="B1822" s="295"/>
      <c r="C1822" s="297"/>
      <c r="D1822" s="299"/>
      <c r="E1822" s="301"/>
      <c r="F1822" s="303"/>
      <c r="G1822" s="288"/>
      <c r="H1822" s="289"/>
      <c r="I1822" s="290"/>
      <c r="J1822" s="290"/>
      <c r="K1822" s="291"/>
      <c r="L1822" s="18"/>
      <c r="M1822" s="285" t="str">
        <f t="shared" ref="M1822" si="2833">IF(COUNT(L1822:L1823)&lt;1,"",AVERAGE(L1822:L1823))</f>
        <v/>
      </c>
      <c r="N1822" s="22"/>
      <c r="O1822" s="285" t="str">
        <f t="shared" ref="O1822" si="2834">IF(COUNT(N1822:N1823)&lt;1,"",AVERAGE(N1822:N1823))</f>
        <v/>
      </c>
      <c r="P1822" s="22"/>
      <c r="Q1822" s="285" t="str">
        <f t="shared" ref="Q1822" si="2835">IF(COUNT(P1822:P1823)&lt;1,"",AVERAGE(P1822:P1823))</f>
        <v/>
      </c>
      <c r="R1822" s="278" t="str">
        <f>IF($X$13="/28",IF(COUNT(P1822:P1823)&lt;=1,"",ABS(P1822-P1823)),IF($X$13="/90",IF(COUNT(#REF!)&lt;=1,"",ABS(#REF!-#REF!))))</f>
        <v/>
      </c>
      <c r="S1822" s="278" t="str">
        <f>IF($X$13="/28",IF(Q1822="","",IF(AVERAGE(Q1818:Q1823)&gt;=$W$13,ROUND(AVERAGE(Q1818:Q1823),1)&amp;" ≥ "&amp;$W$13&amp;" OK",ROUND(AVERAGE(Q1818:Q1823),1)&amp;" &lt; "&amp;$W$13&amp;" NC")),IF($X$13="/90",IF(#REF!="","",IF(AVERAGE(#REF!)&gt;=$W$13,ROUND(AVERAGE(#REF!),1)&amp;" ≥ "&amp;$W$13&amp;" OK",ROUND(AVERAGE(#REF!),1)&amp;" &lt; "&amp;$W$13&amp;" NC"))))</f>
        <v/>
      </c>
      <c r="T1822" s="278" t="str">
        <f>IF($X$13="/28",IF(Q1822="","",IF(Q1822&gt;=$W$13-$S$12,ROUND((Q1822),1)&amp;" ≥ "&amp;$W$13-$S$12&amp;" OK",ROUND((Q1822),1)&amp;" &lt; "&amp;$W$13-$S$12&amp;" NC")),IF($X$13="/90",IF(#REF!="","",IF(#REF!&gt;=$W$13-$S$12,ROUND((#REF!),1)&amp;" ≥ "&amp;$W$13-$S$12&amp;" OK",ROUND((#REF!),1)&amp;" &lt; "&amp;$W$13-$S$12&amp;" NC"))))</f>
        <v/>
      </c>
      <c r="U1822" s="14"/>
      <c r="V1822" s="279"/>
      <c r="W1822" s="280"/>
      <c r="X1822" s="281"/>
      <c r="Y1822" s="246"/>
      <c r="Z1822" s="246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BP1822" s="390" t="str">
        <f>IF($X$13="/28",IF(Q1822="","",Q1822),IF($X$13="/90",IF(#REF!="","",#REF!),"Falso"))</f>
        <v/>
      </c>
      <c r="BQ1822" s="392" t="str">
        <f t="shared" si="2826"/>
        <v/>
      </c>
    </row>
    <row r="1823" spans="1:69" ht="14.25" customHeight="1" x14ac:dyDescent="0.35">
      <c r="A1823" s="294"/>
      <c r="B1823" s="296"/>
      <c r="C1823" s="298"/>
      <c r="D1823" s="300"/>
      <c r="E1823" s="302"/>
      <c r="F1823" s="304"/>
      <c r="G1823" s="276"/>
      <c r="H1823" s="277"/>
      <c r="I1823" s="290"/>
      <c r="J1823" s="290"/>
      <c r="K1823" s="291"/>
      <c r="L1823" s="17"/>
      <c r="M1823" s="286"/>
      <c r="N1823" s="21"/>
      <c r="O1823" s="286"/>
      <c r="P1823" s="21"/>
      <c r="Q1823" s="286"/>
      <c r="R1823" s="248"/>
      <c r="S1823" s="287"/>
      <c r="T1823" s="248"/>
      <c r="U1823" s="13"/>
      <c r="V1823" s="282"/>
      <c r="W1823" s="283"/>
      <c r="X1823" s="284"/>
      <c r="Y1823" s="245"/>
      <c r="Z1823" s="245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BP1823" s="391"/>
      <c r="BQ1823" s="393"/>
    </row>
    <row r="1824" spans="1:69" ht="14.25" customHeight="1" x14ac:dyDescent="0.35">
      <c r="A1824" s="293">
        <v>904</v>
      </c>
      <c r="B1824" s="295"/>
      <c r="C1824" s="297"/>
      <c r="D1824" s="299"/>
      <c r="E1824" s="301"/>
      <c r="F1824" s="303"/>
      <c r="G1824" s="288"/>
      <c r="H1824" s="289"/>
      <c r="I1824" s="290"/>
      <c r="J1824" s="290"/>
      <c r="K1824" s="291"/>
      <c r="L1824" s="18"/>
      <c r="M1824" s="285" t="str">
        <f t="shared" ref="M1824" si="2836">IF(COUNT(L1824:L1825)&lt;1,"",AVERAGE(L1824:L1825))</f>
        <v/>
      </c>
      <c r="N1824" s="22"/>
      <c r="O1824" s="285" t="str">
        <f t="shared" ref="O1824" si="2837">IF(COUNT(N1824:N1825)&lt;1,"",AVERAGE(N1824:N1825))</f>
        <v/>
      </c>
      <c r="P1824" s="22"/>
      <c r="Q1824" s="285" t="str">
        <f t="shared" ref="Q1824" si="2838">IF(COUNT(P1824:P1825)&lt;1,"",AVERAGE(P1824:P1825))</f>
        <v/>
      </c>
      <c r="R1824" s="278" t="str">
        <f>IF($X$13="/28",IF(COUNT(P1824:P1825)&lt;=1,"",ABS(P1824-P1825)),IF($X$13="/90",IF(COUNT(#REF!)&lt;=1,"",ABS(#REF!-#REF!))))</f>
        <v/>
      </c>
      <c r="S1824" s="278" t="str">
        <f>IF($X$13="/28",IF(Q1824="","",IF(AVERAGE(Q1820:Q1825)&gt;=$W$13,ROUND(AVERAGE(Q1820:Q1825),1)&amp;" ≥ "&amp;$W$13&amp;" OK",ROUND(AVERAGE(Q1820:Q1825),1)&amp;" &lt; "&amp;$W$13&amp;" NC")),IF($X$13="/90",IF(#REF!="","",IF(AVERAGE(#REF!)&gt;=$W$13,ROUND(AVERAGE(#REF!),1)&amp;" ≥ "&amp;$W$13&amp;" OK",ROUND(AVERAGE(#REF!),1)&amp;" &lt; "&amp;$W$13&amp;" NC"))))</f>
        <v/>
      </c>
      <c r="T1824" s="278" t="str">
        <f>IF($X$13="/28",IF(Q1824="","",IF(Q1824&gt;=$W$13-$S$12,ROUND((Q1824),1)&amp;" ≥ "&amp;$W$13-$S$12&amp;" OK",ROUND((Q1824),1)&amp;" &lt; "&amp;$W$13-$S$12&amp;" NC")),IF($X$13="/90",IF(#REF!="","",IF(#REF!&gt;=$W$13-$S$12,ROUND((#REF!),1)&amp;" ≥ "&amp;$W$13-$S$12&amp;" OK",ROUND((#REF!),1)&amp;" &lt; "&amp;$W$13-$S$12&amp;" NC"))))</f>
        <v/>
      </c>
      <c r="U1824" s="14"/>
      <c r="V1824" s="279"/>
      <c r="W1824" s="280"/>
      <c r="X1824" s="281"/>
      <c r="Y1824" s="246"/>
      <c r="Z1824" s="246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BP1824" s="390" t="str">
        <f>IF($X$13="/28",IF(Q1824="","",Q1824),IF($X$13="/90",IF(#REF!="","",#REF!),"Falso"))</f>
        <v/>
      </c>
      <c r="BQ1824" s="392" t="str">
        <f t="shared" si="2818"/>
        <v/>
      </c>
    </row>
    <row r="1825" spans="1:69" ht="14.25" customHeight="1" x14ac:dyDescent="0.35">
      <c r="A1825" s="294"/>
      <c r="B1825" s="296"/>
      <c r="C1825" s="298"/>
      <c r="D1825" s="300"/>
      <c r="E1825" s="302"/>
      <c r="F1825" s="304"/>
      <c r="G1825" s="276"/>
      <c r="H1825" s="277"/>
      <c r="I1825" s="290"/>
      <c r="J1825" s="290"/>
      <c r="K1825" s="291"/>
      <c r="L1825" s="17"/>
      <c r="M1825" s="286"/>
      <c r="N1825" s="21"/>
      <c r="O1825" s="286"/>
      <c r="P1825" s="21"/>
      <c r="Q1825" s="286"/>
      <c r="R1825" s="248"/>
      <c r="S1825" s="287"/>
      <c r="T1825" s="248"/>
      <c r="U1825" s="13"/>
      <c r="V1825" s="282"/>
      <c r="W1825" s="283"/>
      <c r="X1825" s="284"/>
      <c r="Y1825" s="245"/>
      <c r="Z1825" s="245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BP1825" s="391"/>
      <c r="BQ1825" s="393"/>
    </row>
    <row r="1826" spans="1:69" ht="14.25" customHeight="1" x14ac:dyDescent="0.35">
      <c r="A1826" s="293">
        <v>905</v>
      </c>
      <c r="B1826" s="295"/>
      <c r="C1826" s="297"/>
      <c r="D1826" s="299"/>
      <c r="E1826" s="301"/>
      <c r="F1826" s="303"/>
      <c r="G1826" s="288"/>
      <c r="H1826" s="289"/>
      <c r="I1826" s="290"/>
      <c r="J1826" s="290"/>
      <c r="K1826" s="291"/>
      <c r="L1826" s="18"/>
      <c r="M1826" s="285" t="str">
        <f t="shared" ref="M1826" si="2839">IF(COUNT(L1826:L1827)&lt;1,"",AVERAGE(L1826:L1827))</f>
        <v/>
      </c>
      <c r="N1826" s="22"/>
      <c r="O1826" s="285" t="str">
        <f t="shared" ref="O1826" si="2840">IF(COUNT(N1826:N1827)&lt;1,"",AVERAGE(N1826:N1827))</f>
        <v/>
      </c>
      <c r="P1826" s="22"/>
      <c r="Q1826" s="285" t="str">
        <f t="shared" ref="Q1826" si="2841">IF(COUNT(P1826:P1827)&lt;1,"",AVERAGE(P1826:P1827))</f>
        <v/>
      </c>
      <c r="R1826" s="278" t="str">
        <f>IF($X$13="/28",IF(COUNT(P1826:P1827)&lt;=1,"",ABS(P1826-P1827)),IF($X$13="/90",IF(COUNT(#REF!)&lt;=1,"",ABS(#REF!-#REF!))))</f>
        <v/>
      </c>
      <c r="S1826" s="278" t="str">
        <f>IF($X$13="/28",IF(Q1826="","",IF(AVERAGE(Q1822:Q1827)&gt;=$W$13,ROUND(AVERAGE(Q1822:Q1827),1)&amp;" ≥ "&amp;$W$13&amp;" OK",ROUND(AVERAGE(Q1822:Q1827),1)&amp;" &lt; "&amp;$W$13&amp;" NC")),IF($X$13="/90",IF(#REF!="","",IF(AVERAGE(#REF!)&gt;=$W$13,ROUND(AVERAGE(#REF!),1)&amp;" ≥ "&amp;$W$13&amp;" OK",ROUND(AVERAGE(#REF!),1)&amp;" &lt; "&amp;$W$13&amp;" NC"))))</f>
        <v/>
      </c>
      <c r="T1826" s="278" t="str">
        <f>IF($X$13="/28",IF(Q1826="","",IF(Q1826&gt;=$W$13-$S$12,ROUND((Q1826),1)&amp;" ≥ "&amp;$W$13-$S$12&amp;" OK",ROUND((Q1826),1)&amp;" &lt; "&amp;$W$13-$S$12&amp;" NC")),IF($X$13="/90",IF(#REF!="","",IF(#REF!&gt;=$W$13-$S$12,ROUND((#REF!),1)&amp;" ≥ "&amp;$W$13-$S$12&amp;" OK",ROUND((#REF!),1)&amp;" &lt; "&amp;$W$13-$S$12&amp;" NC"))))</f>
        <v/>
      </c>
      <c r="U1826" s="14"/>
      <c r="V1826" s="279"/>
      <c r="W1826" s="280"/>
      <c r="X1826" s="281"/>
      <c r="Y1826" s="246"/>
      <c r="Z1826" s="246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BP1826" s="390" t="str">
        <f>IF($X$13="/28",IF(Q1826="","",Q1826),IF($X$13="/90",IF(#REF!="","",#REF!),"Falso"))</f>
        <v/>
      </c>
      <c r="BQ1826" s="392" t="str">
        <f t="shared" si="2822"/>
        <v/>
      </c>
    </row>
    <row r="1827" spans="1:69" ht="14.25" customHeight="1" x14ac:dyDescent="0.35">
      <c r="A1827" s="294"/>
      <c r="B1827" s="296"/>
      <c r="C1827" s="298"/>
      <c r="D1827" s="300"/>
      <c r="E1827" s="302"/>
      <c r="F1827" s="304"/>
      <c r="G1827" s="276"/>
      <c r="H1827" s="277"/>
      <c r="I1827" s="290"/>
      <c r="J1827" s="290"/>
      <c r="K1827" s="291"/>
      <c r="L1827" s="17"/>
      <c r="M1827" s="286"/>
      <c r="N1827" s="21"/>
      <c r="O1827" s="286"/>
      <c r="P1827" s="21"/>
      <c r="Q1827" s="286"/>
      <c r="R1827" s="248"/>
      <c r="S1827" s="287"/>
      <c r="T1827" s="248"/>
      <c r="U1827" s="13"/>
      <c r="V1827" s="282"/>
      <c r="W1827" s="283"/>
      <c r="X1827" s="284"/>
      <c r="Y1827" s="245"/>
      <c r="Z1827" s="245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BP1827" s="391"/>
      <c r="BQ1827" s="393"/>
    </row>
    <row r="1828" spans="1:69" ht="14.25" customHeight="1" x14ac:dyDescent="0.35">
      <c r="A1828" s="293">
        <v>906</v>
      </c>
      <c r="B1828" s="295"/>
      <c r="C1828" s="297"/>
      <c r="D1828" s="299"/>
      <c r="E1828" s="301"/>
      <c r="F1828" s="303"/>
      <c r="G1828" s="288"/>
      <c r="H1828" s="289"/>
      <c r="I1828" s="290"/>
      <c r="J1828" s="290"/>
      <c r="K1828" s="291"/>
      <c r="L1828" s="18"/>
      <c r="M1828" s="285" t="str">
        <f t="shared" ref="M1828" si="2842">IF(COUNT(L1828:L1829)&lt;1,"",AVERAGE(L1828:L1829))</f>
        <v/>
      </c>
      <c r="N1828" s="22"/>
      <c r="O1828" s="285" t="str">
        <f t="shared" ref="O1828" si="2843">IF(COUNT(N1828:N1829)&lt;1,"",AVERAGE(N1828:N1829))</f>
        <v/>
      </c>
      <c r="P1828" s="22"/>
      <c r="Q1828" s="285" t="str">
        <f t="shared" ref="Q1828" si="2844">IF(COUNT(P1828:P1829)&lt;1,"",AVERAGE(P1828:P1829))</f>
        <v/>
      </c>
      <c r="R1828" s="278" t="str">
        <f>IF($X$13="/28",IF(COUNT(P1828:P1829)&lt;=1,"",ABS(P1828-P1829)),IF($X$13="/90",IF(COUNT(#REF!)&lt;=1,"",ABS(#REF!-#REF!))))</f>
        <v/>
      </c>
      <c r="S1828" s="278" t="str">
        <f>IF($X$13="/28",IF(Q1828="","",IF(AVERAGE(Q1824:Q1829)&gt;=$W$13,ROUND(AVERAGE(Q1824:Q1829),1)&amp;" ≥ "&amp;$W$13&amp;" OK",ROUND(AVERAGE(Q1824:Q1829),1)&amp;" &lt; "&amp;$W$13&amp;" NC")),IF($X$13="/90",IF(#REF!="","",IF(AVERAGE(#REF!)&gt;=$W$13,ROUND(AVERAGE(#REF!),1)&amp;" ≥ "&amp;$W$13&amp;" OK",ROUND(AVERAGE(#REF!),1)&amp;" &lt; "&amp;$W$13&amp;" NC"))))</f>
        <v/>
      </c>
      <c r="T1828" s="278" t="str">
        <f>IF($X$13="/28",IF(Q1828="","",IF(Q1828&gt;=$W$13-$S$12,ROUND((Q1828),1)&amp;" ≥ "&amp;$W$13-$S$12&amp;" OK",ROUND((Q1828),1)&amp;" &lt; "&amp;$W$13-$S$12&amp;" NC")),IF($X$13="/90",IF(#REF!="","",IF(#REF!&gt;=$W$13-$S$12,ROUND((#REF!),1)&amp;" ≥ "&amp;$W$13-$S$12&amp;" OK",ROUND((#REF!),1)&amp;" &lt; "&amp;$W$13-$S$12&amp;" NC"))))</f>
        <v/>
      </c>
      <c r="U1828" s="14"/>
      <c r="V1828" s="279"/>
      <c r="W1828" s="280"/>
      <c r="X1828" s="281"/>
      <c r="Y1828" s="246"/>
      <c r="Z1828" s="246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BP1828" s="390" t="str">
        <f>IF($X$13="/28",IF(Q1828="","",Q1828),IF($X$13="/90",IF(#REF!="","",#REF!),"Falso"))</f>
        <v/>
      </c>
      <c r="BQ1828" s="392" t="str">
        <f t="shared" si="2826"/>
        <v/>
      </c>
    </row>
    <row r="1829" spans="1:69" ht="14.25" customHeight="1" x14ac:dyDescent="0.35">
      <c r="A1829" s="294"/>
      <c r="B1829" s="296"/>
      <c r="C1829" s="298"/>
      <c r="D1829" s="300"/>
      <c r="E1829" s="302"/>
      <c r="F1829" s="304"/>
      <c r="G1829" s="276"/>
      <c r="H1829" s="277"/>
      <c r="I1829" s="290"/>
      <c r="J1829" s="290"/>
      <c r="K1829" s="291"/>
      <c r="L1829" s="17"/>
      <c r="M1829" s="286"/>
      <c r="N1829" s="21"/>
      <c r="O1829" s="286"/>
      <c r="P1829" s="21"/>
      <c r="Q1829" s="286"/>
      <c r="R1829" s="248"/>
      <c r="S1829" s="287"/>
      <c r="T1829" s="248"/>
      <c r="U1829" s="13"/>
      <c r="V1829" s="282"/>
      <c r="W1829" s="283"/>
      <c r="X1829" s="284"/>
      <c r="Y1829" s="245"/>
      <c r="Z1829" s="245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BP1829" s="391"/>
      <c r="BQ1829" s="393"/>
    </row>
    <row r="1830" spans="1:69" ht="14.25" customHeight="1" x14ac:dyDescent="0.35">
      <c r="A1830" s="293">
        <v>907</v>
      </c>
      <c r="B1830" s="295"/>
      <c r="C1830" s="297"/>
      <c r="D1830" s="299"/>
      <c r="E1830" s="301"/>
      <c r="F1830" s="303"/>
      <c r="G1830" s="288"/>
      <c r="H1830" s="289"/>
      <c r="I1830" s="290"/>
      <c r="J1830" s="290"/>
      <c r="K1830" s="291"/>
      <c r="L1830" s="18"/>
      <c r="M1830" s="285" t="str">
        <f t="shared" ref="M1830" si="2845">IF(COUNT(L1830:L1831)&lt;1,"",AVERAGE(L1830:L1831))</f>
        <v/>
      </c>
      <c r="N1830" s="22"/>
      <c r="O1830" s="285" t="str">
        <f t="shared" ref="O1830" si="2846">IF(COUNT(N1830:N1831)&lt;1,"",AVERAGE(N1830:N1831))</f>
        <v/>
      </c>
      <c r="P1830" s="22"/>
      <c r="Q1830" s="285" t="str">
        <f t="shared" ref="Q1830" si="2847">IF(COUNT(P1830:P1831)&lt;1,"",AVERAGE(P1830:P1831))</f>
        <v/>
      </c>
      <c r="R1830" s="278" t="str">
        <f>IF($X$13="/28",IF(COUNT(P1830:P1831)&lt;=1,"",ABS(P1830-P1831)),IF($X$13="/90",IF(COUNT(#REF!)&lt;=1,"",ABS(#REF!-#REF!))))</f>
        <v/>
      </c>
      <c r="S1830" s="278" t="str">
        <f>IF($X$13="/28",IF(Q1830="","",IF(AVERAGE(Q1826:Q1831)&gt;=$W$13,ROUND(AVERAGE(Q1826:Q1831),1)&amp;" ≥ "&amp;$W$13&amp;" OK",ROUND(AVERAGE(Q1826:Q1831),1)&amp;" &lt; "&amp;$W$13&amp;" NC")),IF($X$13="/90",IF(#REF!="","",IF(AVERAGE(#REF!)&gt;=$W$13,ROUND(AVERAGE(#REF!),1)&amp;" ≥ "&amp;$W$13&amp;" OK",ROUND(AVERAGE(#REF!),1)&amp;" &lt; "&amp;$W$13&amp;" NC"))))</f>
        <v/>
      </c>
      <c r="T1830" s="278" t="str">
        <f>IF($X$13="/28",IF(Q1830="","",IF(Q1830&gt;=$W$13-$S$12,ROUND((Q1830),1)&amp;" ≥ "&amp;$W$13-$S$12&amp;" OK",ROUND((Q1830),1)&amp;" &lt; "&amp;$W$13-$S$12&amp;" NC")),IF($X$13="/90",IF(#REF!="","",IF(#REF!&gt;=$W$13-$S$12,ROUND((#REF!),1)&amp;" ≥ "&amp;$W$13-$S$12&amp;" OK",ROUND((#REF!),1)&amp;" &lt; "&amp;$W$13-$S$12&amp;" NC"))))</f>
        <v/>
      </c>
      <c r="U1830" s="14"/>
      <c r="V1830" s="279"/>
      <c r="W1830" s="280"/>
      <c r="X1830" s="281"/>
      <c r="Y1830" s="246"/>
      <c r="Z1830" s="246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BP1830" s="390" t="str">
        <f>IF($X$13="/28",IF(Q1830="","",Q1830),IF($X$13="/90",IF(#REF!="","",#REF!),"Falso"))</f>
        <v/>
      </c>
      <c r="BQ1830" s="392" t="str">
        <f t="shared" si="2818"/>
        <v/>
      </c>
    </row>
    <row r="1831" spans="1:69" ht="14.25" customHeight="1" x14ac:dyDescent="0.35">
      <c r="A1831" s="294"/>
      <c r="B1831" s="296"/>
      <c r="C1831" s="298"/>
      <c r="D1831" s="300"/>
      <c r="E1831" s="302"/>
      <c r="F1831" s="304"/>
      <c r="G1831" s="276"/>
      <c r="H1831" s="277"/>
      <c r="I1831" s="290"/>
      <c r="J1831" s="290"/>
      <c r="K1831" s="291"/>
      <c r="L1831" s="17"/>
      <c r="M1831" s="286"/>
      <c r="N1831" s="21"/>
      <c r="O1831" s="286"/>
      <c r="P1831" s="21"/>
      <c r="Q1831" s="286"/>
      <c r="R1831" s="248"/>
      <c r="S1831" s="287"/>
      <c r="T1831" s="248"/>
      <c r="U1831" s="13"/>
      <c r="V1831" s="282"/>
      <c r="W1831" s="283"/>
      <c r="X1831" s="284"/>
      <c r="Y1831" s="245"/>
      <c r="Z1831" s="245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BP1831" s="391"/>
      <c r="BQ1831" s="393"/>
    </row>
    <row r="1832" spans="1:69" ht="14.25" customHeight="1" x14ac:dyDescent="0.35">
      <c r="A1832" s="293">
        <v>908</v>
      </c>
      <c r="B1832" s="295"/>
      <c r="C1832" s="297"/>
      <c r="D1832" s="299"/>
      <c r="E1832" s="301"/>
      <c r="F1832" s="303"/>
      <c r="G1832" s="288"/>
      <c r="H1832" s="289"/>
      <c r="I1832" s="290"/>
      <c r="J1832" s="290"/>
      <c r="K1832" s="291"/>
      <c r="L1832" s="18"/>
      <c r="M1832" s="285" t="str">
        <f t="shared" ref="M1832" si="2848">IF(COUNT(L1832:L1833)&lt;1,"",AVERAGE(L1832:L1833))</f>
        <v/>
      </c>
      <c r="N1832" s="22"/>
      <c r="O1832" s="285" t="str">
        <f t="shared" ref="O1832" si="2849">IF(COUNT(N1832:N1833)&lt;1,"",AVERAGE(N1832:N1833))</f>
        <v/>
      </c>
      <c r="P1832" s="22"/>
      <c r="Q1832" s="285" t="str">
        <f t="shared" ref="Q1832" si="2850">IF(COUNT(P1832:P1833)&lt;1,"",AVERAGE(P1832:P1833))</f>
        <v/>
      </c>
      <c r="R1832" s="278" t="str">
        <f>IF($X$13="/28",IF(COUNT(P1832:P1833)&lt;=1,"",ABS(P1832-P1833)),IF($X$13="/90",IF(COUNT(#REF!)&lt;=1,"",ABS(#REF!-#REF!))))</f>
        <v/>
      </c>
      <c r="S1832" s="278" t="str">
        <f>IF($X$13="/28",IF(Q1832="","",IF(AVERAGE(Q1828:Q1833)&gt;=$W$13,ROUND(AVERAGE(Q1828:Q1833),1)&amp;" ≥ "&amp;$W$13&amp;" OK",ROUND(AVERAGE(Q1828:Q1833),1)&amp;" &lt; "&amp;$W$13&amp;" NC")),IF($X$13="/90",IF(#REF!="","",IF(AVERAGE(#REF!)&gt;=$W$13,ROUND(AVERAGE(#REF!),1)&amp;" ≥ "&amp;$W$13&amp;" OK",ROUND(AVERAGE(#REF!),1)&amp;" &lt; "&amp;$W$13&amp;" NC"))))</f>
        <v/>
      </c>
      <c r="T1832" s="278" t="str">
        <f>IF($X$13="/28",IF(Q1832="","",IF(Q1832&gt;=$W$13-$S$12,ROUND((Q1832),1)&amp;" ≥ "&amp;$W$13-$S$12&amp;" OK",ROUND((Q1832),1)&amp;" &lt; "&amp;$W$13-$S$12&amp;" NC")),IF($X$13="/90",IF(#REF!="","",IF(#REF!&gt;=$W$13-$S$12,ROUND((#REF!),1)&amp;" ≥ "&amp;$W$13-$S$12&amp;" OK",ROUND((#REF!),1)&amp;" &lt; "&amp;$W$13-$S$12&amp;" NC"))))</f>
        <v/>
      </c>
      <c r="U1832" s="14"/>
      <c r="V1832" s="279"/>
      <c r="W1832" s="280"/>
      <c r="X1832" s="281"/>
      <c r="Y1832" s="246"/>
      <c r="Z1832" s="246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BP1832" s="390" t="str">
        <f>IF($X$13="/28",IF(Q1832="","",Q1832),IF($X$13="/90",IF(#REF!="","",#REF!),"Falso"))</f>
        <v/>
      </c>
      <c r="BQ1832" s="392" t="str">
        <f t="shared" si="2822"/>
        <v/>
      </c>
    </row>
    <row r="1833" spans="1:69" ht="14.25" customHeight="1" x14ac:dyDescent="0.35">
      <c r="A1833" s="294"/>
      <c r="B1833" s="296"/>
      <c r="C1833" s="298"/>
      <c r="D1833" s="300"/>
      <c r="E1833" s="302"/>
      <c r="F1833" s="304"/>
      <c r="G1833" s="276"/>
      <c r="H1833" s="277"/>
      <c r="I1833" s="290"/>
      <c r="J1833" s="290"/>
      <c r="K1833" s="291"/>
      <c r="L1833" s="17"/>
      <c r="M1833" s="286"/>
      <c r="N1833" s="21"/>
      <c r="O1833" s="286"/>
      <c r="P1833" s="21"/>
      <c r="Q1833" s="286"/>
      <c r="R1833" s="248"/>
      <c r="S1833" s="287"/>
      <c r="T1833" s="248"/>
      <c r="U1833" s="13"/>
      <c r="V1833" s="282"/>
      <c r="W1833" s="283"/>
      <c r="X1833" s="284"/>
      <c r="Y1833" s="245"/>
      <c r="Z1833" s="245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BP1833" s="391"/>
      <c r="BQ1833" s="393"/>
    </row>
    <row r="1834" spans="1:69" ht="14.25" customHeight="1" x14ac:dyDescent="0.35">
      <c r="A1834" s="293">
        <v>909</v>
      </c>
      <c r="B1834" s="295"/>
      <c r="C1834" s="297"/>
      <c r="D1834" s="299"/>
      <c r="E1834" s="301"/>
      <c r="F1834" s="303"/>
      <c r="G1834" s="288"/>
      <c r="H1834" s="289"/>
      <c r="I1834" s="290"/>
      <c r="J1834" s="290"/>
      <c r="K1834" s="291"/>
      <c r="L1834" s="18"/>
      <c r="M1834" s="285" t="str">
        <f t="shared" ref="M1834" si="2851">IF(COUNT(L1834:L1835)&lt;1,"",AVERAGE(L1834:L1835))</f>
        <v/>
      </c>
      <c r="N1834" s="22"/>
      <c r="O1834" s="285" t="str">
        <f t="shared" ref="O1834" si="2852">IF(COUNT(N1834:N1835)&lt;1,"",AVERAGE(N1834:N1835))</f>
        <v/>
      </c>
      <c r="P1834" s="22"/>
      <c r="Q1834" s="285" t="str">
        <f t="shared" ref="Q1834" si="2853">IF(COUNT(P1834:P1835)&lt;1,"",AVERAGE(P1834:P1835))</f>
        <v/>
      </c>
      <c r="R1834" s="278" t="str">
        <f>IF($X$13="/28",IF(COUNT(P1834:P1835)&lt;=1,"",ABS(P1834-P1835)),IF($X$13="/90",IF(COUNT(#REF!)&lt;=1,"",ABS(#REF!-#REF!))))</f>
        <v/>
      </c>
      <c r="S1834" s="278" t="str">
        <f>IF($X$13="/28",IF(Q1834="","",IF(AVERAGE(Q1830:Q1835)&gt;=$W$13,ROUND(AVERAGE(Q1830:Q1835),1)&amp;" ≥ "&amp;$W$13&amp;" OK",ROUND(AVERAGE(Q1830:Q1835),1)&amp;" &lt; "&amp;$W$13&amp;" NC")),IF($X$13="/90",IF(#REF!="","",IF(AVERAGE(#REF!)&gt;=$W$13,ROUND(AVERAGE(#REF!),1)&amp;" ≥ "&amp;$W$13&amp;" OK",ROUND(AVERAGE(#REF!),1)&amp;" &lt; "&amp;$W$13&amp;" NC"))))</f>
        <v/>
      </c>
      <c r="T1834" s="278" t="str">
        <f>IF($X$13="/28",IF(Q1834="","",IF(Q1834&gt;=$W$13-$S$12,ROUND((Q1834),1)&amp;" ≥ "&amp;$W$13-$S$12&amp;" OK",ROUND((Q1834),1)&amp;" &lt; "&amp;$W$13-$S$12&amp;" NC")),IF($X$13="/90",IF(#REF!="","",IF(#REF!&gt;=$W$13-$S$12,ROUND((#REF!),1)&amp;" ≥ "&amp;$W$13-$S$12&amp;" OK",ROUND((#REF!),1)&amp;" &lt; "&amp;$W$13-$S$12&amp;" NC"))))</f>
        <v/>
      </c>
      <c r="U1834" s="14"/>
      <c r="V1834" s="279"/>
      <c r="W1834" s="280"/>
      <c r="X1834" s="281"/>
      <c r="Y1834" s="246"/>
      <c r="Z1834" s="246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BP1834" s="390" t="str">
        <f>IF($X$13="/28",IF(Q1834="","",Q1834),IF($X$13="/90",IF(#REF!="","",#REF!),"Falso"))</f>
        <v/>
      </c>
      <c r="BQ1834" s="392" t="str">
        <f t="shared" si="2826"/>
        <v/>
      </c>
    </row>
    <row r="1835" spans="1:69" ht="14.25" customHeight="1" x14ac:dyDescent="0.35">
      <c r="A1835" s="294"/>
      <c r="B1835" s="296"/>
      <c r="C1835" s="298"/>
      <c r="D1835" s="300"/>
      <c r="E1835" s="302"/>
      <c r="F1835" s="304"/>
      <c r="G1835" s="276"/>
      <c r="H1835" s="277"/>
      <c r="I1835" s="290"/>
      <c r="J1835" s="290"/>
      <c r="K1835" s="291"/>
      <c r="L1835" s="17"/>
      <c r="M1835" s="286"/>
      <c r="N1835" s="21"/>
      <c r="O1835" s="286"/>
      <c r="P1835" s="21"/>
      <c r="Q1835" s="286"/>
      <c r="R1835" s="248"/>
      <c r="S1835" s="287"/>
      <c r="T1835" s="248"/>
      <c r="U1835" s="13"/>
      <c r="V1835" s="282"/>
      <c r="W1835" s="283"/>
      <c r="X1835" s="284"/>
      <c r="Y1835" s="245"/>
      <c r="Z1835" s="245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BP1835" s="391"/>
      <c r="BQ1835" s="393"/>
    </row>
    <row r="1836" spans="1:69" ht="14.25" customHeight="1" x14ac:dyDescent="0.35">
      <c r="A1836" s="293">
        <v>910</v>
      </c>
      <c r="B1836" s="295"/>
      <c r="C1836" s="297"/>
      <c r="D1836" s="299"/>
      <c r="E1836" s="301"/>
      <c r="F1836" s="303"/>
      <c r="G1836" s="288"/>
      <c r="H1836" s="289"/>
      <c r="I1836" s="290"/>
      <c r="J1836" s="290"/>
      <c r="K1836" s="291"/>
      <c r="L1836" s="18"/>
      <c r="M1836" s="285" t="str">
        <f t="shared" ref="M1836" si="2854">IF(COUNT(L1836:L1837)&lt;1,"",AVERAGE(L1836:L1837))</f>
        <v/>
      </c>
      <c r="N1836" s="22"/>
      <c r="O1836" s="285" t="str">
        <f t="shared" ref="O1836" si="2855">IF(COUNT(N1836:N1837)&lt;1,"",AVERAGE(N1836:N1837))</f>
        <v/>
      </c>
      <c r="P1836" s="22"/>
      <c r="Q1836" s="285" t="str">
        <f t="shared" ref="Q1836" si="2856">IF(COUNT(P1836:P1837)&lt;1,"",AVERAGE(P1836:P1837))</f>
        <v/>
      </c>
      <c r="R1836" s="278" t="str">
        <f>IF($X$13="/28",IF(COUNT(P1836:P1837)&lt;=1,"",ABS(P1836-P1837)),IF($X$13="/90",IF(COUNT(#REF!)&lt;=1,"",ABS(#REF!-#REF!))))</f>
        <v/>
      </c>
      <c r="S1836" s="278" t="str">
        <f>IF($X$13="/28",IF(Q1836="","",IF(AVERAGE(Q1832:Q1837)&gt;=$W$13,ROUND(AVERAGE(Q1832:Q1837),1)&amp;" ≥ "&amp;$W$13&amp;" OK",ROUND(AVERAGE(Q1832:Q1837),1)&amp;" &lt; "&amp;$W$13&amp;" NC")),IF($X$13="/90",IF(#REF!="","",IF(AVERAGE(#REF!)&gt;=$W$13,ROUND(AVERAGE(#REF!),1)&amp;" ≥ "&amp;$W$13&amp;" OK",ROUND(AVERAGE(#REF!),1)&amp;" &lt; "&amp;$W$13&amp;" NC"))))</f>
        <v/>
      </c>
      <c r="T1836" s="278" t="str">
        <f>IF($X$13="/28",IF(Q1836="","",IF(Q1836&gt;=$W$13-$S$12,ROUND((Q1836),1)&amp;" ≥ "&amp;$W$13-$S$12&amp;" OK",ROUND((Q1836),1)&amp;" &lt; "&amp;$W$13-$S$12&amp;" NC")),IF($X$13="/90",IF(#REF!="","",IF(#REF!&gt;=$W$13-$S$12,ROUND((#REF!),1)&amp;" ≥ "&amp;$W$13-$S$12&amp;" OK",ROUND((#REF!),1)&amp;" &lt; "&amp;$W$13-$S$12&amp;" NC"))))</f>
        <v/>
      </c>
      <c r="U1836" s="14"/>
      <c r="V1836" s="279"/>
      <c r="W1836" s="280"/>
      <c r="X1836" s="281"/>
      <c r="Y1836" s="246"/>
      <c r="Z1836" s="246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BP1836" s="390" t="str">
        <f>IF($X$13="/28",IF(Q1836="","",Q1836),IF($X$13="/90",IF(#REF!="","",#REF!),"Falso"))</f>
        <v/>
      </c>
      <c r="BQ1836" s="392" t="str">
        <f t="shared" si="2818"/>
        <v/>
      </c>
    </row>
    <row r="1837" spans="1:69" ht="14.25" customHeight="1" x14ac:dyDescent="0.35">
      <c r="A1837" s="294"/>
      <c r="B1837" s="296"/>
      <c r="C1837" s="298"/>
      <c r="D1837" s="300"/>
      <c r="E1837" s="302"/>
      <c r="F1837" s="304"/>
      <c r="G1837" s="276"/>
      <c r="H1837" s="277"/>
      <c r="I1837" s="290"/>
      <c r="J1837" s="290"/>
      <c r="K1837" s="291"/>
      <c r="L1837" s="17"/>
      <c r="M1837" s="286"/>
      <c r="N1837" s="21"/>
      <c r="O1837" s="286"/>
      <c r="P1837" s="21"/>
      <c r="Q1837" s="286"/>
      <c r="R1837" s="248"/>
      <c r="S1837" s="287"/>
      <c r="T1837" s="248"/>
      <c r="U1837" s="13"/>
      <c r="V1837" s="282"/>
      <c r="W1837" s="283"/>
      <c r="X1837" s="284"/>
      <c r="Y1837" s="245"/>
      <c r="Z1837" s="245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BP1837" s="391"/>
      <c r="BQ1837" s="393"/>
    </row>
    <row r="1838" spans="1:69" ht="14.25" customHeight="1" x14ac:dyDescent="0.35">
      <c r="A1838" s="293">
        <v>911</v>
      </c>
      <c r="B1838" s="295"/>
      <c r="C1838" s="297"/>
      <c r="D1838" s="299"/>
      <c r="E1838" s="301"/>
      <c r="F1838" s="303"/>
      <c r="G1838" s="288"/>
      <c r="H1838" s="289"/>
      <c r="I1838" s="290"/>
      <c r="J1838" s="290"/>
      <c r="K1838" s="291"/>
      <c r="L1838" s="18"/>
      <c r="M1838" s="285" t="str">
        <f t="shared" ref="M1838" si="2857">IF(COUNT(L1838:L1839)&lt;1,"",AVERAGE(L1838:L1839))</f>
        <v/>
      </c>
      <c r="N1838" s="22"/>
      <c r="O1838" s="285" t="str">
        <f t="shared" ref="O1838" si="2858">IF(COUNT(N1838:N1839)&lt;1,"",AVERAGE(N1838:N1839))</f>
        <v/>
      </c>
      <c r="P1838" s="22"/>
      <c r="Q1838" s="285" t="str">
        <f t="shared" ref="Q1838" si="2859">IF(COUNT(P1838:P1839)&lt;1,"",AVERAGE(P1838:P1839))</f>
        <v/>
      </c>
      <c r="R1838" s="278" t="str">
        <f>IF($X$13="/28",IF(COUNT(P1838:P1839)&lt;=1,"",ABS(P1838-P1839)),IF($X$13="/90",IF(COUNT(#REF!)&lt;=1,"",ABS(#REF!-#REF!))))</f>
        <v/>
      </c>
      <c r="S1838" s="278" t="str">
        <f>IF($X$13="/28",IF(Q1838="","",IF(AVERAGE(Q1834:Q1839)&gt;=$W$13,ROUND(AVERAGE(Q1834:Q1839),1)&amp;" ≥ "&amp;$W$13&amp;" OK",ROUND(AVERAGE(Q1834:Q1839),1)&amp;" &lt; "&amp;$W$13&amp;" NC")),IF($X$13="/90",IF(#REF!="","",IF(AVERAGE(#REF!)&gt;=$W$13,ROUND(AVERAGE(#REF!),1)&amp;" ≥ "&amp;$W$13&amp;" OK",ROUND(AVERAGE(#REF!),1)&amp;" &lt; "&amp;$W$13&amp;" NC"))))</f>
        <v/>
      </c>
      <c r="T1838" s="278" t="str">
        <f>IF($X$13="/28",IF(Q1838="","",IF(Q1838&gt;=$W$13-$S$12,ROUND((Q1838),1)&amp;" ≥ "&amp;$W$13-$S$12&amp;" OK",ROUND((Q1838),1)&amp;" &lt; "&amp;$W$13-$S$12&amp;" NC")),IF($X$13="/90",IF(#REF!="","",IF(#REF!&gt;=$W$13-$S$12,ROUND((#REF!),1)&amp;" ≥ "&amp;$W$13-$S$12&amp;" OK",ROUND((#REF!),1)&amp;" &lt; "&amp;$W$13-$S$12&amp;" NC"))))</f>
        <v/>
      </c>
      <c r="U1838" s="14"/>
      <c r="V1838" s="279"/>
      <c r="W1838" s="280"/>
      <c r="X1838" s="281"/>
      <c r="Y1838" s="246"/>
      <c r="Z1838" s="246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BP1838" s="390" t="str">
        <f>IF($X$13="/28",IF(Q1838="","",Q1838),IF($X$13="/90",IF(#REF!="","",#REF!),"Falso"))</f>
        <v/>
      </c>
      <c r="BQ1838" s="392" t="str">
        <f t="shared" si="2822"/>
        <v/>
      </c>
    </row>
    <row r="1839" spans="1:69" ht="14.25" customHeight="1" x14ac:dyDescent="0.35">
      <c r="A1839" s="294"/>
      <c r="B1839" s="296"/>
      <c r="C1839" s="298"/>
      <c r="D1839" s="300"/>
      <c r="E1839" s="302"/>
      <c r="F1839" s="304"/>
      <c r="G1839" s="276"/>
      <c r="H1839" s="277"/>
      <c r="I1839" s="290"/>
      <c r="J1839" s="290"/>
      <c r="K1839" s="291"/>
      <c r="L1839" s="17"/>
      <c r="M1839" s="286"/>
      <c r="N1839" s="21"/>
      <c r="O1839" s="286"/>
      <c r="P1839" s="21"/>
      <c r="Q1839" s="286"/>
      <c r="R1839" s="248"/>
      <c r="S1839" s="287"/>
      <c r="T1839" s="248"/>
      <c r="U1839" s="13"/>
      <c r="V1839" s="282"/>
      <c r="W1839" s="283"/>
      <c r="X1839" s="284"/>
      <c r="Y1839" s="245"/>
      <c r="Z1839" s="245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BP1839" s="391"/>
      <c r="BQ1839" s="393"/>
    </row>
    <row r="1840" spans="1:69" ht="14.25" customHeight="1" x14ac:dyDescent="0.35">
      <c r="A1840" s="293">
        <v>912</v>
      </c>
      <c r="B1840" s="295"/>
      <c r="C1840" s="297"/>
      <c r="D1840" s="299"/>
      <c r="E1840" s="301"/>
      <c r="F1840" s="303"/>
      <c r="G1840" s="288"/>
      <c r="H1840" s="289"/>
      <c r="I1840" s="290"/>
      <c r="J1840" s="290"/>
      <c r="K1840" s="291"/>
      <c r="L1840" s="18"/>
      <c r="M1840" s="285" t="str">
        <f t="shared" ref="M1840" si="2860">IF(COUNT(L1840:L1841)&lt;1,"",AVERAGE(L1840:L1841))</f>
        <v/>
      </c>
      <c r="N1840" s="22"/>
      <c r="O1840" s="285" t="str">
        <f t="shared" ref="O1840" si="2861">IF(COUNT(N1840:N1841)&lt;1,"",AVERAGE(N1840:N1841))</f>
        <v/>
      </c>
      <c r="P1840" s="22"/>
      <c r="Q1840" s="285" t="str">
        <f t="shared" ref="Q1840" si="2862">IF(COUNT(P1840:P1841)&lt;1,"",AVERAGE(P1840:P1841))</f>
        <v/>
      </c>
      <c r="R1840" s="278" t="str">
        <f>IF($X$13="/28",IF(COUNT(P1840:P1841)&lt;=1,"",ABS(P1840-P1841)),IF($X$13="/90",IF(COUNT(#REF!)&lt;=1,"",ABS(#REF!-#REF!))))</f>
        <v/>
      </c>
      <c r="S1840" s="278" t="str">
        <f>IF($X$13="/28",IF(Q1840="","",IF(AVERAGE(Q1836:Q1841)&gt;=$W$13,ROUND(AVERAGE(Q1836:Q1841),1)&amp;" ≥ "&amp;$W$13&amp;" OK",ROUND(AVERAGE(Q1836:Q1841),1)&amp;" &lt; "&amp;$W$13&amp;" NC")),IF($X$13="/90",IF(#REF!="","",IF(AVERAGE(#REF!)&gt;=$W$13,ROUND(AVERAGE(#REF!),1)&amp;" ≥ "&amp;$W$13&amp;" OK",ROUND(AVERAGE(#REF!),1)&amp;" &lt; "&amp;$W$13&amp;" NC"))))</f>
        <v/>
      </c>
      <c r="T1840" s="278" t="str">
        <f>IF($X$13="/28",IF(Q1840="","",IF(Q1840&gt;=$W$13-$S$12,ROUND((Q1840),1)&amp;" ≥ "&amp;$W$13-$S$12&amp;" OK",ROUND((Q1840),1)&amp;" &lt; "&amp;$W$13-$S$12&amp;" NC")),IF($X$13="/90",IF(#REF!="","",IF(#REF!&gt;=$W$13-$S$12,ROUND((#REF!),1)&amp;" ≥ "&amp;$W$13-$S$12&amp;" OK",ROUND((#REF!),1)&amp;" &lt; "&amp;$W$13-$S$12&amp;" NC"))))</f>
        <v/>
      </c>
      <c r="U1840" s="14"/>
      <c r="V1840" s="279"/>
      <c r="W1840" s="280"/>
      <c r="X1840" s="281"/>
      <c r="Y1840" s="246"/>
      <c r="Z1840" s="246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BP1840" s="390" t="str">
        <f>IF($X$13="/28",IF(Q1840="","",Q1840),IF($X$13="/90",IF(#REF!="","",#REF!),"Falso"))</f>
        <v/>
      </c>
      <c r="BQ1840" s="392" t="str">
        <f t="shared" si="2826"/>
        <v/>
      </c>
    </row>
    <row r="1841" spans="1:69" ht="14.25" customHeight="1" x14ac:dyDescent="0.35">
      <c r="A1841" s="294"/>
      <c r="B1841" s="296"/>
      <c r="C1841" s="298"/>
      <c r="D1841" s="300"/>
      <c r="E1841" s="302"/>
      <c r="F1841" s="304"/>
      <c r="G1841" s="276"/>
      <c r="H1841" s="277"/>
      <c r="I1841" s="290"/>
      <c r="J1841" s="290"/>
      <c r="K1841" s="291"/>
      <c r="L1841" s="17"/>
      <c r="M1841" s="286"/>
      <c r="N1841" s="21"/>
      <c r="O1841" s="286"/>
      <c r="P1841" s="21"/>
      <c r="Q1841" s="286"/>
      <c r="R1841" s="248"/>
      <c r="S1841" s="287"/>
      <c r="T1841" s="248"/>
      <c r="U1841" s="13"/>
      <c r="V1841" s="282"/>
      <c r="W1841" s="283"/>
      <c r="X1841" s="284"/>
      <c r="Y1841" s="245"/>
      <c r="Z1841" s="245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BP1841" s="391"/>
      <c r="BQ1841" s="393"/>
    </row>
    <row r="1842" spans="1:69" ht="14.25" customHeight="1" x14ac:dyDescent="0.35">
      <c r="A1842" s="293">
        <v>913</v>
      </c>
      <c r="B1842" s="295"/>
      <c r="C1842" s="297"/>
      <c r="D1842" s="299"/>
      <c r="E1842" s="301"/>
      <c r="F1842" s="303"/>
      <c r="G1842" s="288"/>
      <c r="H1842" s="289"/>
      <c r="I1842" s="290"/>
      <c r="J1842" s="290"/>
      <c r="K1842" s="291"/>
      <c r="L1842" s="18"/>
      <c r="M1842" s="285" t="str">
        <f t="shared" ref="M1842" si="2863">IF(COUNT(L1842:L1843)&lt;1,"",AVERAGE(L1842:L1843))</f>
        <v/>
      </c>
      <c r="N1842" s="22"/>
      <c r="O1842" s="285" t="str">
        <f t="shared" ref="O1842" si="2864">IF(COUNT(N1842:N1843)&lt;1,"",AVERAGE(N1842:N1843))</f>
        <v/>
      </c>
      <c r="P1842" s="22"/>
      <c r="Q1842" s="285" t="str">
        <f t="shared" ref="Q1842" si="2865">IF(COUNT(P1842:P1843)&lt;1,"",AVERAGE(P1842:P1843))</f>
        <v/>
      </c>
      <c r="R1842" s="278" t="str">
        <f>IF($X$13="/28",IF(COUNT(P1842:P1843)&lt;=1,"",ABS(P1842-P1843)),IF($X$13="/90",IF(COUNT(#REF!)&lt;=1,"",ABS(#REF!-#REF!))))</f>
        <v/>
      </c>
      <c r="S1842" s="278" t="str">
        <f>IF($X$13="/28",IF(Q1842="","",IF(AVERAGE(Q1838:Q1843)&gt;=$W$13,ROUND(AVERAGE(Q1838:Q1843),1)&amp;" ≥ "&amp;$W$13&amp;" OK",ROUND(AVERAGE(Q1838:Q1843),1)&amp;" &lt; "&amp;$W$13&amp;" NC")),IF($X$13="/90",IF(#REF!="","",IF(AVERAGE(#REF!)&gt;=$W$13,ROUND(AVERAGE(#REF!),1)&amp;" ≥ "&amp;$W$13&amp;" OK",ROUND(AVERAGE(#REF!),1)&amp;" &lt; "&amp;$W$13&amp;" NC"))))</f>
        <v/>
      </c>
      <c r="T1842" s="278" t="str">
        <f>IF($X$13="/28",IF(Q1842="","",IF(Q1842&gt;=$W$13-$S$12,ROUND((Q1842),1)&amp;" ≥ "&amp;$W$13-$S$12&amp;" OK",ROUND((Q1842),1)&amp;" &lt; "&amp;$W$13-$S$12&amp;" NC")),IF($X$13="/90",IF(#REF!="","",IF(#REF!&gt;=$W$13-$S$12,ROUND((#REF!),1)&amp;" ≥ "&amp;$W$13-$S$12&amp;" OK",ROUND((#REF!),1)&amp;" &lt; "&amp;$W$13-$S$12&amp;" NC"))))</f>
        <v/>
      </c>
      <c r="U1842" s="14"/>
      <c r="V1842" s="279"/>
      <c r="W1842" s="280"/>
      <c r="X1842" s="281"/>
      <c r="Y1842" s="246"/>
      <c r="Z1842" s="246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BP1842" s="390" t="str">
        <f>IF($X$13="/28",IF(Q1842="","",Q1842),IF($X$13="/90",IF(#REF!="","",#REF!),"Falso"))</f>
        <v/>
      </c>
      <c r="BQ1842" s="392" t="str">
        <f t="shared" si="2818"/>
        <v/>
      </c>
    </row>
    <row r="1843" spans="1:69" ht="14.25" customHeight="1" x14ac:dyDescent="0.35">
      <c r="A1843" s="294"/>
      <c r="B1843" s="296"/>
      <c r="C1843" s="298"/>
      <c r="D1843" s="300"/>
      <c r="E1843" s="302"/>
      <c r="F1843" s="304"/>
      <c r="G1843" s="276"/>
      <c r="H1843" s="277"/>
      <c r="I1843" s="290"/>
      <c r="J1843" s="290"/>
      <c r="K1843" s="291"/>
      <c r="L1843" s="17"/>
      <c r="M1843" s="286"/>
      <c r="N1843" s="21"/>
      <c r="O1843" s="286"/>
      <c r="P1843" s="21"/>
      <c r="Q1843" s="286"/>
      <c r="R1843" s="248"/>
      <c r="S1843" s="287"/>
      <c r="T1843" s="248"/>
      <c r="U1843" s="13"/>
      <c r="V1843" s="282"/>
      <c r="W1843" s="283"/>
      <c r="X1843" s="284"/>
      <c r="Y1843" s="245"/>
      <c r="Z1843" s="245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BP1843" s="391"/>
      <c r="BQ1843" s="393"/>
    </row>
    <row r="1844" spans="1:69" ht="14.25" customHeight="1" x14ac:dyDescent="0.35">
      <c r="A1844" s="293">
        <v>914</v>
      </c>
      <c r="B1844" s="295"/>
      <c r="C1844" s="297"/>
      <c r="D1844" s="299"/>
      <c r="E1844" s="301"/>
      <c r="F1844" s="303"/>
      <c r="G1844" s="288"/>
      <c r="H1844" s="289"/>
      <c r="I1844" s="290"/>
      <c r="J1844" s="290"/>
      <c r="K1844" s="291"/>
      <c r="L1844" s="18"/>
      <c r="M1844" s="285" t="str">
        <f t="shared" ref="M1844" si="2866">IF(COUNT(L1844:L1845)&lt;1,"",AVERAGE(L1844:L1845))</f>
        <v/>
      </c>
      <c r="N1844" s="22"/>
      <c r="O1844" s="285" t="str">
        <f t="shared" ref="O1844" si="2867">IF(COUNT(N1844:N1845)&lt;1,"",AVERAGE(N1844:N1845))</f>
        <v/>
      </c>
      <c r="P1844" s="22"/>
      <c r="Q1844" s="285" t="str">
        <f t="shared" ref="Q1844" si="2868">IF(COUNT(P1844:P1845)&lt;1,"",AVERAGE(P1844:P1845))</f>
        <v/>
      </c>
      <c r="R1844" s="278" t="str">
        <f>IF($X$13="/28",IF(COUNT(P1844:P1845)&lt;=1,"",ABS(P1844-P1845)),IF($X$13="/90",IF(COUNT(#REF!)&lt;=1,"",ABS(#REF!-#REF!))))</f>
        <v/>
      </c>
      <c r="S1844" s="278" t="str">
        <f>IF($X$13="/28",IF(Q1844="","",IF(AVERAGE(Q1840:Q1845)&gt;=$W$13,ROUND(AVERAGE(Q1840:Q1845),1)&amp;" ≥ "&amp;$W$13&amp;" OK",ROUND(AVERAGE(Q1840:Q1845),1)&amp;" &lt; "&amp;$W$13&amp;" NC")),IF($X$13="/90",IF(#REF!="","",IF(AVERAGE(#REF!)&gt;=$W$13,ROUND(AVERAGE(#REF!),1)&amp;" ≥ "&amp;$W$13&amp;" OK",ROUND(AVERAGE(#REF!),1)&amp;" &lt; "&amp;$W$13&amp;" NC"))))</f>
        <v/>
      </c>
      <c r="T1844" s="278" t="str">
        <f>IF($X$13="/28",IF(Q1844="","",IF(Q1844&gt;=$W$13-$S$12,ROUND((Q1844),1)&amp;" ≥ "&amp;$W$13-$S$12&amp;" OK",ROUND((Q1844),1)&amp;" &lt; "&amp;$W$13-$S$12&amp;" NC")),IF($X$13="/90",IF(#REF!="","",IF(#REF!&gt;=$W$13-$S$12,ROUND((#REF!),1)&amp;" ≥ "&amp;$W$13-$S$12&amp;" OK",ROUND((#REF!),1)&amp;" &lt; "&amp;$W$13-$S$12&amp;" NC"))))</f>
        <v/>
      </c>
      <c r="U1844" s="14"/>
      <c r="V1844" s="279"/>
      <c r="W1844" s="280"/>
      <c r="X1844" s="281"/>
      <c r="Y1844" s="246"/>
      <c r="Z1844" s="246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BP1844" s="390" t="str">
        <f>IF($X$13="/28",IF(Q1844="","",Q1844),IF($X$13="/90",IF(#REF!="","",#REF!),"Falso"))</f>
        <v/>
      </c>
      <c r="BQ1844" s="392" t="str">
        <f t="shared" si="2822"/>
        <v/>
      </c>
    </row>
    <row r="1845" spans="1:69" ht="14.25" customHeight="1" x14ac:dyDescent="0.35">
      <c r="A1845" s="294"/>
      <c r="B1845" s="296"/>
      <c r="C1845" s="298"/>
      <c r="D1845" s="300"/>
      <c r="E1845" s="302"/>
      <c r="F1845" s="304"/>
      <c r="G1845" s="276"/>
      <c r="H1845" s="277"/>
      <c r="I1845" s="290"/>
      <c r="J1845" s="290"/>
      <c r="K1845" s="291"/>
      <c r="L1845" s="17"/>
      <c r="M1845" s="286"/>
      <c r="N1845" s="21"/>
      <c r="O1845" s="286"/>
      <c r="P1845" s="21"/>
      <c r="Q1845" s="286"/>
      <c r="R1845" s="248"/>
      <c r="S1845" s="287"/>
      <c r="T1845" s="248"/>
      <c r="U1845" s="13"/>
      <c r="V1845" s="282"/>
      <c r="W1845" s="283"/>
      <c r="X1845" s="284"/>
      <c r="Y1845" s="245"/>
      <c r="Z1845" s="245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BP1845" s="391"/>
      <c r="BQ1845" s="393"/>
    </row>
    <row r="1846" spans="1:69" ht="14.25" customHeight="1" x14ac:dyDescent="0.35">
      <c r="A1846" s="293">
        <v>915</v>
      </c>
      <c r="B1846" s="295"/>
      <c r="C1846" s="297"/>
      <c r="D1846" s="299"/>
      <c r="E1846" s="301"/>
      <c r="F1846" s="303"/>
      <c r="G1846" s="288"/>
      <c r="H1846" s="289"/>
      <c r="I1846" s="290"/>
      <c r="J1846" s="290"/>
      <c r="K1846" s="291"/>
      <c r="L1846" s="18"/>
      <c r="M1846" s="285" t="str">
        <f t="shared" ref="M1846" si="2869">IF(COUNT(L1846:L1847)&lt;1,"",AVERAGE(L1846:L1847))</f>
        <v/>
      </c>
      <c r="N1846" s="22"/>
      <c r="O1846" s="285" t="str">
        <f t="shared" ref="O1846" si="2870">IF(COUNT(N1846:N1847)&lt;1,"",AVERAGE(N1846:N1847))</f>
        <v/>
      </c>
      <c r="P1846" s="22"/>
      <c r="Q1846" s="285" t="str">
        <f t="shared" ref="Q1846" si="2871">IF(COUNT(P1846:P1847)&lt;1,"",AVERAGE(P1846:P1847))</f>
        <v/>
      </c>
      <c r="R1846" s="278" t="str">
        <f>IF($X$13="/28",IF(COUNT(P1846:P1847)&lt;=1,"",ABS(P1846-P1847)),IF($X$13="/90",IF(COUNT(#REF!)&lt;=1,"",ABS(#REF!-#REF!))))</f>
        <v/>
      </c>
      <c r="S1846" s="278" t="str">
        <f>IF($X$13="/28",IF(Q1846="","",IF(AVERAGE(Q1842:Q1847)&gt;=$W$13,ROUND(AVERAGE(Q1842:Q1847),1)&amp;" ≥ "&amp;$W$13&amp;" OK",ROUND(AVERAGE(Q1842:Q1847),1)&amp;" &lt; "&amp;$W$13&amp;" NC")),IF($X$13="/90",IF(#REF!="","",IF(AVERAGE(#REF!)&gt;=$W$13,ROUND(AVERAGE(#REF!),1)&amp;" ≥ "&amp;$W$13&amp;" OK",ROUND(AVERAGE(#REF!),1)&amp;" &lt; "&amp;$W$13&amp;" NC"))))</f>
        <v/>
      </c>
      <c r="T1846" s="278" t="str">
        <f>IF($X$13="/28",IF(Q1846="","",IF(Q1846&gt;=$W$13-$S$12,ROUND((Q1846),1)&amp;" ≥ "&amp;$W$13-$S$12&amp;" OK",ROUND((Q1846),1)&amp;" &lt; "&amp;$W$13-$S$12&amp;" NC")),IF($X$13="/90",IF(#REF!="","",IF(#REF!&gt;=$W$13-$S$12,ROUND((#REF!),1)&amp;" ≥ "&amp;$W$13-$S$12&amp;" OK",ROUND((#REF!),1)&amp;" &lt; "&amp;$W$13-$S$12&amp;" NC"))))</f>
        <v/>
      </c>
      <c r="U1846" s="14"/>
      <c r="V1846" s="279"/>
      <c r="W1846" s="280"/>
      <c r="X1846" s="281"/>
      <c r="Y1846" s="246"/>
      <c r="Z1846" s="246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BP1846" s="390" t="str">
        <f>IF($X$13="/28",IF(Q1846="","",Q1846),IF($X$13="/90",IF(#REF!="","",#REF!),"Falso"))</f>
        <v/>
      </c>
      <c r="BQ1846" s="392" t="str">
        <f t="shared" si="2826"/>
        <v/>
      </c>
    </row>
    <row r="1847" spans="1:69" ht="14.25" customHeight="1" x14ac:dyDescent="0.35">
      <c r="A1847" s="294"/>
      <c r="B1847" s="296"/>
      <c r="C1847" s="298"/>
      <c r="D1847" s="300"/>
      <c r="E1847" s="302"/>
      <c r="F1847" s="304"/>
      <c r="G1847" s="276"/>
      <c r="H1847" s="277"/>
      <c r="I1847" s="290"/>
      <c r="J1847" s="290"/>
      <c r="K1847" s="291"/>
      <c r="L1847" s="17"/>
      <c r="M1847" s="286"/>
      <c r="N1847" s="21"/>
      <c r="O1847" s="286"/>
      <c r="P1847" s="21"/>
      <c r="Q1847" s="286"/>
      <c r="R1847" s="248"/>
      <c r="S1847" s="287"/>
      <c r="T1847" s="248"/>
      <c r="U1847" s="13"/>
      <c r="V1847" s="282"/>
      <c r="W1847" s="283"/>
      <c r="X1847" s="284"/>
      <c r="Y1847" s="245"/>
      <c r="Z1847" s="245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BP1847" s="391"/>
      <c r="BQ1847" s="393"/>
    </row>
    <row r="1848" spans="1:69" ht="14.25" customHeight="1" x14ac:dyDescent="0.35">
      <c r="A1848" s="293">
        <v>916</v>
      </c>
      <c r="B1848" s="295"/>
      <c r="C1848" s="297"/>
      <c r="D1848" s="299"/>
      <c r="E1848" s="301"/>
      <c r="F1848" s="303"/>
      <c r="G1848" s="288"/>
      <c r="H1848" s="289"/>
      <c r="I1848" s="290"/>
      <c r="J1848" s="290"/>
      <c r="K1848" s="291"/>
      <c r="L1848" s="18"/>
      <c r="M1848" s="285" t="str">
        <f t="shared" ref="M1848" si="2872">IF(COUNT(L1848:L1849)&lt;1,"",AVERAGE(L1848:L1849))</f>
        <v/>
      </c>
      <c r="N1848" s="22"/>
      <c r="O1848" s="285" t="str">
        <f t="shared" ref="O1848" si="2873">IF(COUNT(N1848:N1849)&lt;1,"",AVERAGE(N1848:N1849))</f>
        <v/>
      </c>
      <c r="P1848" s="22"/>
      <c r="Q1848" s="285" t="str">
        <f t="shared" ref="Q1848" si="2874">IF(COUNT(P1848:P1849)&lt;1,"",AVERAGE(P1848:P1849))</f>
        <v/>
      </c>
      <c r="R1848" s="278" t="str">
        <f>IF($X$13="/28",IF(COUNT(P1848:P1849)&lt;=1,"",ABS(P1848-P1849)),IF($X$13="/90",IF(COUNT(#REF!)&lt;=1,"",ABS(#REF!-#REF!))))</f>
        <v/>
      </c>
      <c r="S1848" s="278" t="str">
        <f>IF($X$13="/28",IF(Q1848="","",IF(AVERAGE(Q1844:Q1849)&gt;=$W$13,ROUND(AVERAGE(Q1844:Q1849),1)&amp;" ≥ "&amp;$W$13&amp;" OK",ROUND(AVERAGE(Q1844:Q1849),1)&amp;" &lt; "&amp;$W$13&amp;" NC")),IF($X$13="/90",IF(#REF!="","",IF(AVERAGE(#REF!)&gt;=$W$13,ROUND(AVERAGE(#REF!),1)&amp;" ≥ "&amp;$W$13&amp;" OK",ROUND(AVERAGE(#REF!),1)&amp;" &lt; "&amp;$W$13&amp;" NC"))))</f>
        <v/>
      </c>
      <c r="T1848" s="278" t="str">
        <f>IF($X$13="/28",IF(Q1848="","",IF(Q1848&gt;=$W$13-$S$12,ROUND((Q1848),1)&amp;" ≥ "&amp;$W$13-$S$12&amp;" OK",ROUND((Q1848),1)&amp;" &lt; "&amp;$W$13-$S$12&amp;" NC")),IF($X$13="/90",IF(#REF!="","",IF(#REF!&gt;=$W$13-$S$12,ROUND((#REF!),1)&amp;" ≥ "&amp;$W$13-$S$12&amp;" OK",ROUND((#REF!),1)&amp;" &lt; "&amp;$W$13-$S$12&amp;" NC"))))</f>
        <v/>
      </c>
      <c r="U1848" s="14"/>
      <c r="V1848" s="279"/>
      <c r="W1848" s="280"/>
      <c r="X1848" s="281"/>
      <c r="Y1848" s="246"/>
      <c r="Z1848" s="246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BP1848" s="390" t="str">
        <f>IF($X$13="/28",IF(Q1848="","",Q1848),IF($X$13="/90",IF(#REF!="","",#REF!),"Falso"))</f>
        <v/>
      </c>
      <c r="BQ1848" s="392" t="str">
        <f t="shared" si="2818"/>
        <v/>
      </c>
    </row>
    <row r="1849" spans="1:69" ht="14.25" customHeight="1" x14ac:dyDescent="0.35">
      <c r="A1849" s="294"/>
      <c r="B1849" s="296"/>
      <c r="C1849" s="298"/>
      <c r="D1849" s="300"/>
      <c r="E1849" s="302"/>
      <c r="F1849" s="304"/>
      <c r="G1849" s="276"/>
      <c r="H1849" s="277"/>
      <c r="I1849" s="290"/>
      <c r="J1849" s="290"/>
      <c r="K1849" s="291"/>
      <c r="L1849" s="17"/>
      <c r="M1849" s="286"/>
      <c r="N1849" s="21"/>
      <c r="O1849" s="286"/>
      <c r="P1849" s="21"/>
      <c r="Q1849" s="286"/>
      <c r="R1849" s="248"/>
      <c r="S1849" s="287"/>
      <c r="T1849" s="248"/>
      <c r="U1849" s="13"/>
      <c r="V1849" s="282"/>
      <c r="W1849" s="283"/>
      <c r="X1849" s="284"/>
      <c r="Y1849" s="245"/>
      <c r="Z1849" s="245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BP1849" s="391"/>
      <c r="BQ1849" s="393"/>
    </row>
    <row r="1850" spans="1:69" ht="14.25" customHeight="1" x14ac:dyDescent="0.35">
      <c r="A1850" s="293">
        <v>917</v>
      </c>
      <c r="B1850" s="295"/>
      <c r="C1850" s="297"/>
      <c r="D1850" s="299"/>
      <c r="E1850" s="301"/>
      <c r="F1850" s="303"/>
      <c r="G1850" s="288"/>
      <c r="H1850" s="289"/>
      <c r="I1850" s="290"/>
      <c r="J1850" s="290"/>
      <c r="K1850" s="291"/>
      <c r="L1850" s="18"/>
      <c r="M1850" s="285" t="str">
        <f t="shared" ref="M1850" si="2875">IF(COUNT(L1850:L1851)&lt;1,"",AVERAGE(L1850:L1851))</f>
        <v/>
      </c>
      <c r="N1850" s="22"/>
      <c r="O1850" s="285" t="str">
        <f t="shared" ref="O1850" si="2876">IF(COUNT(N1850:N1851)&lt;1,"",AVERAGE(N1850:N1851))</f>
        <v/>
      </c>
      <c r="P1850" s="22"/>
      <c r="Q1850" s="285" t="str">
        <f t="shared" ref="Q1850" si="2877">IF(COUNT(P1850:P1851)&lt;1,"",AVERAGE(P1850:P1851))</f>
        <v/>
      </c>
      <c r="R1850" s="278" t="str">
        <f>IF($X$13="/28",IF(COUNT(P1850:P1851)&lt;=1,"",ABS(P1850-P1851)),IF($X$13="/90",IF(COUNT(#REF!)&lt;=1,"",ABS(#REF!-#REF!))))</f>
        <v/>
      </c>
      <c r="S1850" s="278" t="str">
        <f>IF($X$13="/28",IF(Q1850="","",IF(AVERAGE(Q1846:Q1851)&gt;=$W$13,ROUND(AVERAGE(Q1846:Q1851),1)&amp;" ≥ "&amp;$W$13&amp;" OK",ROUND(AVERAGE(Q1846:Q1851),1)&amp;" &lt; "&amp;$W$13&amp;" NC")),IF($X$13="/90",IF(#REF!="","",IF(AVERAGE(#REF!)&gt;=$W$13,ROUND(AVERAGE(#REF!),1)&amp;" ≥ "&amp;$W$13&amp;" OK",ROUND(AVERAGE(#REF!),1)&amp;" &lt; "&amp;$W$13&amp;" NC"))))</f>
        <v/>
      </c>
      <c r="T1850" s="278" t="str">
        <f>IF($X$13="/28",IF(Q1850="","",IF(Q1850&gt;=$W$13-$S$12,ROUND((Q1850),1)&amp;" ≥ "&amp;$W$13-$S$12&amp;" OK",ROUND((Q1850),1)&amp;" &lt; "&amp;$W$13-$S$12&amp;" NC")),IF($X$13="/90",IF(#REF!="","",IF(#REF!&gt;=$W$13-$S$12,ROUND((#REF!),1)&amp;" ≥ "&amp;$W$13-$S$12&amp;" OK",ROUND((#REF!),1)&amp;" &lt; "&amp;$W$13-$S$12&amp;" NC"))))</f>
        <v/>
      </c>
      <c r="U1850" s="14"/>
      <c r="V1850" s="279"/>
      <c r="W1850" s="280"/>
      <c r="X1850" s="281"/>
      <c r="Y1850" s="246"/>
      <c r="Z1850" s="246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BP1850" s="390" t="str">
        <f>IF($X$13="/28",IF(Q1850="","",Q1850),IF($X$13="/90",IF(#REF!="","",#REF!),"Falso"))</f>
        <v/>
      </c>
      <c r="BQ1850" s="392" t="str">
        <f t="shared" si="2822"/>
        <v/>
      </c>
    </row>
    <row r="1851" spans="1:69" ht="14.25" customHeight="1" x14ac:dyDescent="0.35">
      <c r="A1851" s="294"/>
      <c r="B1851" s="296"/>
      <c r="C1851" s="298"/>
      <c r="D1851" s="300"/>
      <c r="E1851" s="302"/>
      <c r="F1851" s="304"/>
      <c r="G1851" s="276"/>
      <c r="H1851" s="277"/>
      <c r="I1851" s="290"/>
      <c r="J1851" s="290"/>
      <c r="K1851" s="291"/>
      <c r="L1851" s="17"/>
      <c r="M1851" s="286"/>
      <c r="N1851" s="21"/>
      <c r="O1851" s="286"/>
      <c r="P1851" s="21"/>
      <c r="Q1851" s="286"/>
      <c r="R1851" s="248"/>
      <c r="S1851" s="287"/>
      <c r="T1851" s="248"/>
      <c r="U1851" s="13"/>
      <c r="V1851" s="282"/>
      <c r="W1851" s="283"/>
      <c r="X1851" s="284"/>
      <c r="Y1851" s="245"/>
      <c r="Z1851" s="245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BP1851" s="391"/>
      <c r="BQ1851" s="393"/>
    </row>
    <row r="1852" spans="1:69" ht="14.25" customHeight="1" x14ac:dyDescent="0.35">
      <c r="A1852" s="293">
        <v>918</v>
      </c>
      <c r="B1852" s="295"/>
      <c r="C1852" s="297"/>
      <c r="D1852" s="299"/>
      <c r="E1852" s="301"/>
      <c r="F1852" s="303"/>
      <c r="G1852" s="288"/>
      <c r="H1852" s="289"/>
      <c r="I1852" s="290"/>
      <c r="J1852" s="290"/>
      <c r="K1852" s="291"/>
      <c r="L1852" s="18"/>
      <c r="M1852" s="285" t="str">
        <f t="shared" ref="M1852" si="2878">IF(COUNT(L1852:L1853)&lt;1,"",AVERAGE(L1852:L1853))</f>
        <v/>
      </c>
      <c r="N1852" s="22"/>
      <c r="O1852" s="285" t="str">
        <f t="shared" ref="O1852" si="2879">IF(COUNT(N1852:N1853)&lt;1,"",AVERAGE(N1852:N1853))</f>
        <v/>
      </c>
      <c r="P1852" s="22"/>
      <c r="Q1852" s="285" t="str">
        <f t="shared" ref="Q1852" si="2880">IF(COUNT(P1852:P1853)&lt;1,"",AVERAGE(P1852:P1853))</f>
        <v/>
      </c>
      <c r="R1852" s="278" t="str">
        <f>IF($X$13="/28",IF(COUNT(P1852:P1853)&lt;=1,"",ABS(P1852-P1853)),IF($X$13="/90",IF(COUNT(#REF!)&lt;=1,"",ABS(#REF!-#REF!))))</f>
        <v/>
      </c>
      <c r="S1852" s="278" t="str">
        <f>IF($X$13="/28",IF(Q1852="","",IF(AVERAGE(Q1848:Q1853)&gt;=$W$13,ROUND(AVERAGE(Q1848:Q1853),1)&amp;" ≥ "&amp;$W$13&amp;" OK",ROUND(AVERAGE(Q1848:Q1853),1)&amp;" &lt; "&amp;$W$13&amp;" NC")),IF($X$13="/90",IF(#REF!="","",IF(AVERAGE(#REF!)&gt;=$W$13,ROUND(AVERAGE(#REF!),1)&amp;" ≥ "&amp;$W$13&amp;" OK",ROUND(AVERAGE(#REF!),1)&amp;" &lt; "&amp;$W$13&amp;" NC"))))</f>
        <v/>
      </c>
      <c r="T1852" s="278" t="str">
        <f>IF($X$13="/28",IF(Q1852="","",IF(Q1852&gt;=$W$13-$S$12,ROUND((Q1852),1)&amp;" ≥ "&amp;$W$13-$S$12&amp;" OK",ROUND((Q1852),1)&amp;" &lt; "&amp;$W$13-$S$12&amp;" NC")),IF($X$13="/90",IF(#REF!="","",IF(#REF!&gt;=$W$13-$S$12,ROUND((#REF!),1)&amp;" ≥ "&amp;$W$13-$S$12&amp;" OK",ROUND((#REF!),1)&amp;" &lt; "&amp;$W$13-$S$12&amp;" NC"))))</f>
        <v/>
      </c>
      <c r="U1852" s="14"/>
      <c r="V1852" s="279"/>
      <c r="W1852" s="280"/>
      <c r="X1852" s="281"/>
      <c r="Y1852" s="246"/>
      <c r="Z1852" s="246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BP1852" s="390" t="str">
        <f>IF($X$13="/28",IF(Q1852="","",Q1852),IF($X$13="/90",IF(#REF!="","",#REF!),"Falso"))</f>
        <v/>
      </c>
      <c r="BQ1852" s="392" t="str">
        <f t="shared" si="2826"/>
        <v/>
      </c>
    </row>
    <row r="1853" spans="1:69" ht="14.25" customHeight="1" x14ac:dyDescent="0.35">
      <c r="A1853" s="294"/>
      <c r="B1853" s="296"/>
      <c r="C1853" s="298"/>
      <c r="D1853" s="300"/>
      <c r="E1853" s="302"/>
      <c r="F1853" s="304"/>
      <c r="G1853" s="276"/>
      <c r="H1853" s="277"/>
      <c r="I1853" s="290"/>
      <c r="J1853" s="290"/>
      <c r="K1853" s="291"/>
      <c r="L1853" s="17"/>
      <c r="M1853" s="286"/>
      <c r="N1853" s="21"/>
      <c r="O1853" s="286"/>
      <c r="P1853" s="21"/>
      <c r="Q1853" s="286"/>
      <c r="R1853" s="248"/>
      <c r="S1853" s="287"/>
      <c r="T1853" s="248"/>
      <c r="U1853" s="13"/>
      <c r="V1853" s="282"/>
      <c r="W1853" s="283"/>
      <c r="X1853" s="284"/>
      <c r="Y1853" s="245"/>
      <c r="Z1853" s="245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BP1853" s="391"/>
      <c r="BQ1853" s="393"/>
    </row>
    <row r="1854" spans="1:69" ht="14.25" customHeight="1" x14ac:dyDescent="0.35">
      <c r="A1854" s="293">
        <v>919</v>
      </c>
      <c r="B1854" s="295"/>
      <c r="C1854" s="297"/>
      <c r="D1854" s="299"/>
      <c r="E1854" s="301"/>
      <c r="F1854" s="303"/>
      <c r="G1854" s="288"/>
      <c r="H1854" s="289"/>
      <c r="I1854" s="290"/>
      <c r="J1854" s="290"/>
      <c r="K1854" s="291"/>
      <c r="L1854" s="18"/>
      <c r="M1854" s="285" t="str">
        <f t="shared" ref="M1854" si="2881">IF(COUNT(L1854:L1855)&lt;1,"",AVERAGE(L1854:L1855))</f>
        <v/>
      </c>
      <c r="N1854" s="22"/>
      <c r="O1854" s="285" t="str">
        <f t="shared" ref="O1854" si="2882">IF(COUNT(N1854:N1855)&lt;1,"",AVERAGE(N1854:N1855))</f>
        <v/>
      </c>
      <c r="P1854" s="22"/>
      <c r="Q1854" s="285" t="str">
        <f t="shared" ref="Q1854" si="2883">IF(COUNT(P1854:P1855)&lt;1,"",AVERAGE(P1854:P1855))</f>
        <v/>
      </c>
      <c r="R1854" s="278" t="str">
        <f>IF($X$13="/28",IF(COUNT(P1854:P1855)&lt;=1,"",ABS(P1854-P1855)),IF($X$13="/90",IF(COUNT(#REF!)&lt;=1,"",ABS(#REF!-#REF!))))</f>
        <v/>
      </c>
      <c r="S1854" s="278" t="str">
        <f>IF($X$13="/28",IF(Q1854="","",IF(AVERAGE(Q1850:Q1855)&gt;=$W$13,ROUND(AVERAGE(Q1850:Q1855),1)&amp;" ≥ "&amp;$W$13&amp;" OK",ROUND(AVERAGE(Q1850:Q1855),1)&amp;" &lt; "&amp;$W$13&amp;" NC")),IF($X$13="/90",IF(#REF!="","",IF(AVERAGE(#REF!)&gt;=$W$13,ROUND(AVERAGE(#REF!),1)&amp;" ≥ "&amp;$W$13&amp;" OK",ROUND(AVERAGE(#REF!),1)&amp;" &lt; "&amp;$W$13&amp;" NC"))))</f>
        <v/>
      </c>
      <c r="T1854" s="278" t="str">
        <f>IF($X$13="/28",IF(Q1854="","",IF(Q1854&gt;=$W$13-$S$12,ROUND((Q1854),1)&amp;" ≥ "&amp;$W$13-$S$12&amp;" OK",ROUND((Q1854),1)&amp;" &lt; "&amp;$W$13-$S$12&amp;" NC")),IF($X$13="/90",IF(#REF!="","",IF(#REF!&gt;=$W$13-$S$12,ROUND((#REF!),1)&amp;" ≥ "&amp;$W$13-$S$12&amp;" OK",ROUND((#REF!),1)&amp;" &lt; "&amp;$W$13-$S$12&amp;" NC"))))</f>
        <v/>
      </c>
      <c r="U1854" s="14"/>
      <c r="V1854" s="279"/>
      <c r="W1854" s="280"/>
      <c r="X1854" s="281"/>
      <c r="Y1854" s="246"/>
      <c r="Z1854" s="246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BP1854" s="390" t="str">
        <f>IF($X$13="/28",IF(Q1854="","",Q1854),IF($X$13="/90",IF(#REF!="","",#REF!),"Falso"))</f>
        <v/>
      </c>
      <c r="BQ1854" s="392" t="str">
        <f t="shared" si="2818"/>
        <v/>
      </c>
    </row>
    <row r="1855" spans="1:69" ht="14.25" customHeight="1" x14ac:dyDescent="0.35">
      <c r="A1855" s="294"/>
      <c r="B1855" s="296"/>
      <c r="C1855" s="298"/>
      <c r="D1855" s="300"/>
      <c r="E1855" s="302"/>
      <c r="F1855" s="304"/>
      <c r="G1855" s="276"/>
      <c r="H1855" s="277"/>
      <c r="I1855" s="290"/>
      <c r="J1855" s="290"/>
      <c r="K1855" s="291"/>
      <c r="L1855" s="17"/>
      <c r="M1855" s="286"/>
      <c r="N1855" s="21"/>
      <c r="O1855" s="286"/>
      <c r="P1855" s="21"/>
      <c r="Q1855" s="286"/>
      <c r="R1855" s="248"/>
      <c r="S1855" s="287"/>
      <c r="T1855" s="248"/>
      <c r="U1855" s="13"/>
      <c r="V1855" s="282"/>
      <c r="W1855" s="283"/>
      <c r="X1855" s="284"/>
      <c r="Y1855" s="245"/>
      <c r="Z1855" s="245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BP1855" s="391"/>
      <c r="BQ1855" s="393"/>
    </row>
    <row r="1856" spans="1:69" ht="14.25" customHeight="1" x14ac:dyDescent="0.35">
      <c r="A1856" s="293">
        <v>920</v>
      </c>
      <c r="B1856" s="295"/>
      <c r="C1856" s="297"/>
      <c r="D1856" s="299"/>
      <c r="E1856" s="301"/>
      <c r="F1856" s="303"/>
      <c r="G1856" s="288"/>
      <c r="H1856" s="289"/>
      <c r="I1856" s="290"/>
      <c r="J1856" s="290"/>
      <c r="K1856" s="291"/>
      <c r="L1856" s="18"/>
      <c r="M1856" s="285" t="str">
        <f t="shared" ref="M1856" si="2884">IF(COUNT(L1856:L1857)&lt;1,"",AVERAGE(L1856:L1857))</f>
        <v/>
      </c>
      <c r="N1856" s="22"/>
      <c r="O1856" s="285" t="str">
        <f t="shared" ref="O1856" si="2885">IF(COUNT(N1856:N1857)&lt;1,"",AVERAGE(N1856:N1857))</f>
        <v/>
      </c>
      <c r="P1856" s="22"/>
      <c r="Q1856" s="285" t="str">
        <f t="shared" ref="Q1856" si="2886">IF(COUNT(P1856:P1857)&lt;1,"",AVERAGE(P1856:P1857))</f>
        <v/>
      </c>
      <c r="R1856" s="278" t="str">
        <f>IF($X$13="/28",IF(COUNT(P1856:P1857)&lt;=1,"",ABS(P1856-P1857)),IF($X$13="/90",IF(COUNT(#REF!)&lt;=1,"",ABS(#REF!-#REF!))))</f>
        <v/>
      </c>
      <c r="S1856" s="278" t="str">
        <f>IF($X$13="/28",IF(Q1856="","",IF(AVERAGE(Q1852:Q1857)&gt;=$W$13,ROUND(AVERAGE(Q1852:Q1857),1)&amp;" ≥ "&amp;$W$13&amp;" OK",ROUND(AVERAGE(Q1852:Q1857),1)&amp;" &lt; "&amp;$W$13&amp;" NC")),IF($X$13="/90",IF(#REF!="","",IF(AVERAGE(#REF!)&gt;=$W$13,ROUND(AVERAGE(#REF!),1)&amp;" ≥ "&amp;$W$13&amp;" OK",ROUND(AVERAGE(#REF!),1)&amp;" &lt; "&amp;$W$13&amp;" NC"))))</f>
        <v/>
      </c>
      <c r="T1856" s="278" t="str">
        <f>IF($X$13="/28",IF(Q1856="","",IF(Q1856&gt;=$W$13-$S$12,ROUND((Q1856),1)&amp;" ≥ "&amp;$W$13-$S$12&amp;" OK",ROUND((Q1856),1)&amp;" &lt; "&amp;$W$13-$S$12&amp;" NC")),IF($X$13="/90",IF(#REF!="","",IF(#REF!&gt;=$W$13-$S$12,ROUND((#REF!),1)&amp;" ≥ "&amp;$W$13-$S$12&amp;" OK",ROUND((#REF!),1)&amp;" &lt; "&amp;$W$13-$S$12&amp;" NC"))))</f>
        <v/>
      </c>
      <c r="U1856" s="14"/>
      <c r="V1856" s="279"/>
      <c r="W1856" s="280"/>
      <c r="X1856" s="281"/>
      <c r="Y1856" s="246"/>
      <c r="Z1856" s="246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BP1856" s="390" t="str">
        <f>IF($X$13="/28",IF(Q1856="","",Q1856),IF($X$13="/90",IF(#REF!="","",#REF!),"Falso"))</f>
        <v/>
      </c>
      <c r="BQ1856" s="392" t="str">
        <f t="shared" si="2822"/>
        <v/>
      </c>
    </row>
    <row r="1857" spans="1:69" ht="14.25" customHeight="1" x14ac:dyDescent="0.35">
      <c r="A1857" s="294"/>
      <c r="B1857" s="296"/>
      <c r="C1857" s="298"/>
      <c r="D1857" s="300"/>
      <c r="E1857" s="302"/>
      <c r="F1857" s="304"/>
      <c r="G1857" s="276"/>
      <c r="H1857" s="277"/>
      <c r="I1857" s="290"/>
      <c r="J1857" s="290"/>
      <c r="K1857" s="291"/>
      <c r="L1857" s="17"/>
      <c r="M1857" s="286"/>
      <c r="N1857" s="21"/>
      <c r="O1857" s="286"/>
      <c r="P1857" s="21"/>
      <c r="Q1857" s="286"/>
      <c r="R1857" s="248"/>
      <c r="S1857" s="287"/>
      <c r="T1857" s="248"/>
      <c r="U1857" s="13"/>
      <c r="V1857" s="282"/>
      <c r="W1857" s="283"/>
      <c r="X1857" s="284"/>
      <c r="Y1857" s="245"/>
      <c r="Z1857" s="245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BP1857" s="391"/>
      <c r="BQ1857" s="393"/>
    </row>
    <row r="1858" spans="1:69" ht="14.25" customHeight="1" x14ac:dyDescent="0.35">
      <c r="A1858" s="293">
        <v>921</v>
      </c>
      <c r="B1858" s="295"/>
      <c r="C1858" s="297"/>
      <c r="D1858" s="299"/>
      <c r="E1858" s="301"/>
      <c r="F1858" s="303"/>
      <c r="G1858" s="288"/>
      <c r="H1858" s="289"/>
      <c r="I1858" s="290"/>
      <c r="J1858" s="290"/>
      <c r="K1858" s="291"/>
      <c r="L1858" s="18"/>
      <c r="M1858" s="285" t="str">
        <f t="shared" ref="M1858" si="2887">IF(COUNT(L1858:L1859)&lt;1,"",AVERAGE(L1858:L1859))</f>
        <v/>
      </c>
      <c r="N1858" s="22"/>
      <c r="O1858" s="285" t="str">
        <f t="shared" ref="O1858" si="2888">IF(COUNT(N1858:N1859)&lt;1,"",AVERAGE(N1858:N1859))</f>
        <v/>
      </c>
      <c r="P1858" s="22"/>
      <c r="Q1858" s="285" t="str">
        <f t="shared" ref="Q1858" si="2889">IF(COUNT(P1858:P1859)&lt;1,"",AVERAGE(P1858:P1859))</f>
        <v/>
      </c>
      <c r="R1858" s="278" t="str">
        <f>IF($X$13="/28",IF(COUNT(P1858:P1859)&lt;=1,"",ABS(P1858-P1859)),IF($X$13="/90",IF(COUNT(#REF!)&lt;=1,"",ABS(#REF!-#REF!))))</f>
        <v/>
      </c>
      <c r="S1858" s="278" t="str">
        <f>IF($X$13="/28",IF(Q1858="","",IF(AVERAGE(Q1854:Q1859)&gt;=$W$13,ROUND(AVERAGE(Q1854:Q1859),1)&amp;" ≥ "&amp;$W$13&amp;" OK",ROUND(AVERAGE(Q1854:Q1859),1)&amp;" &lt; "&amp;$W$13&amp;" NC")),IF($X$13="/90",IF(#REF!="","",IF(AVERAGE(#REF!)&gt;=$W$13,ROUND(AVERAGE(#REF!),1)&amp;" ≥ "&amp;$W$13&amp;" OK",ROUND(AVERAGE(#REF!),1)&amp;" &lt; "&amp;$W$13&amp;" NC"))))</f>
        <v/>
      </c>
      <c r="T1858" s="278" t="str">
        <f>IF($X$13="/28",IF(Q1858="","",IF(Q1858&gt;=$W$13-$S$12,ROUND((Q1858),1)&amp;" ≥ "&amp;$W$13-$S$12&amp;" OK",ROUND((Q1858),1)&amp;" &lt; "&amp;$W$13-$S$12&amp;" NC")),IF($X$13="/90",IF(#REF!="","",IF(#REF!&gt;=$W$13-$S$12,ROUND((#REF!),1)&amp;" ≥ "&amp;$W$13-$S$12&amp;" OK",ROUND((#REF!),1)&amp;" &lt; "&amp;$W$13-$S$12&amp;" NC"))))</f>
        <v/>
      </c>
      <c r="U1858" s="14"/>
      <c r="V1858" s="279"/>
      <c r="W1858" s="280"/>
      <c r="X1858" s="281"/>
      <c r="Y1858" s="246"/>
      <c r="Z1858" s="246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BP1858" s="390" t="str">
        <f>IF($X$13="/28",IF(Q1858="","",Q1858),IF($X$13="/90",IF(#REF!="","",#REF!),"Falso"))</f>
        <v/>
      </c>
      <c r="BQ1858" s="392" t="str">
        <f t="shared" si="2826"/>
        <v/>
      </c>
    </row>
    <row r="1859" spans="1:69" ht="14.25" customHeight="1" x14ac:dyDescent="0.35">
      <c r="A1859" s="294"/>
      <c r="B1859" s="296"/>
      <c r="C1859" s="298"/>
      <c r="D1859" s="300"/>
      <c r="E1859" s="302"/>
      <c r="F1859" s="304"/>
      <c r="G1859" s="276"/>
      <c r="H1859" s="277"/>
      <c r="I1859" s="290"/>
      <c r="J1859" s="290"/>
      <c r="K1859" s="291"/>
      <c r="L1859" s="17"/>
      <c r="M1859" s="286"/>
      <c r="N1859" s="21"/>
      <c r="O1859" s="286"/>
      <c r="P1859" s="21"/>
      <c r="Q1859" s="286"/>
      <c r="R1859" s="248"/>
      <c r="S1859" s="287"/>
      <c r="T1859" s="248"/>
      <c r="U1859" s="13"/>
      <c r="V1859" s="282"/>
      <c r="W1859" s="283"/>
      <c r="X1859" s="284"/>
      <c r="Y1859" s="245"/>
      <c r="Z1859" s="245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BP1859" s="391"/>
      <c r="BQ1859" s="393"/>
    </row>
    <row r="1860" spans="1:69" ht="14.25" customHeight="1" x14ac:dyDescent="0.35">
      <c r="A1860" s="293">
        <v>922</v>
      </c>
      <c r="B1860" s="295"/>
      <c r="C1860" s="297"/>
      <c r="D1860" s="299"/>
      <c r="E1860" s="301"/>
      <c r="F1860" s="303"/>
      <c r="G1860" s="288"/>
      <c r="H1860" s="289"/>
      <c r="I1860" s="290"/>
      <c r="J1860" s="290"/>
      <c r="K1860" s="291"/>
      <c r="L1860" s="18"/>
      <c r="M1860" s="285" t="str">
        <f t="shared" ref="M1860" si="2890">IF(COUNT(L1860:L1861)&lt;1,"",AVERAGE(L1860:L1861))</f>
        <v/>
      </c>
      <c r="N1860" s="22"/>
      <c r="O1860" s="285" t="str">
        <f t="shared" ref="O1860" si="2891">IF(COUNT(N1860:N1861)&lt;1,"",AVERAGE(N1860:N1861))</f>
        <v/>
      </c>
      <c r="P1860" s="22"/>
      <c r="Q1860" s="285" t="str">
        <f t="shared" ref="Q1860" si="2892">IF(COUNT(P1860:P1861)&lt;1,"",AVERAGE(P1860:P1861))</f>
        <v/>
      </c>
      <c r="R1860" s="278" t="str">
        <f>IF($X$13="/28",IF(COUNT(P1860:P1861)&lt;=1,"",ABS(P1860-P1861)),IF($X$13="/90",IF(COUNT(#REF!)&lt;=1,"",ABS(#REF!-#REF!))))</f>
        <v/>
      </c>
      <c r="S1860" s="278" t="str">
        <f>IF($X$13="/28",IF(Q1860="","",IF(AVERAGE(Q1856:Q1861)&gt;=$W$13,ROUND(AVERAGE(Q1856:Q1861),1)&amp;" ≥ "&amp;$W$13&amp;" OK",ROUND(AVERAGE(Q1856:Q1861),1)&amp;" &lt; "&amp;$W$13&amp;" NC")),IF($X$13="/90",IF(#REF!="","",IF(AVERAGE(#REF!)&gt;=$W$13,ROUND(AVERAGE(#REF!),1)&amp;" ≥ "&amp;$W$13&amp;" OK",ROUND(AVERAGE(#REF!),1)&amp;" &lt; "&amp;$W$13&amp;" NC"))))</f>
        <v/>
      </c>
      <c r="T1860" s="278" t="str">
        <f>IF($X$13="/28",IF(Q1860="","",IF(Q1860&gt;=$W$13-$S$12,ROUND((Q1860),1)&amp;" ≥ "&amp;$W$13-$S$12&amp;" OK",ROUND((Q1860),1)&amp;" &lt; "&amp;$W$13-$S$12&amp;" NC")),IF($X$13="/90",IF(#REF!="","",IF(#REF!&gt;=$W$13-$S$12,ROUND((#REF!),1)&amp;" ≥ "&amp;$W$13-$S$12&amp;" OK",ROUND((#REF!),1)&amp;" &lt; "&amp;$W$13-$S$12&amp;" NC"))))</f>
        <v/>
      </c>
      <c r="U1860" s="14"/>
      <c r="V1860" s="279"/>
      <c r="W1860" s="280"/>
      <c r="X1860" s="281"/>
      <c r="Y1860" s="246"/>
      <c r="Z1860" s="246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BP1860" s="390" t="str">
        <f>IF($X$13="/28",IF(Q1860="","",Q1860),IF($X$13="/90",IF(#REF!="","",#REF!),"Falso"))</f>
        <v/>
      </c>
      <c r="BQ1860" s="392" t="str">
        <f t="shared" si="2818"/>
        <v/>
      </c>
    </row>
    <row r="1861" spans="1:69" ht="14.25" customHeight="1" x14ac:dyDescent="0.35">
      <c r="A1861" s="294"/>
      <c r="B1861" s="296"/>
      <c r="C1861" s="298"/>
      <c r="D1861" s="300"/>
      <c r="E1861" s="302"/>
      <c r="F1861" s="304"/>
      <c r="G1861" s="276"/>
      <c r="H1861" s="277"/>
      <c r="I1861" s="290"/>
      <c r="J1861" s="290"/>
      <c r="K1861" s="291"/>
      <c r="L1861" s="17"/>
      <c r="M1861" s="286"/>
      <c r="N1861" s="21"/>
      <c r="O1861" s="286"/>
      <c r="P1861" s="21"/>
      <c r="Q1861" s="286"/>
      <c r="R1861" s="248"/>
      <c r="S1861" s="287"/>
      <c r="T1861" s="248"/>
      <c r="U1861" s="13"/>
      <c r="V1861" s="282"/>
      <c r="W1861" s="283"/>
      <c r="X1861" s="284"/>
      <c r="Y1861" s="245"/>
      <c r="Z1861" s="245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BP1861" s="391"/>
      <c r="BQ1861" s="393"/>
    </row>
    <row r="1862" spans="1:69" ht="14.25" customHeight="1" x14ac:dyDescent="0.35">
      <c r="A1862" s="293">
        <v>923</v>
      </c>
      <c r="B1862" s="295"/>
      <c r="C1862" s="297"/>
      <c r="D1862" s="299"/>
      <c r="E1862" s="301"/>
      <c r="F1862" s="303"/>
      <c r="G1862" s="288"/>
      <c r="H1862" s="289"/>
      <c r="I1862" s="290"/>
      <c r="J1862" s="290"/>
      <c r="K1862" s="291"/>
      <c r="L1862" s="18"/>
      <c r="M1862" s="285" t="str">
        <f t="shared" ref="M1862" si="2893">IF(COUNT(L1862:L1863)&lt;1,"",AVERAGE(L1862:L1863))</f>
        <v/>
      </c>
      <c r="N1862" s="22"/>
      <c r="O1862" s="285" t="str">
        <f t="shared" ref="O1862" si="2894">IF(COUNT(N1862:N1863)&lt;1,"",AVERAGE(N1862:N1863))</f>
        <v/>
      </c>
      <c r="P1862" s="22"/>
      <c r="Q1862" s="285" t="str">
        <f t="shared" ref="Q1862" si="2895">IF(COUNT(P1862:P1863)&lt;1,"",AVERAGE(P1862:P1863))</f>
        <v/>
      </c>
      <c r="R1862" s="278" t="str">
        <f>IF($X$13="/28",IF(COUNT(P1862:P1863)&lt;=1,"",ABS(P1862-P1863)),IF($X$13="/90",IF(COUNT(#REF!)&lt;=1,"",ABS(#REF!-#REF!))))</f>
        <v/>
      </c>
      <c r="S1862" s="278" t="str">
        <f>IF($X$13="/28",IF(Q1862="","",IF(AVERAGE(Q1858:Q1863)&gt;=$W$13,ROUND(AVERAGE(Q1858:Q1863),1)&amp;" ≥ "&amp;$W$13&amp;" OK",ROUND(AVERAGE(Q1858:Q1863),1)&amp;" &lt; "&amp;$W$13&amp;" NC")),IF($X$13="/90",IF(#REF!="","",IF(AVERAGE(#REF!)&gt;=$W$13,ROUND(AVERAGE(#REF!),1)&amp;" ≥ "&amp;$W$13&amp;" OK",ROUND(AVERAGE(#REF!),1)&amp;" &lt; "&amp;$W$13&amp;" NC"))))</f>
        <v/>
      </c>
      <c r="T1862" s="278" t="str">
        <f>IF($X$13="/28",IF(Q1862="","",IF(Q1862&gt;=$W$13-$S$12,ROUND((Q1862),1)&amp;" ≥ "&amp;$W$13-$S$12&amp;" OK",ROUND((Q1862),1)&amp;" &lt; "&amp;$W$13-$S$12&amp;" NC")),IF($X$13="/90",IF(#REF!="","",IF(#REF!&gt;=$W$13-$S$12,ROUND((#REF!),1)&amp;" ≥ "&amp;$W$13-$S$12&amp;" OK",ROUND((#REF!),1)&amp;" &lt; "&amp;$W$13-$S$12&amp;" NC"))))</f>
        <v/>
      </c>
      <c r="U1862" s="14"/>
      <c r="V1862" s="279"/>
      <c r="W1862" s="280"/>
      <c r="X1862" s="281"/>
      <c r="Y1862" s="246"/>
      <c r="Z1862" s="246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BP1862" s="390" t="str">
        <f>IF($X$13="/28",IF(Q1862="","",Q1862),IF($X$13="/90",IF(#REF!="","",#REF!),"Falso"))</f>
        <v/>
      </c>
      <c r="BQ1862" s="392" t="str">
        <f t="shared" si="2822"/>
        <v/>
      </c>
    </row>
    <row r="1863" spans="1:69" ht="14.25" customHeight="1" x14ac:dyDescent="0.35">
      <c r="A1863" s="294"/>
      <c r="B1863" s="296"/>
      <c r="C1863" s="298"/>
      <c r="D1863" s="300"/>
      <c r="E1863" s="302"/>
      <c r="F1863" s="304"/>
      <c r="G1863" s="276"/>
      <c r="H1863" s="277"/>
      <c r="I1863" s="290"/>
      <c r="J1863" s="290"/>
      <c r="K1863" s="291"/>
      <c r="L1863" s="17"/>
      <c r="M1863" s="286"/>
      <c r="N1863" s="21"/>
      <c r="O1863" s="286"/>
      <c r="P1863" s="21"/>
      <c r="Q1863" s="286"/>
      <c r="R1863" s="248"/>
      <c r="S1863" s="287"/>
      <c r="T1863" s="248"/>
      <c r="U1863" s="13"/>
      <c r="V1863" s="282"/>
      <c r="W1863" s="283"/>
      <c r="X1863" s="284"/>
      <c r="Y1863" s="245"/>
      <c r="Z1863" s="245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BP1863" s="391"/>
      <c r="BQ1863" s="393"/>
    </row>
    <row r="1864" spans="1:69" ht="14.25" customHeight="1" x14ac:dyDescent="0.35">
      <c r="A1864" s="293">
        <v>924</v>
      </c>
      <c r="B1864" s="295"/>
      <c r="C1864" s="297"/>
      <c r="D1864" s="299"/>
      <c r="E1864" s="301"/>
      <c r="F1864" s="303"/>
      <c r="G1864" s="288"/>
      <c r="H1864" s="289"/>
      <c r="I1864" s="290"/>
      <c r="J1864" s="290"/>
      <c r="K1864" s="291"/>
      <c r="L1864" s="18"/>
      <c r="M1864" s="285" t="str">
        <f t="shared" ref="M1864" si="2896">IF(COUNT(L1864:L1865)&lt;1,"",AVERAGE(L1864:L1865))</f>
        <v/>
      </c>
      <c r="N1864" s="22"/>
      <c r="O1864" s="285" t="str">
        <f t="shared" ref="O1864" si="2897">IF(COUNT(N1864:N1865)&lt;1,"",AVERAGE(N1864:N1865))</f>
        <v/>
      </c>
      <c r="P1864" s="22"/>
      <c r="Q1864" s="285" t="str">
        <f t="shared" ref="Q1864" si="2898">IF(COUNT(P1864:P1865)&lt;1,"",AVERAGE(P1864:P1865))</f>
        <v/>
      </c>
      <c r="R1864" s="278" t="str">
        <f>IF($X$13="/28",IF(COUNT(P1864:P1865)&lt;=1,"",ABS(P1864-P1865)),IF($X$13="/90",IF(COUNT(#REF!)&lt;=1,"",ABS(#REF!-#REF!))))</f>
        <v/>
      </c>
      <c r="S1864" s="278" t="str">
        <f>IF($X$13="/28",IF(Q1864="","",IF(AVERAGE(Q1860:Q1865)&gt;=$W$13,ROUND(AVERAGE(Q1860:Q1865),1)&amp;" ≥ "&amp;$W$13&amp;" OK",ROUND(AVERAGE(Q1860:Q1865),1)&amp;" &lt; "&amp;$W$13&amp;" NC")),IF($X$13="/90",IF(#REF!="","",IF(AVERAGE(#REF!)&gt;=$W$13,ROUND(AVERAGE(#REF!),1)&amp;" ≥ "&amp;$W$13&amp;" OK",ROUND(AVERAGE(#REF!),1)&amp;" &lt; "&amp;$W$13&amp;" NC"))))</f>
        <v/>
      </c>
      <c r="T1864" s="278" t="str">
        <f>IF($X$13="/28",IF(Q1864="","",IF(Q1864&gt;=$W$13-$S$12,ROUND((Q1864),1)&amp;" ≥ "&amp;$W$13-$S$12&amp;" OK",ROUND((Q1864),1)&amp;" &lt; "&amp;$W$13-$S$12&amp;" NC")),IF($X$13="/90",IF(#REF!="","",IF(#REF!&gt;=$W$13-$S$12,ROUND((#REF!),1)&amp;" ≥ "&amp;$W$13-$S$12&amp;" OK",ROUND((#REF!),1)&amp;" &lt; "&amp;$W$13-$S$12&amp;" NC"))))</f>
        <v/>
      </c>
      <c r="U1864" s="14"/>
      <c r="V1864" s="279"/>
      <c r="W1864" s="280"/>
      <c r="X1864" s="281"/>
      <c r="Y1864" s="246"/>
      <c r="Z1864" s="246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BP1864" s="390" t="str">
        <f>IF($X$13="/28",IF(Q1864="","",Q1864),IF($X$13="/90",IF(#REF!="","",#REF!),"Falso"))</f>
        <v/>
      </c>
      <c r="BQ1864" s="392" t="str">
        <f t="shared" si="2826"/>
        <v/>
      </c>
    </row>
    <row r="1865" spans="1:69" ht="14.25" customHeight="1" x14ac:dyDescent="0.35">
      <c r="A1865" s="294"/>
      <c r="B1865" s="296"/>
      <c r="C1865" s="298"/>
      <c r="D1865" s="300"/>
      <c r="E1865" s="302"/>
      <c r="F1865" s="304"/>
      <c r="G1865" s="276"/>
      <c r="H1865" s="277"/>
      <c r="I1865" s="290"/>
      <c r="J1865" s="290"/>
      <c r="K1865" s="291"/>
      <c r="L1865" s="17"/>
      <c r="M1865" s="286"/>
      <c r="N1865" s="21"/>
      <c r="O1865" s="286"/>
      <c r="P1865" s="21"/>
      <c r="Q1865" s="286"/>
      <c r="R1865" s="248"/>
      <c r="S1865" s="287"/>
      <c r="T1865" s="248"/>
      <c r="U1865" s="13"/>
      <c r="V1865" s="282"/>
      <c r="W1865" s="283"/>
      <c r="X1865" s="284"/>
      <c r="Y1865" s="245"/>
      <c r="Z1865" s="245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BP1865" s="391"/>
      <c r="BQ1865" s="393"/>
    </row>
    <row r="1866" spans="1:69" ht="14.25" customHeight="1" x14ac:dyDescent="0.35">
      <c r="A1866" s="293">
        <v>925</v>
      </c>
      <c r="B1866" s="295"/>
      <c r="C1866" s="297"/>
      <c r="D1866" s="299"/>
      <c r="E1866" s="301"/>
      <c r="F1866" s="303"/>
      <c r="G1866" s="288"/>
      <c r="H1866" s="289"/>
      <c r="I1866" s="290"/>
      <c r="J1866" s="290"/>
      <c r="K1866" s="291"/>
      <c r="L1866" s="18"/>
      <c r="M1866" s="285" t="str">
        <f t="shared" ref="M1866" si="2899">IF(COUNT(L1866:L1867)&lt;1,"",AVERAGE(L1866:L1867))</f>
        <v/>
      </c>
      <c r="N1866" s="22"/>
      <c r="O1866" s="285" t="str">
        <f t="shared" ref="O1866" si="2900">IF(COUNT(N1866:N1867)&lt;1,"",AVERAGE(N1866:N1867))</f>
        <v/>
      </c>
      <c r="P1866" s="22"/>
      <c r="Q1866" s="285" t="str">
        <f t="shared" ref="Q1866" si="2901">IF(COUNT(P1866:P1867)&lt;1,"",AVERAGE(P1866:P1867))</f>
        <v/>
      </c>
      <c r="R1866" s="278" t="str">
        <f>IF($X$13="/28",IF(COUNT(P1866:P1867)&lt;=1,"",ABS(P1866-P1867)),IF($X$13="/90",IF(COUNT(#REF!)&lt;=1,"",ABS(#REF!-#REF!))))</f>
        <v/>
      </c>
      <c r="S1866" s="278" t="str">
        <f>IF($X$13="/28",IF(Q1866="","",IF(AVERAGE(Q1862:Q1867)&gt;=$W$13,ROUND(AVERAGE(Q1862:Q1867),1)&amp;" ≥ "&amp;$W$13&amp;" OK",ROUND(AVERAGE(Q1862:Q1867),1)&amp;" &lt; "&amp;$W$13&amp;" NC")),IF($X$13="/90",IF(#REF!="","",IF(AVERAGE(#REF!)&gt;=$W$13,ROUND(AVERAGE(#REF!),1)&amp;" ≥ "&amp;$W$13&amp;" OK",ROUND(AVERAGE(#REF!),1)&amp;" &lt; "&amp;$W$13&amp;" NC"))))</f>
        <v/>
      </c>
      <c r="T1866" s="278" t="str">
        <f>IF($X$13="/28",IF(Q1866="","",IF(Q1866&gt;=$W$13-$S$12,ROUND((Q1866),1)&amp;" ≥ "&amp;$W$13-$S$12&amp;" OK",ROUND((Q1866),1)&amp;" &lt; "&amp;$W$13-$S$12&amp;" NC")),IF($X$13="/90",IF(#REF!="","",IF(#REF!&gt;=$W$13-$S$12,ROUND((#REF!),1)&amp;" ≥ "&amp;$W$13-$S$12&amp;" OK",ROUND((#REF!),1)&amp;" &lt; "&amp;$W$13-$S$12&amp;" NC"))))</f>
        <v/>
      </c>
      <c r="U1866" s="14"/>
      <c r="V1866" s="279"/>
      <c r="W1866" s="280"/>
      <c r="X1866" s="281"/>
      <c r="Y1866" s="246"/>
      <c r="Z1866" s="246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BP1866" s="390" t="str">
        <f>IF($X$13="/28",IF(Q1866="","",Q1866),IF($X$13="/90",IF(#REF!="","",#REF!),"Falso"))</f>
        <v/>
      </c>
      <c r="BQ1866" s="392" t="str">
        <f t="shared" si="2818"/>
        <v/>
      </c>
    </row>
    <row r="1867" spans="1:69" ht="14.25" customHeight="1" x14ac:dyDescent="0.35">
      <c r="A1867" s="294"/>
      <c r="B1867" s="296"/>
      <c r="C1867" s="298"/>
      <c r="D1867" s="300"/>
      <c r="E1867" s="302"/>
      <c r="F1867" s="304"/>
      <c r="G1867" s="276"/>
      <c r="H1867" s="277"/>
      <c r="I1867" s="290"/>
      <c r="J1867" s="290"/>
      <c r="K1867" s="291"/>
      <c r="L1867" s="17"/>
      <c r="M1867" s="286"/>
      <c r="N1867" s="21"/>
      <c r="O1867" s="286"/>
      <c r="P1867" s="21"/>
      <c r="Q1867" s="286"/>
      <c r="R1867" s="248"/>
      <c r="S1867" s="287"/>
      <c r="T1867" s="248"/>
      <c r="U1867" s="13"/>
      <c r="V1867" s="282"/>
      <c r="W1867" s="283"/>
      <c r="X1867" s="284"/>
      <c r="Y1867" s="245"/>
      <c r="Z1867" s="245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BP1867" s="391"/>
      <c r="BQ1867" s="393"/>
    </row>
    <row r="1868" spans="1:69" ht="14.25" customHeight="1" x14ac:dyDescent="0.35">
      <c r="A1868" s="293">
        <v>926</v>
      </c>
      <c r="B1868" s="295"/>
      <c r="C1868" s="297"/>
      <c r="D1868" s="299"/>
      <c r="E1868" s="301"/>
      <c r="F1868" s="303"/>
      <c r="G1868" s="288"/>
      <c r="H1868" s="289"/>
      <c r="I1868" s="290"/>
      <c r="J1868" s="290"/>
      <c r="K1868" s="291"/>
      <c r="L1868" s="18"/>
      <c r="M1868" s="285" t="str">
        <f t="shared" ref="M1868" si="2902">IF(COUNT(L1868:L1869)&lt;1,"",AVERAGE(L1868:L1869))</f>
        <v/>
      </c>
      <c r="N1868" s="22"/>
      <c r="O1868" s="285" t="str">
        <f t="shared" ref="O1868" si="2903">IF(COUNT(N1868:N1869)&lt;1,"",AVERAGE(N1868:N1869))</f>
        <v/>
      </c>
      <c r="P1868" s="22"/>
      <c r="Q1868" s="285" t="str">
        <f t="shared" ref="Q1868" si="2904">IF(COUNT(P1868:P1869)&lt;1,"",AVERAGE(P1868:P1869))</f>
        <v/>
      </c>
      <c r="R1868" s="278" t="str">
        <f>IF($X$13="/28",IF(COUNT(P1868:P1869)&lt;=1,"",ABS(P1868-P1869)),IF($X$13="/90",IF(COUNT(#REF!)&lt;=1,"",ABS(#REF!-#REF!))))</f>
        <v/>
      </c>
      <c r="S1868" s="278" t="str">
        <f>IF($X$13="/28",IF(Q1868="","",IF(AVERAGE(Q1864:Q1869)&gt;=$W$13,ROUND(AVERAGE(Q1864:Q1869),1)&amp;" ≥ "&amp;$W$13&amp;" OK",ROUND(AVERAGE(Q1864:Q1869),1)&amp;" &lt; "&amp;$W$13&amp;" NC")),IF($X$13="/90",IF(#REF!="","",IF(AVERAGE(#REF!)&gt;=$W$13,ROUND(AVERAGE(#REF!),1)&amp;" ≥ "&amp;$W$13&amp;" OK",ROUND(AVERAGE(#REF!),1)&amp;" &lt; "&amp;$W$13&amp;" NC"))))</f>
        <v/>
      </c>
      <c r="T1868" s="278" t="str">
        <f>IF($X$13="/28",IF(Q1868="","",IF(Q1868&gt;=$W$13-$S$12,ROUND((Q1868),1)&amp;" ≥ "&amp;$W$13-$S$12&amp;" OK",ROUND((Q1868),1)&amp;" &lt; "&amp;$W$13-$S$12&amp;" NC")),IF($X$13="/90",IF(#REF!="","",IF(#REF!&gt;=$W$13-$S$12,ROUND((#REF!),1)&amp;" ≥ "&amp;$W$13-$S$12&amp;" OK",ROUND((#REF!),1)&amp;" &lt; "&amp;$W$13-$S$12&amp;" NC"))))</f>
        <v/>
      </c>
      <c r="U1868" s="14"/>
      <c r="V1868" s="279"/>
      <c r="W1868" s="280"/>
      <c r="X1868" s="281"/>
      <c r="Y1868" s="246"/>
      <c r="Z1868" s="246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BP1868" s="390" t="str">
        <f>IF($X$13="/28",IF(Q1868="","",Q1868),IF($X$13="/90",IF(#REF!="","",#REF!),"Falso"))</f>
        <v/>
      </c>
      <c r="BQ1868" s="392" t="str">
        <f t="shared" si="2822"/>
        <v/>
      </c>
    </row>
    <row r="1869" spans="1:69" ht="14.25" customHeight="1" x14ac:dyDescent="0.35">
      <c r="A1869" s="294"/>
      <c r="B1869" s="296"/>
      <c r="C1869" s="298"/>
      <c r="D1869" s="300"/>
      <c r="E1869" s="302"/>
      <c r="F1869" s="304"/>
      <c r="G1869" s="276"/>
      <c r="H1869" s="277"/>
      <c r="I1869" s="290"/>
      <c r="J1869" s="290"/>
      <c r="K1869" s="291"/>
      <c r="L1869" s="17"/>
      <c r="M1869" s="286"/>
      <c r="N1869" s="21"/>
      <c r="O1869" s="286"/>
      <c r="P1869" s="21"/>
      <c r="Q1869" s="286"/>
      <c r="R1869" s="248"/>
      <c r="S1869" s="287"/>
      <c r="T1869" s="248"/>
      <c r="U1869" s="13"/>
      <c r="V1869" s="282"/>
      <c r="W1869" s="283"/>
      <c r="X1869" s="284"/>
      <c r="Y1869" s="245"/>
      <c r="Z1869" s="245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BP1869" s="391"/>
      <c r="BQ1869" s="393"/>
    </row>
    <row r="1870" spans="1:69" ht="14.25" customHeight="1" x14ac:dyDescent="0.35">
      <c r="A1870" s="293">
        <v>927</v>
      </c>
      <c r="B1870" s="295"/>
      <c r="C1870" s="297"/>
      <c r="D1870" s="299"/>
      <c r="E1870" s="301"/>
      <c r="F1870" s="303"/>
      <c r="G1870" s="288"/>
      <c r="H1870" s="289"/>
      <c r="I1870" s="290"/>
      <c r="J1870" s="290"/>
      <c r="K1870" s="291"/>
      <c r="L1870" s="18"/>
      <c r="M1870" s="285" t="str">
        <f t="shared" ref="M1870" si="2905">IF(COUNT(L1870:L1871)&lt;1,"",AVERAGE(L1870:L1871))</f>
        <v/>
      </c>
      <c r="N1870" s="22"/>
      <c r="O1870" s="285" t="str">
        <f t="shared" ref="O1870" si="2906">IF(COUNT(N1870:N1871)&lt;1,"",AVERAGE(N1870:N1871))</f>
        <v/>
      </c>
      <c r="P1870" s="22"/>
      <c r="Q1870" s="285" t="str">
        <f t="shared" ref="Q1870" si="2907">IF(COUNT(P1870:P1871)&lt;1,"",AVERAGE(P1870:P1871))</f>
        <v/>
      </c>
      <c r="R1870" s="278" t="str">
        <f>IF($X$13="/28",IF(COUNT(P1870:P1871)&lt;=1,"",ABS(P1870-P1871)),IF($X$13="/90",IF(COUNT(#REF!)&lt;=1,"",ABS(#REF!-#REF!))))</f>
        <v/>
      </c>
      <c r="S1870" s="278" t="str">
        <f>IF($X$13="/28",IF(Q1870="","",IF(AVERAGE(Q1866:Q1871)&gt;=$W$13,ROUND(AVERAGE(Q1866:Q1871),1)&amp;" ≥ "&amp;$W$13&amp;" OK",ROUND(AVERAGE(Q1866:Q1871),1)&amp;" &lt; "&amp;$W$13&amp;" NC")),IF($X$13="/90",IF(#REF!="","",IF(AVERAGE(#REF!)&gt;=$W$13,ROUND(AVERAGE(#REF!),1)&amp;" ≥ "&amp;$W$13&amp;" OK",ROUND(AVERAGE(#REF!),1)&amp;" &lt; "&amp;$W$13&amp;" NC"))))</f>
        <v/>
      </c>
      <c r="T1870" s="278" t="str">
        <f>IF($X$13="/28",IF(Q1870="","",IF(Q1870&gt;=$W$13-$S$12,ROUND((Q1870),1)&amp;" ≥ "&amp;$W$13-$S$12&amp;" OK",ROUND((Q1870),1)&amp;" &lt; "&amp;$W$13-$S$12&amp;" NC")),IF($X$13="/90",IF(#REF!="","",IF(#REF!&gt;=$W$13-$S$12,ROUND((#REF!),1)&amp;" ≥ "&amp;$W$13-$S$12&amp;" OK",ROUND((#REF!),1)&amp;" &lt; "&amp;$W$13-$S$12&amp;" NC"))))</f>
        <v/>
      </c>
      <c r="U1870" s="14"/>
      <c r="V1870" s="279"/>
      <c r="W1870" s="280"/>
      <c r="X1870" s="281"/>
      <c r="Y1870" s="246"/>
      <c r="Z1870" s="246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BP1870" s="390" t="str">
        <f>IF($X$13="/28",IF(Q1870="","",Q1870),IF($X$13="/90",IF(#REF!="","",#REF!),"Falso"))</f>
        <v/>
      </c>
      <c r="BQ1870" s="392" t="str">
        <f t="shared" si="2826"/>
        <v/>
      </c>
    </row>
    <row r="1871" spans="1:69" ht="14.25" customHeight="1" x14ac:dyDescent="0.35">
      <c r="A1871" s="294"/>
      <c r="B1871" s="296"/>
      <c r="C1871" s="298"/>
      <c r="D1871" s="300"/>
      <c r="E1871" s="302"/>
      <c r="F1871" s="304"/>
      <c r="G1871" s="276"/>
      <c r="H1871" s="277"/>
      <c r="I1871" s="290"/>
      <c r="J1871" s="290"/>
      <c r="K1871" s="291"/>
      <c r="L1871" s="17"/>
      <c r="M1871" s="286"/>
      <c r="N1871" s="21"/>
      <c r="O1871" s="286"/>
      <c r="P1871" s="21"/>
      <c r="Q1871" s="286"/>
      <c r="R1871" s="248"/>
      <c r="S1871" s="287"/>
      <c r="T1871" s="248"/>
      <c r="U1871" s="13"/>
      <c r="V1871" s="282"/>
      <c r="W1871" s="283"/>
      <c r="X1871" s="284"/>
      <c r="Y1871" s="245"/>
      <c r="Z1871" s="245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BP1871" s="391"/>
      <c r="BQ1871" s="393"/>
    </row>
    <row r="1872" spans="1:69" ht="14.25" customHeight="1" x14ac:dyDescent="0.35">
      <c r="A1872" s="293">
        <v>928</v>
      </c>
      <c r="B1872" s="295"/>
      <c r="C1872" s="297"/>
      <c r="D1872" s="299"/>
      <c r="E1872" s="301"/>
      <c r="F1872" s="303"/>
      <c r="G1872" s="288"/>
      <c r="H1872" s="289"/>
      <c r="I1872" s="290"/>
      <c r="J1872" s="290"/>
      <c r="K1872" s="291"/>
      <c r="L1872" s="18"/>
      <c r="M1872" s="285" t="str">
        <f t="shared" ref="M1872" si="2908">IF(COUNT(L1872:L1873)&lt;1,"",AVERAGE(L1872:L1873))</f>
        <v/>
      </c>
      <c r="N1872" s="22"/>
      <c r="O1872" s="285" t="str">
        <f t="shared" ref="O1872" si="2909">IF(COUNT(N1872:N1873)&lt;1,"",AVERAGE(N1872:N1873))</f>
        <v/>
      </c>
      <c r="P1872" s="22"/>
      <c r="Q1872" s="285" t="str">
        <f t="shared" ref="Q1872" si="2910">IF(COUNT(P1872:P1873)&lt;1,"",AVERAGE(P1872:P1873))</f>
        <v/>
      </c>
      <c r="R1872" s="278" t="str">
        <f>IF($X$13="/28",IF(COUNT(P1872:P1873)&lt;=1,"",ABS(P1872-P1873)),IF($X$13="/90",IF(COUNT(#REF!)&lt;=1,"",ABS(#REF!-#REF!))))</f>
        <v/>
      </c>
      <c r="S1872" s="278" t="str">
        <f>IF($X$13="/28",IF(Q1872="","",IF(AVERAGE(Q1868:Q1873)&gt;=$W$13,ROUND(AVERAGE(Q1868:Q1873),1)&amp;" ≥ "&amp;$W$13&amp;" OK",ROUND(AVERAGE(Q1868:Q1873),1)&amp;" &lt; "&amp;$W$13&amp;" NC")),IF($X$13="/90",IF(#REF!="","",IF(AVERAGE(#REF!)&gt;=$W$13,ROUND(AVERAGE(#REF!),1)&amp;" ≥ "&amp;$W$13&amp;" OK",ROUND(AVERAGE(#REF!),1)&amp;" &lt; "&amp;$W$13&amp;" NC"))))</f>
        <v/>
      </c>
      <c r="T1872" s="278" t="str">
        <f>IF($X$13="/28",IF(Q1872="","",IF(Q1872&gt;=$W$13-$S$12,ROUND((Q1872),1)&amp;" ≥ "&amp;$W$13-$S$12&amp;" OK",ROUND((Q1872),1)&amp;" &lt; "&amp;$W$13-$S$12&amp;" NC")),IF($X$13="/90",IF(#REF!="","",IF(#REF!&gt;=$W$13-$S$12,ROUND((#REF!),1)&amp;" ≥ "&amp;$W$13-$S$12&amp;" OK",ROUND((#REF!),1)&amp;" &lt; "&amp;$W$13-$S$12&amp;" NC"))))</f>
        <v/>
      </c>
      <c r="U1872" s="14"/>
      <c r="V1872" s="279"/>
      <c r="W1872" s="280"/>
      <c r="X1872" s="281"/>
      <c r="Y1872" s="246"/>
      <c r="Z1872" s="246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BP1872" s="390" t="str">
        <f>IF($X$13="/28",IF(Q1872="","",Q1872),IF($X$13="/90",IF(#REF!="","",#REF!),"Falso"))</f>
        <v/>
      </c>
      <c r="BQ1872" s="392" t="str">
        <f t="shared" si="2818"/>
        <v/>
      </c>
    </row>
    <row r="1873" spans="1:69" ht="14.25" customHeight="1" x14ac:dyDescent="0.35">
      <c r="A1873" s="294"/>
      <c r="B1873" s="296"/>
      <c r="C1873" s="298"/>
      <c r="D1873" s="300"/>
      <c r="E1873" s="302"/>
      <c r="F1873" s="304"/>
      <c r="G1873" s="276"/>
      <c r="H1873" s="277"/>
      <c r="I1873" s="290"/>
      <c r="J1873" s="290"/>
      <c r="K1873" s="291"/>
      <c r="L1873" s="17"/>
      <c r="M1873" s="286"/>
      <c r="N1873" s="21"/>
      <c r="O1873" s="286"/>
      <c r="P1873" s="21"/>
      <c r="Q1873" s="286"/>
      <c r="R1873" s="248"/>
      <c r="S1873" s="287"/>
      <c r="T1873" s="248"/>
      <c r="U1873" s="13"/>
      <c r="V1873" s="282"/>
      <c r="W1873" s="283"/>
      <c r="X1873" s="284"/>
      <c r="Y1873" s="245"/>
      <c r="Z1873" s="245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BP1873" s="391"/>
      <c r="BQ1873" s="393"/>
    </row>
    <row r="1874" spans="1:69" ht="14.25" customHeight="1" x14ac:dyDescent="0.35">
      <c r="A1874" s="293">
        <v>929</v>
      </c>
      <c r="B1874" s="295"/>
      <c r="C1874" s="297"/>
      <c r="D1874" s="299"/>
      <c r="E1874" s="301"/>
      <c r="F1874" s="303"/>
      <c r="G1874" s="288"/>
      <c r="H1874" s="289"/>
      <c r="I1874" s="290"/>
      <c r="J1874" s="290"/>
      <c r="K1874" s="291"/>
      <c r="L1874" s="18"/>
      <c r="M1874" s="285" t="str">
        <f t="shared" ref="M1874" si="2911">IF(COUNT(L1874:L1875)&lt;1,"",AVERAGE(L1874:L1875))</f>
        <v/>
      </c>
      <c r="N1874" s="22"/>
      <c r="O1874" s="285" t="str">
        <f t="shared" ref="O1874" si="2912">IF(COUNT(N1874:N1875)&lt;1,"",AVERAGE(N1874:N1875))</f>
        <v/>
      </c>
      <c r="P1874" s="22"/>
      <c r="Q1874" s="285" t="str">
        <f t="shared" ref="Q1874" si="2913">IF(COUNT(P1874:P1875)&lt;1,"",AVERAGE(P1874:P1875))</f>
        <v/>
      </c>
      <c r="R1874" s="278" t="str">
        <f>IF($X$13="/28",IF(COUNT(P1874:P1875)&lt;=1,"",ABS(P1874-P1875)),IF($X$13="/90",IF(COUNT(#REF!)&lt;=1,"",ABS(#REF!-#REF!))))</f>
        <v/>
      </c>
      <c r="S1874" s="278" t="str">
        <f>IF($X$13="/28",IF(Q1874="","",IF(AVERAGE(Q1870:Q1875)&gt;=$W$13,ROUND(AVERAGE(Q1870:Q1875),1)&amp;" ≥ "&amp;$W$13&amp;" OK",ROUND(AVERAGE(Q1870:Q1875),1)&amp;" &lt; "&amp;$W$13&amp;" NC")),IF($X$13="/90",IF(#REF!="","",IF(AVERAGE(#REF!)&gt;=$W$13,ROUND(AVERAGE(#REF!),1)&amp;" ≥ "&amp;$W$13&amp;" OK",ROUND(AVERAGE(#REF!),1)&amp;" &lt; "&amp;$W$13&amp;" NC"))))</f>
        <v/>
      </c>
      <c r="T1874" s="278" t="str">
        <f>IF($X$13="/28",IF(Q1874="","",IF(Q1874&gt;=$W$13-$S$12,ROUND((Q1874),1)&amp;" ≥ "&amp;$W$13-$S$12&amp;" OK",ROUND((Q1874),1)&amp;" &lt; "&amp;$W$13-$S$12&amp;" NC")),IF($X$13="/90",IF(#REF!="","",IF(#REF!&gt;=$W$13-$S$12,ROUND((#REF!),1)&amp;" ≥ "&amp;$W$13-$S$12&amp;" OK",ROUND((#REF!),1)&amp;" &lt; "&amp;$W$13-$S$12&amp;" NC"))))</f>
        <v/>
      </c>
      <c r="U1874" s="14"/>
      <c r="V1874" s="279"/>
      <c r="W1874" s="280"/>
      <c r="X1874" s="281"/>
      <c r="Y1874" s="246"/>
      <c r="Z1874" s="246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BP1874" s="390" t="str">
        <f>IF($X$13="/28",IF(Q1874="","",Q1874),IF($X$13="/90",IF(#REF!="","",#REF!),"Falso"))</f>
        <v/>
      </c>
      <c r="BQ1874" s="392" t="str">
        <f t="shared" si="2822"/>
        <v/>
      </c>
    </row>
    <row r="1875" spans="1:69" ht="14.25" customHeight="1" x14ac:dyDescent="0.35">
      <c r="A1875" s="294"/>
      <c r="B1875" s="296"/>
      <c r="C1875" s="298"/>
      <c r="D1875" s="300"/>
      <c r="E1875" s="302"/>
      <c r="F1875" s="304"/>
      <c r="G1875" s="276"/>
      <c r="H1875" s="277"/>
      <c r="I1875" s="290"/>
      <c r="J1875" s="290"/>
      <c r="K1875" s="291"/>
      <c r="L1875" s="17"/>
      <c r="M1875" s="286"/>
      <c r="N1875" s="21"/>
      <c r="O1875" s="286"/>
      <c r="P1875" s="21"/>
      <c r="Q1875" s="286"/>
      <c r="R1875" s="248"/>
      <c r="S1875" s="287"/>
      <c r="T1875" s="248"/>
      <c r="U1875" s="13"/>
      <c r="V1875" s="282"/>
      <c r="W1875" s="283"/>
      <c r="X1875" s="284"/>
      <c r="Y1875" s="245"/>
      <c r="Z1875" s="245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BP1875" s="391"/>
      <c r="BQ1875" s="393"/>
    </row>
    <row r="1876" spans="1:69" ht="14.25" customHeight="1" x14ac:dyDescent="0.35">
      <c r="A1876" s="293">
        <v>930</v>
      </c>
      <c r="B1876" s="295"/>
      <c r="C1876" s="297"/>
      <c r="D1876" s="299"/>
      <c r="E1876" s="301"/>
      <c r="F1876" s="303"/>
      <c r="G1876" s="288"/>
      <c r="H1876" s="289"/>
      <c r="I1876" s="290"/>
      <c r="J1876" s="290"/>
      <c r="K1876" s="291"/>
      <c r="L1876" s="18"/>
      <c r="M1876" s="285" t="str">
        <f t="shared" ref="M1876" si="2914">IF(COUNT(L1876:L1877)&lt;1,"",AVERAGE(L1876:L1877))</f>
        <v/>
      </c>
      <c r="N1876" s="22"/>
      <c r="O1876" s="285" t="str">
        <f t="shared" ref="O1876" si="2915">IF(COUNT(N1876:N1877)&lt;1,"",AVERAGE(N1876:N1877))</f>
        <v/>
      </c>
      <c r="P1876" s="22"/>
      <c r="Q1876" s="285" t="str">
        <f t="shared" ref="Q1876" si="2916">IF(COUNT(P1876:P1877)&lt;1,"",AVERAGE(P1876:P1877))</f>
        <v/>
      </c>
      <c r="R1876" s="278" t="str">
        <f>IF($X$13="/28",IF(COUNT(P1876:P1877)&lt;=1,"",ABS(P1876-P1877)),IF($X$13="/90",IF(COUNT(#REF!)&lt;=1,"",ABS(#REF!-#REF!))))</f>
        <v/>
      </c>
      <c r="S1876" s="278" t="str">
        <f>IF($X$13="/28",IF(Q1876="","",IF(AVERAGE(Q1872:Q1877)&gt;=$W$13,ROUND(AVERAGE(Q1872:Q1877),1)&amp;" ≥ "&amp;$W$13&amp;" OK",ROUND(AVERAGE(Q1872:Q1877),1)&amp;" &lt; "&amp;$W$13&amp;" NC")),IF($X$13="/90",IF(#REF!="","",IF(AVERAGE(#REF!)&gt;=$W$13,ROUND(AVERAGE(#REF!),1)&amp;" ≥ "&amp;$W$13&amp;" OK",ROUND(AVERAGE(#REF!),1)&amp;" &lt; "&amp;$W$13&amp;" NC"))))</f>
        <v/>
      </c>
      <c r="T1876" s="278" t="str">
        <f>IF($X$13="/28",IF(Q1876="","",IF(Q1876&gt;=$W$13-$S$12,ROUND((Q1876),1)&amp;" ≥ "&amp;$W$13-$S$12&amp;" OK",ROUND((Q1876),1)&amp;" &lt; "&amp;$W$13-$S$12&amp;" NC")),IF($X$13="/90",IF(#REF!="","",IF(#REF!&gt;=$W$13-$S$12,ROUND((#REF!),1)&amp;" ≥ "&amp;$W$13-$S$12&amp;" OK",ROUND((#REF!),1)&amp;" &lt; "&amp;$W$13-$S$12&amp;" NC"))))</f>
        <v/>
      </c>
      <c r="U1876" s="14"/>
      <c r="V1876" s="279"/>
      <c r="W1876" s="280"/>
      <c r="X1876" s="281"/>
      <c r="Y1876" s="246"/>
      <c r="Z1876" s="246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BP1876" s="390" t="str">
        <f>IF($X$13="/28",IF(Q1876="","",Q1876),IF($X$13="/90",IF(#REF!="","",#REF!),"Falso"))</f>
        <v/>
      </c>
      <c r="BQ1876" s="392" t="str">
        <f t="shared" si="2826"/>
        <v/>
      </c>
    </row>
    <row r="1877" spans="1:69" ht="14.25" customHeight="1" thickBot="1" x14ac:dyDescent="0.4">
      <c r="A1877" s="384"/>
      <c r="B1877" s="385"/>
      <c r="C1877" s="386"/>
      <c r="D1877" s="387"/>
      <c r="E1877" s="388"/>
      <c r="F1877" s="389"/>
      <c r="G1877" s="377"/>
      <c r="H1877" s="378"/>
      <c r="I1877" s="382"/>
      <c r="J1877" s="382"/>
      <c r="K1877" s="383"/>
      <c r="L1877" s="19"/>
      <c r="M1877" s="379"/>
      <c r="N1877" s="23"/>
      <c r="O1877" s="379"/>
      <c r="P1877" s="23"/>
      <c r="Q1877" s="379"/>
      <c r="R1877" s="380"/>
      <c r="S1877" s="381"/>
      <c r="T1877" s="380"/>
      <c r="U1877" s="15"/>
      <c r="V1877" s="373"/>
      <c r="W1877" s="374"/>
      <c r="X1877" s="375"/>
      <c r="Y1877" s="376"/>
      <c r="Z1877" s="376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BP1877" s="391"/>
      <c r="BQ1877" s="393"/>
    </row>
    <row r="1878" spans="1:69" ht="14.25" customHeight="1" x14ac:dyDescent="0.35">
      <c r="A1878" s="311">
        <v>931</v>
      </c>
      <c r="B1878" s="312"/>
      <c r="C1878" s="313"/>
      <c r="D1878" s="314"/>
      <c r="E1878" s="315"/>
      <c r="F1878" s="353"/>
      <c r="G1878" s="354"/>
      <c r="H1878" s="355"/>
      <c r="I1878" s="356"/>
      <c r="J1878" s="356"/>
      <c r="K1878" s="357"/>
      <c r="L1878" s="16"/>
      <c r="M1878" s="352" t="str">
        <f t="shared" ref="M1878" si="2917">IF(COUNT(L1878:L1879)&lt;1,"",AVERAGE(L1878:L1879))</f>
        <v/>
      </c>
      <c r="N1878" s="20"/>
      <c r="O1878" s="352" t="str">
        <f t="shared" ref="O1878" si="2918">IF(COUNT(N1878:N1879)&lt;1,"",AVERAGE(N1878:N1879))</f>
        <v/>
      </c>
      <c r="P1878" s="20"/>
      <c r="Q1878" s="352" t="str">
        <f t="shared" ref="Q1878" si="2919">IF(COUNT(P1878:P1879)&lt;1,"",AVERAGE(P1878:P1879))</f>
        <v/>
      </c>
      <c r="R1878" s="247" t="str">
        <f>IF($X$13="/28",IF(COUNT(P1878:P1879)&lt;=1,"",ABS(P1878-P1879)),IF($X$13="/90",IF(COUNT(#REF!)&lt;=1,"",ABS(#REF!-#REF!))))</f>
        <v/>
      </c>
      <c r="S1878" s="247" t="str">
        <f>IF($X$13="/28",IF(Q1878="","",IF(AVERAGE(Q1874:Q1879)&gt;=$W$13,ROUND(AVERAGE(Q1874:Q1879),1)&amp;" ≥ "&amp;$W$13&amp;" OK",ROUND(AVERAGE(Q1874:Q1879),1)&amp;" &lt; "&amp;$W$13&amp;" NC")),IF($X$13="/90",IF(#REF!="","",IF(AVERAGE(#REF!)&gt;=$W$13,ROUND(AVERAGE(#REF!),1)&amp;" ≥ "&amp;$W$13&amp;" OK",ROUND(AVERAGE(#REF!),1)&amp;" &lt; "&amp;$W$13&amp;" NC"))))</f>
        <v/>
      </c>
      <c r="T1878" s="247" t="str">
        <f>IF($X$13="/28",IF(Q1878="","",IF(Q1878&gt;=$W$13-$S$12,ROUND((Q1878),1)&amp;" ≥ "&amp;$W$13-$S$12&amp;" OK",ROUND((Q1878),1)&amp;" &lt; "&amp;$W$13-$S$12&amp;" NC")),IF($X$13="/90",IF(#REF!="","",IF(#REF!&gt;=$W$13-$S$12,ROUND((#REF!),1)&amp;" ≥ "&amp;$W$13-$S$12&amp;" OK",ROUND((#REF!),1)&amp;" &lt; "&amp;$W$13-$S$12&amp;" NC"))))</f>
        <v/>
      </c>
      <c r="U1878" s="12"/>
      <c r="V1878" s="349"/>
      <c r="W1878" s="350"/>
      <c r="X1878" s="351"/>
      <c r="Y1878" s="244"/>
      <c r="Z1878" s="244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BP1878" s="390" t="str">
        <f>IF($X$13="/28",IF(Q1878="","",Q1878),IF($X$13="/90",IF(#REF!="","",#REF!),"Falso"))</f>
        <v/>
      </c>
      <c r="BQ1878" s="392" t="str">
        <f t="shared" ref="BQ1878:BQ1938" si="2920">IF(BP1878="","",BQ1876+1)</f>
        <v/>
      </c>
    </row>
    <row r="1879" spans="1:69" ht="14.25" customHeight="1" x14ac:dyDescent="0.35">
      <c r="A1879" s="294"/>
      <c r="B1879" s="296"/>
      <c r="C1879" s="298"/>
      <c r="D1879" s="300"/>
      <c r="E1879" s="302"/>
      <c r="F1879" s="304"/>
      <c r="G1879" s="276"/>
      <c r="H1879" s="277"/>
      <c r="I1879" s="290"/>
      <c r="J1879" s="290"/>
      <c r="K1879" s="291"/>
      <c r="L1879" s="17"/>
      <c r="M1879" s="286"/>
      <c r="N1879" s="21"/>
      <c r="O1879" s="286"/>
      <c r="P1879" s="21"/>
      <c r="Q1879" s="286"/>
      <c r="R1879" s="248"/>
      <c r="S1879" s="248"/>
      <c r="T1879" s="248"/>
      <c r="U1879" s="13"/>
      <c r="V1879" s="282"/>
      <c r="W1879" s="283"/>
      <c r="X1879" s="284"/>
      <c r="Y1879" s="245"/>
      <c r="Z1879" s="245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BP1879" s="391"/>
      <c r="BQ1879" s="393"/>
    </row>
    <row r="1880" spans="1:69" ht="14.25" customHeight="1" x14ac:dyDescent="0.35">
      <c r="A1880" s="293">
        <v>932</v>
      </c>
      <c r="B1880" s="295"/>
      <c r="C1880" s="297"/>
      <c r="D1880" s="299"/>
      <c r="E1880" s="301"/>
      <c r="F1880" s="303"/>
      <c r="G1880" s="288"/>
      <c r="H1880" s="289"/>
      <c r="I1880" s="290"/>
      <c r="J1880" s="290"/>
      <c r="K1880" s="291"/>
      <c r="L1880" s="18"/>
      <c r="M1880" s="285" t="str">
        <f t="shared" ref="M1880" si="2921">IF(COUNT(L1880:L1881)&lt;1,"",AVERAGE(L1880:L1881))</f>
        <v/>
      </c>
      <c r="N1880" s="22"/>
      <c r="O1880" s="285" t="str">
        <f t="shared" ref="O1880" si="2922">IF(COUNT(N1880:N1881)&lt;1,"",AVERAGE(N1880:N1881))</f>
        <v/>
      </c>
      <c r="P1880" s="22"/>
      <c r="Q1880" s="285" t="str">
        <f t="shared" ref="Q1880" si="2923">IF(COUNT(P1880:P1881)&lt;1,"",AVERAGE(P1880:P1881))</f>
        <v/>
      </c>
      <c r="R1880" s="278" t="str">
        <f>IF($X$13="/28",IF(COUNT(P1880:P1881)&lt;=1,"",ABS(P1880-P1881)),IF($X$13="/90",IF(COUNT(#REF!)&lt;=1,"",ABS(#REF!-#REF!))))</f>
        <v/>
      </c>
      <c r="S1880" s="278" t="str">
        <f>IF($X$13="/28",IF(Q1880="","",IF(AVERAGE(Q1876:Q1881)&gt;=$W$13,ROUND(AVERAGE(Q1876:Q1881),1)&amp;" ≥ "&amp;$W$13&amp;" OK",ROUND(AVERAGE(Q1876:Q1881),1)&amp;" &lt; "&amp;$W$13&amp;" NC")),IF($X$13="/90",IF(#REF!="","",IF(AVERAGE(#REF!)&gt;=$W$13,ROUND(AVERAGE(#REF!),1)&amp;" ≥ "&amp;$W$13&amp;" OK",ROUND(AVERAGE(#REF!),1)&amp;" &lt; "&amp;$W$13&amp;" NC"))))</f>
        <v/>
      </c>
      <c r="T1880" s="278" t="str">
        <f>IF($X$13="/28",IF(Q1880="","",IF(Q1880&gt;=$W$13-$S$12,ROUND((Q1880),1)&amp;" ≥ "&amp;$W$13-$S$12&amp;" OK",ROUND((Q1880),1)&amp;" &lt; "&amp;$W$13-$S$12&amp;" NC")),IF($X$13="/90",IF(#REF!="","",IF(#REF!&gt;=$W$13-$S$12,ROUND((#REF!),1)&amp;" ≥ "&amp;$W$13-$S$12&amp;" OK",ROUND((#REF!),1)&amp;" &lt; "&amp;$W$13-$S$12&amp;" NC"))))</f>
        <v/>
      </c>
      <c r="U1880" s="14"/>
      <c r="V1880" s="279"/>
      <c r="W1880" s="280"/>
      <c r="X1880" s="281"/>
      <c r="Y1880" s="246"/>
      <c r="Z1880" s="246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BP1880" s="390" t="str">
        <f>IF($X$13="/28",IF(Q1880="","",Q1880),IF($X$13="/90",IF(#REF!="","",#REF!),"Falso"))</f>
        <v/>
      </c>
      <c r="BQ1880" s="392" t="str">
        <f t="shared" ref="BQ1880:BQ1940" si="2924">IF(BP1880="","",BQ1878+1)</f>
        <v/>
      </c>
    </row>
    <row r="1881" spans="1:69" ht="14.25" customHeight="1" x14ac:dyDescent="0.35">
      <c r="A1881" s="294"/>
      <c r="B1881" s="296"/>
      <c r="C1881" s="298"/>
      <c r="D1881" s="300"/>
      <c r="E1881" s="302"/>
      <c r="F1881" s="304"/>
      <c r="G1881" s="276"/>
      <c r="H1881" s="277"/>
      <c r="I1881" s="290"/>
      <c r="J1881" s="290"/>
      <c r="K1881" s="291"/>
      <c r="L1881" s="17"/>
      <c r="M1881" s="286"/>
      <c r="N1881" s="21"/>
      <c r="O1881" s="286"/>
      <c r="P1881" s="21"/>
      <c r="Q1881" s="286"/>
      <c r="R1881" s="248"/>
      <c r="S1881" s="248"/>
      <c r="T1881" s="248"/>
      <c r="U1881" s="13"/>
      <c r="V1881" s="282"/>
      <c r="W1881" s="283"/>
      <c r="X1881" s="284"/>
      <c r="Y1881" s="245"/>
      <c r="Z1881" s="245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BP1881" s="391"/>
      <c r="BQ1881" s="393"/>
    </row>
    <row r="1882" spans="1:69" ht="14.25" customHeight="1" x14ac:dyDescent="0.35">
      <c r="A1882" s="293">
        <v>933</v>
      </c>
      <c r="B1882" s="295"/>
      <c r="C1882" s="297"/>
      <c r="D1882" s="299"/>
      <c r="E1882" s="301"/>
      <c r="F1882" s="303"/>
      <c r="G1882" s="288"/>
      <c r="H1882" s="289"/>
      <c r="I1882" s="290"/>
      <c r="J1882" s="290"/>
      <c r="K1882" s="291"/>
      <c r="L1882" s="18"/>
      <c r="M1882" s="285" t="str">
        <f t="shared" ref="M1882" si="2925">IF(COUNT(L1882:L1883)&lt;1,"",AVERAGE(L1882:L1883))</f>
        <v/>
      </c>
      <c r="N1882" s="22"/>
      <c r="O1882" s="285" t="str">
        <f t="shared" ref="O1882" si="2926">IF(COUNT(N1882:N1883)&lt;1,"",AVERAGE(N1882:N1883))</f>
        <v/>
      </c>
      <c r="P1882" s="22"/>
      <c r="Q1882" s="285" t="str">
        <f t="shared" ref="Q1882" si="2927">IF(COUNT(P1882:P1883)&lt;1,"",AVERAGE(P1882:P1883))</f>
        <v/>
      </c>
      <c r="R1882" s="278" t="str">
        <f>IF($X$13="/28",IF(COUNT(P1882:P1883)&lt;=1,"",ABS(P1882-P1883)),IF($X$13="/90",IF(COUNT(#REF!)&lt;=1,"",ABS(#REF!-#REF!))))</f>
        <v/>
      </c>
      <c r="S1882" s="278" t="str">
        <f>IF($X$13="/28",IF(Q1882="","",IF(AVERAGE(Q1878:Q1883)&gt;=$W$13,ROUND(AVERAGE(Q1878:Q1883),1)&amp;" ≥ "&amp;$W$13&amp;" OK",ROUND(AVERAGE(Q1878:Q1883),1)&amp;" &lt; "&amp;$W$13&amp;" NC")),IF($X$13="/90",IF(#REF!="","",IF(AVERAGE(#REF!)&gt;=$W$13,ROUND(AVERAGE(#REF!),1)&amp;" ≥ "&amp;$W$13&amp;" OK",ROUND(AVERAGE(#REF!),1)&amp;" &lt; "&amp;$W$13&amp;" NC"))))</f>
        <v/>
      </c>
      <c r="T1882" s="278" t="str">
        <f>IF($X$13="/28",IF(Q1882="","",IF(Q1882&gt;=$W$13-$S$12,ROUND((Q1882),1)&amp;" ≥ "&amp;$W$13-$S$12&amp;" OK",ROUND((Q1882),1)&amp;" &lt; "&amp;$W$13-$S$12&amp;" NC")),IF($X$13="/90",IF(#REF!="","",IF(#REF!&gt;=$W$13-$S$12,ROUND((#REF!),1)&amp;" ≥ "&amp;$W$13-$S$12&amp;" OK",ROUND((#REF!),1)&amp;" &lt; "&amp;$W$13-$S$12&amp;" NC"))))</f>
        <v/>
      </c>
      <c r="U1882" s="14"/>
      <c r="V1882" s="279"/>
      <c r="W1882" s="280"/>
      <c r="X1882" s="281"/>
      <c r="Y1882" s="246"/>
      <c r="Z1882" s="246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BP1882" s="390" t="str">
        <f>IF($X$13="/28",IF(Q1882="","",Q1882),IF($X$13="/90",IF(#REF!="","",#REF!),"Falso"))</f>
        <v/>
      </c>
      <c r="BQ1882" s="392" t="str">
        <f t="shared" ref="BQ1882:BQ1942" si="2928">IF(BP1882="","",BQ1880+1)</f>
        <v/>
      </c>
    </row>
    <row r="1883" spans="1:69" ht="14.25" customHeight="1" x14ac:dyDescent="0.35">
      <c r="A1883" s="294"/>
      <c r="B1883" s="296"/>
      <c r="C1883" s="298"/>
      <c r="D1883" s="300"/>
      <c r="E1883" s="302"/>
      <c r="F1883" s="304"/>
      <c r="G1883" s="276"/>
      <c r="H1883" s="277"/>
      <c r="I1883" s="290"/>
      <c r="J1883" s="290"/>
      <c r="K1883" s="291"/>
      <c r="L1883" s="17"/>
      <c r="M1883" s="286"/>
      <c r="N1883" s="21"/>
      <c r="O1883" s="286"/>
      <c r="P1883" s="21"/>
      <c r="Q1883" s="286"/>
      <c r="R1883" s="248"/>
      <c r="S1883" s="287"/>
      <c r="T1883" s="248"/>
      <c r="U1883" s="13"/>
      <c r="V1883" s="282"/>
      <c r="W1883" s="283"/>
      <c r="X1883" s="284"/>
      <c r="Y1883" s="245"/>
      <c r="Z1883" s="245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BP1883" s="391"/>
      <c r="BQ1883" s="393"/>
    </row>
    <row r="1884" spans="1:69" ht="14.25" customHeight="1" x14ac:dyDescent="0.35">
      <c r="A1884" s="293">
        <v>934</v>
      </c>
      <c r="B1884" s="295"/>
      <c r="C1884" s="297"/>
      <c r="D1884" s="299"/>
      <c r="E1884" s="301"/>
      <c r="F1884" s="303"/>
      <c r="G1884" s="288"/>
      <c r="H1884" s="289"/>
      <c r="I1884" s="290"/>
      <c r="J1884" s="290"/>
      <c r="K1884" s="291"/>
      <c r="L1884" s="18"/>
      <c r="M1884" s="285" t="str">
        <f t="shared" ref="M1884" si="2929">IF(COUNT(L1884:L1885)&lt;1,"",AVERAGE(L1884:L1885))</f>
        <v/>
      </c>
      <c r="N1884" s="22"/>
      <c r="O1884" s="285" t="str">
        <f t="shared" ref="O1884" si="2930">IF(COUNT(N1884:N1885)&lt;1,"",AVERAGE(N1884:N1885))</f>
        <v/>
      </c>
      <c r="P1884" s="22"/>
      <c r="Q1884" s="285" t="str">
        <f t="shared" ref="Q1884" si="2931">IF(COUNT(P1884:P1885)&lt;1,"",AVERAGE(P1884:P1885))</f>
        <v/>
      </c>
      <c r="R1884" s="278" t="str">
        <f>IF($X$13="/28",IF(COUNT(P1884:P1885)&lt;=1,"",ABS(P1884-P1885)),IF($X$13="/90",IF(COUNT(#REF!)&lt;=1,"",ABS(#REF!-#REF!))))</f>
        <v/>
      </c>
      <c r="S1884" s="278" t="str">
        <f>IF($X$13="/28",IF(Q1884="","",IF(AVERAGE(Q1880:Q1885)&gt;=$W$13,ROUND(AVERAGE(Q1880:Q1885),1)&amp;" ≥ "&amp;$W$13&amp;" OK",ROUND(AVERAGE(Q1880:Q1885),1)&amp;" &lt; "&amp;$W$13&amp;" NC")),IF($X$13="/90",IF(#REF!="","",IF(AVERAGE(#REF!)&gt;=$W$13,ROUND(AVERAGE(#REF!),1)&amp;" ≥ "&amp;$W$13&amp;" OK",ROUND(AVERAGE(#REF!),1)&amp;" &lt; "&amp;$W$13&amp;" NC"))))</f>
        <v/>
      </c>
      <c r="T1884" s="278" t="str">
        <f>IF($X$13="/28",IF(Q1884="","",IF(Q1884&gt;=$W$13-$S$12,ROUND((Q1884),1)&amp;" ≥ "&amp;$W$13-$S$12&amp;" OK",ROUND((Q1884),1)&amp;" &lt; "&amp;$W$13-$S$12&amp;" NC")),IF($X$13="/90",IF(#REF!="","",IF(#REF!&gt;=$W$13-$S$12,ROUND((#REF!),1)&amp;" ≥ "&amp;$W$13-$S$12&amp;" OK",ROUND((#REF!),1)&amp;" &lt; "&amp;$W$13-$S$12&amp;" NC"))))</f>
        <v/>
      </c>
      <c r="U1884" s="14"/>
      <c r="V1884" s="279"/>
      <c r="W1884" s="280"/>
      <c r="X1884" s="281"/>
      <c r="Y1884" s="246"/>
      <c r="Z1884" s="246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BP1884" s="390" t="str">
        <f>IF($X$13="/28",IF(Q1884="","",Q1884),IF($X$13="/90",IF(#REF!="","",#REF!),"Falso"))</f>
        <v/>
      </c>
      <c r="BQ1884" s="392" t="str">
        <f t="shared" si="2920"/>
        <v/>
      </c>
    </row>
    <row r="1885" spans="1:69" ht="14.25" customHeight="1" x14ac:dyDescent="0.35">
      <c r="A1885" s="294"/>
      <c r="B1885" s="296"/>
      <c r="C1885" s="298"/>
      <c r="D1885" s="300"/>
      <c r="E1885" s="302"/>
      <c r="F1885" s="304"/>
      <c r="G1885" s="276"/>
      <c r="H1885" s="277"/>
      <c r="I1885" s="290"/>
      <c r="J1885" s="290"/>
      <c r="K1885" s="291"/>
      <c r="L1885" s="17"/>
      <c r="M1885" s="286"/>
      <c r="N1885" s="21"/>
      <c r="O1885" s="286"/>
      <c r="P1885" s="21"/>
      <c r="Q1885" s="286"/>
      <c r="R1885" s="248"/>
      <c r="S1885" s="287"/>
      <c r="T1885" s="248"/>
      <c r="U1885" s="13"/>
      <c r="V1885" s="282"/>
      <c r="W1885" s="283"/>
      <c r="X1885" s="284"/>
      <c r="Y1885" s="245"/>
      <c r="Z1885" s="245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BP1885" s="391"/>
      <c r="BQ1885" s="393"/>
    </row>
    <row r="1886" spans="1:69" ht="14.25" customHeight="1" x14ac:dyDescent="0.35">
      <c r="A1886" s="293">
        <v>935</v>
      </c>
      <c r="B1886" s="295"/>
      <c r="C1886" s="297"/>
      <c r="D1886" s="299"/>
      <c r="E1886" s="301"/>
      <c r="F1886" s="303"/>
      <c r="G1886" s="288"/>
      <c r="H1886" s="289"/>
      <c r="I1886" s="290"/>
      <c r="J1886" s="290"/>
      <c r="K1886" s="291"/>
      <c r="L1886" s="18"/>
      <c r="M1886" s="285" t="str">
        <f t="shared" ref="M1886" si="2932">IF(COUNT(L1886:L1887)&lt;1,"",AVERAGE(L1886:L1887))</f>
        <v/>
      </c>
      <c r="N1886" s="22"/>
      <c r="O1886" s="285" t="str">
        <f t="shared" ref="O1886" si="2933">IF(COUNT(N1886:N1887)&lt;1,"",AVERAGE(N1886:N1887))</f>
        <v/>
      </c>
      <c r="P1886" s="22"/>
      <c r="Q1886" s="285" t="str">
        <f t="shared" ref="Q1886" si="2934">IF(COUNT(P1886:P1887)&lt;1,"",AVERAGE(P1886:P1887))</f>
        <v/>
      </c>
      <c r="R1886" s="278" t="str">
        <f>IF($X$13="/28",IF(COUNT(P1886:P1887)&lt;=1,"",ABS(P1886-P1887)),IF($X$13="/90",IF(COUNT(#REF!)&lt;=1,"",ABS(#REF!-#REF!))))</f>
        <v/>
      </c>
      <c r="S1886" s="278" t="str">
        <f>IF($X$13="/28",IF(Q1886="","",IF(AVERAGE(Q1882:Q1887)&gt;=$W$13,ROUND(AVERAGE(Q1882:Q1887),1)&amp;" ≥ "&amp;$W$13&amp;" OK",ROUND(AVERAGE(Q1882:Q1887),1)&amp;" &lt; "&amp;$W$13&amp;" NC")),IF($X$13="/90",IF(#REF!="","",IF(AVERAGE(#REF!)&gt;=$W$13,ROUND(AVERAGE(#REF!),1)&amp;" ≥ "&amp;$W$13&amp;" OK",ROUND(AVERAGE(#REF!),1)&amp;" &lt; "&amp;$W$13&amp;" NC"))))</f>
        <v/>
      </c>
      <c r="T1886" s="278" t="str">
        <f>IF($X$13="/28",IF(Q1886="","",IF(Q1886&gt;=$W$13-$S$12,ROUND((Q1886),1)&amp;" ≥ "&amp;$W$13-$S$12&amp;" OK",ROUND((Q1886),1)&amp;" &lt; "&amp;$W$13-$S$12&amp;" NC")),IF($X$13="/90",IF(#REF!="","",IF(#REF!&gt;=$W$13-$S$12,ROUND((#REF!),1)&amp;" ≥ "&amp;$W$13-$S$12&amp;" OK",ROUND((#REF!),1)&amp;" &lt; "&amp;$W$13-$S$12&amp;" NC"))))</f>
        <v/>
      </c>
      <c r="U1886" s="14"/>
      <c r="V1886" s="279"/>
      <c r="W1886" s="280"/>
      <c r="X1886" s="281"/>
      <c r="Y1886" s="246"/>
      <c r="Z1886" s="246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BP1886" s="390" t="str">
        <f>IF($X$13="/28",IF(Q1886="","",Q1886),IF($X$13="/90",IF(#REF!="","",#REF!),"Falso"))</f>
        <v/>
      </c>
      <c r="BQ1886" s="392" t="str">
        <f t="shared" si="2924"/>
        <v/>
      </c>
    </row>
    <row r="1887" spans="1:69" ht="14.25" customHeight="1" x14ac:dyDescent="0.35">
      <c r="A1887" s="294"/>
      <c r="B1887" s="296"/>
      <c r="C1887" s="298"/>
      <c r="D1887" s="300"/>
      <c r="E1887" s="302"/>
      <c r="F1887" s="304"/>
      <c r="G1887" s="276"/>
      <c r="H1887" s="277"/>
      <c r="I1887" s="290"/>
      <c r="J1887" s="290"/>
      <c r="K1887" s="291"/>
      <c r="L1887" s="17"/>
      <c r="M1887" s="286"/>
      <c r="N1887" s="21"/>
      <c r="O1887" s="286"/>
      <c r="P1887" s="21"/>
      <c r="Q1887" s="286"/>
      <c r="R1887" s="248"/>
      <c r="S1887" s="287"/>
      <c r="T1887" s="248"/>
      <c r="U1887" s="13"/>
      <c r="V1887" s="282"/>
      <c r="W1887" s="283"/>
      <c r="X1887" s="284"/>
      <c r="Y1887" s="245"/>
      <c r="Z1887" s="245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BP1887" s="391"/>
      <c r="BQ1887" s="393"/>
    </row>
    <row r="1888" spans="1:69" ht="14.25" customHeight="1" x14ac:dyDescent="0.35">
      <c r="A1888" s="293">
        <v>936</v>
      </c>
      <c r="B1888" s="295"/>
      <c r="C1888" s="297"/>
      <c r="D1888" s="299"/>
      <c r="E1888" s="301"/>
      <c r="F1888" s="303"/>
      <c r="G1888" s="288"/>
      <c r="H1888" s="289"/>
      <c r="I1888" s="290"/>
      <c r="J1888" s="290"/>
      <c r="K1888" s="291"/>
      <c r="L1888" s="18"/>
      <c r="M1888" s="285" t="str">
        <f t="shared" ref="M1888" si="2935">IF(COUNT(L1888:L1889)&lt;1,"",AVERAGE(L1888:L1889))</f>
        <v/>
      </c>
      <c r="N1888" s="22"/>
      <c r="O1888" s="285" t="str">
        <f t="shared" ref="O1888" si="2936">IF(COUNT(N1888:N1889)&lt;1,"",AVERAGE(N1888:N1889))</f>
        <v/>
      </c>
      <c r="P1888" s="22"/>
      <c r="Q1888" s="285" t="str">
        <f t="shared" ref="Q1888" si="2937">IF(COUNT(P1888:P1889)&lt;1,"",AVERAGE(P1888:P1889))</f>
        <v/>
      </c>
      <c r="R1888" s="278" t="str">
        <f>IF($X$13="/28",IF(COUNT(P1888:P1889)&lt;=1,"",ABS(P1888-P1889)),IF($X$13="/90",IF(COUNT(#REF!)&lt;=1,"",ABS(#REF!-#REF!))))</f>
        <v/>
      </c>
      <c r="S1888" s="278" t="str">
        <f>IF($X$13="/28",IF(Q1888="","",IF(AVERAGE(Q1884:Q1889)&gt;=$W$13,ROUND(AVERAGE(Q1884:Q1889),1)&amp;" ≥ "&amp;$W$13&amp;" OK",ROUND(AVERAGE(Q1884:Q1889),1)&amp;" &lt; "&amp;$W$13&amp;" NC")),IF($X$13="/90",IF(#REF!="","",IF(AVERAGE(#REF!)&gt;=$W$13,ROUND(AVERAGE(#REF!),1)&amp;" ≥ "&amp;$W$13&amp;" OK",ROUND(AVERAGE(#REF!),1)&amp;" &lt; "&amp;$W$13&amp;" NC"))))</f>
        <v/>
      </c>
      <c r="T1888" s="278" t="str">
        <f>IF($X$13="/28",IF(Q1888="","",IF(Q1888&gt;=$W$13-$S$12,ROUND((Q1888),1)&amp;" ≥ "&amp;$W$13-$S$12&amp;" OK",ROUND((Q1888),1)&amp;" &lt; "&amp;$W$13-$S$12&amp;" NC")),IF($X$13="/90",IF(#REF!="","",IF(#REF!&gt;=$W$13-$S$12,ROUND((#REF!),1)&amp;" ≥ "&amp;$W$13-$S$12&amp;" OK",ROUND((#REF!),1)&amp;" &lt; "&amp;$W$13-$S$12&amp;" NC"))))</f>
        <v/>
      </c>
      <c r="U1888" s="14"/>
      <c r="V1888" s="279"/>
      <c r="W1888" s="280"/>
      <c r="X1888" s="281"/>
      <c r="Y1888" s="246"/>
      <c r="Z1888" s="246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BP1888" s="390" t="str">
        <f>IF($X$13="/28",IF(Q1888="","",Q1888),IF($X$13="/90",IF(#REF!="","",#REF!),"Falso"))</f>
        <v/>
      </c>
      <c r="BQ1888" s="392" t="str">
        <f t="shared" si="2928"/>
        <v/>
      </c>
    </row>
    <row r="1889" spans="1:69" ht="14.25" customHeight="1" x14ac:dyDescent="0.35">
      <c r="A1889" s="294"/>
      <c r="B1889" s="296"/>
      <c r="C1889" s="298"/>
      <c r="D1889" s="300"/>
      <c r="E1889" s="302"/>
      <c r="F1889" s="304"/>
      <c r="G1889" s="276"/>
      <c r="H1889" s="277"/>
      <c r="I1889" s="290"/>
      <c r="J1889" s="290"/>
      <c r="K1889" s="291"/>
      <c r="L1889" s="17"/>
      <c r="M1889" s="286"/>
      <c r="N1889" s="21"/>
      <c r="O1889" s="286"/>
      <c r="P1889" s="21"/>
      <c r="Q1889" s="286"/>
      <c r="R1889" s="248"/>
      <c r="S1889" s="287"/>
      <c r="T1889" s="248"/>
      <c r="U1889" s="13"/>
      <c r="V1889" s="282"/>
      <c r="W1889" s="283"/>
      <c r="X1889" s="284"/>
      <c r="Y1889" s="245"/>
      <c r="Z1889" s="245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BP1889" s="391"/>
      <c r="BQ1889" s="393"/>
    </row>
    <row r="1890" spans="1:69" ht="14.25" customHeight="1" x14ac:dyDescent="0.35">
      <c r="A1890" s="293">
        <v>937</v>
      </c>
      <c r="B1890" s="295"/>
      <c r="C1890" s="297"/>
      <c r="D1890" s="299"/>
      <c r="E1890" s="301"/>
      <c r="F1890" s="303"/>
      <c r="G1890" s="288"/>
      <c r="H1890" s="289"/>
      <c r="I1890" s="290"/>
      <c r="J1890" s="290"/>
      <c r="K1890" s="291"/>
      <c r="L1890" s="18"/>
      <c r="M1890" s="285" t="str">
        <f t="shared" ref="M1890" si="2938">IF(COUNT(L1890:L1891)&lt;1,"",AVERAGE(L1890:L1891))</f>
        <v/>
      </c>
      <c r="N1890" s="22"/>
      <c r="O1890" s="285" t="str">
        <f t="shared" ref="O1890" si="2939">IF(COUNT(N1890:N1891)&lt;1,"",AVERAGE(N1890:N1891))</f>
        <v/>
      </c>
      <c r="P1890" s="22"/>
      <c r="Q1890" s="285" t="str">
        <f t="shared" ref="Q1890" si="2940">IF(COUNT(P1890:P1891)&lt;1,"",AVERAGE(P1890:P1891))</f>
        <v/>
      </c>
      <c r="R1890" s="278" t="str">
        <f>IF($X$13="/28",IF(COUNT(P1890:P1891)&lt;=1,"",ABS(P1890-P1891)),IF($X$13="/90",IF(COUNT(#REF!)&lt;=1,"",ABS(#REF!-#REF!))))</f>
        <v/>
      </c>
      <c r="S1890" s="278" t="str">
        <f>IF($X$13="/28",IF(Q1890="","",IF(AVERAGE(Q1886:Q1891)&gt;=$W$13,ROUND(AVERAGE(Q1886:Q1891),1)&amp;" ≥ "&amp;$W$13&amp;" OK",ROUND(AVERAGE(Q1886:Q1891),1)&amp;" &lt; "&amp;$W$13&amp;" NC")),IF($X$13="/90",IF(#REF!="","",IF(AVERAGE(#REF!)&gt;=$W$13,ROUND(AVERAGE(#REF!),1)&amp;" ≥ "&amp;$W$13&amp;" OK",ROUND(AVERAGE(#REF!),1)&amp;" &lt; "&amp;$W$13&amp;" NC"))))</f>
        <v/>
      </c>
      <c r="T1890" s="278" t="str">
        <f>IF($X$13="/28",IF(Q1890="","",IF(Q1890&gt;=$W$13-$S$12,ROUND((Q1890),1)&amp;" ≥ "&amp;$W$13-$S$12&amp;" OK",ROUND((Q1890),1)&amp;" &lt; "&amp;$W$13-$S$12&amp;" NC")),IF($X$13="/90",IF(#REF!="","",IF(#REF!&gt;=$W$13-$S$12,ROUND((#REF!),1)&amp;" ≥ "&amp;$W$13-$S$12&amp;" OK",ROUND((#REF!),1)&amp;" &lt; "&amp;$W$13-$S$12&amp;" NC"))))</f>
        <v/>
      </c>
      <c r="U1890" s="14"/>
      <c r="V1890" s="279"/>
      <c r="W1890" s="280"/>
      <c r="X1890" s="281"/>
      <c r="Y1890" s="246"/>
      <c r="Z1890" s="246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BP1890" s="390" t="str">
        <f>IF($X$13="/28",IF(Q1890="","",Q1890),IF($X$13="/90",IF(#REF!="","",#REF!),"Falso"))</f>
        <v/>
      </c>
      <c r="BQ1890" s="392" t="str">
        <f t="shared" si="2920"/>
        <v/>
      </c>
    </row>
    <row r="1891" spans="1:69" ht="14.25" customHeight="1" x14ac:dyDescent="0.35">
      <c r="A1891" s="294"/>
      <c r="B1891" s="296"/>
      <c r="C1891" s="298"/>
      <c r="D1891" s="300"/>
      <c r="E1891" s="302"/>
      <c r="F1891" s="304"/>
      <c r="G1891" s="276"/>
      <c r="H1891" s="277"/>
      <c r="I1891" s="290"/>
      <c r="J1891" s="290"/>
      <c r="K1891" s="291"/>
      <c r="L1891" s="17"/>
      <c r="M1891" s="286"/>
      <c r="N1891" s="21"/>
      <c r="O1891" s="286"/>
      <c r="P1891" s="21"/>
      <c r="Q1891" s="286"/>
      <c r="R1891" s="248"/>
      <c r="S1891" s="287"/>
      <c r="T1891" s="248"/>
      <c r="U1891" s="13"/>
      <c r="V1891" s="282"/>
      <c r="W1891" s="283"/>
      <c r="X1891" s="284"/>
      <c r="Y1891" s="245"/>
      <c r="Z1891" s="245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BP1891" s="391"/>
      <c r="BQ1891" s="393"/>
    </row>
    <row r="1892" spans="1:69" ht="14.25" customHeight="1" x14ac:dyDescent="0.35">
      <c r="A1892" s="293">
        <v>938</v>
      </c>
      <c r="B1892" s="295"/>
      <c r="C1892" s="297"/>
      <c r="D1892" s="299"/>
      <c r="E1892" s="301"/>
      <c r="F1892" s="303"/>
      <c r="G1892" s="288"/>
      <c r="H1892" s="289"/>
      <c r="I1892" s="290"/>
      <c r="J1892" s="290"/>
      <c r="K1892" s="291"/>
      <c r="L1892" s="18"/>
      <c r="M1892" s="285" t="str">
        <f t="shared" ref="M1892" si="2941">IF(COUNT(L1892:L1893)&lt;1,"",AVERAGE(L1892:L1893))</f>
        <v/>
      </c>
      <c r="N1892" s="22"/>
      <c r="O1892" s="285" t="str">
        <f t="shared" ref="O1892" si="2942">IF(COUNT(N1892:N1893)&lt;1,"",AVERAGE(N1892:N1893))</f>
        <v/>
      </c>
      <c r="P1892" s="22"/>
      <c r="Q1892" s="285" t="str">
        <f t="shared" ref="Q1892" si="2943">IF(COUNT(P1892:P1893)&lt;1,"",AVERAGE(P1892:P1893))</f>
        <v/>
      </c>
      <c r="R1892" s="278" t="str">
        <f>IF($X$13="/28",IF(COUNT(P1892:P1893)&lt;=1,"",ABS(P1892-P1893)),IF($X$13="/90",IF(COUNT(#REF!)&lt;=1,"",ABS(#REF!-#REF!))))</f>
        <v/>
      </c>
      <c r="S1892" s="278" t="str">
        <f>IF($X$13="/28",IF(Q1892="","",IF(AVERAGE(Q1888:Q1893)&gt;=$W$13,ROUND(AVERAGE(Q1888:Q1893),1)&amp;" ≥ "&amp;$W$13&amp;" OK",ROUND(AVERAGE(Q1888:Q1893),1)&amp;" &lt; "&amp;$W$13&amp;" NC")),IF($X$13="/90",IF(#REF!="","",IF(AVERAGE(#REF!)&gt;=$W$13,ROUND(AVERAGE(#REF!),1)&amp;" ≥ "&amp;$W$13&amp;" OK",ROUND(AVERAGE(#REF!),1)&amp;" &lt; "&amp;$W$13&amp;" NC"))))</f>
        <v/>
      </c>
      <c r="T1892" s="278" t="str">
        <f>IF($X$13="/28",IF(Q1892="","",IF(Q1892&gt;=$W$13-$S$12,ROUND((Q1892),1)&amp;" ≥ "&amp;$W$13-$S$12&amp;" OK",ROUND((Q1892),1)&amp;" &lt; "&amp;$W$13-$S$12&amp;" NC")),IF($X$13="/90",IF(#REF!="","",IF(#REF!&gt;=$W$13-$S$12,ROUND((#REF!),1)&amp;" ≥ "&amp;$W$13-$S$12&amp;" OK",ROUND((#REF!),1)&amp;" &lt; "&amp;$W$13-$S$12&amp;" NC"))))</f>
        <v/>
      </c>
      <c r="U1892" s="14"/>
      <c r="V1892" s="279"/>
      <c r="W1892" s="280"/>
      <c r="X1892" s="281"/>
      <c r="Y1892" s="246"/>
      <c r="Z1892" s="246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BP1892" s="390" t="str">
        <f>IF($X$13="/28",IF(Q1892="","",Q1892),IF($X$13="/90",IF(#REF!="","",#REF!),"Falso"))</f>
        <v/>
      </c>
      <c r="BQ1892" s="392" t="str">
        <f t="shared" si="2924"/>
        <v/>
      </c>
    </row>
    <row r="1893" spans="1:69" ht="14.25" customHeight="1" x14ac:dyDescent="0.35">
      <c r="A1893" s="294"/>
      <c r="B1893" s="296"/>
      <c r="C1893" s="298"/>
      <c r="D1893" s="300"/>
      <c r="E1893" s="302"/>
      <c r="F1893" s="304"/>
      <c r="G1893" s="276"/>
      <c r="H1893" s="277"/>
      <c r="I1893" s="290"/>
      <c r="J1893" s="290"/>
      <c r="K1893" s="291"/>
      <c r="L1893" s="17"/>
      <c r="M1893" s="286"/>
      <c r="N1893" s="21"/>
      <c r="O1893" s="286"/>
      <c r="P1893" s="21"/>
      <c r="Q1893" s="286"/>
      <c r="R1893" s="248"/>
      <c r="S1893" s="287"/>
      <c r="T1893" s="248"/>
      <c r="U1893" s="13"/>
      <c r="V1893" s="282"/>
      <c r="W1893" s="283"/>
      <c r="X1893" s="284"/>
      <c r="Y1893" s="245"/>
      <c r="Z1893" s="245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BP1893" s="391"/>
      <c r="BQ1893" s="393"/>
    </row>
    <row r="1894" spans="1:69" ht="14.25" customHeight="1" x14ac:dyDescent="0.35">
      <c r="A1894" s="293">
        <v>939</v>
      </c>
      <c r="B1894" s="295"/>
      <c r="C1894" s="297"/>
      <c r="D1894" s="299"/>
      <c r="E1894" s="301"/>
      <c r="F1894" s="303"/>
      <c r="G1894" s="288"/>
      <c r="H1894" s="289"/>
      <c r="I1894" s="290"/>
      <c r="J1894" s="290"/>
      <c r="K1894" s="291"/>
      <c r="L1894" s="18"/>
      <c r="M1894" s="285" t="str">
        <f t="shared" ref="M1894" si="2944">IF(COUNT(L1894:L1895)&lt;1,"",AVERAGE(L1894:L1895))</f>
        <v/>
      </c>
      <c r="N1894" s="22"/>
      <c r="O1894" s="285" t="str">
        <f t="shared" ref="O1894" si="2945">IF(COUNT(N1894:N1895)&lt;1,"",AVERAGE(N1894:N1895))</f>
        <v/>
      </c>
      <c r="P1894" s="22"/>
      <c r="Q1894" s="285" t="str">
        <f t="shared" ref="Q1894" si="2946">IF(COUNT(P1894:P1895)&lt;1,"",AVERAGE(P1894:P1895))</f>
        <v/>
      </c>
      <c r="R1894" s="278" t="str">
        <f>IF($X$13="/28",IF(COUNT(P1894:P1895)&lt;=1,"",ABS(P1894-P1895)),IF($X$13="/90",IF(COUNT(#REF!)&lt;=1,"",ABS(#REF!-#REF!))))</f>
        <v/>
      </c>
      <c r="S1894" s="278" t="str">
        <f>IF($X$13="/28",IF(Q1894="","",IF(AVERAGE(Q1890:Q1895)&gt;=$W$13,ROUND(AVERAGE(Q1890:Q1895),1)&amp;" ≥ "&amp;$W$13&amp;" OK",ROUND(AVERAGE(Q1890:Q1895),1)&amp;" &lt; "&amp;$W$13&amp;" NC")),IF($X$13="/90",IF(#REF!="","",IF(AVERAGE(#REF!)&gt;=$W$13,ROUND(AVERAGE(#REF!),1)&amp;" ≥ "&amp;$W$13&amp;" OK",ROUND(AVERAGE(#REF!),1)&amp;" &lt; "&amp;$W$13&amp;" NC"))))</f>
        <v/>
      </c>
      <c r="T1894" s="278" t="str">
        <f>IF($X$13="/28",IF(Q1894="","",IF(Q1894&gt;=$W$13-$S$12,ROUND((Q1894),1)&amp;" ≥ "&amp;$W$13-$S$12&amp;" OK",ROUND((Q1894),1)&amp;" &lt; "&amp;$W$13-$S$12&amp;" NC")),IF($X$13="/90",IF(#REF!="","",IF(#REF!&gt;=$W$13-$S$12,ROUND((#REF!),1)&amp;" ≥ "&amp;$W$13-$S$12&amp;" OK",ROUND((#REF!),1)&amp;" &lt; "&amp;$W$13-$S$12&amp;" NC"))))</f>
        <v/>
      </c>
      <c r="U1894" s="14"/>
      <c r="V1894" s="279"/>
      <c r="W1894" s="280"/>
      <c r="X1894" s="281"/>
      <c r="Y1894" s="246"/>
      <c r="Z1894" s="246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BP1894" s="390" t="str">
        <f>IF($X$13="/28",IF(Q1894="","",Q1894),IF($X$13="/90",IF(#REF!="","",#REF!),"Falso"))</f>
        <v/>
      </c>
      <c r="BQ1894" s="392" t="str">
        <f t="shared" si="2928"/>
        <v/>
      </c>
    </row>
    <row r="1895" spans="1:69" ht="14.25" customHeight="1" x14ac:dyDescent="0.35">
      <c r="A1895" s="294"/>
      <c r="B1895" s="296"/>
      <c r="C1895" s="298"/>
      <c r="D1895" s="300"/>
      <c r="E1895" s="302"/>
      <c r="F1895" s="304"/>
      <c r="G1895" s="276"/>
      <c r="H1895" s="277"/>
      <c r="I1895" s="290"/>
      <c r="J1895" s="290"/>
      <c r="K1895" s="291"/>
      <c r="L1895" s="17"/>
      <c r="M1895" s="286"/>
      <c r="N1895" s="21"/>
      <c r="O1895" s="286"/>
      <c r="P1895" s="21"/>
      <c r="Q1895" s="286"/>
      <c r="R1895" s="248"/>
      <c r="S1895" s="287"/>
      <c r="T1895" s="248"/>
      <c r="U1895" s="13"/>
      <c r="V1895" s="282"/>
      <c r="W1895" s="283"/>
      <c r="X1895" s="284"/>
      <c r="Y1895" s="245"/>
      <c r="Z1895" s="245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BP1895" s="391"/>
      <c r="BQ1895" s="393"/>
    </row>
    <row r="1896" spans="1:69" ht="14.25" customHeight="1" x14ac:dyDescent="0.35">
      <c r="A1896" s="293">
        <v>940</v>
      </c>
      <c r="B1896" s="295"/>
      <c r="C1896" s="297"/>
      <c r="D1896" s="299"/>
      <c r="E1896" s="301"/>
      <c r="F1896" s="303"/>
      <c r="G1896" s="288"/>
      <c r="H1896" s="289"/>
      <c r="I1896" s="290"/>
      <c r="J1896" s="290"/>
      <c r="K1896" s="291"/>
      <c r="L1896" s="18"/>
      <c r="M1896" s="285" t="str">
        <f t="shared" ref="M1896" si="2947">IF(COUNT(L1896:L1897)&lt;1,"",AVERAGE(L1896:L1897))</f>
        <v/>
      </c>
      <c r="N1896" s="22"/>
      <c r="O1896" s="285" t="str">
        <f t="shared" ref="O1896" si="2948">IF(COUNT(N1896:N1897)&lt;1,"",AVERAGE(N1896:N1897))</f>
        <v/>
      </c>
      <c r="P1896" s="22"/>
      <c r="Q1896" s="285" t="str">
        <f t="shared" ref="Q1896" si="2949">IF(COUNT(P1896:P1897)&lt;1,"",AVERAGE(P1896:P1897))</f>
        <v/>
      </c>
      <c r="R1896" s="278" t="str">
        <f>IF($X$13="/28",IF(COUNT(P1896:P1897)&lt;=1,"",ABS(P1896-P1897)),IF($X$13="/90",IF(COUNT(#REF!)&lt;=1,"",ABS(#REF!-#REF!))))</f>
        <v/>
      </c>
      <c r="S1896" s="278" t="str">
        <f>IF($X$13="/28",IF(Q1896="","",IF(AVERAGE(Q1892:Q1897)&gt;=$W$13,ROUND(AVERAGE(Q1892:Q1897),1)&amp;" ≥ "&amp;$W$13&amp;" OK",ROUND(AVERAGE(Q1892:Q1897),1)&amp;" &lt; "&amp;$W$13&amp;" NC")),IF($X$13="/90",IF(#REF!="","",IF(AVERAGE(#REF!)&gt;=$W$13,ROUND(AVERAGE(#REF!),1)&amp;" ≥ "&amp;$W$13&amp;" OK",ROUND(AVERAGE(#REF!),1)&amp;" &lt; "&amp;$W$13&amp;" NC"))))</f>
        <v/>
      </c>
      <c r="T1896" s="278" t="str">
        <f>IF($X$13="/28",IF(Q1896="","",IF(Q1896&gt;=$W$13-$S$12,ROUND((Q1896),1)&amp;" ≥ "&amp;$W$13-$S$12&amp;" OK",ROUND((Q1896),1)&amp;" &lt; "&amp;$W$13-$S$12&amp;" NC")),IF($X$13="/90",IF(#REF!="","",IF(#REF!&gt;=$W$13-$S$12,ROUND((#REF!),1)&amp;" ≥ "&amp;$W$13-$S$12&amp;" OK",ROUND((#REF!),1)&amp;" &lt; "&amp;$W$13-$S$12&amp;" NC"))))</f>
        <v/>
      </c>
      <c r="U1896" s="14"/>
      <c r="V1896" s="279"/>
      <c r="W1896" s="280"/>
      <c r="X1896" s="281"/>
      <c r="Y1896" s="246"/>
      <c r="Z1896" s="246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BP1896" s="390" t="str">
        <f>IF($X$13="/28",IF(Q1896="","",Q1896),IF($X$13="/90",IF(#REF!="","",#REF!),"Falso"))</f>
        <v/>
      </c>
      <c r="BQ1896" s="392" t="str">
        <f t="shared" si="2920"/>
        <v/>
      </c>
    </row>
    <row r="1897" spans="1:69" ht="14.25" customHeight="1" x14ac:dyDescent="0.35">
      <c r="A1897" s="294"/>
      <c r="B1897" s="296"/>
      <c r="C1897" s="298"/>
      <c r="D1897" s="300"/>
      <c r="E1897" s="302"/>
      <c r="F1897" s="304"/>
      <c r="G1897" s="276"/>
      <c r="H1897" s="277"/>
      <c r="I1897" s="290"/>
      <c r="J1897" s="290"/>
      <c r="K1897" s="291"/>
      <c r="L1897" s="17"/>
      <c r="M1897" s="286"/>
      <c r="N1897" s="21"/>
      <c r="O1897" s="286"/>
      <c r="P1897" s="21"/>
      <c r="Q1897" s="286"/>
      <c r="R1897" s="248"/>
      <c r="S1897" s="287"/>
      <c r="T1897" s="248"/>
      <c r="U1897" s="13"/>
      <c r="V1897" s="282"/>
      <c r="W1897" s="283"/>
      <c r="X1897" s="284"/>
      <c r="Y1897" s="245"/>
      <c r="Z1897" s="245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BP1897" s="391"/>
      <c r="BQ1897" s="393"/>
    </row>
    <row r="1898" spans="1:69" ht="14.25" customHeight="1" x14ac:dyDescent="0.35">
      <c r="A1898" s="293">
        <v>941</v>
      </c>
      <c r="B1898" s="295"/>
      <c r="C1898" s="297"/>
      <c r="D1898" s="299"/>
      <c r="E1898" s="301"/>
      <c r="F1898" s="303"/>
      <c r="G1898" s="288"/>
      <c r="H1898" s="289"/>
      <c r="I1898" s="290"/>
      <c r="J1898" s="290"/>
      <c r="K1898" s="291"/>
      <c r="L1898" s="18"/>
      <c r="M1898" s="285" t="str">
        <f t="shared" ref="M1898" si="2950">IF(COUNT(L1898:L1899)&lt;1,"",AVERAGE(L1898:L1899))</f>
        <v/>
      </c>
      <c r="N1898" s="22"/>
      <c r="O1898" s="285" t="str">
        <f t="shared" ref="O1898" si="2951">IF(COUNT(N1898:N1899)&lt;1,"",AVERAGE(N1898:N1899))</f>
        <v/>
      </c>
      <c r="P1898" s="22"/>
      <c r="Q1898" s="285" t="str">
        <f t="shared" ref="Q1898" si="2952">IF(COUNT(P1898:P1899)&lt;1,"",AVERAGE(P1898:P1899))</f>
        <v/>
      </c>
      <c r="R1898" s="278" t="str">
        <f>IF($X$13="/28",IF(COUNT(P1898:P1899)&lt;=1,"",ABS(P1898-P1899)),IF($X$13="/90",IF(COUNT(#REF!)&lt;=1,"",ABS(#REF!-#REF!))))</f>
        <v/>
      </c>
      <c r="S1898" s="278" t="str">
        <f>IF($X$13="/28",IF(Q1898="","",IF(AVERAGE(Q1894:Q1899)&gt;=$W$13,ROUND(AVERAGE(Q1894:Q1899),1)&amp;" ≥ "&amp;$W$13&amp;" OK",ROUND(AVERAGE(Q1894:Q1899),1)&amp;" &lt; "&amp;$W$13&amp;" NC")),IF($X$13="/90",IF(#REF!="","",IF(AVERAGE(#REF!)&gt;=$W$13,ROUND(AVERAGE(#REF!),1)&amp;" ≥ "&amp;$W$13&amp;" OK",ROUND(AVERAGE(#REF!),1)&amp;" &lt; "&amp;$W$13&amp;" NC"))))</f>
        <v/>
      </c>
      <c r="T1898" s="278" t="str">
        <f>IF($X$13="/28",IF(Q1898="","",IF(Q1898&gt;=$W$13-$S$12,ROUND((Q1898),1)&amp;" ≥ "&amp;$W$13-$S$12&amp;" OK",ROUND((Q1898),1)&amp;" &lt; "&amp;$W$13-$S$12&amp;" NC")),IF($X$13="/90",IF(#REF!="","",IF(#REF!&gt;=$W$13-$S$12,ROUND((#REF!),1)&amp;" ≥ "&amp;$W$13-$S$12&amp;" OK",ROUND((#REF!),1)&amp;" &lt; "&amp;$W$13-$S$12&amp;" NC"))))</f>
        <v/>
      </c>
      <c r="U1898" s="14"/>
      <c r="V1898" s="279"/>
      <c r="W1898" s="280"/>
      <c r="X1898" s="281"/>
      <c r="Y1898" s="246"/>
      <c r="Z1898" s="246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BP1898" s="390" t="str">
        <f>IF($X$13="/28",IF(Q1898="","",Q1898),IF($X$13="/90",IF(#REF!="","",#REF!),"Falso"))</f>
        <v/>
      </c>
      <c r="BQ1898" s="392" t="str">
        <f t="shared" si="2924"/>
        <v/>
      </c>
    </row>
    <row r="1899" spans="1:69" ht="14.25" customHeight="1" x14ac:dyDescent="0.35">
      <c r="A1899" s="294"/>
      <c r="B1899" s="296"/>
      <c r="C1899" s="298"/>
      <c r="D1899" s="300"/>
      <c r="E1899" s="302"/>
      <c r="F1899" s="304"/>
      <c r="G1899" s="276"/>
      <c r="H1899" s="277"/>
      <c r="I1899" s="290"/>
      <c r="J1899" s="290"/>
      <c r="K1899" s="291"/>
      <c r="L1899" s="17"/>
      <c r="M1899" s="286"/>
      <c r="N1899" s="21"/>
      <c r="O1899" s="286"/>
      <c r="P1899" s="21"/>
      <c r="Q1899" s="286"/>
      <c r="R1899" s="248"/>
      <c r="S1899" s="287"/>
      <c r="T1899" s="248"/>
      <c r="U1899" s="13"/>
      <c r="V1899" s="282"/>
      <c r="W1899" s="283"/>
      <c r="X1899" s="284"/>
      <c r="Y1899" s="245"/>
      <c r="Z1899" s="245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BP1899" s="391"/>
      <c r="BQ1899" s="393"/>
    </row>
    <row r="1900" spans="1:69" ht="14.25" customHeight="1" x14ac:dyDescent="0.35">
      <c r="A1900" s="293">
        <v>942</v>
      </c>
      <c r="B1900" s="295"/>
      <c r="C1900" s="297"/>
      <c r="D1900" s="299"/>
      <c r="E1900" s="301"/>
      <c r="F1900" s="303"/>
      <c r="G1900" s="288"/>
      <c r="H1900" s="289"/>
      <c r="I1900" s="290"/>
      <c r="J1900" s="290"/>
      <c r="K1900" s="291"/>
      <c r="L1900" s="18"/>
      <c r="M1900" s="285" t="str">
        <f t="shared" ref="M1900" si="2953">IF(COUNT(L1900:L1901)&lt;1,"",AVERAGE(L1900:L1901))</f>
        <v/>
      </c>
      <c r="N1900" s="22"/>
      <c r="O1900" s="285" t="str">
        <f t="shared" ref="O1900" si="2954">IF(COUNT(N1900:N1901)&lt;1,"",AVERAGE(N1900:N1901))</f>
        <v/>
      </c>
      <c r="P1900" s="22"/>
      <c r="Q1900" s="285" t="str">
        <f t="shared" ref="Q1900" si="2955">IF(COUNT(P1900:P1901)&lt;1,"",AVERAGE(P1900:P1901))</f>
        <v/>
      </c>
      <c r="R1900" s="278" t="str">
        <f>IF($X$13="/28",IF(COUNT(P1900:P1901)&lt;=1,"",ABS(P1900-P1901)),IF($X$13="/90",IF(COUNT(#REF!)&lt;=1,"",ABS(#REF!-#REF!))))</f>
        <v/>
      </c>
      <c r="S1900" s="278" t="str">
        <f>IF($X$13="/28",IF(Q1900="","",IF(AVERAGE(Q1896:Q1901)&gt;=$W$13,ROUND(AVERAGE(Q1896:Q1901),1)&amp;" ≥ "&amp;$W$13&amp;" OK",ROUND(AVERAGE(Q1896:Q1901),1)&amp;" &lt; "&amp;$W$13&amp;" NC")),IF($X$13="/90",IF(#REF!="","",IF(AVERAGE(#REF!)&gt;=$W$13,ROUND(AVERAGE(#REF!),1)&amp;" ≥ "&amp;$W$13&amp;" OK",ROUND(AVERAGE(#REF!),1)&amp;" &lt; "&amp;$W$13&amp;" NC"))))</f>
        <v/>
      </c>
      <c r="T1900" s="278" t="str">
        <f>IF($X$13="/28",IF(Q1900="","",IF(Q1900&gt;=$W$13-$S$12,ROUND((Q1900),1)&amp;" ≥ "&amp;$W$13-$S$12&amp;" OK",ROUND((Q1900),1)&amp;" &lt; "&amp;$W$13-$S$12&amp;" NC")),IF($X$13="/90",IF(#REF!="","",IF(#REF!&gt;=$W$13-$S$12,ROUND((#REF!),1)&amp;" ≥ "&amp;$W$13-$S$12&amp;" OK",ROUND((#REF!),1)&amp;" &lt; "&amp;$W$13-$S$12&amp;" NC"))))</f>
        <v/>
      </c>
      <c r="U1900" s="14"/>
      <c r="V1900" s="279"/>
      <c r="W1900" s="280"/>
      <c r="X1900" s="281"/>
      <c r="Y1900" s="246"/>
      <c r="Z1900" s="246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BP1900" s="390" t="str">
        <f>IF($X$13="/28",IF(Q1900="","",Q1900),IF($X$13="/90",IF(#REF!="","",#REF!),"Falso"))</f>
        <v/>
      </c>
      <c r="BQ1900" s="392" t="str">
        <f t="shared" si="2928"/>
        <v/>
      </c>
    </row>
    <row r="1901" spans="1:69" ht="14.25" customHeight="1" x14ac:dyDescent="0.35">
      <c r="A1901" s="294"/>
      <c r="B1901" s="296"/>
      <c r="C1901" s="298"/>
      <c r="D1901" s="300"/>
      <c r="E1901" s="302"/>
      <c r="F1901" s="304"/>
      <c r="G1901" s="276"/>
      <c r="H1901" s="277"/>
      <c r="I1901" s="290"/>
      <c r="J1901" s="290"/>
      <c r="K1901" s="291"/>
      <c r="L1901" s="17"/>
      <c r="M1901" s="286"/>
      <c r="N1901" s="21"/>
      <c r="O1901" s="286"/>
      <c r="P1901" s="21"/>
      <c r="Q1901" s="286"/>
      <c r="R1901" s="248"/>
      <c r="S1901" s="287"/>
      <c r="T1901" s="248"/>
      <c r="U1901" s="13"/>
      <c r="V1901" s="282"/>
      <c r="W1901" s="283"/>
      <c r="X1901" s="284"/>
      <c r="Y1901" s="245"/>
      <c r="Z1901" s="245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BP1901" s="391"/>
      <c r="BQ1901" s="393"/>
    </row>
    <row r="1902" spans="1:69" ht="14.25" customHeight="1" x14ac:dyDescent="0.35">
      <c r="A1902" s="293">
        <v>943</v>
      </c>
      <c r="B1902" s="295"/>
      <c r="C1902" s="297"/>
      <c r="D1902" s="299"/>
      <c r="E1902" s="301"/>
      <c r="F1902" s="303"/>
      <c r="G1902" s="288"/>
      <c r="H1902" s="289"/>
      <c r="I1902" s="290"/>
      <c r="J1902" s="290"/>
      <c r="K1902" s="291"/>
      <c r="L1902" s="18"/>
      <c r="M1902" s="285" t="str">
        <f t="shared" ref="M1902" si="2956">IF(COUNT(L1902:L1903)&lt;1,"",AVERAGE(L1902:L1903))</f>
        <v/>
      </c>
      <c r="N1902" s="22"/>
      <c r="O1902" s="285" t="str">
        <f t="shared" ref="O1902" si="2957">IF(COUNT(N1902:N1903)&lt;1,"",AVERAGE(N1902:N1903))</f>
        <v/>
      </c>
      <c r="P1902" s="22"/>
      <c r="Q1902" s="285" t="str">
        <f t="shared" ref="Q1902" si="2958">IF(COUNT(P1902:P1903)&lt;1,"",AVERAGE(P1902:P1903))</f>
        <v/>
      </c>
      <c r="R1902" s="278" t="str">
        <f>IF($X$13="/28",IF(COUNT(P1902:P1903)&lt;=1,"",ABS(P1902-P1903)),IF($X$13="/90",IF(COUNT(#REF!)&lt;=1,"",ABS(#REF!-#REF!))))</f>
        <v/>
      </c>
      <c r="S1902" s="278" t="str">
        <f>IF($X$13="/28",IF(Q1902="","",IF(AVERAGE(Q1898:Q1903)&gt;=$W$13,ROUND(AVERAGE(Q1898:Q1903),1)&amp;" ≥ "&amp;$W$13&amp;" OK",ROUND(AVERAGE(Q1898:Q1903),1)&amp;" &lt; "&amp;$W$13&amp;" NC")),IF($X$13="/90",IF(#REF!="","",IF(AVERAGE(#REF!)&gt;=$W$13,ROUND(AVERAGE(#REF!),1)&amp;" ≥ "&amp;$W$13&amp;" OK",ROUND(AVERAGE(#REF!),1)&amp;" &lt; "&amp;$W$13&amp;" NC"))))</f>
        <v/>
      </c>
      <c r="T1902" s="278" t="str">
        <f>IF($X$13="/28",IF(Q1902="","",IF(Q1902&gt;=$W$13-$S$12,ROUND((Q1902),1)&amp;" ≥ "&amp;$W$13-$S$12&amp;" OK",ROUND((Q1902),1)&amp;" &lt; "&amp;$W$13-$S$12&amp;" NC")),IF($X$13="/90",IF(#REF!="","",IF(#REF!&gt;=$W$13-$S$12,ROUND((#REF!),1)&amp;" ≥ "&amp;$W$13-$S$12&amp;" OK",ROUND((#REF!),1)&amp;" &lt; "&amp;$W$13-$S$12&amp;" NC"))))</f>
        <v/>
      </c>
      <c r="U1902" s="14"/>
      <c r="V1902" s="279"/>
      <c r="W1902" s="280"/>
      <c r="X1902" s="281"/>
      <c r="Y1902" s="246"/>
      <c r="Z1902" s="246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BP1902" s="390" t="str">
        <f>IF($X$13="/28",IF(Q1902="","",Q1902),IF($X$13="/90",IF(#REF!="","",#REF!),"Falso"))</f>
        <v/>
      </c>
      <c r="BQ1902" s="392" t="str">
        <f t="shared" si="2920"/>
        <v/>
      </c>
    </row>
    <row r="1903" spans="1:69" ht="14.25" customHeight="1" x14ac:dyDescent="0.35">
      <c r="A1903" s="294"/>
      <c r="B1903" s="296"/>
      <c r="C1903" s="298"/>
      <c r="D1903" s="300"/>
      <c r="E1903" s="302"/>
      <c r="F1903" s="304"/>
      <c r="G1903" s="276"/>
      <c r="H1903" s="277"/>
      <c r="I1903" s="290"/>
      <c r="J1903" s="290"/>
      <c r="K1903" s="291"/>
      <c r="L1903" s="17"/>
      <c r="M1903" s="286"/>
      <c r="N1903" s="21"/>
      <c r="O1903" s="286"/>
      <c r="P1903" s="21"/>
      <c r="Q1903" s="286"/>
      <c r="R1903" s="248"/>
      <c r="S1903" s="287"/>
      <c r="T1903" s="248"/>
      <c r="U1903" s="13"/>
      <c r="V1903" s="282"/>
      <c r="W1903" s="283"/>
      <c r="X1903" s="284"/>
      <c r="Y1903" s="245"/>
      <c r="Z1903" s="245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BP1903" s="391"/>
      <c r="BQ1903" s="393"/>
    </row>
    <row r="1904" spans="1:69" ht="14.25" customHeight="1" x14ac:dyDescent="0.35">
      <c r="A1904" s="293">
        <v>944</v>
      </c>
      <c r="B1904" s="295"/>
      <c r="C1904" s="297"/>
      <c r="D1904" s="299"/>
      <c r="E1904" s="301"/>
      <c r="F1904" s="303"/>
      <c r="G1904" s="288"/>
      <c r="H1904" s="289"/>
      <c r="I1904" s="290"/>
      <c r="J1904" s="290"/>
      <c r="K1904" s="291"/>
      <c r="L1904" s="18"/>
      <c r="M1904" s="285" t="str">
        <f t="shared" ref="M1904" si="2959">IF(COUNT(L1904:L1905)&lt;1,"",AVERAGE(L1904:L1905))</f>
        <v/>
      </c>
      <c r="N1904" s="22"/>
      <c r="O1904" s="285" t="str">
        <f t="shared" ref="O1904" si="2960">IF(COUNT(N1904:N1905)&lt;1,"",AVERAGE(N1904:N1905))</f>
        <v/>
      </c>
      <c r="P1904" s="22"/>
      <c r="Q1904" s="285" t="str">
        <f t="shared" ref="Q1904" si="2961">IF(COUNT(P1904:P1905)&lt;1,"",AVERAGE(P1904:P1905))</f>
        <v/>
      </c>
      <c r="R1904" s="278" t="str">
        <f>IF($X$13="/28",IF(COUNT(P1904:P1905)&lt;=1,"",ABS(P1904-P1905)),IF($X$13="/90",IF(COUNT(#REF!)&lt;=1,"",ABS(#REF!-#REF!))))</f>
        <v/>
      </c>
      <c r="S1904" s="278" t="str">
        <f>IF($X$13="/28",IF(Q1904="","",IF(AVERAGE(Q1900:Q1905)&gt;=$W$13,ROUND(AVERAGE(Q1900:Q1905),1)&amp;" ≥ "&amp;$W$13&amp;" OK",ROUND(AVERAGE(Q1900:Q1905),1)&amp;" &lt; "&amp;$W$13&amp;" NC")),IF($X$13="/90",IF(#REF!="","",IF(AVERAGE(#REF!)&gt;=$W$13,ROUND(AVERAGE(#REF!),1)&amp;" ≥ "&amp;$W$13&amp;" OK",ROUND(AVERAGE(#REF!),1)&amp;" &lt; "&amp;$W$13&amp;" NC"))))</f>
        <v/>
      </c>
      <c r="T1904" s="278" t="str">
        <f>IF($X$13="/28",IF(Q1904="","",IF(Q1904&gt;=$W$13-$S$12,ROUND((Q1904),1)&amp;" ≥ "&amp;$W$13-$S$12&amp;" OK",ROUND((Q1904),1)&amp;" &lt; "&amp;$W$13-$S$12&amp;" NC")),IF($X$13="/90",IF(#REF!="","",IF(#REF!&gt;=$W$13-$S$12,ROUND((#REF!),1)&amp;" ≥ "&amp;$W$13-$S$12&amp;" OK",ROUND((#REF!),1)&amp;" &lt; "&amp;$W$13-$S$12&amp;" NC"))))</f>
        <v/>
      </c>
      <c r="U1904" s="14"/>
      <c r="V1904" s="279"/>
      <c r="W1904" s="280"/>
      <c r="X1904" s="281"/>
      <c r="Y1904" s="246"/>
      <c r="Z1904" s="246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BP1904" s="390" t="str">
        <f>IF($X$13="/28",IF(Q1904="","",Q1904),IF($X$13="/90",IF(#REF!="","",#REF!),"Falso"))</f>
        <v/>
      </c>
      <c r="BQ1904" s="392" t="str">
        <f t="shared" si="2924"/>
        <v/>
      </c>
    </row>
    <row r="1905" spans="1:69" ht="14.25" customHeight="1" x14ac:dyDescent="0.35">
      <c r="A1905" s="294"/>
      <c r="B1905" s="296"/>
      <c r="C1905" s="298"/>
      <c r="D1905" s="300"/>
      <c r="E1905" s="302"/>
      <c r="F1905" s="304"/>
      <c r="G1905" s="276"/>
      <c r="H1905" s="277"/>
      <c r="I1905" s="290"/>
      <c r="J1905" s="290"/>
      <c r="K1905" s="291"/>
      <c r="L1905" s="17"/>
      <c r="M1905" s="286"/>
      <c r="N1905" s="21"/>
      <c r="O1905" s="286"/>
      <c r="P1905" s="21"/>
      <c r="Q1905" s="286"/>
      <c r="R1905" s="248"/>
      <c r="S1905" s="287"/>
      <c r="T1905" s="248"/>
      <c r="U1905" s="13"/>
      <c r="V1905" s="282"/>
      <c r="W1905" s="283"/>
      <c r="X1905" s="284"/>
      <c r="Y1905" s="245"/>
      <c r="Z1905" s="245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BP1905" s="391"/>
      <c r="BQ1905" s="393"/>
    </row>
    <row r="1906" spans="1:69" ht="14.25" customHeight="1" x14ac:dyDescent="0.35">
      <c r="A1906" s="293">
        <v>945</v>
      </c>
      <c r="B1906" s="295"/>
      <c r="C1906" s="297"/>
      <c r="D1906" s="299"/>
      <c r="E1906" s="301"/>
      <c r="F1906" s="303"/>
      <c r="G1906" s="288"/>
      <c r="H1906" s="289"/>
      <c r="I1906" s="290"/>
      <c r="J1906" s="290"/>
      <c r="K1906" s="291"/>
      <c r="L1906" s="18"/>
      <c r="M1906" s="285" t="str">
        <f t="shared" ref="M1906" si="2962">IF(COUNT(L1906:L1907)&lt;1,"",AVERAGE(L1906:L1907))</f>
        <v/>
      </c>
      <c r="N1906" s="22"/>
      <c r="O1906" s="285" t="str">
        <f t="shared" ref="O1906" si="2963">IF(COUNT(N1906:N1907)&lt;1,"",AVERAGE(N1906:N1907))</f>
        <v/>
      </c>
      <c r="P1906" s="22"/>
      <c r="Q1906" s="285" t="str">
        <f t="shared" ref="Q1906" si="2964">IF(COUNT(P1906:P1907)&lt;1,"",AVERAGE(P1906:P1907))</f>
        <v/>
      </c>
      <c r="R1906" s="278" t="str">
        <f>IF($X$13="/28",IF(COUNT(P1906:P1907)&lt;=1,"",ABS(P1906-P1907)),IF($X$13="/90",IF(COUNT(#REF!)&lt;=1,"",ABS(#REF!-#REF!))))</f>
        <v/>
      </c>
      <c r="S1906" s="278" t="str">
        <f>IF($X$13="/28",IF(Q1906="","",IF(AVERAGE(Q1902:Q1907)&gt;=$W$13,ROUND(AVERAGE(Q1902:Q1907),1)&amp;" ≥ "&amp;$W$13&amp;" OK",ROUND(AVERAGE(Q1902:Q1907),1)&amp;" &lt; "&amp;$W$13&amp;" NC")),IF($X$13="/90",IF(#REF!="","",IF(AVERAGE(#REF!)&gt;=$W$13,ROUND(AVERAGE(#REF!),1)&amp;" ≥ "&amp;$W$13&amp;" OK",ROUND(AVERAGE(#REF!),1)&amp;" &lt; "&amp;$W$13&amp;" NC"))))</f>
        <v/>
      </c>
      <c r="T1906" s="278" t="str">
        <f>IF($X$13="/28",IF(Q1906="","",IF(Q1906&gt;=$W$13-$S$12,ROUND((Q1906),1)&amp;" ≥ "&amp;$W$13-$S$12&amp;" OK",ROUND((Q1906),1)&amp;" &lt; "&amp;$W$13-$S$12&amp;" NC")),IF($X$13="/90",IF(#REF!="","",IF(#REF!&gt;=$W$13-$S$12,ROUND((#REF!),1)&amp;" ≥ "&amp;$W$13-$S$12&amp;" OK",ROUND((#REF!),1)&amp;" &lt; "&amp;$W$13-$S$12&amp;" NC"))))</f>
        <v/>
      </c>
      <c r="U1906" s="14"/>
      <c r="V1906" s="279"/>
      <c r="W1906" s="280"/>
      <c r="X1906" s="281"/>
      <c r="Y1906" s="246"/>
      <c r="Z1906" s="246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BP1906" s="390" t="str">
        <f>IF($X$13="/28",IF(Q1906="","",Q1906),IF($X$13="/90",IF(#REF!="","",#REF!),"Falso"))</f>
        <v/>
      </c>
      <c r="BQ1906" s="392" t="str">
        <f t="shared" si="2928"/>
        <v/>
      </c>
    </row>
    <row r="1907" spans="1:69" ht="14.25" customHeight="1" x14ac:dyDescent="0.35">
      <c r="A1907" s="294"/>
      <c r="B1907" s="296"/>
      <c r="C1907" s="298"/>
      <c r="D1907" s="300"/>
      <c r="E1907" s="302"/>
      <c r="F1907" s="304"/>
      <c r="G1907" s="276"/>
      <c r="H1907" s="277"/>
      <c r="I1907" s="290"/>
      <c r="J1907" s="290"/>
      <c r="K1907" s="291"/>
      <c r="L1907" s="17"/>
      <c r="M1907" s="286"/>
      <c r="N1907" s="21"/>
      <c r="O1907" s="286"/>
      <c r="P1907" s="21"/>
      <c r="Q1907" s="286"/>
      <c r="R1907" s="248"/>
      <c r="S1907" s="287"/>
      <c r="T1907" s="248"/>
      <c r="U1907" s="13"/>
      <c r="V1907" s="282"/>
      <c r="W1907" s="283"/>
      <c r="X1907" s="284"/>
      <c r="Y1907" s="245"/>
      <c r="Z1907" s="245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BP1907" s="391"/>
      <c r="BQ1907" s="393"/>
    </row>
    <row r="1908" spans="1:69" ht="14.25" customHeight="1" x14ac:dyDescent="0.35">
      <c r="A1908" s="293">
        <v>946</v>
      </c>
      <c r="B1908" s="295"/>
      <c r="C1908" s="297"/>
      <c r="D1908" s="299"/>
      <c r="E1908" s="301"/>
      <c r="F1908" s="303"/>
      <c r="G1908" s="288"/>
      <c r="H1908" s="289"/>
      <c r="I1908" s="290"/>
      <c r="J1908" s="290"/>
      <c r="K1908" s="291"/>
      <c r="L1908" s="18"/>
      <c r="M1908" s="285" t="str">
        <f t="shared" ref="M1908" si="2965">IF(COUNT(L1908:L1909)&lt;1,"",AVERAGE(L1908:L1909))</f>
        <v/>
      </c>
      <c r="N1908" s="22"/>
      <c r="O1908" s="285" t="str">
        <f t="shared" ref="O1908" si="2966">IF(COUNT(N1908:N1909)&lt;1,"",AVERAGE(N1908:N1909))</f>
        <v/>
      </c>
      <c r="P1908" s="22"/>
      <c r="Q1908" s="285" t="str">
        <f t="shared" ref="Q1908" si="2967">IF(COUNT(P1908:P1909)&lt;1,"",AVERAGE(P1908:P1909))</f>
        <v/>
      </c>
      <c r="R1908" s="278" t="str">
        <f>IF($X$13="/28",IF(COUNT(P1908:P1909)&lt;=1,"",ABS(P1908-P1909)),IF($X$13="/90",IF(COUNT(#REF!)&lt;=1,"",ABS(#REF!-#REF!))))</f>
        <v/>
      </c>
      <c r="S1908" s="278" t="str">
        <f>IF($X$13="/28",IF(Q1908="","",IF(AVERAGE(Q1904:Q1909)&gt;=$W$13,ROUND(AVERAGE(Q1904:Q1909),1)&amp;" ≥ "&amp;$W$13&amp;" OK",ROUND(AVERAGE(Q1904:Q1909),1)&amp;" &lt; "&amp;$W$13&amp;" NC")),IF($X$13="/90",IF(#REF!="","",IF(AVERAGE(#REF!)&gt;=$W$13,ROUND(AVERAGE(#REF!),1)&amp;" ≥ "&amp;$W$13&amp;" OK",ROUND(AVERAGE(#REF!),1)&amp;" &lt; "&amp;$W$13&amp;" NC"))))</f>
        <v/>
      </c>
      <c r="T1908" s="278" t="str">
        <f>IF($X$13="/28",IF(Q1908="","",IF(Q1908&gt;=$W$13-$S$12,ROUND((Q1908),1)&amp;" ≥ "&amp;$W$13-$S$12&amp;" OK",ROUND((Q1908),1)&amp;" &lt; "&amp;$W$13-$S$12&amp;" NC")),IF($X$13="/90",IF(#REF!="","",IF(#REF!&gt;=$W$13-$S$12,ROUND((#REF!),1)&amp;" ≥ "&amp;$W$13-$S$12&amp;" OK",ROUND((#REF!),1)&amp;" &lt; "&amp;$W$13-$S$12&amp;" NC"))))</f>
        <v/>
      </c>
      <c r="U1908" s="14"/>
      <c r="V1908" s="279"/>
      <c r="W1908" s="280"/>
      <c r="X1908" s="281"/>
      <c r="Y1908" s="246"/>
      <c r="Z1908" s="246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BP1908" s="390" t="str">
        <f>IF($X$13="/28",IF(Q1908="","",Q1908),IF($X$13="/90",IF(#REF!="","",#REF!),"Falso"))</f>
        <v/>
      </c>
      <c r="BQ1908" s="392" t="str">
        <f t="shared" si="2920"/>
        <v/>
      </c>
    </row>
    <row r="1909" spans="1:69" ht="14.25" customHeight="1" x14ac:dyDescent="0.35">
      <c r="A1909" s="294"/>
      <c r="B1909" s="296"/>
      <c r="C1909" s="298"/>
      <c r="D1909" s="300"/>
      <c r="E1909" s="302"/>
      <c r="F1909" s="304"/>
      <c r="G1909" s="276"/>
      <c r="H1909" s="277"/>
      <c r="I1909" s="290"/>
      <c r="J1909" s="290"/>
      <c r="K1909" s="291"/>
      <c r="L1909" s="17"/>
      <c r="M1909" s="286"/>
      <c r="N1909" s="21"/>
      <c r="O1909" s="286"/>
      <c r="P1909" s="21"/>
      <c r="Q1909" s="286"/>
      <c r="R1909" s="248"/>
      <c r="S1909" s="287"/>
      <c r="T1909" s="248"/>
      <c r="U1909" s="13"/>
      <c r="V1909" s="282"/>
      <c r="W1909" s="283"/>
      <c r="X1909" s="284"/>
      <c r="Y1909" s="245"/>
      <c r="Z1909" s="245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BP1909" s="391"/>
      <c r="BQ1909" s="393"/>
    </row>
    <row r="1910" spans="1:69" ht="14.25" customHeight="1" x14ac:dyDescent="0.35">
      <c r="A1910" s="293">
        <v>947</v>
      </c>
      <c r="B1910" s="295"/>
      <c r="C1910" s="297"/>
      <c r="D1910" s="299"/>
      <c r="E1910" s="301"/>
      <c r="F1910" s="303"/>
      <c r="G1910" s="288"/>
      <c r="H1910" s="289"/>
      <c r="I1910" s="290"/>
      <c r="J1910" s="290"/>
      <c r="K1910" s="291"/>
      <c r="L1910" s="18"/>
      <c r="M1910" s="285" t="str">
        <f t="shared" ref="M1910" si="2968">IF(COUNT(L1910:L1911)&lt;1,"",AVERAGE(L1910:L1911))</f>
        <v/>
      </c>
      <c r="N1910" s="22"/>
      <c r="O1910" s="285" t="str">
        <f t="shared" ref="O1910" si="2969">IF(COUNT(N1910:N1911)&lt;1,"",AVERAGE(N1910:N1911))</f>
        <v/>
      </c>
      <c r="P1910" s="22"/>
      <c r="Q1910" s="285" t="str">
        <f t="shared" ref="Q1910" si="2970">IF(COUNT(P1910:P1911)&lt;1,"",AVERAGE(P1910:P1911))</f>
        <v/>
      </c>
      <c r="R1910" s="278" t="str">
        <f>IF($X$13="/28",IF(COUNT(P1910:P1911)&lt;=1,"",ABS(P1910-P1911)),IF($X$13="/90",IF(COUNT(#REF!)&lt;=1,"",ABS(#REF!-#REF!))))</f>
        <v/>
      </c>
      <c r="S1910" s="278" t="str">
        <f>IF($X$13="/28",IF(Q1910="","",IF(AVERAGE(Q1906:Q1911)&gt;=$W$13,ROUND(AVERAGE(Q1906:Q1911),1)&amp;" ≥ "&amp;$W$13&amp;" OK",ROUND(AVERAGE(Q1906:Q1911),1)&amp;" &lt; "&amp;$W$13&amp;" NC")),IF($X$13="/90",IF(#REF!="","",IF(AVERAGE(#REF!)&gt;=$W$13,ROUND(AVERAGE(#REF!),1)&amp;" ≥ "&amp;$W$13&amp;" OK",ROUND(AVERAGE(#REF!),1)&amp;" &lt; "&amp;$W$13&amp;" NC"))))</f>
        <v/>
      </c>
      <c r="T1910" s="278" t="str">
        <f>IF($X$13="/28",IF(Q1910="","",IF(Q1910&gt;=$W$13-$S$12,ROUND((Q1910),1)&amp;" ≥ "&amp;$W$13-$S$12&amp;" OK",ROUND((Q1910),1)&amp;" &lt; "&amp;$W$13-$S$12&amp;" NC")),IF($X$13="/90",IF(#REF!="","",IF(#REF!&gt;=$W$13-$S$12,ROUND((#REF!),1)&amp;" ≥ "&amp;$W$13-$S$12&amp;" OK",ROUND((#REF!),1)&amp;" &lt; "&amp;$W$13-$S$12&amp;" NC"))))</f>
        <v/>
      </c>
      <c r="U1910" s="14"/>
      <c r="V1910" s="279"/>
      <c r="W1910" s="280"/>
      <c r="X1910" s="281"/>
      <c r="Y1910" s="246"/>
      <c r="Z1910" s="246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BP1910" s="390" t="str">
        <f>IF($X$13="/28",IF(Q1910="","",Q1910),IF($X$13="/90",IF(#REF!="","",#REF!),"Falso"))</f>
        <v/>
      </c>
      <c r="BQ1910" s="392" t="str">
        <f t="shared" si="2924"/>
        <v/>
      </c>
    </row>
    <row r="1911" spans="1:69" ht="14.25" customHeight="1" x14ac:dyDescent="0.35">
      <c r="A1911" s="294"/>
      <c r="B1911" s="296"/>
      <c r="C1911" s="298"/>
      <c r="D1911" s="300"/>
      <c r="E1911" s="302"/>
      <c r="F1911" s="304"/>
      <c r="G1911" s="276"/>
      <c r="H1911" s="277"/>
      <c r="I1911" s="290"/>
      <c r="J1911" s="290"/>
      <c r="K1911" s="291"/>
      <c r="L1911" s="17"/>
      <c r="M1911" s="286"/>
      <c r="N1911" s="21"/>
      <c r="O1911" s="286"/>
      <c r="P1911" s="21"/>
      <c r="Q1911" s="286"/>
      <c r="R1911" s="248"/>
      <c r="S1911" s="287"/>
      <c r="T1911" s="248"/>
      <c r="U1911" s="13"/>
      <c r="V1911" s="282"/>
      <c r="W1911" s="283"/>
      <c r="X1911" s="284"/>
      <c r="Y1911" s="245"/>
      <c r="Z1911" s="245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BP1911" s="391"/>
      <c r="BQ1911" s="393"/>
    </row>
    <row r="1912" spans="1:69" ht="14.25" customHeight="1" x14ac:dyDescent="0.35">
      <c r="A1912" s="293">
        <v>948</v>
      </c>
      <c r="B1912" s="295"/>
      <c r="C1912" s="297"/>
      <c r="D1912" s="299"/>
      <c r="E1912" s="301"/>
      <c r="F1912" s="303"/>
      <c r="G1912" s="288"/>
      <c r="H1912" s="289"/>
      <c r="I1912" s="290"/>
      <c r="J1912" s="290"/>
      <c r="K1912" s="291"/>
      <c r="L1912" s="18"/>
      <c r="M1912" s="285" t="str">
        <f t="shared" ref="M1912" si="2971">IF(COUNT(L1912:L1913)&lt;1,"",AVERAGE(L1912:L1913))</f>
        <v/>
      </c>
      <c r="N1912" s="22"/>
      <c r="O1912" s="285" t="str">
        <f t="shared" ref="O1912" si="2972">IF(COUNT(N1912:N1913)&lt;1,"",AVERAGE(N1912:N1913))</f>
        <v/>
      </c>
      <c r="P1912" s="22"/>
      <c r="Q1912" s="285" t="str">
        <f t="shared" ref="Q1912" si="2973">IF(COUNT(P1912:P1913)&lt;1,"",AVERAGE(P1912:P1913))</f>
        <v/>
      </c>
      <c r="R1912" s="278" t="str">
        <f>IF($X$13="/28",IF(COUNT(P1912:P1913)&lt;=1,"",ABS(P1912-P1913)),IF($X$13="/90",IF(COUNT(#REF!)&lt;=1,"",ABS(#REF!-#REF!))))</f>
        <v/>
      </c>
      <c r="S1912" s="278" t="str">
        <f>IF($X$13="/28",IF(Q1912="","",IF(AVERAGE(Q1908:Q1913)&gt;=$W$13,ROUND(AVERAGE(Q1908:Q1913),1)&amp;" ≥ "&amp;$W$13&amp;" OK",ROUND(AVERAGE(Q1908:Q1913),1)&amp;" &lt; "&amp;$W$13&amp;" NC")),IF($X$13="/90",IF(#REF!="","",IF(AVERAGE(#REF!)&gt;=$W$13,ROUND(AVERAGE(#REF!),1)&amp;" ≥ "&amp;$W$13&amp;" OK",ROUND(AVERAGE(#REF!),1)&amp;" &lt; "&amp;$W$13&amp;" NC"))))</f>
        <v/>
      </c>
      <c r="T1912" s="278" t="str">
        <f>IF($X$13="/28",IF(Q1912="","",IF(Q1912&gt;=$W$13-$S$12,ROUND((Q1912),1)&amp;" ≥ "&amp;$W$13-$S$12&amp;" OK",ROUND((Q1912),1)&amp;" &lt; "&amp;$W$13-$S$12&amp;" NC")),IF($X$13="/90",IF(#REF!="","",IF(#REF!&gt;=$W$13-$S$12,ROUND((#REF!),1)&amp;" ≥ "&amp;$W$13-$S$12&amp;" OK",ROUND((#REF!),1)&amp;" &lt; "&amp;$W$13-$S$12&amp;" NC"))))</f>
        <v/>
      </c>
      <c r="U1912" s="14"/>
      <c r="V1912" s="279"/>
      <c r="W1912" s="280"/>
      <c r="X1912" s="281"/>
      <c r="Y1912" s="246"/>
      <c r="Z1912" s="246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BP1912" s="390" t="str">
        <f>IF($X$13="/28",IF(Q1912="","",Q1912),IF($X$13="/90",IF(#REF!="","",#REF!),"Falso"))</f>
        <v/>
      </c>
      <c r="BQ1912" s="392" t="str">
        <f t="shared" si="2928"/>
        <v/>
      </c>
    </row>
    <row r="1913" spans="1:69" ht="14.25" customHeight="1" x14ac:dyDescent="0.35">
      <c r="A1913" s="294"/>
      <c r="B1913" s="296"/>
      <c r="C1913" s="298"/>
      <c r="D1913" s="300"/>
      <c r="E1913" s="302"/>
      <c r="F1913" s="304"/>
      <c r="G1913" s="276"/>
      <c r="H1913" s="277"/>
      <c r="I1913" s="290"/>
      <c r="J1913" s="290"/>
      <c r="K1913" s="291"/>
      <c r="L1913" s="17"/>
      <c r="M1913" s="286"/>
      <c r="N1913" s="21"/>
      <c r="O1913" s="286"/>
      <c r="P1913" s="21"/>
      <c r="Q1913" s="286"/>
      <c r="R1913" s="248"/>
      <c r="S1913" s="287"/>
      <c r="T1913" s="248"/>
      <c r="U1913" s="13"/>
      <c r="V1913" s="282"/>
      <c r="W1913" s="283"/>
      <c r="X1913" s="284"/>
      <c r="Y1913" s="245"/>
      <c r="Z1913" s="245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BP1913" s="391"/>
      <c r="BQ1913" s="393"/>
    </row>
    <row r="1914" spans="1:69" ht="14.25" customHeight="1" x14ac:dyDescent="0.35">
      <c r="A1914" s="293">
        <v>949</v>
      </c>
      <c r="B1914" s="295"/>
      <c r="C1914" s="297"/>
      <c r="D1914" s="299"/>
      <c r="E1914" s="301"/>
      <c r="F1914" s="303"/>
      <c r="G1914" s="288"/>
      <c r="H1914" s="289"/>
      <c r="I1914" s="290"/>
      <c r="J1914" s="290"/>
      <c r="K1914" s="291"/>
      <c r="L1914" s="18"/>
      <c r="M1914" s="285" t="str">
        <f t="shared" ref="M1914" si="2974">IF(COUNT(L1914:L1915)&lt;1,"",AVERAGE(L1914:L1915))</f>
        <v/>
      </c>
      <c r="N1914" s="22"/>
      <c r="O1914" s="285" t="str">
        <f t="shared" ref="O1914" si="2975">IF(COUNT(N1914:N1915)&lt;1,"",AVERAGE(N1914:N1915))</f>
        <v/>
      </c>
      <c r="P1914" s="22"/>
      <c r="Q1914" s="285" t="str">
        <f t="shared" ref="Q1914" si="2976">IF(COUNT(P1914:P1915)&lt;1,"",AVERAGE(P1914:P1915))</f>
        <v/>
      </c>
      <c r="R1914" s="278" t="str">
        <f>IF($X$13="/28",IF(COUNT(P1914:P1915)&lt;=1,"",ABS(P1914-P1915)),IF($X$13="/90",IF(COUNT(#REF!)&lt;=1,"",ABS(#REF!-#REF!))))</f>
        <v/>
      </c>
      <c r="S1914" s="278" t="str">
        <f>IF($X$13="/28",IF(Q1914="","",IF(AVERAGE(Q1910:Q1915)&gt;=$W$13,ROUND(AVERAGE(Q1910:Q1915),1)&amp;" ≥ "&amp;$W$13&amp;" OK",ROUND(AVERAGE(Q1910:Q1915),1)&amp;" &lt; "&amp;$W$13&amp;" NC")),IF($X$13="/90",IF(#REF!="","",IF(AVERAGE(#REF!)&gt;=$W$13,ROUND(AVERAGE(#REF!),1)&amp;" ≥ "&amp;$W$13&amp;" OK",ROUND(AVERAGE(#REF!),1)&amp;" &lt; "&amp;$W$13&amp;" NC"))))</f>
        <v/>
      </c>
      <c r="T1914" s="278" t="str">
        <f>IF($X$13="/28",IF(Q1914="","",IF(Q1914&gt;=$W$13-$S$12,ROUND((Q1914),1)&amp;" ≥ "&amp;$W$13-$S$12&amp;" OK",ROUND((Q1914),1)&amp;" &lt; "&amp;$W$13-$S$12&amp;" NC")),IF($X$13="/90",IF(#REF!="","",IF(#REF!&gt;=$W$13-$S$12,ROUND((#REF!),1)&amp;" ≥ "&amp;$W$13-$S$12&amp;" OK",ROUND((#REF!),1)&amp;" &lt; "&amp;$W$13-$S$12&amp;" NC"))))</f>
        <v/>
      </c>
      <c r="U1914" s="14"/>
      <c r="V1914" s="279"/>
      <c r="W1914" s="280"/>
      <c r="X1914" s="281"/>
      <c r="Y1914" s="246"/>
      <c r="Z1914" s="246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BP1914" s="390" t="str">
        <f>IF($X$13="/28",IF(Q1914="","",Q1914),IF($X$13="/90",IF(#REF!="","",#REF!),"Falso"))</f>
        <v/>
      </c>
      <c r="BQ1914" s="392" t="str">
        <f t="shared" si="2920"/>
        <v/>
      </c>
    </row>
    <row r="1915" spans="1:69" ht="14.25" customHeight="1" x14ac:dyDescent="0.35">
      <c r="A1915" s="294"/>
      <c r="B1915" s="296"/>
      <c r="C1915" s="298"/>
      <c r="D1915" s="300"/>
      <c r="E1915" s="302"/>
      <c r="F1915" s="304"/>
      <c r="G1915" s="276"/>
      <c r="H1915" s="277"/>
      <c r="I1915" s="290"/>
      <c r="J1915" s="290"/>
      <c r="K1915" s="291"/>
      <c r="L1915" s="17"/>
      <c r="M1915" s="286"/>
      <c r="N1915" s="21"/>
      <c r="O1915" s="286"/>
      <c r="P1915" s="21"/>
      <c r="Q1915" s="286"/>
      <c r="R1915" s="248"/>
      <c r="S1915" s="287"/>
      <c r="T1915" s="248"/>
      <c r="U1915" s="13"/>
      <c r="V1915" s="282"/>
      <c r="W1915" s="283"/>
      <c r="X1915" s="284"/>
      <c r="Y1915" s="245"/>
      <c r="Z1915" s="245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BP1915" s="391"/>
      <c r="BQ1915" s="393"/>
    </row>
    <row r="1916" spans="1:69" ht="14.25" customHeight="1" x14ac:dyDescent="0.35">
      <c r="A1916" s="293">
        <v>950</v>
      </c>
      <c r="B1916" s="295"/>
      <c r="C1916" s="297"/>
      <c r="D1916" s="299"/>
      <c r="E1916" s="301"/>
      <c r="F1916" s="303"/>
      <c r="G1916" s="288"/>
      <c r="H1916" s="289"/>
      <c r="I1916" s="290"/>
      <c r="J1916" s="290"/>
      <c r="K1916" s="291"/>
      <c r="L1916" s="18"/>
      <c r="M1916" s="285" t="str">
        <f t="shared" ref="M1916" si="2977">IF(COUNT(L1916:L1917)&lt;1,"",AVERAGE(L1916:L1917))</f>
        <v/>
      </c>
      <c r="N1916" s="22"/>
      <c r="O1916" s="285" t="str">
        <f t="shared" ref="O1916" si="2978">IF(COUNT(N1916:N1917)&lt;1,"",AVERAGE(N1916:N1917))</f>
        <v/>
      </c>
      <c r="P1916" s="22"/>
      <c r="Q1916" s="285" t="str">
        <f t="shared" ref="Q1916" si="2979">IF(COUNT(P1916:P1917)&lt;1,"",AVERAGE(P1916:P1917))</f>
        <v/>
      </c>
      <c r="R1916" s="278" t="str">
        <f>IF($X$13="/28",IF(COUNT(P1916:P1917)&lt;=1,"",ABS(P1916-P1917)),IF($X$13="/90",IF(COUNT(#REF!)&lt;=1,"",ABS(#REF!-#REF!))))</f>
        <v/>
      </c>
      <c r="S1916" s="278" t="str">
        <f>IF($X$13="/28",IF(Q1916="","",IF(AVERAGE(Q1912:Q1917)&gt;=$W$13,ROUND(AVERAGE(Q1912:Q1917),1)&amp;" ≥ "&amp;$W$13&amp;" OK",ROUND(AVERAGE(Q1912:Q1917),1)&amp;" &lt; "&amp;$W$13&amp;" NC")),IF($X$13="/90",IF(#REF!="","",IF(AVERAGE(#REF!)&gt;=$W$13,ROUND(AVERAGE(#REF!),1)&amp;" ≥ "&amp;$W$13&amp;" OK",ROUND(AVERAGE(#REF!),1)&amp;" &lt; "&amp;$W$13&amp;" NC"))))</f>
        <v/>
      </c>
      <c r="T1916" s="278" t="str">
        <f>IF($X$13="/28",IF(Q1916="","",IF(Q1916&gt;=$W$13-$S$12,ROUND((Q1916),1)&amp;" ≥ "&amp;$W$13-$S$12&amp;" OK",ROUND((Q1916),1)&amp;" &lt; "&amp;$W$13-$S$12&amp;" NC")),IF($X$13="/90",IF(#REF!="","",IF(#REF!&gt;=$W$13-$S$12,ROUND((#REF!),1)&amp;" ≥ "&amp;$W$13-$S$12&amp;" OK",ROUND((#REF!),1)&amp;" &lt; "&amp;$W$13-$S$12&amp;" NC"))))</f>
        <v/>
      </c>
      <c r="U1916" s="14"/>
      <c r="V1916" s="279"/>
      <c r="W1916" s="280"/>
      <c r="X1916" s="281"/>
      <c r="Y1916" s="246"/>
      <c r="Z1916" s="246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BP1916" s="390" t="str">
        <f>IF($X$13="/28",IF(Q1916="","",Q1916),IF($X$13="/90",IF(#REF!="","",#REF!),"Falso"))</f>
        <v/>
      </c>
      <c r="BQ1916" s="392" t="str">
        <f t="shared" si="2924"/>
        <v/>
      </c>
    </row>
    <row r="1917" spans="1:69" ht="14.25" customHeight="1" x14ac:dyDescent="0.35">
      <c r="A1917" s="294"/>
      <c r="B1917" s="296"/>
      <c r="C1917" s="298"/>
      <c r="D1917" s="300"/>
      <c r="E1917" s="302"/>
      <c r="F1917" s="304"/>
      <c r="G1917" s="276"/>
      <c r="H1917" s="277"/>
      <c r="I1917" s="290"/>
      <c r="J1917" s="290"/>
      <c r="K1917" s="291"/>
      <c r="L1917" s="17"/>
      <c r="M1917" s="286"/>
      <c r="N1917" s="21"/>
      <c r="O1917" s="286"/>
      <c r="P1917" s="21"/>
      <c r="Q1917" s="286"/>
      <c r="R1917" s="248"/>
      <c r="S1917" s="287"/>
      <c r="T1917" s="248"/>
      <c r="U1917" s="13"/>
      <c r="V1917" s="282"/>
      <c r="W1917" s="283"/>
      <c r="X1917" s="284"/>
      <c r="Y1917" s="245"/>
      <c r="Z1917" s="245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BP1917" s="391"/>
      <c r="BQ1917" s="393"/>
    </row>
    <row r="1918" spans="1:69" ht="14.25" customHeight="1" x14ac:dyDescent="0.35">
      <c r="A1918" s="293">
        <v>951</v>
      </c>
      <c r="B1918" s="295"/>
      <c r="C1918" s="297"/>
      <c r="D1918" s="299"/>
      <c r="E1918" s="301"/>
      <c r="F1918" s="303"/>
      <c r="G1918" s="288"/>
      <c r="H1918" s="289"/>
      <c r="I1918" s="290"/>
      <c r="J1918" s="290"/>
      <c r="K1918" s="291"/>
      <c r="L1918" s="18"/>
      <c r="M1918" s="285" t="str">
        <f t="shared" ref="M1918" si="2980">IF(COUNT(L1918:L1919)&lt;1,"",AVERAGE(L1918:L1919))</f>
        <v/>
      </c>
      <c r="N1918" s="22"/>
      <c r="O1918" s="285" t="str">
        <f t="shared" ref="O1918" si="2981">IF(COUNT(N1918:N1919)&lt;1,"",AVERAGE(N1918:N1919))</f>
        <v/>
      </c>
      <c r="P1918" s="22"/>
      <c r="Q1918" s="285" t="str">
        <f t="shared" ref="Q1918" si="2982">IF(COUNT(P1918:P1919)&lt;1,"",AVERAGE(P1918:P1919))</f>
        <v/>
      </c>
      <c r="R1918" s="278" t="str">
        <f>IF($X$13="/28",IF(COUNT(P1918:P1919)&lt;=1,"",ABS(P1918-P1919)),IF($X$13="/90",IF(COUNT(#REF!)&lt;=1,"",ABS(#REF!-#REF!))))</f>
        <v/>
      </c>
      <c r="S1918" s="278" t="str">
        <f>IF($X$13="/28",IF(Q1918="","",IF(AVERAGE(Q1914:Q1919)&gt;=$W$13,ROUND(AVERAGE(Q1914:Q1919),1)&amp;" ≥ "&amp;$W$13&amp;" OK",ROUND(AVERAGE(Q1914:Q1919),1)&amp;" &lt; "&amp;$W$13&amp;" NC")),IF($X$13="/90",IF(#REF!="","",IF(AVERAGE(#REF!)&gt;=$W$13,ROUND(AVERAGE(#REF!),1)&amp;" ≥ "&amp;$W$13&amp;" OK",ROUND(AVERAGE(#REF!),1)&amp;" &lt; "&amp;$W$13&amp;" NC"))))</f>
        <v/>
      </c>
      <c r="T1918" s="278" t="str">
        <f>IF($X$13="/28",IF(Q1918="","",IF(Q1918&gt;=$W$13-$S$12,ROUND((Q1918),1)&amp;" ≥ "&amp;$W$13-$S$12&amp;" OK",ROUND((Q1918),1)&amp;" &lt; "&amp;$W$13-$S$12&amp;" NC")),IF($X$13="/90",IF(#REF!="","",IF(#REF!&gt;=$W$13-$S$12,ROUND((#REF!),1)&amp;" ≥ "&amp;$W$13-$S$12&amp;" OK",ROUND((#REF!),1)&amp;" &lt; "&amp;$W$13-$S$12&amp;" NC"))))</f>
        <v/>
      </c>
      <c r="U1918" s="14"/>
      <c r="V1918" s="279"/>
      <c r="W1918" s="280"/>
      <c r="X1918" s="281"/>
      <c r="Y1918" s="246"/>
      <c r="Z1918" s="246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BP1918" s="390" t="str">
        <f>IF($X$13="/28",IF(Q1918="","",Q1918),IF($X$13="/90",IF(#REF!="","",#REF!),"Falso"))</f>
        <v/>
      </c>
      <c r="BQ1918" s="392" t="str">
        <f t="shared" si="2928"/>
        <v/>
      </c>
    </row>
    <row r="1919" spans="1:69" ht="14.25" customHeight="1" x14ac:dyDescent="0.35">
      <c r="A1919" s="294"/>
      <c r="B1919" s="296"/>
      <c r="C1919" s="298"/>
      <c r="D1919" s="300"/>
      <c r="E1919" s="302"/>
      <c r="F1919" s="304"/>
      <c r="G1919" s="276"/>
      <c r="H1919" s="277"/>
      <c r="I1919" s="290"/>
      <c r="J1919" s="290"/>
      <c r="K1919" s="291"/>
      <c r="L1919" s="17"/>
      <c r="M1919" s="286"/>
      <c r="N1919" s="21"/>
      <c r="O1919" s="286"/>
      <c r="P1919" s="21"/>
      <c r="Q1919" s="286"/>
      <c r="R1919" s="248"/>
      <c r="S1919" s="287"/>
      <c r="T1919" s="248"/>
      <c r="U1919" s="13"/>
      <c r="V1919" s="282"/>
      <c r="W1919" s="283"/>
      <c r="X1919" s="284"/>
      <c r="Y1919" s="245"/>
      <c r="Z1919" s="245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BP1919" s="391"/>
      <c r="BQ1919" s="393"/>
    </row>
    <row r="1920" spans="1:69" ht="14.25" customHeight="1" x14ac:dyDescent="0.35">
      <c r="A1920" s="293">
        <v>952</v>
      </c>
      <c r="B1920" s="295"/>
      <c r="C1920" s="297"/>
      <c r="D1920" s="299"/>
      <c r="E1920" s="301"/>
      <c r="F1920" s="303"/>
      <c r="G1920" s="288"/>
      <c r="H1920" s="289"/>
      <c r="I1920" s="290"/>
      <c r="J1920" s="290"/>
      <c r="K1920" s="291"/>
      <c r="L1920" s="18"/>
      <c r="M1920" s="285" t="str">
        <f t="shared" ref="M1920" si="2983">IF(COUNT(L1920:L1921)&lt;1,"",AVERAGE(L1920:L1921))</f>
        <v/>
      </c>
      <c r="N1920" s="22"/>
      <c r="O1920" s="285" t="str">
        <f t="shared" ref="O1920" si="2984">IF(COUNT(N1920:N1921)&lt;1,"",AVERAGE(N1920:N1921))</f>
        <v/>
      </c>
      <c r="P1920" s="22"/>
      <c r="Q1920" s="285" t="str">
        <f t="shared" ref="Q1920" si="2985">IF(COUNT(P1920:P1921)&lt;1,"",AVERAGE(P1920:P1921))</f>
        <v/>
      </c>
      <c r="R1920" s="278" t="str">
        <f>IF($X$13="/28",IF(COUNT(P1920:P1921)&lt;=1,"",ABS(P1920-P1921)),IF($X$13="/90",IF(COUNT(#REF!)&lt;=1,"",ABS(#REF!-#REF!))))</f>
        <v/>
      </c>
      <c r="S1920" s="278" t="str">
        <f>IF($X$13="/28",IF(Q1920="","",IF(AVERAGE(Q1916:Q1921)&gt;=$W$13,ROUND(AVERAGE(Q1916:Q1921),1)&amp;" ≥ "&amp;$W$13&amp;" OK",ROUND(AVERAGE(Q1916:Q1921),1)&amp;" &lt; "&amp;$W$13&amp;" NC")),IF($X$13="/90",IF(#REF!="","",IF(AVERAGE(#REF!)&gt;=$W$13,ROUND(AVERAGE(#REF!),1)&amp;" ≥ "&amp;$W$13&amp;" OK",ROUND(AVERAGE(#REF!),1)&amp;" &lt; "&amp;$W$13&amp;" NC"))))</f>
        <v/>
      </c>
      <c r="T1920" s="278" t="str">
        <f>IF($X$13="/28",IF(Q1920="","",IF(Q1920&gt;=$W$13-$S$12,ROUND((Q1920),1)&amp;" ≥ "&amp;$W$13-$S$12&amp;" OK",ROUND((Q1920),1)&amp;" &lt; "&amp;$W$13-$S$12&amp;" NC")),IF($X$13="/90",IF(#REF!="","",IF(#REF!&gt;=$W$13-$S$12,ROUND((#REF!),1)&amp;" ≥ "&amp;$W$13-$S$12&amp;" OK",ROUND((#REF!),1)&amp;" &lt; "&amp;$W$13-$S$12&amp;" NC"))))</f>
        <v/>
      </c>
      <c r="U1920" s="14"/>
      <c r="V1920" s="279"/>
      <c r="W1920" s="280"/>
      <c r="X1920" s="281"/>
      <c r="Y1920" s="246"/>
      <c r="Z1920" s="246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BP1920" s="390" t="str">
        <f>IF($X$13="/28",IF(Q1920="","",Q1920),IF($X$13="/90",IF(#REF!="","",#REF!),"Falso"))</f>
        <v/>
      </c>
      <c r="BQ1920" s="392" t="str">
        <f t="shared" si="2920"/>
        <v/>
      </c>
    </row>
    <row r="1921" spans="1:69" ht="14.25" customHeight="1" x14ac:dyDescent="0.35">
      <c r="A1921" s="294"/>
      <c r="B1921" s="296"/>
      <c r="C1921" s="298"/>
      <c r="D1921" s="300"/>
      <c r="E1921" s="302"/>
      <c r="F1921" s="304"/>
      <c r="G1921" s="276"/>
      <c r="H1921" s="277"/>
      <c r="I1921" s="290"/>
      <c r="J1921" s="290"/>
      <c r="K1921" s="291"/>
      <c r="L1921" s="17"/>
      <c r="M1921" s="286"/>
      <c r="N1921" s="21"/>
      <c r="O1921" s="286"/>
      <c r="P1921" s="21"/>
      <c r="Q1921" s="286"/>
      <c r="R1921" s="248"/>
      <c r="S1921" s="287"/>
      <c r="T1921" s="248"/>
      <c r="U1921" s="13"/>
      <c r="V1921" s="282"/>
      <c r="W1921" s="283"/>
      <c r="X1921" s="284"/>
      <c r="Y1921" s="245"/>
      <c r="Z1921" s="245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BP1921" s="391"/>
      <c r="BQ1921" s="393"/>
    </row>
    <row r="1922" spans="1:69" ht="14.25" customHeight="1" x14ac:dyDescent="0.35">
      <c r="A1922" s="293">
        <v>953</v>
      </c>
      <c r="B1922" s="295"/>
      <c r="C1922" s="297"/>
      <c r="D1922" s="299"/>
      <c r="E1922" s="301"/>
      <c r="F1922" s="303"/>
      <c r="G1922" s="288"/>
      <c r="H1922" s="289"/>
      <c r="I1922" s="290"/>
      <c r="J1922" s="290"/>
      <c r="K1922" s="291"/>
      <c r="L1922" s="18"/>
      <c r="M1922" s="285" t="str">
        <f t="shared" ref="M1922" si="2986">IF(COUNT(L1922:L1923)&lt;1,"",AVERAGE(L1922:L1923))</f>
        <v/>
      </c>
      <c r="N1922" s="22"/>
      <c r="O1922" s="285" t="str">
        <f t="shared" ref="O1922" si="2987">IF(COUNT(N1922:N1923)&lt;1,"",AVERAGE(N1922:N1923))</f>
        <v/>
      </c>
      <c r="P1922" s="22"/>
      <c r="Q1922" s="285" t="str">
        <f t="shared" ref="Q1922" si="2988">IF(COUNT(P1922:P1923)&lt;1,"",AVERAGE(P1922:P1923))</f>
        <v/>
      </c>
      <c r="R1922" s="278" t="str">
        <f>IF($X$13="/28",IF(COUNT(P1922:P1923)&lt;=1,"",ABS(P1922-P1923)),IF($X$13="/90",IF(COUNT(#REF!)&lt;=1,"",ABS(#REF!-#REF!))))</f>
        <v/>
      </c>
      <c r="S1922" s="278" t="str">
        <f>IF($X$13="/28",IF(Q1922="","",IF(AVERAGE(Q1918:Q1923)&gt;=$W$13,ROUND(AVERAGE(Q1918:Q1923),1)&amp;" ≥ "&amp;$W$13&amp;" OK",ROUND(AVERAGE(Q1918:Q1923),1)&amp;" &lt; "&amp;$W$13&amp;" NC")),IF($X$13="/90",IF(#REF!="","",IF(AVERAGE(#REF!)&gt;=$W$13,ROUND(AVERAGE(#REF!),1)&amp;" ≥ "&amp;$W$13&amp;" OK",ROUND(AVERAGE(#REF!),1)&amp;" &lt; "&amp;$W$13&amp;" NC"))))</f>
        <v/>
      </c>
      <c r="T1922" s="278" t="str">
        <f>IF($X$13="/28",IF(Q1922="","",IF(Q1922&gt;=$W$13-$S$12,ROUND((Q1922),1)&amp;" ≥ "&amp;$W$13-$S$12&amp;" OK",ROUND((Q1922),1)&amp;" &lt; "&amp;$W$13-$S$12&amp;" NC")),IF($X$13="/90",IF(#REF!="","",IF(#REF!&gt;=$W$13-$S$12,ROUND((#REF!),1)&amp;" ≥ "&amp;$W$13-$S$12&amp;" OK",ROUND((#REF!),1)&amp;" &lt; "&amp;$W$13-$S$12&amp;" NC"))))</f>
        <v/>
      </c>
      <c r="U1922" s="14"/>
      <c r="V1922" s="279"/>
      <c r="W1922" s="280"/>
      <c r="X1922" s="281"/>
      <c r="Y1922" s="246"/>
      <c r="Z1922" s="246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BP1922" s="390" t="str">
        <f>IF($X$13="/28",IF(Q1922="","",Q1922),IF($X$13="/90",IF(#REF!="","",#REF!),"Falso"))</f>
        <v/>
      </c>
      <c r="BQ1922" s="392" t="str">
        <f t="shared" si="2924"/>
        <v/>
      </c>
    </row>
    <row r="1923" spans="1:69" ht="14.25" customHeight="1" x14ac:dyDescent="0.35">
      <c r="A1923" s="294"/>
      <c r="B1923" s="296"/>
      <c r="C1923" s="298"/>
      <c r="D1923" s="300"/>
      <c r="E1923" s="302"/>
      <c r="F1923" s="304"/>
      <c r="G1923" s="276"/>
      <c r="H1923" s="277"/>
      <c r="I1923" s="290"/>
      <c r="J1923" s="290"/>
      <c r="K1923" s="291"/>
      <c r="L1923" s="17"/>
      <c r="M1923" s="286"/>
      <c r="N1923" s="21"/>
      <c r="O1923" s="286"/>
      <c r="P1923" s="21"/>
      <c r="Q1923" s="286"/>
      <c r="R1923" s="248"/>
      <c r="S1923" s="287"/>
      <c r="T1923" s="248"/>
      <c r="U1923" s="13"/>
      <c r="V1923" s="282"/>
      <c r="W1923" s="283"/>
      <c r="X1923" s="284"/>
      <c r="Y1923" s="245"/>
      <c r="Z1923" s="245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BP1923" s="391"/>
      <c r="BQ1923" s="393"/>
    </row>
    <row r="1924" spans="1:69" ht="14.25" customHeight="1" x14ac:dyDescent="0.35">
      <c r="A1924" s="293">
        <v>954</v>
      </c>
      <c r="B1924" s="295"/>
      <c r="C1924" s="297"/>
      <c r="D1924" s="299"/>
      <c r="E1924" s="301"/>
      <c r="F1924" s="303"/>
      <c r="G1924" s="288"/>
      <c r="H1924" s="289"/>
      <c r="I1924" s="290"/>
      <c r="J1924" s="290"/>
      <c r="K1924" s="291"/>
      <c r="L1924" s="18"/>
      <c r="M1924" s="285" t="str">
        <f t="shared" ref="M1924" si="2989">IF(COUNT(L1924:L1925)&lt;1,"",AVERAGE(L1924:L1925))</f>
        <v/>
      </c>
      <c r="N1924" s="22"/>
      <c r="O1924" s="285" t="str">
        <f t="shared" ref="O1924" si="2990">IF(COUNT(N1924:N1925)&lt;1,"",AVERAGE(N1924:N1925))</f>
        <v/>
      </c>
      <c r="P1924" s="22"/>
      <c r="Q1924" s="285" t="str">
        <f t="shared" ref="Q1924" si="2991">IF(COUNT(P1924:P1925)&lt;1,"",AVERAGE(P1924:P1925))</f>
        <v/>
      </c>
      <c r="R1924" s="278" t="str">
        <f>IF($X$13="/28",IF(COUNT(P1924:P1925)&lt;=1,"",ABS(P1924-P1925)),IF($X$13="/90",IF(COUNT(#REF!)&lt;=1,"",ABS(#REF!-#REF!))))</f>
        <v/>
      </c>
      <c r="S1924" s="278" t="str">
        <f>IF($X$13="/28",IF(Q1924="","",IF(AVERAGE(Q1920:Q1925)&gt;=$W$13,ROUND(AVERAGE(Q1920:Q1925),1)&amp;" ≥ "&amp;$W$13&amp;" OK",ROUND(AVERAGE(Q1920:Q1925),1)&amp;" &lt; "&amp;$W$13&amp;" NC")),IF($X$13="/90",IF(#REF!="","",IF(AVERAGE(#REF!)&gt;=$W$13,ROUND(AVERAGE(#REF!),1)&amp;" ≥ "&amp;$W$13&amp;" OK",ROUND(AVERAGE(#REF!),1)&amp;" &lt; "&amp;$W$13&amp;" NC"))))</f>
        <v/>
      </c>
      <c r="T1924" s="278" t="str">
        <f>IF($X$13="/28",IF(Q1924="","",IF(Q1924&gt;=$W$13-$S$12,ROUND((Q1924),1)&amp;" ≥ "&amp;$W$13-$S$12&amp;" OK",ROUND((Q1924),1)&amp;" &lt; "&amp;$W$13-$S$12&amp;" NC")),IF($X$13="/90",IF(#REF!="","",IF(#REF!&gt;=$W$13-$S$12,ROUND((#REF!),1)&amp;" ≥ "&amp;$W$13-$S$12&amp;" OK",ROUND((#REF!),1)&amp;" &lt; "&amp;$W$13-$S$12&amp;" NC"))))</f>
        <v/>
      </c>
      <c r="U1924" s="14"/>
      <c r="V1924" s="279"/>
      <c r="W1924" s="280"/>
      <c r="X1924" s="281"/>
      <c r="Y1924" s="246"/>
      <c r="Z1924" s="246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BP1924" s="390" t="str">
        <f>IF($X$13="/28",IF(Q1924="","",Q1924),IF($X$13="/90",IF(#REF!="","",#REF!),"Falso"))</f>
        <v/>
      </c>
      <c r="BQ1924" s="392" t="str">
        <f t="shared" si="2928"/>
        <v/>
      </c>
    </row>
    <row r="1925" spans="1:69" ht="14.25" customHeight="1" x14ac:dyDescent="0.35">
      <c r="A1925" s="294"/>
      <c r="B1925" s="296"/>
      <c r="C1925" s="298"/>
      <c r="D1925" s="300"/>
      <c r="E1925" s="302"/>
      <c r="F1925" s="304"/>
      <c r="G1925" s="276"/>
      <c r="H1925" s="277"/>
      <c r="I1925" s="290"/>
      <c r="J1925" s="290"/>
      <c r="K1925" s="291"/>
      <c r="L1925" s="17"/>
      <c r="M1925" s="286"/>
      <c r="N1925" s="21"/>
      <c r="O1925" s="286"/>
      <c r="P1925" s="21"/>
      <c r="Q1925" s="286"/>
      <c r="R1925" s="248"/>
      <c r="S1925" s="287"/>
      <c r="T1925" s="248"/>
      <c r="U1925" s="13"/>
      <c r="V1925" s="282"/>
      <c r="W1925" s="283"/>
      <c r="X1925" s="284"/>
      <c r="Y1925" s="245"/>
      <c r="Z1925" s="245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BP1925" s="391"/>
      <c r="BQ1925" s="393"/>
    </row>
    <row r="1926" spans="1:69" ht="14.25" customHeight="1" x14ac:dyDescent="0.35">
      <c r="A1926" s="293">
        <v>955</v>
      </c>
      <c r="B1926" s="295"/>
      <c r="C1926" s="297"/>
      <c r="D1926" s="299"/>
      <c r="E1926" s="301"/>
      <c r="F1926" s="303"/>
      <c r="G1926" s="288"/>
      <c r="H1926" s="289"/>
      <c r="I1926" s="290"/>
      <c r="J1926" s="290"/>
      <c r="K1926" s="291"/>
      <c r="L1926" s="18"/>
      <c r="M1926" s="285" t="str">
        <f t="shared" ref="M1926" si="2992">IF(COUNT(L1926:L1927)&lt;1,"",AVERAGE(L1926:L1927))</f>
        <v/>
      </c>
      <c r="N1926" s="22"/>
      <c r="O1926" s="285" t="str">
        <f t="shared" ref="O1926" si="2993">IF(COUNT(N1926:N1927)&lt;1,"",AVERAGE(N1926:N1927))</f>
        <v/>
      </c>
      <c r="P1926" s="22"/>
      <c r="Q1926" s="285" t="str">
        <f t="shared" ref="Q1926" si="2994">IF(COUNT(P1926:P1927)&lt;1,"",AVERAGE(P1926:P1927))</f>
        <v/>
      </c>
      <c r="R1926" s="278" t="str">
        <f>IF($X$13="/28",IF(COUNT(P1926:P1927)&lt;=1,"",ABS(P1926-P1927)),IF($X$13="/90",IF(COUNT(#REF!)&lt;=1,"",ABS(#REF!-#REF!))))</f>
        <v/>
      </c>
      <c r="S1926" s="278" t="str">
        <f>IF($X$13="/28",IF(Q1926="","",IF(AVERAGE(Q1922:Q1927)&gt;=$W$13,ROUND(AVERAGE(Q1922:Q1927),1)&amp;" ≥ "&amp;$W$13&amp;" OK",ROUND(AVERAGE(Q1922:Q1927),1)&amp;" &lt; "&amp;$W$13&amp;" NC")),IF($X$13="/90",IF(#REF!="","",IF(AVERAGE(#REF!)&gt;=$W$13,ROUND(AVERAGE(#REF!),1)&amp;" ≥ "&amp;$W$13&amp;" OK",ROUND(AVERAGE(#REF!),1)&amp;" &lt; "&amp;$W$13&amp;" NC"))))</f>
        <v/>
      </c>
      <c r="T1926" s="278" t="str">
        <f>IF($X$13="/28",IF(Q1926="","",IF(Q1926&gt;=$W$13-$S$12,ROUND((Q1926),1)&amp;" ≥ "&amp;$W$13-$S$12&amp;" OK",ROUND((Q1926),1)&amp;" &lt; "&amp;$W$13-$S$12&amp;" NC")),IF($X$13="/90",IF(#REF!="","",IF(#REF!&gt;=$W$13-$S$12,ROUND((#REF!),1)&amp;" ≥ "&amp;$W$13-$S$12&amp;" OK",ROUND((#REF!),1)&amp;" &lt; "&amp;$W$13-$S$12&amp;" NC"))))</f>
        <v/>
      </c>
      <c r="U1926" s="14"/>
      <c r="V1926" s="279"/>
      <c r="W1926" s="280"/>
      <c r="X1926" s="281"/>
      <c r="Y1926" s="246"/>
      <c r="Z1926" s="246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BP1926" s="390" t="str">
        <f>IF($X$13="/28",IF(Q1926="","",Q1926),IF($X$13="/90",IF(#REF!="","",#REF!),"Falso"))</f>
        <v/>
      </c>
      <c r="BQ1926" s="392" t="str">
        <f t="shared" si="2920"/>
        <v/>
      </c>
    </row>
    <row r="1927" spans="1:69" ht="14.25" customHeight="1" x14ac:dyDescent="0.35">
      <c r="A1927" s="294"/>
      <c r="B1927" s="296"/>
      <c r="C1927" s="298"/>
      <c r="D1927" s="300"/>
      <c r="E1927" s="302"/>
      <c r="F1927" s="304"/>
      <c r="G1927" s="276"/>
      <c r="H1927" s="277"/>
      <c r="I1927" s="290"/>
      <c r="J1927" s="290"/>
      <c r="K1927" s="291"/>
      <c r="L1927" s="17"/>
      <c r="M1927" s="286"/>
      <c r="N1927" s="21"/>
      <c r="O1927" s="286"/>
      <c r="P1927" s="21"/>
      <c r="Q1927" s="286"/>
      <c r="R1927" s="248"/>
      <c r="S1927" s="287"/>
      <c r="T1927" s="248"/>
      <c r="U1927" s="13"/>
      <c r="V1927" s="282"/>
      <c r="W1927" s="283"/>
      <c r="X1927" s="284"/>
      <c r="Y1927" s="245"/>
      <c r="Z1927" s="245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BP1927" s="391"/>
      <c r="BQ1927" s="393"/>
    </row>
    <row r="1928" spans="1:69" ht="14.25" customHeight="1" x14ac:dyDescent="0.35">
      <c r="A1928" s="293">
        <v>956</v>
      </c>
      <c r="B1928" s="295"/>
      <c r="C1928" s="297"/>
      <c r="D1928" s="299"/>
      <c r="E1928" s="301"/>
      <c r="F1928" s="303"/>
      <c r="G1928" s="288"/>
      <c r="H1928" s="289"/>
      <c r="I1928" s="290"/>
      <c r="J1928" s="290"/>
      <c r="K1928" s="291"/>
      <c r="L1928" s="18"/>
      <c r="M1928" s="285" t="str">
        <f t="shared" ref="M1928" si="2995">IF(COUNT(L1928:L1929)&lt;1,"",AVERAGE(L1928:L1929))</f>
        <v/>
      </c>
      <c r="N1928" s="22"/>
      <c r="O1928" s="285" t="str">
        <f t="shared" ref="O1928" si="2996">IF(COUNT(N1928:N1929)&lt;1,"",AVERAGE(N1928:N1929))</f>
        <v/>
      </c>
      <c r="P1928" s="22"/>
      <c r="Q1928" s="285" t="str">
        <f t="shared" ref="Q1928" si="2997">IF(COUNT(P1928:P1929)&lt;1,"",AVERAGE(P1928:P1929))</f>
        <v/>
      </c>
      <c r="R1928" s="278" t="str">
        <f>IF($X$13="/28",IF(COUNT(P1928:P1929)&lt;=1,"",ABS(P1928-P1929)),IF($X$13="/90",IF(COUNT(#REF!)&lt;=1,"",ABS(#REF!-#REF!))))</f>
        <v/>
      </c>
      <c r="S1928" s="278" t="str">
        <f>IF($X$13="/28",IF(Q1928="","",IF(AVERAGE(Q1924:Q1929)&gt;=$W$13,ROUND(AVERAGE(Q1924:Q1929),1)&amp;" ≥ "&amp;$W$13&amp;" OK",ROUND(AVERAGE(Q1924:Q1929),1)&amp;" &lt; "&amp;$W$13&amp;" NC")),IF($X$13="/90",IF(#REF!="","",IF(AVERAGE(#REF!)&gt;=$W$13,ROUND(AVERAGE(#REF!),1)&amp;" ≥ "&amp;$W$13&amp;" OK",ROUND(AVERAGE(#REF!),1)&amp;" &lt; "&amp;$W$13&amp;" NC"))))</f>
        <v/>
      </c>
      <c r="T1928" s="278" t="str">
        <f>IF($X$13="/28",IF(Q1928="","",IF(Q1928&gt;=$W$13-$S$12,ROUND((Q1928),1)&amp;" ≥ "&amp;$W$13-$S$12&amp;" OK",ROUND((Q1928),1)&amp;" &lt; "&amp;$W$13-$S$12&amp;" NC")),IF($X$13="/90",IF(#REF!="","",IF(#REF!&gt;=$W$13-$S$12,ROUND((#REF!),1)&amp;" ≥ "&amp;$W$13-$S$12&amp;" OK",ROUND((#REF!),1)&amp;" &lt; "&amp;$W$13-$S$12&amp;" NC"))))</f>
        <v/>
      </c>
      <c r="U1928" s="14"/>
      <c r="V1928" s="279"/>
      <c r="W1928" s="280"/>
      <c r="X1928" s="281"/>
      <c r="Y1928" s="246"/>
      <c r="Z1928" s="246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BP1928" s="390" t="str">
        <f>IF($X$13="/28",IF(Q1928="","",Q1928),IF($X$13="/90",IF(#REF!="","",#REF!),"Falso"))</f>
        <v/>
      </c>
      <c r="BQ1928" s="392" t="str">
        <f t="shared" si="2924"/>
        <v/>
      </c>
    </row>
    <row r="1929" spans="1:69" ht="14.25" customHeight="1" x14ac:dyDescent="0.35">
      <c r="A1929" s="294"/>
      <c r="B1929" s="296"/>
      <c r="C1929" s="298"/>
      <c r="D1929" s="300"/>
      <c r="E1929" s="302"/>
      <c r="F1929" s="304"/>
      <c r="G1929" s="276"/>
      <c r="H1929" s="277"/>
      <c r="I1929" s="290"/>
      <c r="J1929" s="290"/>
      <c r="K1929" s="291"/>
      <c r="L1929" s="17"/>
      <c r="M1929" s="286"/>
      <c r="N1929" s="21"/>
      <c r="O1929" s="286"/>
      <c r="P1929" s="21"/>
      <c r="Q1929" s="286"/>
      <c r="R1929" s="248"/>
      <c r="S1929" s="287"/>
      <c r="T1929" s="248"/>
      <c r="U1929" s="13"/>
      <c r="V1929" s="282"/>
      <c r="W1929" s="283"/>
      <c r="X1929" s="284"/>
      <c r="Y1929" s="245"/>
      <c r="Z1929" s="245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BP1929" s="391"/>
      <c r="BQ1929" s="393"/>
    </row>
    <row r="1930" spans="1:69" ht="14.25" customHeight="1" x14ac:dyDescent="0.35">
      <c r="A1930" s="293">
        <v>957</v>
      </c>
      <c r="B1930" s="295"/>
      <c r="C1930" s="297"/>
      <c r="D1930" s="299"/>
      <c r="E1930" s="301"/>
      <c r="F1930" s="303"/>
      <c r="G1930" s="288"/>
      <c r="H1930" s="289"/>
      <c r="I1930" s="290"/>
      <c r="J1930" s="290"/>
      <c r="K1930" s="291"/>
      <c r="L1930" s="18"/>
      <c r="M1930" s="285" t="str">
        <f t="shared" ref="M1930" si="2998">IF(COUNT(L1930:L1931)&lt;1,"",AVERAGE(L1930:L1931))</f>
        <v/>
      </c>
      <c r="N1930" s="22"/>
      <c r="O1930" s="285" t="str">
        <f t="shared" ref="O1930" si="2999">IF(COUNT(N1930:N1931)&lt;1,"",AVERAGE(N1930:N1931))</f>
        <v/>
      </c>
      <c r="P1930" s="22"/>
      <c r="Q1930" s="285" t="str">
        <f t="shared" ref="Q1930" si="3000">IF(COUNT(P1930:P1931)&lt;1,"",AVERAGE(P1930:P1931))</f>
        <v/>
      </c>
      <c r="R1930" s="278" t="str">
        <f>IF($X$13="/28",IF(COUNT(P1930:P1931)&lt;=1,"",ABS(P1930-P1931)),IF($X$13="/90",IF(COUNT(#REF!)&lt;=1,"",ABS(#REF!-#REF!))))</f>
        <v/>
      </c>
      <c r="S1930" s="278" t="str">
        <f>IF($X$13="/28",IF(Q1930="","",IF(AVERAGE(Q1926:Q1931)&gt;=$W$13,ROUND(AVERAGE(Q1926:Q1931),1)&amp;" ≥ "&amp;$W$13&amp;" OK",ROUND(AVERAGE(Q1926:Q1931),1)&amp;" &lt; "&amp;$W$13&amp;" NC")),IF($X$13="/90",IF(#REF!="","",IF(AVERAGE(#REF!)&gt;=$W$13,ROUND(AVERAGE(#REF!),1)&amp;" ≥ "&amp;$W$13&amp;" OK",ROUND(AVERAGE(#REF!),1)&amp;" &lt; "&amp;$W$13&amp;" NC"))))</f>
        <v/>
      </c>
      <c r="T1930" s="278" t="str">
        <f>IF($X$13="/28",IF(Q1930="","",IF(Q1930&gt;=$W$13-$S$12,ROUND((Q1930),1)&amp;" ≥ "&amp;$W$13-$S$12&amp;" OK",ROUND((Q1930),1)&amp;" &lt; "&amp;$W$13-$S$12&amp;" NC")),IF($X$13="/90",IF(#REF!="","",IF(#REF!&gt;=$W$13-$S$12,ROUND((#REF!),1)&amp;" ≥ "&amp;$W$13-$S$12&amp;" OK",ROUND((#REF!),1)&amp;" &lt; "&amp;$W$13-$S$12&amp;" NC"))))</f>
        <v/>
      </c>
      <c r="U1930" s="14"/>
      <c r="V1930" s="279"/>
      <c r="W1930" s="280"/>
      <c r="X1930" s="281"/>
      <c r="Y1930" s="246"/>
      <c r="Z1930" s="246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BP1930" s="390" t="str">
        <f>IF($X$13="/28",IF(Q1930="","",Q1930),IF($X$13="/90",IF(#REF!="","",#REF!),"Falso"))</f>
        <v/>
      </c>
      <c r="BQ1930" s="392" t="str">
        <f t="shared" si="2928"/>
        <v/>
      </c>
    </row>
    <row r="1931" spans="1:69" ht="14.25" customHeight="1" x14ac:dyDescent="0.35">
      <c r="A1931" s="294"/>
      <c r="B1931" s="296"/>
      <c r="C1931" s="298"/>
      <c r="D1931" s="300"/>
      <c r="E1931" s="302"/>
      <c r="F1931" s="304"/>
      <c r="G1931" s="276"/>
      <c r="H1931" s="277"/>
      <c r="I1931" s="290"/>
      <c r="J1931" s="290"/>
      <c r="K1931" s="291"/>
      <c r="L1931" s="17"/>
      <c r="M1931" s="286"/>
      <c r="N1931" s="21"/>
      <c r="O1931" s="286"/>
      <c r="P1931" s="21"/>
      <c r="Q1931" s="286"/>
      <c r="R1931" s="248"/>
      <c r="S1931" s="287"/>
      <c r="T1931" s="248"/>
      <c r="U1931" s="13"/>
      <c r="V1931" s="282"/>
      <c r="W1931" s="283"/>
      <c r="X1931" s="284"/>
      <c r="Y1931" s="245"/>
      <c r="Z1931" s="245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BP1931" s="391"/>
      <c r="BQ1931" s="393"/>
    </row>
    <row r="1932" spans="1:69" ht="14.25" customHeight="1" x14ac:dyDescent="0.35">
      <c r="A1932" s="293">
        <v>958</v>
      </c>
      <c r="B1932" s="295"/>
      <c r="C1932" s="297"/>
      <c r="D1932" s="299"/>
      <c r="E1932" s="301"/>
      <c r="F1932" s="303"/>
      <c r="G1932" s="288"/>
      <c r="H1932" s="289"/>
      <c r="I1932" s="290"/>
      <c r="J1932" s="290"/>
      <c r="K1932" s="291"/>
      <c r="L1932" s="18"/>
      <c r="M1932" s="285" t="str">
        <f t="shared" ref="M1932" si="3001">IF(COUNT(L1932:L1933)&lt;1,"",AVERAGE(L1932:L1933))</f>
        <v/>
      </c>
      <c r="N1932" s="22"/>
      <c r="O1932" s="285" t="str">
        <f t="shared" ref="O1932" si="3002">IF(COUNT(N1932:N1933)&lt;1,"",AVERAGE(N1932:N1933))</f>
        <v/>
      </c>
      <c r="P1932" s="22"/>
      <c r="Q1932" s="285" t="str">
        <f t="shared" ref="Q1932" si="3003">IF(COUNT(P1932:P1933)&lt;1,"",AVERAGE(P1932:P1933))</f>
        <v/>
      </c>
      <c r="R1932" s="278" t="str">
        <f>IF($X$13="/28",IF(COUNT(P1932:P1933)&lt;=1,"",ABS(P1932-P1933)),IF($X$13="/90",IF(COUNT(#REF!)&lt;=1,"",ABS(#REF!-#REF!))))</f>
        <v/>
      </c>
      <c r="S1932" s="278" t="str">
        <f>IF($X$13="/28",IF(Q1932="","",IF(AVERAGE(Q1928:Q1933)&gt;=$W$13,ROUND(AVERAGE(Q1928:Q1933),1)&amp;" ≥ "&amp;$W$13&amp;" OK",ROUND(AVERAGE(Q1928:Q1933),1)&amp;" &lt; "&amp;$W$13&amp;" NC")),IF($X$13="/90",IF(#REF!="","",IF(AVERAGE(#REF!)&gt;=$W$13,ROUND(AVERAGE(#REF!),1)&amp;" ≥ "&amp;$W$13&amp;" OK",ROUND(AVERAGE(#REF!),1)&amp;" &lt; "&amp;$W$13&amp;" NC"))))</f>
        <v/>
      </c>
      <c r="T1932" s="278" t="str">
        <f>IF($X$13="/28",IF(Q1932="","",IF(Q1932&gt;=$W$13-$S$12,ROUND((Q1932),1)&amp;" ≥ "&amp;$W$13-$S$12&amp;" OK",ROUND((Q1932),1)&amp;" &lt; "&amp;$W$13-$S$12&amp;" NC")),IF($X$13="/90",IF(#REF!="","",IF(#REF!&gt;=$W$13-$S$12,ROUND((#REF!),1)&amp;" ≥ "&amp;$W$13-$S$12&amp;" OK",ROUND((#REF!),1)&amp;" &lt; "&amp;$W$13-$S$12&amp;" NC"))))</f>
        <v/>
      </c>
      <c r="U1932" s="14"/>
      <c r="V1932" s="279"/>
      <c r="W1932" s="280"/>
      <c r="X1932" s="281"/>
      <c r="Y1932" s="246"/>
      <c r="Z1932" s="246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BP1932" s="390" t="str">
        <f>IF($X$13="/28",IF(Q1932="","",Q1932),IF($X$13="/90",IF(#REF!="","",#REF!),"Falso"))</f>
        <v/>
      </c>
      <c r="BQ1932" s="392" t="str">
        <f t="shared" si="2920"/>
        <v/>
      </c>
    </row>
    <row r="1933" spans="1:69" ht="14.25" customHeight="1" x14ac:dyDescent="0.35">
      <c r="A1933" s="294"/>
      <c r="B1933" s="296"/>
      <c r="C1933" s="298"/>
      <c r="D1933" s="300"/>
      <c r="E1933" s="302"/>
      <c r="F1933" s="304"/>
      <c r="G1933" s="276"/>
      <c r="H1933" s="277"/>
      <c r="I1933" s="290"/>
      <c r="J1933" s="290"/>
      <c r="K1933" s="291"/>
      <c r="L1933" s="17"/>
      <c r="M1933" s="286"/>
      <c r="N1933" s="21"/>
      <c r="O1933" s="286"/>
      <c r="P1933" s="21"/>
      <c r="Q1933" s="286"/>
      <c r="R1933" s="248"/>
      <c r="S1933" s="287"/>
      <c r="T1933" s="248"/>
      <c r="U1933" s="13"/>
      <c r="V1933" s="282"/>
      <c r="W1933" s="283"/>
      <c r="X1933" s="284"/>
      <c r="Y1933" s="245"/>
      <c r="Z1933" s="245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BP1933" s="391"/>
      <c r="BQ1933" s="393"/>
    </row>
    <row r="1934" spans="1:69" ht="14.25" customHeight="1" x14ac:dyDescent="0.35">
      <c r="A1934" s="293">
        <v>959</v>
      </c>
      <c r="B1934" s="295"/>
      <c r="C1934" s="297"/>
      <c r="D1934" s="299"/>
      <c r="E1934" s="301"/>
      <c r="F1934" s="303"/>
      <c r="G1934" s="288"/>
      <c r="H1934" s="289"/>
      <c r="I1934" s="290"/>
      <c r="J1934" s="290"/>
      <c r="K1934" s="291"/>
      <c r="L1934" s="18"/>
      <c r="M1934" s="285" t="str">
        <f t="shared" ref="M1934" si="3004">IF(COUNT(L1934:L1935)&lt;1,"",AVERAGE(L1934:L1935))</f>
        <v/>
      </c>
      <c r="N1934" s="22"/>
      <c r="O1934" s="285" t="str">
        <f t="shared" ref="O1934" si="3005">IF(COUNT(N1934:N1935)&lt;1,"",AVERAGE(N1934:N1935))</f>
        <v/>
      </c>
      <c r="P1934" s="22"/>
      <c r="Q1934" s="285" t="str">
        <f t="shared" ref="Q1934" si="3006">IF(COUNT(P1934:P1935)&lt;1,"",AVERAGE(P1934:P1935))</f>
        <v/>
      </c>
      <c r="R1934" s="278" t="str">
        <f>IF($X$13="/28",IF(COUNT(P1934:P1935)&lt;=1,"",ABS(P1934-P1935)),IF($X$13="/90",IF(COUNT(#REF!)&lt;=1,"",ABS(#REF!-#REF!))))</f>
        <v/>
      </c>
      <c r="S1934" s="278" t="str">
        <f>IF($X$13="/28",IF(Q1934="","",IF(AVERAGE(Q1930:Q1935)&gt;=$W$13,ROUND(AVERAGE(Q1930:Q1935),1)&amp;" ≥ "&amp;$W$13&amp;" OK",ROUND(AVERAGE(Q1930:Q1935),1)&amp;" &lt; "&amp;$W$13&amp;" NC")),IF($X$13="/90",IF(#REF!="","",IF(AVERAGE(#REF!)&gt;=$W$13,ROUND(AVERAGE(#REF!),1)&amp;" ≥ "&amp;$W$13&amp;" OK",ROUND(AVERAGE(#REF!),1)&amp;" &lt; "&amp;$W$13&amp;" NC"))))</f>
        <v/>
      </c>
      <c r="T1934" s="278" t="str">
        <f>IF($X$13="/28",IF(Q1934="","",IF(Q1934&gt;=$W$13-$S$12,ROUND((Q1934),1)&amp;" ≥ "&amp;$W$13-$S$12&amp;" OK",ROUND((Q1934),1)&amp;" &lt; "&amp;$W$13-$S$12&amp;" NC")),IF($X$13="/90",IF(#REF!="","",IF(#REF!&gt;=$W$13-$S$12,ROUND((#REF!),1)&amp;" ≥ "&amp;$W$13-$S$12&amp;" OK",ROUND((#REF!),1)&amp;" &lt; "&amp;$W$13-$S$12&amp;" NC"))))</f>
        <v/>
      </c>
      <c r="U1934" s="14"/>
      <c r="V1934" s="279"/>
      <c r="W1934" s="280"/>
      <c r="X1934" s="281"/>
      <c r="Y1934" s="246"/>
      <c r="Z1934" s="246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BP1934" s="390" t="str">
        <f>IF($X$13="/28",IF(Q1934="","",Q1934),IF($X$13="/90",IF(#REF!="","",#REF!),"Falso"))</f>
        <v/>
      </c>
      <c r="BQ1934" s="392" t="str">
        <f t="shared" si="2924"/>
        <v/>
      </c>
    </row>
    <row r="1935" spans="1:69" ht="14.25" customHeight="1" x14ac:dyDescent="0.35">
      <c r="A1935" s="294"/>
      <c r="B1935" s="296"/>
      <c r="C1935" s="298"/>
      <c r="D1935" s="300"/>
      <c r="E1935" s="302"/>
      <c r="F1935" s="304"/>
      <c r="G1935" s="276"/>
      <c r="H1935" s="277"/>
      <c r="I1935" s="290"/>
      <c r="J1935" s="290"/>
      <c r="K1935" s="291"/>
      <c r="L1935" s="17"/>
      <c r="M1935" s="286"/>
      <c r="N1935" s="21"/>
      <c r="O1935" s="286"/>
      <c r="P1935" s="21"/>
      <c r="Q1935" s="286"/>
      <c r="R1935" s="248"/>
      <c r="S1935" s="287"/>
      <c r="T1935" s="248"/>
      <c r="U1935" s="13"/>
      <c r="V1935" s="282"/>
      <c r="W1935" s="283"/>
      <c r="X1935" s="284"/>
      <c r="Y1935" s="245"/>
      <c r="Z1935" s="245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BP1935" s="391"/>
      <c r="BQ1935" s="393"/>
    </row>
    <row r="1936" spans="1:69" ht="14.25" customHeight="1" x14ac:dyDescent="0.35">
      <c r="A1936" s="293">
        <v>960</v>
      </c>
      <c r="B1936" s="295"/>
      <c r="C1936" s="297"/>
      <c r="D1936" s="299"/>
      <c r="E1936" s="301"/>
      <c r="F1936" s="303"/>
      <c r="G1936" s="288"/>
      <c r="H1936" s="289"/>
      <c r="I1936" s="290"/>
      <c r="J1936" s="290"/>
      <c r="K1936" s="291"/>
      <c r="L1936" s="18"/>
      <c r="M1936" s="285" t="str">
        <f t="shared" ref="M1936" si="3007">IF(COUNT(L1936:L1937)&lt;1,"",AVERAGE(L1936:L1937))</f>
        <v/>
      </c>
      <c r="N1936" s="22"/>
      <c r="O1936" s="285" t="str">
        <f t="shared" ref="O1936" si="3008">IF(COUNT(N1936:N1937)&lt;1,"",AVERAGE(N1936:N1937))</f>
        <v/>
      </c>
      <c r="P1936" s="22"/>
      <c r="Q1936" s="285" t="str">
        <f t="shared" ref="Q1936" si="3009">IF(COUNT(P1936:P1937)&lt;1,"",AVERAGE(P1936:P1937))</f>
        <v/>
      </c>
      <c r="R1936" s="278" t="str">
        <f>IF($X$13="/28",IF(COUNT(P1936:P1937)&lt;=1,"",ABS(P1936-P1937)),IF($X$13="/90",IF(COUNT(#REF!)&lt;=1,"",ABS(#REF!-#REF!))))</f>
        <v/>
      </c>
      <c r="S1936" s="278" t="str">
        <f>IF($X$13="/28",IF(Q1936="","",IF(AVERAGE(Q1932:Q1937)&gt;=$W$13,ROUND(AVERAGE(Q1932:Q1937),1)&amp;" ≥ "&amp;$W$13&amp;" OK",ROUND(AVERAGE(Q1932:Q1937),1)&amp;" &lt; "&amp;$W$13&amp;" NC")),IF($X$13="/90",IF(#REF!="","",IF(AVERAGE(#REF!)&gt;=$W$13,ROUND(AVERAGE(#REF!),1)&amp;" ≥ "&amp;$W$13&amp;" OK",ROUND(AVERAGE(#REF!),1)&amp;" &lt; "&amp;$W$13&amp;" NC"))))</f>
        <v/>
      </c>
      <c r="T1936" s="278" t="str">
        <f>IF($X$13="/28",IF(Q1936="","",IF(Q1936&gt;=$W$13-$S$12,ROUND((Q1936),1)&amp;" ≥ "&amp;$W$13-$S$12&amp;" OK",ROUND((Q1936),1)&amp;" &lt; "&amp;$W$13-$S$12&amp;" NC")),IF($X$13="/90",IF(#REF!="","",IF(#REF!&gt;=$W$13-$S$12,ROUND((#REF!),1)&amp;" ≥ "&amp;$W$13-$S$12&amp;" OK",ROUND((#REF!),1)&amp;" &lt; "&amp;$W$13-$S$12&amp;" NC"))))</f>
        <v/>
      </c>
      <c r="U1936" s="14"/>
      <c r="V1936" s="279"/>
      <c r="W1936" s="280"/>
      <c r="X1936" s="281"/>
      <c r="Y1936" s="246"/>
      <c r="Z1936" s="246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BP1936" s="390" t="str">
        <f>IF($X$13="/28",IF(Q1936="","",Q1936),IF($X$13="/90",IF(#REF!="","",#REF!),"Falso"))</f>
        <v/>
      </c>
      <c r="BQ1936" s="392" t="str">
        <f t="shared" si="2928"/>
        <v/>
      </c>
    </row>
    <row r="1937" spans="1:69" ht="14.25" customHeight="1" thickBot="1" x14ac:dyDescent="0.4">
      <c r="A1937" s="384"/>
      <c r="B1937" s="385"/>
      <c r="C1937" s="386"/>
      <c r="D1937" s="387"/>
      <c r="E1937" s="388"/>
      <c r="F1937" s="389"/>
      <c r="G1937" s="377"/>
      <c r="H1937" s="378"/>
      <c r="I1937" s="382"/>
      <c r="J1937" s="382"/>
      <c r="K1937" s="383"/>
      <c r="L1937" s="19"/>
      <c r="M1937" s="379"/>
      <c r="N1937" s="23"/>
      <c r="O1937" s="379"/>
      <c r="P1937" s="23"/>
      <c r="Q1937" s="379"/>
      <c r="R1937" s="380"/>
      <c r="S1937" s="381"/>
      <c r="T1937" s="380"/>
      <c r="U1937" s="15"/>
      <c r="V1937" s="373"/>
      <c r="W1937" s="374"/>
      <c r="X1937" s="375"/>
      <c r="Y1937" s="376"/>
      <c r="Z1937" s="376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BP1937" s="391"/>
      <c r="BQ1937" s="393"/>
    </row>
    <row r="1938" spans="1:69" ht="14.25" customHeight="1" x14ac:dyDescent="0.35">
      <c r="A1938" s="311">
        <v>961</v>
      </c>
      <c r="B1938" s="312"/>
      <c r="C1938" s="313"/>
      <c r="D1938" s="314"/>
      <c r="E1938" s="315"/>
      <c r="F1938" s="353"/>
      <c r="G1938" s="354"/>
      <c r="H1938" s="355"/>
      <c r="I1938" s="356"/>
      <c r="J1938" s="356"/>
      <c r="K1938" s="357"/>
      <c r="L1938" s="16"/>
      <c r="M1938" s="352" t="str">
        <f t="shared" ref="M1938" si="3010">IF(COUNT(L1938:L1939)&lt;1,"",AVERAGE(L1938:L1939))</f>
        <v/>
      </c>
      <c r="N1938" s="20"/>
      <c r="O1938" s="352" t="str">
        <f t="shared" ref="O1938" si="3011">IF(COUNT(N1938:N1939)&lt;1,"",AVERAGE(N1938:N1939))</f>
        <v/>
      </c>
      <c r="P1938" s="20"/>
      <c r="Q1938" s="352" t="str">
        <f t="shared" ref="Q1938" si="3012">IF(COUNT(P1938:P1939)&lt;1,"",AVERAGE(P1938:P1939))</f>
        <v/>
      </c>
      <c r="R1938" s="247" t="str">
        <f>IF($X$13="/28",IF(COUNT(P1938:P1939)&lt;=1,"",ABS(P1938-P1939)),IF($X$13="/90",IF(COUNT(#REF!)&lt;=1,"",ABS(#REF!-#REF!))))</f>
        <v/>
      </c>
      <c r="S1938" s="247" t="str">
        <f>IF($X$13="/28",IF(Q1938="","",IF(AVERAGE(Q1934:Q1939)&gt;=$W$13,ROUND(AVERAGE(Q1934:Q1939),1)&amp;" ≥ "&amp;$W$13&amp;" OK",ROUND(AVERAGE(Q1934:Q1939),1)&amp;" &lt; "&amp;$W$13&amp;" NC")),IF($X$13="/90",IF(#REF!="","",IF(AVERAGE(#REF!)&gt;=$W$13,ROUND(AVERAGE(#REF!),1)&amp;" ≥ "&amp;$W$13&amp;" OK",ROUND(AVERAGE(#REF!),1)&amp;" &lt; "&amp;$W$13&amp;" NC"))))</f>
        <v/>
      </c>
      <c r="T1938" s="247" t="str">
        <f>IF($X$13="/28",IF(Q1938="","",IF(Q1938&gt;=$W$13-$S$12,ROUND((Q1938),1)&amp;" ≥ "&amp;$W$13-$S$12&amp;" OK",ROUND((Q1938),1)&amp;" &lt; "&amp;$W$13-$S$12&amp;" NC")),IF($X$13="/90",IF(#REF!="","",IF(#REF!&gt;=$W$13-$S$12,ROUND((#REF!),1)&amp;" ≥ "&amp;$W$13-$S$12&amp;" OK",ROUND((#REF!),1)&amp;" &lt; "&amp;$W$13-$S$12&amp;" NC"))))</f>
        <v/>
      </c>
      <c r="U1938" s="12"/>
      <c r="V1938" s="349"/>
      <c r="W1938" s="350"/>
      <c r="X1938" s="351"/>
      <c r="Y1938" s="244"/>
      <c r="Z1938" s="244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BP1938" s="390" t="str">
        <f>IF($X$13="/28",IF(Q1938="","",Q1938),IF($X$13="/90",IF(#REF!="","",#REF!),"Falso"))</f>
        <v/>
      </c>
      <c r="BQ1938" s="392" t="str">
        <f t="shared" si="2920"/>
        <v/>
      </c>
    </row>
    <row r="1939" spans="1:69" ht="14.25" customHeight="1" x14ac:dyDescent="0.35">
      <c r="A1939" s="294"/>
      <c r="B1939" s="296"/>
      <c r="C1939" s="298"/>
      <c r="D1939" s="300"/>
      <c r="E1939" s="302"/>
      <c r="F1939" s="304"/>
      <c r="G1939" s="276"/>
      <c r="H1939" s="277"/>
      <c r="I1939" s="290"/>
      <c r="J1939" s="290"/>
      <c r="K1939" s="291"/>
      <c r="L1939" s="17"/>
      <c r="M1939" s="286"/>
      <c r="N1939" s="21"/>
      <c r="O1939" s="286"/>
      <c r="P1939" s="21"/>
      <c r="Q1939" s="286"/>
      <c r="R1939" s="248"/>
      <c r="S1939" s="248"/>
      <c r="T1939" s="248"/>
      <c r="U1939" s="13"/>
      <c r="V1939" s="282"/>
      <c r="W1939" s="283"/>
      <c r="X1939" s="284"/>
      <c r="Y1939" s="245"/>
      <c r="Z1939" s="245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BP1939" s="391"/>
      <c r="BQ1939" s="393"/>
    </row>
    <row r="1940" spans="1:69" ht="14.25" customHeight="1" x14ac:dyDescent="0.35">
      <c r="A1940" s="293">
        <v>962</v>
      </c>
      <c r="B1940" s="295"/>
      <c r="C1940" s="297"/>
      <c r="D1940" s="299"/>
      <c r="E1940" s="301"/>
      <c r="F1940" s="303"/>
      <c r="G1940" s="288"/>
      <c r="H1940" s="289"/>
      <c r="I1940" s="290"/>
      <c r="J1940" s="290"/>
      <c r="K1940" s="291"/>
      <c r="L1940" s="18"/>
      <c r="M1940" s="285" t="str">
        <f t="shared" ref="M1940" si="3013">IF(COUNT(L1940:L1941)&lt;1,"",AVERAGE(L1940:L1941))</f>
        <v/>
      </c>
      <c r="N1940" s="22"/>
      <c r="O1940" s="285" t="str">
        <f t="shared" ref="O1940" si="3014">IF(COUNT(N1940:N1941)&lt;1,"",AVERAGE(N1940:N1941))</f>
        <v/>
      </c>
      <c r="P1940" s="22"/>
      <c r="Q1940" s="285" t="str">
        <f t="shared" ref="Q1940" si="3015">IF(COUNT(P1940:P1941)&lt;1,"",AVERAGE(P1940:P1941))</f>
        <v/>
      </c>
      <c r="R1940" s="278" t="str">
        <f>IF($X$13="/28",IF(COUNT(P1940:P1941)&lt;=1,"",ABS(P1940-P1941)),IF($X$13="/90",IF(COUNT(#REF!)&lt;=1,"",ABS(#REF!-#REF!))))</f>
        <v/>
      </c>
      <c r="S1940" s="278" t="str">
        <f>IF($X$13="/28",IF(Q1940="","",IF(AVERAGE(Q1936:Q1941)&gt;=$W$13,ROUND(AVERAGE(Q1936:Q1941),1)&amp;" ≥ "&amp;$W$13&amp;" OK",ROUND(AVERAGE(Q1936:Q1941),1)&amp;" &lt; "&amp;$W$13&amp;" NC")),IF($X$13="/90",IF(#REF!="","",IF(AVERAGE(#REF!)&gt;=$W$13,ROUND(AVERAGE(#REF!),1)&amp;" ≥ "&amp;$W$13&amp;" OK",ROUND(AVERAGE(#REF!),1)&amp;" &lt; "&amp;$W$13&amp;" NC"))))</f>
        <v/>
      </c>
      <c r="T1940" s="278" t="str">
        <f>IF($X$13="/28",IF(Q1940="","",IF(Q1940&gt;=$W$13-$S$12,ROUND((Q1940),1)&amp;" ≥ "&amp;$W$13-$S$12&amp;" OK",ROUND((Q1940),1)&amp;" &lt; "&amp;$W$13-$S$12&amp;" NC")),IF($X$13="/90",IF(#REF!="","",IF(#REF!&gt;=$W$13-$S$12,ROUND((#REF!),1)&amp;" ≥ "&amp;$W$13-$S$12&amp;" OK",ROUND((#REF!),1)&amp;" &lt; "&amp;$W$13-$S$12&amp;" NC"))))</f>
        <v/>
      </c>
      <c r="U1940" s="14"/>
      <c r="V1940" s="279"/>
      <c r="W1940" s="280"/>
      <c r="X1940" s="281"/>
      <c r="Y1940" s="246"/>
      <c r="Z1940" s="246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BP1940" s="390" t="str">
        <f>IF($X$13="/28",IF(Q1940="","",Q1940),IF($X$13="/90",IF(#REF!="","",#REF!),"Falso"))</f>
        <v/>
      </c>
      <c r="BQ1940" s="392" t="str">
        <f t="shared" si="2924"/>
        <v/>
      </c>
    </row>
    <row r="1941" spans="1:69" ht="14.25" customHeight="1" x14ac:dyDescent="0.35">
      <c r="A1941" s="294"/>
      <c r="B1941" s="296"/>
      <c r="C1941" s="298"/>
      <c r="D1941" s="300"/>
      <c r="E1941" s="302"/>
      <c r="F1941" s="304"/>
      <c r="G1941" s="276"/>
      <c r="H1941" s="277"/>
      <c r="I1941" s="290"/>
      <c r="J1941" s="290"/>
      <c r="K1941" s="291"/>
      <c r="L1941" s="17"/>
      <c r="M1941" s="286"/>
      <c r="N1941" s="21"/>
      <c r="O1941" s="286"/>
      <c r="P1941" s="21"/>
      <c r="Q1941" s="286"/>
      <c r="R1941" s="248"/>
      <c r="S1941" s="248"/>
      <c r="T1941" s="248"/>
      <c r="U1941" s="13"/>
      <c r="V1941" s="282"/>
      <c r="W1941" s="283"/>
      <c r="X1941" s="284"/>
      <c r="Y1941" s="245"/>
      <c r="Z1941" s="245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BP1941" s="391"/>
      <c r="BQ1941" s="393"/>
    </row>
    <row r="1942" spans="1:69" ht="14.25" customHeight="1" x14ac:dyDescent="0.35">
      <c r="A1942" s="293">
        <v>963</v>
      </c>
      <c r="B1942" s="295"/>
      <c r="C1942" s="297"/>
      <c r="D1942" s="299"/>
      <c r="E1942" s="301"/>
      <c r="F1942" s="303"/>
      <c r="G1942" s="288"/>
      <c r="H1942" s="289"/>
      <c r="I1942" s="290"/>
      <c r="J1942" s="290"/>
      <c r="K1942" s="291"/>
      <c r="L1942" s="18"/>
      <c r="M1942" s="285" t="str">
        <f t="shared" ref="M1942" si="3016">IF(COUNT(L1942:L1943)&lt;1,"",AVERAGE(L1942:L1943))</f>
        <v/>
      </c>
      <c r="N1942" s="22"/>
      <c r="O1942" s="285" t="str">
        <f t="shared" ref="O1942" si="3017">IF(COUNT(N1942:N1943)&lt;1,"",AVERAGE(N1942:N1943))</f>
        <v/>
      </c>
      <c r="P1942" s="22"/>
      <c r="Q1942" s="285" t="str">
        <f t="shared" ref="Q1942" si="3018">IF(COUNT(P1942:P1943)&lt;1,"",AVERAGE(P1942:P1943))</f>
        <v/>
      </c>
      <c r="R1942" s="278" t="str">
        <f>IF($X$13="/28",IF(COUNT(P1942:P1943)&lt;=1,"",ABS(P1942-P1943)),IF($X$13="/90",IF(COUNT(#REF!)&lt;=1,"",ABS(#REF!-#REF!))))</f>
        <v/>
      </c>
      <c r="S1942" s="278" t="str">
        <f>IF($X$13="/28",IF(Q1942="","",IF(AVERAGE(Q1938:Q1943)&gt;=$W$13,ROUND(AVERAGE(Q1938:Q1943),1)&amp;" ≥ "&amp;$W$13&amp;" OK",ROUND(AVERAGE(Q1938:Q1943),1)&amp;" &lt; "&amp;$W$13&amp;" NC")),IF($X$13="/90",IF(#REF!="","",IF(AVERAGE(#REF!)&gt;=$W$13,ROUND(AVERAGE(#REF!),1)&amp;" ≥ "&amp;$W$13&amp;" OK",ROUND(AVERAGE(#REF!),1)&amp;" &lt; "&amp;$W$13&amp;" NC"))))</f>
        <v/>
      </c>
      <c r="T1942" s="278" t="str">
        <f>IF($X$13="/28",IF(Q1942="","",IF(Q1942&gt;=$W$13-$S$12,ROUND((Q1942),1)&amp;" ≥ "&amp;$W$13-$S$12&amp;" OK",ROUND((Q1942),1)&amp;" &lt; "&amp;$W$13-$S$12&amp;" NC")),IF($X$13="/90",IF(#REF!="","",IF(#REF!&gt;=$W$13-$S$12,ROUND((#REF!),1)&amp;" ≥ "&amp;$W$13-$S$12&amp;" OK",ROUND((#REF!),1)&amp;" &lt; "&amp;$W$13-$S$12&amp;" NC"))))</f>
        <v/>
      </c>
      <c r="U1942" s="14"/>
      <c r="V1942" s="279"/>
      <c r="W1942" s="280"/>
      <c r="X1942" s="281"/>
      <c r="Y1942" s="246"/>
      <c r="Z1942" s="246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BP1942" s="390" t="str">
        <f>IF($X$13="/28",IF(Q1942="","",Q1942),IF($X$13="/90",IF(#REF!="","",#REF!),"Falso"))</f>
        <v/>
      </c>
      <c r="BQ1942" s="392" t="str">
        <f t="shared" si="2928"/>
        <v/>
      </c>
    </row>
    <row r="1943" spans="1:69" ht="14.25" customHeight="1" x14ac:dyDescent="0.35">
      <c r="A1943" s="294"/>
      <c r="B1943" s="296"/>
      <c r="C1943" s="298"/>
      <c r="D1943" s="300"/>
      <c r="E1943" s="302"/>
      <c r="F1943" s="304"/>
      <c r="G1943" s="276"/>
      <c r="H1943" s="277"/>
      <c r="I1943" s="290"/>
      <c r="J1943" s="290"/>
      <c r="K1943" s="291"/>
      <c r="L1943" s="17"/>
      <c r="M1943" s="286"/>
      <c r="N1943" s="21"/>
      <c r="O1943" s="286"/>
      <c r="P1943" s="21"/>
      <c r="Q1943" s="286"/>
      <c r="R1943" s="248"/>
      <c r="S1943" s="287"/>
      <c r="T1943" s="248"/>
      <c r="U1943" s="13"/>
      <c r="V1943" s="282"/>
      <c r="W1943" s="283"/>
      <c r="X1943" s="284"/>
      <c r="Y1943" s="245"/>
      <c r="Z1943" s="245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BP1943" s="391"/>
      <c r="BQ1943" s="393"/>
    </row>
    <row r="1944" spans="1:69" ht="14.25" customHeight="1" x14ac:dyDescent="0.35">
      <c r="A1944" s="293">
        <v>964</v>
      </c>
      <c r="B1944" s="295"/>
      <c r="C1944" s="297"/>
      <c r="D1944" s="299"/>
      <c r="E1944" s="301"/>
      <c r="F1944" s="303"/>
      <c r="G1944" s="288"/>
      <c r="H1944" s="289"/>
      <c r="I1944" s="290"/>
      <c r="J1944" s="290"/>
      <c r="K1944" s="291"/>
      <c r="L1944" s="18"/>
      <c r="M1944" s="285" t="str">
        <f t="shared" ref="M1944" si="3019">IF(COUNT(L1944:L1945)&lt;1,"",AVERAGE(L1944:L1945))</f>
        <v/>
      </c>
      <c r="N1944" s="22"/>
      <c r="O1944" s="285" t="str">
        <f t="shared" ref="O1944" si="3020">IF(COUNT(N1944:N1945)&lt;1,"",AVERAGE(N1944:N1945))</f>
        <v/>
      </c>
      <c r="P1944" s="22"/>
      <c r="Q1944" s="285" t="str">
        <f t="shared" ref="Q1944" si="3021">IF(COUNT(P1944:P1945)&lt;1,"",AVERAGE(P1944:P1945))</f>
        <v/>
      </c>
      <c r="R1944" s="278" t="str">
        <f>IF($X$13="/28",IF(COUNT(P1944:P1945)&lt;=1,"",ABS(P1944-P1945)),IF($X$13="/90",IF(COUNT(#REF!)&lt;=1,"",ABS(#REF!-#REF!))))</f>
        <v/>
      </c>
      <c r="S1944" s="278" t="str">
        <f>IF($X$13="/28",IF(Q1944="","",IF(AVERAGE(Q1940:Q1945)&gt;=$W$13,ROUND(AVERAGE(Q1940:Q1945),1)&amp;" ≥ "&amp;$W$13&amp;" OK",ROUND(AVERAGE(Q1940:Q1945),1)&amp;" &lt; "&amp;$W$13&amp;" NC")),IF($X$13="/90",IF(#REF!="","",IF(AVERAGE(#REF!)&gt;=$W$13,ROUND(AVERAGE(#REF!),1)&amp;" ≥ "&amp;$W$13&amp;" OK",ROUND(AVERAGE(#REF!),1)&amp;" &lt; "&amp;$W$13&amp;" NC"))))</f>
        <v/>
      </c>
      <c r="T1944" s="278" t="str">
        <f>IF($X$13="/28",IF(Q1944="","",IF(Q1944&gt;=$W$13-$S$12,ROUND((Q1944),1)&amp;" ≥ "&amp;$W$13-$S$12&amp;" OK",ROUND((Q1944),1)&amp;" &lt; "&amp;$W$13-$S$12&amp;" NC")),IF($X$13="/90",IF(#REF!="","",IF(#REF!&gt;=$W$13-$S$12,ROUND((#REF!),1)&amp;" ≥ "&amp;$W$13-$S$12&amp;" OK",ROUND((#REF!),1)&amp;" &lt; "&amp;$W$13-$S$12&amp;" NC"))))</f>
        <v/>
      </c>
      <c r="U1944" s="14"/>
      <c r="V1944" s="279"/>
      <c r="W1944" s="280"/>
      <c r="X1944" s="281"/>
      <c r="Y1944" s="246"/>
      <c r="Z1944" s="246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BP1944" s="390" t="str">
        <f>IF($X$13="/28",IF(Q1944="","",Q1944),IF($X$13="/90",IF(#REF!="","",#REF!),"Falso"))</f>
        <v/>
      </c>
      <c r="BQ1944" s="392" t="str">
        <f t="shared" ref="BQ1944:BQ1992" si="3022">IF(BP1944="","",BQ1942+1)</f>
        <v/>
      </c>
    </row>
    <row r="1945" spans="1:69" ht="14.25" customHeight="1" x14ac:dyDescent="0.35">
      <c r="A1945" s="294"/>
      <c r="B1945" s="296"/>
      <c r="C1945" s="298"/>
      <c r="D1945" s="300"/>
      <c r="E1945" s="302"/>
      <c r="F1945" s="304"/>
      <c r="G1945" s="276"/>
      <c r="H1945" s="277"/>
      <c r="I1945" s="290"/>
      <c r="J1945" s="290"/>
      <c r="K1945" s="291"/>
      <c r="L1945" s="17"/>
      <c r="M1945" s="286"/>
      <c r="N1945" s="21"/>
      <c r="O1945" s="286"/>
      <c r="P1945" s="21"/>
      <c r="Q1945" s="286"/>
      <c r="R1945" s="248"/>
      <c r="S1945" s="287"/>
      <c r="T1945" s="248"/>
      <c r="U1945" s="13"/>
      <c r="V1945" s="282"/>
      <c r="W1945" s="283"/>
      <c r="X1945" s="284"/>
      <c r="Y1945" s="245"/>
      <c r="Z1945" s="245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BP1945" s="391"/>
      <c r="BQ1945" s="393"/>
    </row>
    <row r="1946" spans="1:69" ht="14.25" customHeight="1" x14ac:dyDescent="0.35">
      <c r="A1946" s="293">
        <v>965</v>
      </c>
      <c r="B1946" s="295"/>
      <c r="C1946" s="297"/>
      <c r="D1946" s="299"/>
      <c r="E1946" s="301"/>
      <c r="F1946" s="303"/>
      <c r="G1946" s="288"/>
      <c r="H1946" s="289"/>
      <c r="I1946" s="290"/>
      <c r="J1946" s="290"/>
      <c r="K1946" s="291"/>
      <c r="L1946" s="18"/>
      <c r="M1946" s="285" t="str">
        <f t="shared" ref="M1946" si="3023">IF(COUNT(L1946:L1947)&lt;1,"",AVERAGE(L1946:L1947))</f>
        <v/>
      </c>
      <c r="N1946" s="22"/>
      <c r="O1946" s="285" t="str">
        <f t="shared" ref="O1946" si="3024">IF(COUNT(N1946:N1947)&lt;1,"",AVERAGE(N1946:N1947))</f>
        <v/>
      </c>
      <c r="P1946" s="22"/>
      <c r="Q1946" s="285" t="str">
        <f t="shared" ref="Q1946" si="3025">IF(COUNT(P1946:P1947)&lt;1,"",AVERAGE(P1946:P1947))</f>
        <v/>
      </c>
      <c r="R1946" s="278" t="str">
        <f>IF($X$13="/28",IF(COUNT(P1946:P1947)&lt;=1,"",ABS(P1946-P1947)),IF($X$13="/90",IF(COUNT(#REF!)&lt;=1,"",ABS(#REF!-#REF!))))</f>
        <v/>
      </c>
      <c r="S1946" s="278" t="str">
        <f>IF($X$13="/28",IF(Q1946="","",IF(AVERAGE(Q1942:Q1947)&gt;=$W$13,ROUND(AVERAGE(Q1942:Q1947),1)&amp;" ≥ "&amp;$W$13&amp;" OK",ROUND(AVERAGE(Q1942:Q1947),1)&amp;" &lt; "&amp;$W$13&amp;" NC")),IF($X$13="/90",IF(#REF!="","",IF(AVERAGE(#REF!)&gt;=$W$13,ROUND(AVERAGE(#REF!),1)&amp;" ≥ "&amp;$W$13&amp;" OK",ROUND(AVERAGE(#REF!),1)&amp;" &lt; "&amp;$W$13&amp;" NC"))))</f>
        <v/>
      </c>
      <c r="T1946" s="278" t="str">
        <f>IF($X$13="/28",IF(Q1946="","",IF(Q1946&gt;=$W$13-$S$12,ROUND((Q1946),1)&amp;" ≥ "&amp;$W$13-$S$12&amp;" OK",ROUND((Q1946),1)&amp;" &lt; "&amp;$W$13-$S$12&amp;" NC")),IF($X$13="/90",IF(#REF!="","",IF(#REF!&gt;=$W$13-$S$12,ROUND((#REF!),1)&amp;" ≥ "&amp;$W$13-$S$12&amp;" OK",ROUND((#REF!),1)&amp;" &lt; "&amp;$W$13-$S$12&amp;" NC"))))</f>
        <v/>
      </c>
      <c r="U1946" s="14"/>
      <c r="V1946" s="279"/>
      <c r="W1946" s="280"/>
      <c r="X1946" s="281"/>
      <c r="Y1946" s="246"/>
      <c r="Z1946" s="246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BP1946" s="390" t="str">
        <f>IF($X$13="/28",IF(Q1946="","",Q1946),IF($X$13="/90",IF(#REF!="","",#REF!),"Falso"))</f>
        <v/>
      </c>
      <c r="BQ1946" s="392" t="str">
        <f t="shared" ref="BQ1946:BQ1994" si="3026">IF(BP1946="","",BQ1944+1)</f>
        <v/>
      </c>
    </row>
    <row r="1947" spans="1:69" ht="14.25" customHeight="1" x14ac:dyDescent="0.35">
      <c r="A1947" s="294"/>
      <c r="B1947" s="296"/>
      <c r="C1947" s="298"/>
      <c r="D1947" s="300"/>
      <c r="E1947" s="302"/>
      <c r="F1947" s="304"/>
      <c r="G1947" s="276"/>
      <c r="H1947" s="277"/>
      <c r="I1947" s="290"/>
      <c r="J1947" s="290"/>
      <c r="K1947" s="291"/>
      <c r="L1947" s="17"/>
      <c r="M1947" s="286"/>
      <c r="N1947" s="21"/>
      <c r="O1947" s="286"/>
      <c r="P1947" s="21"/>
      <c r="Q1947" s="286"/>
      <c r="R1947" s="248"/>
      <c r="S1947" s="287"/>
      <c r="T1947" s="248"/>
      <c r="U1947" s="13"/>
      <c r="V1947" s="282"/>
      <c r="W1947" s="283"/>
      <c r="X1947" s="284"/>
      <c r="Y1947" s="245"/>
      <c r="Z1947" s="245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BP1947" s="391"/>
      <c r="BQ1947" s="393"/>
    </row>
    <row r="1948" spans="1:69" ht="14.25" customHeight="1" x14ac:dyDescent="0.35">
      <c r="A1948" s="293">
        <v>966</v>
      </c>
      <c r="B1948" s="295"/>
      <c r="C1948" s="297"/>
      <c r="D1948" s="299"/>
      <c r="E1948" s="301"/>
      <c r="F1948" s="303"/>
      <c r="G1948" s="288"/>
      <c r="H1948" s="289"/>
      <c r="I1948" s="290"/>
      <c r="J1948" s="290"/>
      <c r="K1948" s="291"/>
      <c r="L1948" s="18"/>
      <c r="M1948" s="285" t="str">
        <f t="shared" ref="M1948" si="3027">IF(COUNT(L1948:L1949)&lt;1,"",AVERAGE(L1948:L1949))</f>
        <v/>
      </c>
      <c r="N1948" s="22"/>
      <c r="O1948" s="285" t="str">
        <f t="shared" ref="O1948" si="3028">IF(COUNT(N1948:N1949)&lt;1,"",AVERAGE(N1948:N1949))</f>
        <v/>
      </c>
      <c r="P1948" s="22"/>
      <c r="Q1948" s="285" t="str">
        <f t="shared" ref="Q1948" si="3029">IF(COUNT(P1948:P1949)&lt;1,"",AVERAGE(P1948:P1949))</f>
        <v/>
      </c>
      <c r="R1948" s="278" t="str">
        <f>IF($X$13="/28",IF(COUNT(P1948:P1949)&lt;=1,"",ABS(P1948-P1949)),IF($X$13="/90",IF(COUNT(#REF!)&lt;=1,"",ABS(#REF!-#REF!))))</f>
        <v/>
      </c>
      <c r="S1948" s="278" t="str">
        <f>IF($X$13="/28",IF(Q1948="","",IF(AVERAGE(Q1944:Q1949)&gt;=$W$13,ROUND(AVERAGE(Q1944:Q1949),1)&amp;" ≥ "&amp;$W$13&amp;" OK",ROUND(AVERAGE(Q1944:Q1949),1)&amp;" &lt; "&amp;$W$13&amp;" NC")),IF($X$13="/90",IF(#REF!="","",IF(AVERAGE(#REF!)&gt;=$W$13,ROUND(AVERAGE(#REF!),1)&amp;" ≥ "&amp;$W$13&amp;" OK",ROUND(AVERAGE(#REF!),1)&amp;" &lt; "&amp;$W$13&amp;" NC"))))</f>
        <v/>
      </c>
      <c r="T1948" s="278" t="str">
        <f>IF($X$13="/28",IF(Q1948="","",IF(Q1948&gt;=$W$13-$S$12,ROUND((Q1948),1)&amp;" ≥ "&amp;$W$13-$S$12&amp;" OK",ROUND((Q1948),1)&amp;" &lt; "&amp;$W$13-$S$12&amp;" NC")),IF($X$13="/90",IF(#REF!="","",IF(#REF!&gt;=$W$13-$S$12,ROUND((#REF!),1)&amp;" ≥ "&amp;$W$13-$S$12&amp;" OK",ROUND((#REF!),1)&amp;" &lt; "&amp;$W$13-$S$12&amp;" NC"))))</f>
        <v/>
      </c>
      <c r="U1948" s="14"/>
      <c r="V1948" s="279"/>
      <c r="W1948" s="280"/>
      <c r="X1948" s="281"/>
      <c r="Y1948" s="246"/>
      <c r="Z1948" s="246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BP1948" s="390" t="str">
        <f>IF($X$13="/28",IF(Q1948="","",Q1948),IF($X$13="/90",IF(#REF!="","",#REF!),"Falso"))</f>
        <v/>
      </c>
      <c r="BQ1948" s="392" t="str">
        <f t="shared" ref="BQ1948:BQ1996" si="3030">IF(BP1948="","",BQ1946+1)</f>
        <v/>
      </c>
    </row>
    <row r="1949" spans="1:69" ht="14.25" customHeight="1" x14ac:dyDescent="0.35">
      <c r="A1949" s="294"/>
      <c r="B1949" s="296"/>
      <c r="C1949" s="298"/>
      <c r="D1949" s="300"/>
      <c r="E1949" s="302"/>
      <c r="F1949" s="304"/>
      <c r="G1949" s="276"/>
      <c r="H1949" s="277"/>
      <c r="I1949" s="290"/>
      <c r="J1949" s="290"/>
      <c r="K1949" s="291"/>
      <c r="L1949" s="17"/>
      <c r="M1949" s="286"/>
      <c r="N1949" s="21"/>
      <c r="O1949" s="286"/>
      <c r="P1949" s="21"/>
      <c r="Q1949" s="286"/>
      <c r="R1949" s="248"/>
      <c r="S1949" s="287"/>
      <c r="T1949" s="248"/>
      <c r="U1949" s="13"/>
      <c r="V1949" s="282"/>
      <c r="W1949" s="283"/>
      <c r="X1949" s="284"/>
      <c r="Y1949" s="245"/>
      <c r="Z1949" s="245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BP1949" s="391"/>
      <c r="BQ1949" s="393"/>
    </row>
    <row r="1950" spans="1:69" ht="14.25" customHeight="1" x14ac:dyDescent="0.35">
      <c r="A1950" s="293">
        <v>967</v>
      </c>
      <c r="B1950" s="295"/>
      <c r="C1950" s="297"/>
      <c r="D1950" s="299"/>
      <c r="E1950" s="301"/>
      <c r="F1950" s="303"/>
      <c r="G1950" s="288"/>
      <c r="H1950" s="289"/>
      <c r="I1950" s="290"/>
      <c r="J1950" s="290"/>
      <c r="K1950" s="291"/>
      <c r="L1950" s="18"/>
      <c r="M1950" s="285" t="str">
        <f t="shared" ref="M1950" si="3031">IF(COUNT(L1950:L1951)&lt;1,"",AVERAGE(L1950:L1951))</f>
        <v/>
      </c>
      <c r="N1950" s="22"/>
      <c r="O1950" s="285" t="str">
        <f t="shared" ref="O1950" si="3032">IF(COUNT(N1950:N1951)&lt;1,"",AVERAGE(N1950:N1951))</f>
        <v/>
      </c>
      <c r="P1950" s="22"/>
      <c r="Q1950" s="285" t="str">
        <f t="shared" ref="Q1950" si="3033">IF(COUNT(P1950:P1951)&lt;1,"",AVERAGE(P1950:P1951))</f>
        <v/>
      </c>
      <c r="R1950" s="278" t="str">
        <f>IF($X$13="/28",IF(COUNT(P1950:P1951)&lt;=1,"",ABS(P1950-P1951)),IF($X$13="/90",IF(COUNT(#REF!)&lt;=1,"",ABS(#REF!-#REF!))))</f>
        <v/>
      </c>
      <c r="S1950" s="278" t="str">
        <f>IF($X$13="/28",IF(Q1950="","",IF(AVERAGE(Q1946:Q1951)&gt;=$W$13,ROUND(AVERAGE(Q1946:Q1951),1)&amp;" ≥ "&amp;$W$13&amp;" OK",ROUND(AVERAGE(Q1946:Q1951),1)&amp;" &lt; "&amp;$W$13&amp;" NC")),IF($X$13="/90",IF(#REF!="","",IF(AVERAGE(#REF!)&gt;=$W$13,ROUND(AVERAGE(#REF!),1)&amp;" ≥ "&amp;$W$13&amp;" OK",ROUND(AVERAGE(#REF!),1)&amp;" &lt; "&amp;$W$13&amp;" NC"))))</f>
        <v/>
      </c>
      <c r="T1950" s="278" t="str">
        <f>IF($X$13="/28",IF(Q1950="","",IF(Q1950&gt;=$W$13-$S$12,ROUND((Q1950),1)&amp;" ≥ "&amp;$W$13-$S$12&amp;" OK",ROUND((Q1950),1)&amp;" &lt; "&amp;$W$13-$S$12&amp;" NC")),IF($X$13="/90",IF(#REF!="","",IF(#REF!&gt;=$W$13-$S$12,ROUND((#REF!),1)&amp;" ≥ "&amp;$W$13-$S$12&amp;" OK",ROUND((#REF!),1)&amp;" &lt; "&amp;$W$13-$S$12&amp;" NC"))))</f>
        <v/>
      </c>
      <c r="U1950" s="14"/>
      <c r="V1950" s="279"/>
      <c r="W1950" s="280"/>
      <c r="X1950" s="281"/>
      <c r="Y1950" s="246"/>
      <c r="Z1950" s="246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BP1950" s="390" t="str">
        <f>IF($X$13="/28",IF(Q1950="","",Q1950),IF($X$13="/90",IF(#REF!="","",#REF!),"Falso"))</f>
        <v/>
      </c>
      <c r="BQ1950" s="392" t="str">
        <f t="shared" si="3022"/>
        <v/>
      </c>
    </row>
    <row r="1951" spans="1:69" ht="14.25" customHeight="1" x14ac:dyDescent="0.35">
      <c r="A1951" s="294"/>
      <c r="B1951" s="296"/>
      <c r="C1951" s="298"/>
      <c r="D1951" s="300"/>
      <c r="E1951" s="302"/>
      <c r="F1951" s="304"/>
      <c r="G1951" s="276"/>
      <c r="H1951" s="277"/>
      <c r="I1951" s="290"/>
      <c r="J1951" s="290"/>
      <c r="K1951" s="291"/>
      <c r="L1951" s="17"/>
      <c r="M1951" s="286"/>
      <c r="N1951" s="21"/>
      <c r="O1951" s="286"/>
      <c r="P1951" s="21"/>
      <c r="Q1951" s="286"/>
      <c r="R1951" s="248"/>
      <c r="S1951" s="287"/>
      <c r="T1951" s="248"/>
      <c r="U1951" s="13"/>
      <c r="V1951" s="282"/>
      <c r="W1951" s="283"/>
      <c r="X1951" s="284"/>
      <c r="Y1951" s="245"/>
      <c r="Z1951" s="245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BP1951" s="391"/>
      <c r="BQ1951" s="393"/>
    </row>
    <row r="1952" spans="1:69" ht="14.25" customHeight="1" x14ac:dyDescent="0.35">
      <c r="A1952" s="293">
        <v>968</v>
      </c>
      <c r="B1952" s="295"/>
      <c r="C1952" s="297"/>
      <c r="D1952" s="299"/>
      <c r="E1952" s="301"/>
      <c r="F1952" s="303"/>
      <c r="G1952" s="288"/>
      <c r="H1952" s="289"/>
      <c r="I1952" s="290"/>
      <c r="J1952" s="290"/>
      <c r="K1952" s="291"/>
      <c r="L1952" s="18"/>
      <c r="M1952" s="285" t="str">
        <f t="shared" ref="M1952" si="3034">IF(COUNT(L1952:L1953)&lt;1,"",AVERAGE(L1952:L1953))</f>
        <v/>
      </c>
      <c r="N1952" s="22"/>
      <c r="O1952" s="285" t="str">
        <f t="shared" ref="O1952" si="3035">IF(COUNT(N1952:N1953)&lt;1,"",AVERAGE(N1952:N1953))</f>
        <v/>
      </c>
      <c r="P1952" s="22"/>
      <c r="Q1952" s="285" t="str">
        <f t="shared" ref="Q1952" si="3036">IF(COUNT(P1952:P1953)&lt;1,"",AVERAGE(P1952:P1953))</f>
        <v/>
      </c>
      <c r="R1952" s="278" t="str">
        <f>IF($X$13="/28",IF(COUNT(P1952:P1953)&lt;=1,"",ABS(P1952-P1953)),IF($X$13="/90",IF(COUNT(#REF!)&lt;=1,"",ABS(#REF!-#REF!))))</f>
        <v/>
      </c>
      <c r="S1952" s="278" t="str">
        <f>IF($X$13="/28",IF(Q1952="","",IF(AVERAGE(Q1948:Q1953)&gt;=$W$13,ROUND(AVERAGE(Q1948:Q1953),1)&amp;" ≥ "&amp;$W$13&amp;" OK",ROUND(AVERAGE(Q1948:Q1953),1)&amp;" &lt; "&amp;$W$13&amp;" NC")),IF($X$13="/90",IF(#REF!="","",IF(AVERAGE(#REF!)&gt;=$W$13,ROUND(AVERAGE(#REF!),1)&amp;" ≥ "&amp;$W$13&amp;" OK",ROUND(AVERAGE(#REF!),1)&amp;" &lt; "&amp;$W$13&amp;" NC"))))</f>
        <v/>
      </c>
      <c r="T1952" s="278" t="str">
        <f>IF($X$13="/28",IF(Q1952="","",IF(Q1952&gt;=$W$13-$S$12,ROUND((Q1952),1)&amp;" ≥ "&amp;$W$13-$S$12&amp;" OK",ROUND((Q1952),1)&amp;" &lt; "&amp;$W$13-$S$12&amp;" NC")),IF($X$13="/90",IF(#REF!="","",IF(#REF!&gt;=$W$13-$S$12,ROUND((#REF!),1)&amp;" ≥ "&amp;$W$13-$S$12&amp;" OK",ROUND((#REF!),1)&amp;" &lt; "&amp;$W$13-$S$12&amp;" NC"))))</f>
        <v/>
      </c>
      <c r="U1952" s="14"/>
      <c r="V1952" s="279"/>
      <c r="W1952" s="280"/>
      <c r="X1952" s="281"/>
      <c r="Y1952" s="246"/>
      <c r="Z1952" s="246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BP1952" s="390" t="str">
        <f>IF($X$13="/28",IF(Q1952="","",Q1952),IF($X$13="/90",IF(#REF!="","",#REF!),"Falso"))</f>
        <v/>
      </c>
      <c r="BQ1952" s="392" t="str">
        <f t="shared" si="3026"/>
        <v/>
      </c>
    </row>
    <row r="1953" spans="1:69" ht="14.25" customHeight="1" x14ac:dyDescent="0.35">
      <c r="A1953" s="294"/>
      <c r="B1953" s="296"/>
      <c r="C1953" s="298"/>
      <c r="D1953" s="300"/>
      <c r="E1953" s="302"/>
      <c r="F1953" s="304"/>
      <c r="G1953" s="276"/>
      <c r="H1953" s="277"/>
      <c r="I1953" s="290"/>
      <c r="J1953" s="290"/>
      <c r="K1953" s="291"/>
      <c r="L1953" s="17"/>
      <c r="M1953" s="286"/>
      <c r="N1953" s="21"/>
      <c r="O1953" s="286"/>
      <c r="P1953" s="21"/>
      <c r="Q1953" s="286"/>
      <c r="R1953" s="248"/>
      <c r="S1953" s="287"/>
      <c r="T1953" s="248"/>
      <c r="U1953" s="13"/>
      <c r="V1953" s="282"/>
      <c r="W1953" s="283"/>
      <c r="X1953" s="284"/>
      <c r="Y1953" s="245"/>
      <c r="Z1953" s="245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BP1953" s="391"/>
      <c r="BQ1953" s="393"/>
    </row>
    <row r="1954" spans="1:69" ht="14.25" customHeight="1" x14ac:dyDescent="0.35">
      <c r="A1954" s="293">
        <v>969</v>
      </c>
      <c r="B1954" s="295"/>
      <c r="C1954" s="297"/>
      <c r="D1954" s="299"/>
      <c r="E1954" s="301"/>
      <c r="F1954" s="303"/>
      <c r="G1954" s="288"/>
      <c r="H1954" s="289"/>
      <c r="I1954" s="290"/>
      <c r="J1954" s="290"/>
      <c r="K1954" s="291"/>
      <c r="L1954" s="18"/>
      <c r="M1954" s="285" t="str">
        <f t="shared" ref="M1954" si="3037">IF(COUNT(L1954:L1955)&lt;1,"",AVERAGE(L1954:L1955))</f>
        <v/>
      </c>
      <c r="N1954" s="22"/>
      <c r="O1954" s="285" t="str">
        <f t="shared" ref="O1954" si="3038">IF(COUNT(N1954:N1955)&lt;1,"",AVERAGE(N1954:N1955))</f>
        <v/>
      </c>
      <c r="P1954" s="22"/>
      <c r="Q1954" s="285" t="str">
        <f t="shared" ref="Q1954" si="3039">IF(COUNT(P1954:P1955)&lt;1,"",AVERAGE(P1954:P1955))</f>
        <v/>
      </c>
      <c r="R1954" s="278" t="str">
        <f>IF($X$13="/28",IF(COUNT(P1954:P1955)&lt;=1,"",ABS(P1954-P1955)),IF($X$13="/90",IF(COUNT(#REF!)&lt;=1,"",ABS(#REF!-#REF!))))</f>
        <v/>
      </c>
      <c r="S1954" s="278" t="str">
        <f>IF($X$13="/28",IF(Q1954="","",IF(AVERAGE(Q1950:Q1955)&gt;=$W$13,ROUND(AVERAGE(Q1950:Q1955),1)&amp;" ≥ "&amp;$W$13&amp;" OK",ROUND(AVERAGE(Q1950:Q1955),1)&amp;" &lt; "&amp;$W$13&amp;" NC")),IF($X$13="/90",IF(#REF!="","",IF(AVERAGE(#REF!)&gt;=$W$13,ROUND(AVERAGE(#REF!),1)&amp;" ≥ "&amp;$W$13&amp;" OK",ROUND(AVERAGE(#REF!),1)&amp;" &lt; "&amp;$W$13&amp;" NC"))))</f>
        <v/>
      </c>
      <c r="T1954" s="278" t="str">
        <f>IF($X$13="/28",IF(Q1954="","",IF(Q1954&gt;=$W$13-$S$12,ROUND((Q1954),1)&amp;" ≥ "&amp;$W$13-$S$12&amp;" OK",ROUND((Q1954),1)&amp;" &lt; "&amp;$W$13-$S$12&amp;" NC")),IF($X$13="/90",IF(#REF!="","",IF(#REF!&gt;=$W$13-$S$12,ROUND((#REF!),1)&amp;" ≥ "&amp;$W$13-$S$12&amp;" OK",ROUND((#REF!),1)&amp;" &lt; "&amp;$W$13-$S$12&amp;" NC"))))</f>
        <v/>
      </c>
      <c r="U1954" s="14"/>
      <c r="V1954" s="279"/>
      <c r="W1954" s="280"/>
      <c r="X1954" s="281"/>
      <c r="Y1954" s="246"/>
      <c r="Z1954" s="246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BP1954" s="390" t="str">
        <f>IF($X$13="/28",IF(Q1954="","",Q1954),IF($X$13="/90",IF(#REF!="","",#REF!),"Falso"))</f>
        <v/>
      </c>
      <c r="BQ1954" s="392" t="str">
        <f t="shared" si="3030"/>
        <v/>
      </c>
    </row>
    <row r="1955" spans="1:69" ht="14.25" customHeight="1" x14ac:dyDescent="0.35">
      <c r="A1955" s="294"/>
      <c r="B1955" s="296"/>
      <c r="C1955" s="298"/>
      <c r="D1955" s="300"/>
      <c r="E1955" s="302"/>
      <c r="F1955" s="304"/>
      <c r="G1955" s="276"/>
      <c r="H1955" s="277"/>
      <c r="I1955" s="290"/>
      <c r="J1955" s="290"/>
      <c r="K1955" s="291"/>
      <c r="L1955" s="17"/>
      <c r="M1955" s="286"/>
      <c r="N1955" s="21"/>
      <c r="O1955" s="286"/>
      <c r="P1955" s="21"/>
      <c r="Q1955" s="286"/>
      <c r="R1955" s="248"/>
      <c r="S1955" s="287"/>
      <c r="T1955" s="248"/>
      <c r="U1955" s="13"/>
      <c r="V1955" s="282"/>
      <c r="W1955" s="283"/>
      <c r="X1955" s="284"/>
      <c r="Y1955" s="245"/>
      <c r="Z1955" s="245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BP1955" s="391"/>
      <c r="BQ1955" s="393"/>
    </row>
    <row r="1956" spans="1:69" ht="14.25" customHeight="1" x14ac:dyDescent="0.35">
      <c r="A1956" s="293">
        <v>970</v>
      </c>
      <c r="B1956" s="295"/>
      <c r="C1956" s="297"/>
      <c r="D1956" s="299"/>
      <c r="E1956" s="301"/>
      <c r="F1956" s="303"/>
      <c r="G1956" s="288"/>
      <c r="H1956" s="289"/>
      <c r="I1956" s="290"/>
      <c r="J1956" s="290"/>
      <c r="K1956" s="291"/>
      <c r="L1956" s="18"/>
      <c r="M1956" s="285" t="str">
        <f t="shared" ref="M1956" si="3040">IF(COUNT(L1956:L1957)&lt;1,"",AVERAGE(L1956:L1957))</f>
        <v/>
      </c>
      <c r="N1956" s="22"/>
      <c r="O1956" s="285" t="str">
        <f t="shared" ref="O1956" si="3041">IF(COUNT(N1956:N1957)&lt;1,"",AVERAGE(N1956:N1957))</f>
        <v/>
      </c>
      <c r="P1956" s="22"/>
      <c r="Q1956" s="285" t="str">
        <f t="shared" ref="Q1956" si="3042">IF(COUNT(P1956:P1957)&lt;1,"",AVERAGE(P1956:P1957))</f>
        <v/>
      </c>
      <c r="R1956" s="278" t="str">
        <f>IF($X$13="/28",IF(COUNT(P1956:P1957)&lt;=1,"",ABS(P1956-P1957)),IF($X$13="/90",IF(COUNT(#REF!)&lt;=1,"",ABS(#REF!-#REF!))))</f>
        <v/>
      </c>
      <c r="S1956" s="278" t="str">
        <f>IF($X$13="/28",IF(Q1956="","",IF(AVERAGE(Q1952:Q1957)&gt;=$W$13,ROUND(AVERAGE(Q1952:Q1957),1)&amp;" ≥ "&amp;$W$13&amp;" OK",ROUND(AVERAGE(Q1952:Q1957),1)&amp;" &lt; "&amp;$W$13&amp;" NC")),IF($X$13="/90",IF(#REF!="","",IF(AVERAGE(#REF!)&gt;=$W$13,ROUND(AVERAGE(#REF!),1)&amp;" ≥ "&amp;$W$13&amp;" OK",ROUND(AVERAGE(#REF!),1)&amp;" &lt; "&amp;$W$13&amp;" NC"))))</f>
        <v/>
      </c>
      <c r="T1956" s="278" t="str">
        <f>IF($X$13="/28",IF(Q1956="","",IF(Q1956&gt;=$W$13-$S$12,ROUND((Q1956),1)&amp;" ≥ "&amp;$W$13-$S$12&amp;" OK",ROUND((Q1956),1)&amp;" &lt; "&amp;$W$13-$S$12&amp;" NC")),IF($X$13="/90",IF(#REF!="","",IF(#REF!&gt;=$W$13-$S$12,ROUND((#REF!),1)&amp;" ≥ "&amp;$W$13-$S$12&amp;" OK",ROUND((#REF!),1)&amp;" &lt; "&amp;$W$13-$S$12&amp;" NC"))))</f>
        <v/>
      </c>
      <c r="U1956" s="14"/>
      <c r="V1956" s="279"/>
      <c r="W1956" s="280"/>
      <c r="X1956" s="281"/>
      <c r="Y1956" s="246"/>
      <c r="Z1956" s="246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BP1956" s="390" t="str">
        <f>IF($X$13="/28",IF(Q1956="","",Q1956),IF($X$13="/90",IF(#REF!="","",#REF!),"Falso"))</f>
        <v/>
      </c>
      <c r="BQ1956" s="392" t="str">
        <f t="shared" si="3022"/>
        <v/>
      </c>
    </row>
    <row r="1957" spans="1:69" ht="14.25" customHeight="1" x14ac:dyDescent="0.35">
      <c r="A1957" s="294"/>
      <c r="B1957" s="296"/>
      <c r="C1957" s="298"/>
      <c r="D1957" s="300"/>
      <c r="E1957" s="302"/>
      <c r="F1957" s="304"/>
      <c r="G1957" s="276"/>
      <c r="H1957" s="277"/>
      <c r="I1957" s="290"/>
      <c r="J1957" s="290"/>
      <c r="K1957" s="291"/>
      <c r="L1957" s="17"/>
      <c r="M1957" s="286"/>
      <c r="N1957" s="21"/>
      <c r="O1957" s="286"/>
      <c r="P1957" s="21"/>
      <c r="Q1957" s="286"/>
      <c r="R1957" s="248"/>
      <c r="S1957" s="287"/>
      <c r="T1957" s="248"/>
      <c r="U1957" s="13"/>
      <c r="V1957" s="282"/>
      <c r="W1957" s="283"/>
      <c r="X1957" s="284"/>
      <c r="Y1957" s="245"/>
      <c r="Z1957" s="245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BP1957" s="391"/>
      <c r="BQ1957" s="393"/>
    </row>
    <row r="1958" spans="1:69" ht="14.25" customHeight="1" x14ac:dyDescent="0.35">
      <c r="A1958" s="293">
        <v>971</v>
      </c>
      <c r="B1958" s="295"/>
      <c r="C1958" s="297"/>
      <c r="D1958" s="299"/>
      <c r="E1958" s="301"/>
      <c r="F1958" s="303"/>
      <c r="G1958" s="288"/>
      <c r="H1958" s="289"/>
      <c r="I1958" s="290"/>
      <c r="J1958" s="290"/>
      <c r="K1958" s="291"/>
      <c r="L1958" s="18"/>
      <c r="M1958" s="285" t="str">
        <f t="shared" ref="M1958" si="3043">IF(COUNT(L1958:L1959)&lt;1,"",AVERAGE(L1958:L1959))</f>
        <v/>
      </c>
      <c r="N1958" s="22"/>
      <c r="O1958" s="285" t="str">
        <f t="shared" ref="O1958" si="3044">IF(COUNT(N1958:N1959)&lt;1,"",AVERAGE(N1958:N1959))</f>
        <v/>
      </c>
      <c r="P1958" s="22"/>
      <c r="Q1958" s="285" t="str">
        <f t="shared" ref="Q1958" si="3045">IF(COUNT(P1958:P1959)&lt;1,"",AVERAGE(P1958:P1959))</f>
        <v/>
      </c>
      <c r="R1958" s="278" t="str">
        <f>IF($X$13="/28",IF(COUNT(P1958:P1959)&lt;=1,"",ABS(P1958-P1959)),IF($X$13="/90",IF(COUNT(#REF!)&lt;=1,"",ABS(#REF!-#REF!))))</f>
        <v/>
      </c>
      <c r="S1958" s="278" t="str">
        <f>IF($X$13="/28",IF(Q1958="","",IF(AVERAGE(Q1954:Q1959)&gt;=$W$13,ROUND(AVERAGE(Q1954:Q1959),1)&amp;" ≥ "&amp;$W$13&amp;" OK",ROUND(AVERAGE(Q1954:Q1959),1)&amp;" &lt; "&amp;$W$13&amp;" NC")),IF($X$13="/90",IF(#REF!="","",IF(AVERAGE(#REF!)&gt;=$W$13,ROUND(AVERAGE(#REF!),1)&amp;" ≥ "&amp;$W$13&amp;" OK",ROUND(AVERAGE(#REF!),1)&amp;" &lt; "&amp;$W$13&amp;" NC"))))</f>
        <v/>
      </c>
      <c r="T1958" s="278" t="str">
        <f>IF($X$13="/28",IF(Q1958="","",IF(Q1958&gt;=$W$13-$S$12,ROUND((Q1958),1)&amp;" ≥ "&amp;$W$13-$S$12&amp;" OK",ROUND((Q1958),1)&amp;" &lt; "&amp;$W$13-$S$12&amp;" NC")),IF($X$13="/90",IF(#REF!="","",IF(#REF!&gt;=$W$13-$S$12,ROUND((#REF!),1)&amp;" ≥ "&amp;$W$13-$S$12&amp;" OK",ROUND((#REF!),1)&amp;" &lt; "&amp;$W$13-$S$12&amp;" NC"))))</f>
        <v/>
      </c>
      <c r="U1958" s="14"/>
      <c r="V1958" s="279"/>
      <c r="W1958" s="280"/>
      <c r="X1958" s="281"/>
      <c r="Y1958" s="246"/>
      <c r="Z1958" s="246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BP1958" s="390" t="str">
        <f>IF($X$13="/28",IF(Q1958="","",Q1958),IF($X$13="/90",IF(#REF!="","",#REF!),"Falso"))</f>
        <v/>
      </c>
      <c r="BQ1958" s="392" t="str">
        <f t="shared" si="3026"/>
        <v/>
      </c>
    </row>
    <row r="1959" spans="1:69" ht="14.25" customHeight="1" x14ac:dyDescent="0.35">
      <c r="A1959" s="294"/>
      <c r="B1959" s="296"/>
      <c r="C1959" s="298"/>
      <c r="D1959" s="300"/>
      <c r="E1959" s="302"/>
      <c r="F1959" s="304"/>
      <c r="G1959" s="276"/>
      <c r="H1959" s="277"/>
      <c r="I1959" s="290"/>
      <c r="J1959" s="290"/>
      <c r="K1959" s="291"/>
      <c r="L1959" s="17"/>
      <c r="M1959" s="286"/>
      <c r="N1959" s="21"/>
      <c r="O1959" s="286"/>
      <c r="P1959" s="21"/>
      <c r="Q1959" s="286"/>
      <c r="R1959" s="248"/>
      <c r="S1959" s="287"/>
      <c r="T1959" s="248"/>
      <c r="U1959" s="13"/>
      <c r="V1959" s="282"/>
      <c r="W1959" s="283"/>
      <c r="X1959" s="284"/>
      <c r="Y1959" s="245"/>
      <c r="Z1959" s="245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BP1959" s="391"/>
      <c r="BQ1959" s="393"/>
    </row>
    <row r="1960" spans="1:69" ht="14.25" customHeight="1" x14ac:dyDescent="0.35">
      <c r="A1960" s="293">
        <v>972</v>
      </c>
      <c r="B1960" s="295"/>
      <c r="C1960" s="297"/>
      <c r="D1960" s="299"/>
      <c r="E1960" s="301"/>
      <c r="F1960" s="303"/>
      <c r="G1960" s="288"/>
      <c r="H1960" s="289"/>
      <c r="I1960" s="290"/>
      <c r="J1960" s="290"/>
      <c r="K1960" s="291"/>
      <c r="L1960" s="18"/>
      <c r="M1960" s="285" t="str">
        <f t="shared" ref="M1960" si="3046">IF(COUNT(L1960:L1961)&lt;1,"",AVERAGE(L1960:L1961))</f>
        <v/>
      </c>
      <c r="N1960" s="22"/>
      <c r="O1960" s="285" t="str">
        <f t="shared" ref="O1960" si="3047">IF(COUNT(N1960:N1961)&lt;1,"",AVERAGE(N1960:N1961))</f>
        <v/>
      </c>
      <c r="P1960" s="22"/>
      <c r="Q1960" s="285" t="str">
        <f t="shared" ref="Q1960" si="3048">IF(COUNT(P1960:P1961)&lt;1,"",AVERAGE(P1960:P1961))</f>
        <v/>
      </c>
      <c r="R1960" s="278" t="str">
        <f>IF($X$13="/28",IF(COUNT(P1960:P1961)&lt;=1,"",ABS(P1960-P1961)),IF($X$13="/90",IF(COUNT(#REF!)&lt;=1,"",ABS(#REF!-#REF!))))</f>
        <v/>
      </c>
      <c r="S1960" s="278" t="str">
        <f>IF($X$13="/28",IF(Q1960="","",IF(AVERAGE(Q1956:Q1961)&gt;=$W$13,ROUND(AVERAGE(Q1956:Q1961),1)&amp;" ≥ "&amp;$W$13&amp;" OK",ROUND(AVERAGE(Q1956:Q1961),1)&amp;" &lt; "&amp;$W$13&amp;" NC")),IF($X$13="/90",IF(#REF!="","",IF(AVERAGE(#REF!)&gt;=$W$13,ROUND(AVERAGE(#REF!),1)&amp;" ≥ "&amp;$W$13&amp;" OK",ROUND(AVERAGE(#REF!),1)&amp;" &lt; "&amp;$W$13&amp;" NC"))))</f>
        <v/>
      </c>
      <c r="T1960" s="278" t="str">
        <f>IF($X$13="/28",IF(Q1960="","",IF(Q1960&gt;=$W$13-$S$12,ROUND((Q1960),1)&amp;" ≥ "&amp;$W$13-$S$12&amp;" OK",ROUND((Q1960),1)&amp;" &lt; "&amp;$W$13-$S$12&amp;" NC")),IF($X$13="/90",IF(#REF!="","",IF(#REF!&gt;=$W$13-$S$12,ROUND((#REF!),1)&amp;" ≥ "&amp;$W$13-$S$12&amp;" OK",ROUND((#REF!),1)&amp;" &lt; "&amp;$W$13-$S$12&amp;" NC"))))</f>
        <v/>
      </c>
      <c r="U1960" s="14"/>
      <c r="V1960" s="279"/>
      <c r="W1960" s="280"/>
      <c r="X1960" s="281"/>
      <c r="Y1960" s="246"/>
      <c r="Z1960" s="246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BP1960" s="390" t="str">
        <f>IF($X$13="/28",IF(Q1960="","",Q1960),IF($X$13="/90",IF(#REF!="","",#REF!),"Falso"))</f>
        <v/>
      </c>
      <c r="BQ1960" s="392" t="str">
        <f t="shared" si="3030"/>
        <v/>
      </c>
    </row>
    <row r="1961" spans="1:69" ht="14.25" customHeight="1" x14ac:dyDescent="0.35">
      <c r="A1961" s="294"/>
      <c r="B1961" s="296"/>
      <c r="C1961" s="298"/>
      <c r="D1961" s="300"/>
      <c r="E1961" s="302"/>
      <c r="F1961" s="304"/>
      <c r="G1961" s="276"/>
      <c r="H1961" s="277"/>
      <c r="I1961" s="290"/>
      <c r="J1961" s="290"/>
      <c r="K1961" s="291"/>
      <c r="L1961" s="17"/>
      <c r="M1961" s="286"/>
      <c r="N1961" s="21"/>
      <c r="O1961" s="286"/>
      <c r="P1961" s="21"/>
      <c r="Q1961" s="286"/>
      <c r="R1961" s="248"/>
      <c r="S1961" s="287"/>
      <c r="T1961" s="248"/>
      <c r="U1961" s="13"/>
      <c r="V1961" s="282"/>
      <c r="W1961" s="283"/>
      <c r="X1961" s="284"/>
      <c r="Y1961" s="245"/>
      <c r="Z1961" s="245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BP1961" s="391"/>
      <c r="BQ1961" s="393"/>
    </row>
    <row r="1962" spans="1:69" ht="14.25" customHeight="1" x14ac:dyDescent="0.35">
      <c r="A1962" s="293">
        <v>973</v>
      </c>
      <c r="B1962" s="295"/>
      <c r="C1962" s="297"/>
      <c r="D1962" s="299"/>
      <c r="E1962" s="301"/>
      <c r="F1962" s="303"/>
      <c r="G1962" s="288"/>
      <c r="H1962" s="289"/>
      <c r="I1962" s="290"/>
      <c r="J1962" s="290"/>
      <c r="K1962" s="291"/>
      <c r="L1962" s="18"/>
      <c r="M1962" s="285" t="str">
        <f t="shared" ref="M1962" si="3049">IF(COUNT(L1962:L1963)&lt;1,"",AVERAGE(L1962:L1963))</f>
        <v/>
      </c>
      <c r="N1962" s="22"/>
      <c r="O1962" s="285" t="str">
        <f t="shared" ref="O1962" si="3050">IF(COUNT(N1962:N1963)&lt;1,"",AVERAGE(N1962:N1963))</f>
        <v/>
      </c>
      <c r="P1962" s="22"/>
      <c r="Q1962" s="285" t="str">
        <f t="shared" ref="Q1962" si="3051">IF(COUNT(P1962:P1963)&lt;1,"",AVERAGE(P1962:P1963))</f>
        <v/>
      </c>
      <c r="R1962" s="278" t="str">
        <f>IF($X$13="/28",IF(COUNT(P1962:P1963)&lt;=1,"",ABS(P1962-P1963)),IF($X$13="/90",IF(COUNT(#REF!)&lt;=1,"",ABS(#REF!-#REF!))))</f>
        <v/>
      </c>
      <c r="S1962" s="278" t="str">
        <f>IF($X$13="/28",IF(Q1962="","",IF(AVERAGE(Q1958:Q1963)&gt;=$W$13,ROUND(AVERAGE(Q1958:Q1963),1)&amp;" ≥ "&amp;$W$13&amp;" OK",ROUND(AVERAGE(Q1958:Q1963),1)&amp;" &lt; "&amp;$W$13&amp;" NC")),IF($X$13="/90",IF(#REF!="","",IF(AVERAGE(#REF!)&gt;=$W$13,ROUND(AVERAGE(#REF!),1)&amp;" ≥ "&amp;$W$13&amp;" OK",ROUND(AVERAGE(#REF!),1)&amp;" &lt; "&amp;$W$13&amp;" NC"))))</f>
        <v/>
      </c>
      <c r="T1962" s="278" t="str">
        <f>IF($X$13="/28",IF(Q1962="","",IF(Q1962&gt;=$W$13-$S$12,ROUND((Q1962),1)&amp;" ≥ "&amp;$W$13-$S$12&amp;" OK",ROUND((Q1962),1)&amp;" &lt; "&amp;$W$13-$S$12&amp;" NC")),IF($X$13="/90",IF(#REF!="","",IF(#REF!&gt;=$W$13-$S$12,ROUND((#REF!),1)&amp;" ≥ "&amp;$W$13-$S$12&amp;" OK",ROUND((#REF!),1)&amp;" &lt; "&amp;$W$13-$S$12&amp;" NC"))))</f>
        <v/>
      </c>
      <c r="U1962" s="14"/>
      <c r="V1962" s="279"/>
      <c r="W1962" s="280"/>
      <c r="X1962" s="281"/>
      <c r="Y1962" s="246"/>
      <c r="Z1962" s="246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BP1962" s="390" t="str">
        <f>IF($X$13="/28",IF(Q1962="","",Q1962),IF($X$13="/90",IF(#REF!="","",#REF!),"Falso"))</f>
        <v/>
      </c>
      <c r="BQ1962" s="392" t="str">
        <f t="shared" si="3022"/>
        <v/>
      </c>
    </row>
    <row r="1963" spans="1:69" ht="14.25" customHeight="1" x14ac:dyDescent="0.35">
      <c r="A1963" s="294"/>
      <c r="B1963" s="296"/>
      <c r="C1963" s="298"/>
      <c r="D1963" s="300"/>
      <c r="E1963" s="302"/>
      <c r="F1963" s="304"/>
      <c r="G1963" s="276"/>
      <c r="H1963" s="277"/>
      <c r="I1963" s="290"/>
      <c r="J1963" s="290"/>
      <c r="K1963" s="291"/>
      <c r="L1963" s="17"/>
      <c r="M1963" s="286"/>
      <c r="N1963" s="21"/>
      <c r="O1963" s="286"/>
      <c r="P1963" s="21"/>
      <c r="Q1963" s="286"/>
      <c r="R1963" s="248"/>
      <c r="S1963" s="287"/>
      <c r="T1963" s="248"/>
      <c r="U1963" s="13"/>
      <c r="V1963" s="282"/>
      <c r="W1963" s="283"/>
      <c r="X1963" s="284"/>
      <c r="Y1963" s="245"/>
      <c r="Z1963" s="245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BP1963" s="391"/>
      <c r="BQ1963" s="393"/>
    </row>
    <row r="1964" spans="1:69" ht="14.25" customHeight="1" x14ac:dyDescent="0.35">
      <c r="A1964" s="293">
        <v>974</v>
      </c>
      <c r="B1964" s="295"/>
      <c r="C1964" s="297"/>
      <c r="D1964" s="299"/>
      <c r="E1964" s="301"/>
      <c r="F1964" s="303"/>
      <c r="G1964" s="288"/>
      <c r="H1964" s="289"/>
      <c r="I1964" s="290"/>
      <c r="J1964" s="290"/>
      <c r="K1964" s="291"/>
      <c r="L1964" s="18"/>
      <c r="M1964" s="285" t="str">
        <f t="shared" ref="M1964" si="3052">IF(COUNT(L1964:L1965)&lt;1,"",AVERAGE(L1964:L1965))</f>
        <v/>
      </c>
      <c r="N1964" s="22"/>
      <c r="O1964" s="285" t="str">
        <f t="shared" ref="O1964" si="3053">IF(COUNT(N1964:N1965)&lt;1,"",AVERAGE(N1964:N1965))</f>
        <v/>
      </c>
      <c r="P1964" s="22"/>
      <c r="Q1964" s="285" t="str">
        <f t="shared" ref="Q1964" si="3054">IF(COUNT(P1964:P1965)&lt;1,"",AVERAGE(P1964:P1965))</f>
        <v/>
      </c>
      <c r="R1964" s="278" t="str">
        <f>IF($X$13="/28",IF(COUNT(P1964:P1965)&lt;=1,"",ABS(P1964-P1965)),IF($X$13="/90",IF(COUNT(#REF!)&lt;=1,"",ABS(#REF!-#REF!))))</f>
        <v/>
      </c>
      <c r="S1964" s="278" t="str">
        <f>IF($X$13="/28",IF(Q1964="","",IF(AVERAGE(Q1960:Q1965)&gt;=$W$13,ROUND(AVERAGE(Q1960:Q1965),1)&amp;" ≥ "&amp;$W$13&amp;" OK",ROUND(AVERAGE(Q1960:Q1965),1)&amp;" &lt; "&amp;$W$13&amp;" NC")),IF($X$13="/90",IF(#REF!="","",IF(AVERAGE(#REF!)&gt;=$W$13,ROUND(AVERAGE(#REF!),1)&amp;" ≥ "&amp;$W$13&amp;" OK",ROUND(AVERAGE(#REF!),1)&amp;" &lt; "&amp;$W$13&amp;" NC"))))</f>
        <v/>
      </c>
      <c r="T1964" s="278" t="str">
        <f>IF($X$13="/28",IF(Q1964="","",IF(Q1964&gt;=$W$13-$S$12,ROUND((Q1964),1)&amp;" ≥ "&amp;$W$13-$S$12&amp;" OK",ROUND((Q1964),1)&amp;" &lt; "&amp;$W$13-$S$12&amp;" NC")),IF($X$13="/90",IF(#REF!="","",IF(#REF!&gt;=$W$13-$S$12,ROUND((#REF!),1)&amp;" ≥ "&amp;$W$13-$S$12&amp;" OK",ROUND((#REF!),1)&amp;" &lt; "&amp;$W$13-$S$12&amp;" NC"))))</f>
        <v/>
      </c>
      <c r="U1964" s="14"/>
      <c r="V1964" s="279"/>
      <c r="W1964" s="280"/>
      <c r="X1964" s="281"/>
      <c r="Y1964" s="246"/>
      <c r="Z1964" s="246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BP1964" s="390" t="str">
        <f>IF($X$13="/28",IF(Q1964="","",Q1964),IF($X$13="/90",IF(#REF!="","",#REF!),"Falso"))</f>
        <v/>
      </c>
      <c r="BQ1964" s="392" t="str">
        <f t="shared" si="3026"/>
        <v/>
      </c>
    </row>
    <row r="1965" spans="1:69" ht="14.25" customHeight="1" x14ac:dyDescent="0.35">
      <c r="A1965" s="294"/>
      <c r="B1965" s="296"/>
      <c r="C1965" s="298"/>
      <c r="D1965" s="300"/>
      <c r="E1965" s="302"/>
      <c r="F1965" s="304"/>
      <c r="G1965" s="276"/>
      <c r="H1965" s="277"/>
      <c r="I1965" s="290"/>
      <c r="J1965" s="290"/>
      <c r="K1965" s="291"/>
      <c r="L1965" s="17"/>
      <c r="M1965" s="286"/>
      <c r="N1965" s="21"/>
      <c r="O1965" s="286"/>
      <c r="P1965" s="21"/>
      <c r="Q1965" s="286"/>
      <c r="R1965" s="248"/>
      <c r="S1965" s="287"/>
      <c r="T1965" s="248"/>
      <c r="U1965" s="13"/>
      <c r="V1965" s="282"/>
      <c r="W1965" s="283"/>
      <c r="X1965" s="284"/>
      <c r="Y1965" s="245"/>
      <c r="Z1965" s="245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BP1965" s="391"/>
      <c r="BQ1965" s="393"/>
    </row>
    <row r="1966" spans="1:69" ht="14.25" customHeight="1" x14ac:dyDescent="0.35">
      <c r="A1966" s="293">
        <v>975</v>
      </c>
      <c r="B1966" s="295"/>
      <c r="C1966" s="297"/>
      <c r="D1966" s="299"/>
      <c r="E1966" s="301"/>
      <c r="F1966" s="303"/>
      <c r="G1966" s="288"/>
      <c r="H1966" s="289"/>
      <c r="I1966" s="290"/>
      <c r="J1966" s="290"/>
      <c r="K1966" s="291"/>
      <c r="L1966" s="18"/>
      <c r="M1966" s="285" t="str">
        <f t="shared" ref="M1966" si="3055">IF(COUNT(L1966:L1967)&lt;1,"",AVERAGE(L1966:L1967))</f>
        <v/>
      </c>
      <c r="N1966" s="22"/>
      <c r="O1966" s="285" t="str">
        <f t="shared" ref="O1966" si="3056">IF(COUNT(N1966:N1967)&lt;1,"",AVERAGE(N1966:N1967))</f>
        <v/>
      </c>
      <c r="P1966" s="22"/>
      <c r="Q1966" s="285" t="str">
        <f t="shared" ref="Q1966" si="3057">IF(COUNT(P1966:P1967)&lt;1,"",AVERAGE(P1966:P1967))</f>
        <v/>
      </c>
      <c r="R1966" s="278" t="str">
        <f>IF($X$13="/28",IF(COUNT(P1966:P1967)&lt;=1,"",ABS(P1966-P1967)),IF($X$13="/90",IF(COUNT(#REF!)&lt;=1,"",ABS(#REF!-#REF!))))</f>
        <v/>
      </c>
      <c r="S1966" s="278" t="str">
        <f>IF($X$13="/28",IF(Q1966="","",IF(AVERAGE(Q1962:Q1967)&gt;=$W$13,ROUND(AVERAGE(Q1962:Q1967),1)&amp;" ≥ "&amp;$W$13&amp;" OK",ROUND(AVERAGE(Q1962:Q1967),1)&amp;" &lt; "&amp;$W$13&amp;" NC")),IF($X$13="/90",IF(#REF!="","",IF(AVERAGE(#REF!)&gt;=$W$13,ROUND(AVERAGE(#REF!),1)&amp;" ≥ "&amp;$W$13&amp;" OK",ROUND(AVERAGE(#REF!),1)&amp;" &lt; "&amp;$W$13&amp;" NC"))))</f>
        <v/>
      </c>
      <c r="T1966" s="278" t="str">
        <f>IF($X$13="/28",IF(Q1966="","",IF(Q1966&gt;=$W$13-$S$12,ROUND((Q1966),1)&amp;" ≥ "&amp;$W$13-$S$12&amp;" OK",ROUND((Q1966),1)&amp;" &lt; "&amp;$W$13-$S$12&amp;" NC")),IF($X$13="/90",IF(#REF!="","",IF(#REF!&gt;=$W$13-$S$12,ROUND((#REF!),1)&amp;" ≥ "&amp;$W$13-$S$12&amp;" OK",ROUND((#REF!),1)&amp;" &lt; "&amp;$W$13-$S$12&amp;" NC"))))</f>
        <v/>
      </c>
      <c r="U1966" s="14"/>
      <c r="V1966" s="279"/>
      <c r="W1966" s="280"/>
      <c r="X1966" s="281"/>
      <c r="Y1966" s="246"/>
      <c r="Z1966" s="246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BP1966" s="390" t="str">
        <f>IF($X$13="/28",IF(Q1966="","",Q1966),IF($X$13="/90",IF(#REF!="","",#REF!),"Falso"))</f>
        <v/>
      </c>
      <c r="BQ1966" s="392" t="str">
        <f t="shared" si="3030"/>
        <v/>
      </c>
    </row>
    <row r="1967" spans="1:69" ht="14.25" customHeight="1" x14ac:dyDescent="0.35">
      <c r="A1967" s="294"/>
      <c r="B1967" s="296"/>
      <c r="C1967" s="298"/>
      <c r="D1967" s="300"/>
      <c r="E1967" s="302"/>
      <c r="F1967" s="304"/>
      <c r="G1967" s="276"/>
      <c r="H1967" s="277"/>
      <c r="I1967" s="290"/>
      <c r="J1967" s="290"/>
      <c r="K1967" s="291"/>
      <c r="L1967" s="17"/>
      <c r="M1967" s="286"/>
      <c r="N1967" s="21"/>
      <c r="O1967" s="286"/>
      <c r="P1967" s="21"/>
      <c r="Q1967" s="286"/>
      <c r="R1967" s="248"/>
      <c r="S1967" s="287"/>
      <c r="T1967" s="248"/>
      <c r="U1967" s="13"/>
      <c r="V1967" s="282"/>
      <c r="W1967" s="283"/>
      <c r="X1967" s="284"/>
      <c r="Y1967" s="245"/>
      <c r="Z1967" s="245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BP1967" s="391"/>
      <c r="BQ1967" s="393"/>
    </row>
    <row r="1968" spans="1:69" ht="14.25" customHeight="1" x14ac:dyDescent="0.35">
      <c r="A1968" s="293">
        <v>976</v>
      </c>
      <c r="B1968" s="295"/>
      <c r="C1968" s="297"/>
      <c r="D1968" s="299"/>
      <c r="E1968" s="301"/>
      <c r="F1968" s="303"/>
      <c r="G1968" s="288"/>
      <c r="H1968" s="289"/>
      <c r="I1968" s="290"/>
      <c r="J1968" s="290"/>
      <c r="K1968" s="291"/>
      <c r="L1968" s="18"/>
      <c r="M1968" s="285" t="str">
        <f t="shared" ref="M1968" si="3058">IF(COUNT(L1968:L1969)&lt;1,"",AVERAGE(L1968:L1969))</f>
        <v/>
      </c>
      <c r="N1968" s="22"/>
      <c r="O1968" s="285" t="str">
        <f t="shared" ref="O1968" si="3059">IF(COUNT(N1968:N1969)&lt;1,"",AVERAGE(N1968:N1969))</f>
        <v/>
      </c>
      <c r="P1968" s="22"/>
      <c r="Q1968" s="285" t="str">
        <f t="shared" ref="Q1968" si="3060">IF(COUNT(P1968:P1969)&lt;1,"",AVERAGE(P1968:P1969))</f>
        <v/>
      </c>
      <c r="R1968" s="278" t="str">
        <f>IF($X$13="/28",IF(COUNT(P1968:P1969)&lt;=1,"",ABS(P1968-P1969)),IF($X$13="/90",IF(COUNT(#REF!)&lt;=1,"",ABS(#REF!-#REF!))))</f>
        <v/>
      </c>
      <c r="S1968" s="278" t="str">
        <f>IF($X$13="/28",IF(Q1968="","",IF(AVERAGE(Q1964:Q1969)&gt;=$W$13,ROUND(AVERAGE(Q1964:Q1969),1)&amp;" ≥ "&amp;$W$13&amp;" OK",ROUND(AVERAGE(Q1964:Q1969),1)&amp;" &lt; "&amp;$W$13&amp;" NC")),IF($X$13="/90",IF(#REF!="","",IF(AVERAGE(#REF!)&gt;=$W$13,ROUND(AVERAGE(#REF!),1)&amp;" ≥ "&amp;$W$13&amp;" OK",ROUND(AVERAGE(#REF!),1)&amp;" &lt; "&amp;$W$13&amp;" NC"))))</f>
        <v/>
      </c>
      <c r="T1968" s="278" t="str">
        <f>IF($X$13="/28",IF(Q1968="","",IF(Q1968&gt;=$W$13-$S$12,ROUND((Q1968),1)&amp;" ≥ "&amp;$W$13-$S$12&amp;" OK",ROUND((Q1968),1)&amp;" &lt; "&amp;$W$13-$S$12&amp;" NC")),IF($X$13="/90",IF(#REF!="","",IF(#REF!&gt;=$W$13-$S$12,ROUND((#REF!),1)&amp;" ≥ "&amp;$W$13-$S$12&amp;" OK",ROUND((#REF!),1)&amp;" &lt; "&amp;$W$13-$S$12&amp;" NC"))))</f>
        <v/>
      </c>
      <c r="U1968" s="14"/>
      <c r="V1968" s="279"/>
      <c r="W1968" s="280"/>
      <c r="X1968" s="281"/>
      <c r="Y1968" s="246"/>
      <c r="Z1968" s="246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BP1968" s="390" t="str">
        <f>IF($X$13="/28",IF(Q1968="","",Q1968),IF($X$13="/90",IF(#REF!="","",#REF!),"Falso"))</f>
        <v/>
      </c>
      <c r="BQ1968" s="392" t="str">
        <f t="shared" si="3022"/>
        <v/>
      </c>
    </row>
    <row r="1969" spans="1:69" ht="14.25" customHeight="1" x14ac:dyDescent="0.35">
      <c r="A1969" s="294"/>
      <c r="B1969" s="296"/>
      <c r="C1969" s="298"/>
      <c r="D1969" s="300"/>
      <c r="E1969" s="302"/>
      <c r="F1969" s="304"/>
      <c r="G1969" s="276"/>
      <c r="H1969" s="277"/>
      <c r="I1969" s="290"/>
      <c r="J1969" s="290"/>
      <c r="K1969" s="291"/>
      <c r="L1969" s="17"/>
      <c r="M1969" s="286"/>
      <c r="N1969" s="21"/>
      <c r="O1969" s="286"/>
      <c r="P1969" s="21"/>
      <c r="Q1969" s="286"/>
      <c r="R1969" s="248"/>
      <c r="S1969" s="287"/>
      <c r="T1969" s="248"/>
      <c r="U1969" s="13"/>
      <c r="V1969" s="282"/>
      <c r="W1969" s="283"/>
      <c r="X1969" s="284"/>
      <c r="Y1969" s="245"/>
      <c r="Z1969" s="245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BP1969" s="391"/>
      <c r="BQ1969" s="393"/>
    </row>
    <row r="1970" spans="1:69" ht="14.25" customHeight="1" x14ac:dyDescent="0.35">
      <c r="A1970" s="293">
        <v>977</v>
      </c>
      <c r="B1970" s="295"/>
      <c r="C1970" s="297"/>
      <c r="D1970" s="299"/>
      <c r="E1970" s="301"/>
      <c r="F1970" s="303"/>
      <c r="G1970" s="288"/>
      <c r="H1970" s="289"/>
      <c r="I1970" s="290"/>
      <c r="J1970" s="290"/>
      <c r="K1970" s="291"/>
      <c r="L1970" s="18"/>
      <c r="M1970" s="285" t="str">
        <f t="shared" ref="M1970" si="3061">IF(COUNT(L1970:L1971)&lt;1,"",AVERAGE(L1970:L1971))</f>
        <v/>
      </c>
      <c r="N1970" s="22"/>
      <c r="O1970" s="285" t="str">
        <f t="shared" ref="O1970" si="3062">IF(COUNT(N1970:N1971)&lt;1,"",AVERAGE(N1970:N1971))</f>
        <v/>
      </c>
      <c r="P1970" s="22"/>
      <c r="Q1970" s="285" t="str">
        <f t="shared" ref="Q1970" si="3063">IF(COUNT(P1970:P1971)&lt;1,"",AVERAGE(P1970:P1971))</f>
        <v/>
      </c>
      <c r="R1970" s="278" t="str">
        <f>IF($X$13="/28",IF(COUNT(P1970:P1971)&lt;=1,"",ABS(P1970-P1971)),IF($X$13="/90",IF(COUNT(#REF!)&lt;=1,"",ABS(#REF!-#REF!))))</f>
        <v/>
      </c>
      <c r="S1970" s="278" t="str">
        <f>IF($X$13="/28",IF(Q1970="","",IF(AVERAGE(Q1966:Q1971)&gt;=$W$13,ROUND(AVERAGE(Q1966:Q1971),1)&amp;" ≥ "&amp;$W$13&amp;" OK",ROUND(AVERAGE(Q1966:Q1971),1)&amp;" &lt; "&amp;$W$13&amp;" NC")),IF($X$13="/90",IF(#REF!="","",IF(AVERAGE(#REF!)&gt;=$W$13,ROUND(AVERAGE(#REF!),1)&amp;" ≥ "&amp;$W$13&amp;" OK",ROUND(AVERAGE(#REF!),1)&amp;" &lt; "&amp;$W$13&amp;" NC"))))</f>
        <v/>
      </c>
      <c r="T1970" s="278" t="str">
        <f>IF($X$13="/28",IF(Q1970="","",IF(Q1970&gt;=$W$13-$S$12,ROUND((Q1970),1)&amp;" ≥ "&amp;$W$13-$S$12&amp;" OK",ROUND((Q1970),1)&amp;" &lt; "&amp;$W$13-$S$12&amp;" NC")),IF($X$13="/90",IF(#REF!="","",IF(#REF!&gt;=$W$13-$S$12,ROUND((#REF!),1)&amp;" ≥ "&amp;$W$13-$S$12&amp;" OK",ROUND((#REF!),1)&amp;" &lt; "&amp;$W$13-$S$12&amp;" NC"))))</f>
        <v/>
      </c>
      <c r="U1970" s="14"/>
      <c r="V1970" s="279"/>
      <c r="W1970" s="280"/>
      <c r="X1970" s="281"/>
      <c r="Y1970" s="246"/>
      <c r="Z1970" s="246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BP1970" s="390" t="str">
        <f>IF($X$13="/28",IF(Q1970="","",Q1970),IF($X$13="/90",IF(#REF!="","",#REF!),"Falso"))</f>
        <v/>
      </c>
      <c r="BQ1970" s="392" t="str">
        <f t="shared" si="3026"/>
        <v/>
      </c>
    </row>
    <row r="1971" spans="1:69" ht="14.25" customHeight="1" x14ac:dyDescent="0.35">
      <c r="A1971" s="294"/>
      <c r="B1971" s="296"/>
      <c r="C1971" s="298"/>
      <c r="D1971" s="300"/>
      <c r="E1971" s="302"/>
      <c r="F1971" s="304"/>
      <c r="G1971" s="276"/>
      <c r="H1971" s="277"/>
      <c r="I1971" s="290"/>
      <c r="J1971" s="290"/>
      <c r="K1971" s="291"/>
      <c r="L1971" s="17"/>
      <c r="M1971" s="286"/>
      <c r="N1971" s="21"/>
      <c r="O1971" s="286"/>
      <c r="P1971" s="21"/>
      <c r="Q1971" s="286"/>
      <c r="R1971" s="248"/>
      <c r="S1971" s="287"/>
      <c r="T1971" s="248"/>
      <c r="U1971" s="13"/>
      <c r="V1971" s="282"/>
      <c r="W1971" s="283"/>
      <c r="X1971" s="284"/>
      <c r="Y1971" s="245"/>
      <c r="Z1971" s="245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BP1971" s="391"/>
      <c r="BQ1971" s="393"/>
    </row>
    <row r="1972" spans="1:69" ht="14.25" customHeight="1" x14ac:dyDescent="0.35">
      <c r="A1972" s="293">
        <v>978</v>
      </c>
      <c r="B1972" s="295"/>
      <c r="C1972" s="297"/>
      <c r="D1972" s="299"/>
      <c r="E1972" s="301"/>
      <c r="F1972" s="303"/>
      <c r="G1972" s="288"/>
      <c r="H1972" s="289"/>
      <c r="I1972" s="290"/>
      <c r="J1972" s="290"/>
      <c r="K1972" s="291"/>
      <c r="L1972" s="18"/>
      <c r="M1972" s="285" t="str">
        <f t="shared" ref="M1972" si="3064">IF(COUNT(L1972:L1973)&lt;1,"",AVERAGE(L1972:L1973))</f>
        <v/>
      </c>
      <c r="N1972" s="22"/>
      <c r="O1972" s="285" t="str">
        <f t="shared" ref="O1972" si="3065">IF(COUNT(N1972:N1973)&lt;1,"",AVERAGE(N1972:N1973))</f>
        <v/>
      </c>
      <c r="P1972" s="22"/>
      <c r="Q1972" s="285" t="str">
        <f t="shared" ref="Q1972" si="3066">IF(COUNT(P1972:P1973)&lt;1,"",AVERAGE(P1972:P1973))</f>
        <v/>
      </c>
      <c r="R1972" s="278" t="str">
        <f>IF($X$13="/28",IF(COUNT(P1972:P1973)&lt;=1,"",ABS(P1972-P1973)),IF($X$13="/90",IF(COUNT(#REF!)&lt;=1,"",ABS(#REF!-#REF!))))</f>
        <v/>
      </c>
      <c r="S1972" s="278" t="str">
        <f>IF($X$13="/28",IF(Q1972="","",IF(AVERAGE(Q1968:Q1973)&gt;=$W$13,ROUND(AVERAGE(Q1968:Q1973),1)&amp;" ≥ "&amp;$W$13&amp;" OK",ROUND(AVERAGE(Q1968:Q1973),1)&amp;" &lt; "&amp;$W$13&amp;" NC")),IF($X$13="/90",IF(#REF!="","",IF(AVERAGE(#REF!)&gt;=$W$13,ROUND(AVERAGE(#REF!),1)&amp;" ≥ "&amp;$W$13&amp;" OK",ROUND(AVERAGE(#REF!),1)&amp;" &lt; "&amp;$W$13&amp;" NC"))))</f>
        <v/>
      </c>
      <c r="T1972" s="278" t="str">
        <f>IF($X$13="/28",IF(Q1972="","",IF(Q1972&gt;=$W$13-$S$12,ROUND((Q1972),1)&amp;" ≥ "&amp;$W$13-$S$12&amp;" OK",ROUND((Q1972),1)&amp;" &lt; "&amp;$W$13-$S$12&amp;" NC")),IF($X$13="/90",IF(#REF!="","",IF(#REF!&gt;=$W$13-$S$12,ROUND((#REF!),1)&amp;" ≥ "&amp;$W$13-$S$12&amp;" OK",ROUND((#REF!),1)&amp;" &lt; "&amp;$W$13-$S$12&amp;" NC"))))</f>
        <v/>
      </c>
      <c r="U1972" s="14"/>
      <c r="V1972" s="279"/>
      <c r="W1972" s="280"/>
      <c r="X1972" s="281"/>
      <c r="Y1972" s="246"/>
      <c r="Z1972" s="246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BP1972" s="390" t="str">
        <f>IF($X$13="/28",IF(Q1972="","",Q1972),IF($X$13="/90",IF(#REF!="","",#REF!),"Falso"))</f>
        <v/>
      </c>
      <c r="BQ1972" s="392" t="str">
        <f t="shared" si="3030"/>
        <v/>
      </c>
    </row>
    <row r="1973" spans="1:69" ht="14.25" customHeight="1" x14ac:dyDescent="0.35">
      <c r="A1973" s="294"/>
      <c r="B1973" s="296"/>
      <c r="C1973" s="298"/>
      <c r="D1973" s="300"/>
      <c r="E1973" s="302"/>
      <c r="F1973" s="304"/>
      <c r="G1973" s="276"/>
      <c r="H1973" s="277"/>
      <c r="I1973" s="290"/>
      <c r="J1973" s="290"/>
      <c r="K1973" s="291"/>
      <c r="L1973" s="17"/>
      <c r="M1973" s="286"/>
      <c r="N1973" s="21"/>
      <c r="O1973" s="286"/>
      <c r="P1973" s="21"/>
      <c r="Q1973" s="286"/>
      <c r="R1973" s="248"/>
      <c r="S1973" s="287"/>
      <c r="T1973" s="248"/>
      <c r="U1973" s="13"/>
      <c r="V1973" s="282"/>
      <c r="W1973" s="283"/>
      <c r="X1973" s="284"/>
      <c r="Y1973" s="245"/>
      <c r="Z1973" s="245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BP1973" s="391"/>
      <c r="BQ1973" s="393"/>
    </row>
    <row r="1974" spans="1:69" ht="14.25" customHeight="1" x14ac:dyDescent="0.35">
      <c r="A1974" s="293">
        <v>979</v>
      </c>
      <c r="B1974" s="295"/>
      <c r="C1974" s="297"/>
      <c r="D1974" s="299"/>
      <c r="E1974" s="301"/>
      <c r="F1974" s="303"/>
      <c r="G1974" s="288"/>
      <c r="H1974" s="289"/>
      <c r="I1974" s="290"/>
      <c r="J1974" s="290"/>
      <c r="K1974" s="291"/>
      <c r="L1974" s="18"/>
      <c r="M1974" s="285" t="str">
        <f t="shared" ref="M1974" si="3067">IF(COUNT(L1974:L1975)&lt;1,"",AVERAGE(L1974:L1975))</f>
        <v/>
      </c>
      <c r="N1974" s="22"/>
      <c r="O1974" s="285" t="str">
        <f t="shared" ref="O1974" si="3068">IF(COUNT(N1974:N1975)&lt;1,"",AVERAGE(N1974:N1975))</f>
        <v/>
      </c>
      <c r="P1974" s="22"/>
      <c r="Q1974" s="285" t="str">
        <f t="shared" ref="Q1974" si="3069">IF(COUNT(P1974:P1975)&lt;1,"",AVERAGE(P1974:P1975))</f>
        <v/>
      </c>
      <c r="R1974" s="278" t="str">
        <f>IF($X$13="/28",IF(COUNT(P1974:P1975)&lt;=1,"",ABS(P1974-P1975)),IF($X$13="/90",IF(COUNT(#REF!)&lt;=1,"",ABS(#REF!-#REF!))))</f>
        <v/>
      </c>
      <c r="S1974" s="278" t="str">
        <f>IF($X$13="/28",IF(Q1974="","",IF(AVERAGE(Q1970:Q1975)&gt;=$W$13,ROUND(AVERAGE(Q1970:Q1975),1)&amp;" ≥ "&amp;$W$13&amp;" OK",ROUND(AVERAGE(Q1970:Q1975),1)&amp;" &lt; "&amp;$W$13&amp;" NC")),IF($X$13="/90",IF(#REF!="","",IF(AVERAGE(#REF!)&gt;=$W$13,ROUND(AVERAGE(#REF!),1)&amp;" ≥ "&amp;$W$13&amp;" OK",ROUND(AVERAGE(#REF!),1)&amp;" &lt; "&amp;$W$13&amp;" NC"))))</f>
        <v/>
      </c>
      <c r="T1974" s="278" t="str">
        <f>IF($X$13="/28",IF(Q1974="","",IF(Q1974&gt;=$W$13-$S$12,ROUND((Q1974),1)&amp;" ≥ "&amp;$W$13-$S$12&amp;" OK",ROUND((Q1974),1)&amp;" &lt; "&amp;$W$13-$S$12&amp;" NC")),IF($X$13="/90",IF(#REF!="","",IF(#REF!&gt;=$W$13-$S$12,ROUND((#REF!),1)&amp;" ≥ "&amp;$W$13-$S$12&amp;" OK",ROUND((#REF!),1)&amp;" &lt; "&amp;$W$13-$S$12&amp;" NC"))))</f>
        <v/>
      </c>
      <c r="U1974" s="14"/>
      <c r="V1974" s="279"/>
      <c r="W1974" s="280"/>
      <c r="X1974" s="281"/>
      <c r="Y1974" s="246"/>
      <c r="Z1974" s="246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BP1974" s="390" t="str">
        <f>IF($X$13="/28",IF(Q1974="","",Q1974),IF($X$13="/90",IF(#REF!="","",#REF!),"Falso"))</f>
        <v/>
      </c>
      <c r="BQ1974" s="392" t="str">
        <f t="shared" si="3022"/>
        <v/>
      </c>
    </row>
    <row r="1975" spans="1:69" ht="14.25" customHeight="1" x14ac:dyDescent="0.35">
      <c r="A1975" s="294"/>
      <c r="B1975" s="296"/>
      <c r="C1975" s="298"/>
      <c r="D1975" s="300"/>
      <c r="E1975" s="302"/>
      <c r="F1975" s="304"/>
      <c r="G1975" s="276"/>
      <c r="H1975" s="277"/>
      <c r="I1975" s="290"/>
      <c r="J1975" s="290"/>
      <c r="K1975" s="291"/>
      <c r="L1975" s="17"/>
      <c r="M1975" s="286"/>
      <c r="N1975" s="21"/>
      <c r="O1975" s="286"/>
      <c r="P1975" s="21"/>
      <c r="Q1975" s="286"/>
      <c r="R1975" s="248"/>
      <c r="S1975" s="287"/>
      <c r="T1975" s="248"/>
      <c r="U1975" s="13"/>
      <c r="V1975" s="282"/>
      <c r="W1975" s="283"/>
      <c r="X1975" s="284"/>
      <c r="Y1975" s="245"/>
      <c r="Z1975" s="245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BP1975" s="391"/>
      <c r="BQ1975" s="393"/>
    </row>
    <row r="1976" spans="1:69" ht="14.25" customHeight="1" x14ac:dyDescent="0.35">
      <c r="A1976" s="293">
        <v>980</v>
      </c>
      <c r="B1976" s="295"/>
      <c r="C1976" s="297"/>
      <c r="D1976" s="299"/>
      <c r="E1976" s="301"/>
      <c r="F1976" s="303"/>
      <c r="G1976" s="288"/>
      <c r="H1976" s="289"/>
      <c r="I1976" s="290"/>
      <c r="J1976" s="290"/>
      <c r="K1976" s="291"/>
      <c r="L1976" s="18"/>
      <c r="M1976" s="285" t="str">
        <f t="shared" ref="M1976" si="3070">IF(COUNT(L1976:L1977)&lt;1,"",AVERAGE(L1976:L1977))</f>
        <v/>
      </c>
      <c r="N1976" s="22"/>
      <c r="O1976" s="285" t="str">
        <f t="shared" ref="O1976" si="3071">IF(COUNT(N1976:N1977)&lt;1,"",AVERAGE(N1976:N1977))</f>
        <v/>
      </c>
      <c r="P1976" s="22"/>
      <c r="Q1976" s="285" t="str">
        <f t="shared" ref="Q1976" si="3072">IF(COUNT(P1976:P1977)&lt;1,"",AVERAGE(P1976:P1977))</f>
        <v/>
      </c>
      <c r="R1976" s="278" t="str">
        <f>IF($X$13="/28",IF(COUNT(P1976:P1977)&lt;=1,"",ABS(P1976-P1977)),IF($X$13="/90",IF(COUNT(#REF!)&lt;=1,"",ABS(#REF!-#REF!))))</f>
        <v/>
      </c>
      <c r="S1976" s="278" t="str">
        <f>IF($X$13="/28",IF(Q1976="","",IF(AVERAGE(Q1972:Q1977)&gt;=$W$13,ROUND(AVERAGE(Q1972:Q1977),1)&amp;" ≥ "&amp;$W$13&amp;" OK",ROUND(AVERAGE(Q1972:Q1977),1)&amp;" &lt; "&amp;$W$13&amp;" NC")),IF($X$13="/90",IF(#REF!="","",IF(AVERAGE(#REF!)&gt;=$W$13,ROUND(AVERAGE(#REF!),1)&amp;" ≥ "&amp;$W$13&amp;" OK",ROUND(AVERAGE(#REF!),1)&amp;" &lt; "&amp;$W$13&amp;" NC"))))</f>
        <v/>
      </c>
      <c r="T1976" s="278" t="str">
        <f>IF($X$13="/28",IF(Q1976="","",IF(Q1976&gt;=$W$13-$S$12,ROUND((Q1976),1)&amp;" ≥ "&amp;$W$13-$S$12&amp;" OK",ROUND((Q1976),1)&amp;" &lt; "&amp;$W$13-$S$12&amp;" NC")),IF($X$13="/90",IF(#REF!="","",IF(#REF!&gt;=$W$13-$S$12,ROUND((#REF!),1)&amp;" ≥ "&amp;$W$13-$S$12&amp;" OK",ROUND((#REF!),1)&amp;" &lt; "&amp;$W$13-$S$12&amp;" NC"))))</f>
        <v/>
      </c>
      <c r="U1976" s="14"/>
      <c r="V1976" s="279"/>
      <c r="W1976" s="280"/>
      <c r="X1976" s="281"/>
      <c r="Y1976" s="246"/>
      <c r="Z1976" s="246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BP1976" s="390" t="str">
        <f>IF($X$13="/28",IF(Q1976="","",Q1976),IF($X$13="/90",IF(#REF!="","",#REF!),"Falso"))</f>
        <v/>
      </c>
      <c r="BQ1976" s="392" t="str">
        <f t="shared" si="3026"/>
        <v/>
      </c>
    </row>
    <row r="1977" spans="1:69" ht="14.25" customHeight="1" x14ac:dyDescent="0.35">
      <c r="A1977" s="294"/>
      <c r="B1977" s="296"/>
      <c r="C1977" s="298"/>
      <c r="D1977" s="300"/>
      <c r="E1977" s="302"/>
      <c r="F1977" s="304"/>
      <c r="G1977" s="276"/>
      <c r="H1977" s="277"/>
      <c r="I1977" s="290"/>
      <c r="J1977" s="290"/>
      <c r="K1977" s="291"/>
      <c r="L1977" s="17"/>
      <c r="M1977" s="286"/>
      <c r="N1977" s="21"/>
      <c r="O1977" s="286"/>
      <c r="P1977" s="21"/>
      <c r="Q1977" s="286"/>
      <c r="R1977" s="248"/>
      <c r="S1977" s="287"/>
      <c r="T1977" s="248"/>
      <c r="U1977" s="13"/>
      <c r="V1977" s="282"/>
      <c r="W1977" s="283"/>
      <c r="X1977" s="284"/>
      <c r="Y1977" s="245"/>
      <c r="Z1977" s="245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BP1977" s="391"/>
      <c r="BQ1977" s="393"/>
    </row>
    <row r="1978" spans="1:69" ht="14.25" customHeight="1" x14ac:dyDescent="0.35">
      <c r="A1978" s="293">
        <v>981</v>
      </c>
      <c r="B1978" s="295"/>
      <c r="C1978" s="297"/>
      <c r="D1978" s="299"/>
      <c r="E1978" s="301"/>
      <c r="F1978" s="303"/>
      <c r="G1978" s="288"/>
      <c r="H1978" s="289"/>
      <c r="I1978" s="290"/>
      <c r="J1978" s="290"/>
      <c r="K1978" s="291"/>
      <c r="L1978" s="18"/>
      <c r="M1978" s="285" t="str">
        <f t="shared" ref="M1978" si="3073">IF(COUNT(L1978:L1979)&lt;1,"",AVERAGE(L1978:L1979))</f>
        <v/>
      </c>
      <c r="N1978" s="22"/>
      <c r="O1978" s="285" t="str">
        <f t="shared" ref="O1978" si="3074">IF(COUNT(N1978:N1979)&lt;1,"",AVERAGE(N1978:N1979))</f>
        <v/>
      </c>
      <c r="P1978" s="22"/>
      <c r="Q1978" s="285" t="str">
        <f t="shared" ref="Q1978" si="3075">IF(COUNT(P1978:P1979)&lt;1,"",AVERAGE(P1978:P1979))</f>
        <v/>
      </c>
      <c r="R1978" s="278" t="str">
        <f>IF($X$13="/28",IF(COUNT(P1978:P1979)&lt;=1,"",ABS(P1978-P1979)),IF($X$13="/90",IF(COUNT(#REF!)&lt;=1,"",ABS(#REF!-#REF!))))</f>
        <v/>
      </c>
      <c r="S1978" s="278" t="str">
        <f>IF($X$13="/28",IF(Q1978="","",IF(AVERAGE(Q1974:Q1979)&gt;=$W$13,ROUND(AVERAGE(Q1974:Q1979),1)&amp;" ≥ "&amp;$W$13&amp;" OK",ROUND(AVERAGE(Q1974:Q1979),1)&amp;" &lt; "&amp;$W$13&amp;" NC")),IF($X$13="/90",IF(#REF!="","",IF(AVERAGE(#REF!)&gt;=$W$13,ROUND(AVERAGE(#REF!),1)&amp;" ≥ "&amp;$W$13&amp;" OK",ROUND(AVERAGE(#REF!),1)&amp;" &lt; "&amp;$W$13&amp;" NC"))))</f>
        <v/>
      </c>
      <c r="T1978" s="278" t="str">
        <f>IF($X$13="/28",IF(Q1978="","",IF(Q1978&gt;=$W$13-$S$12,ROUND((Q1978),1)&amp;" ≥ "&amp;$W$13-$S$12&amp;" OK",ROUND((Q1978),1)&amp;" &lt; "&amp;$W$13-$S$12&amp;" NC")),IF($X$13="/90",IF(#REF!="","",IF(#REF!&gt;=$W$13-$S$12,ROUND((#REF!),1)&amp;" ≥ "&amp;$W$13-$S$12&amp;" OK",ROUND((#REF!),1)&amp;" &lt; "&amp;$W$13-$S$12&amp;" NC"))))</f>
        <v/>
      </c>
      <c r="U1978" s="14"/>
      <c r="V1978" s="279"/>
      <c r="W1978" s="280"/>
      <c r="X1978" s="281"/>
      <c r="Y1978" s="246"/>
      <c r="Z1978" s="246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BP1978" s="390" t="str">
        <f>IF($X$13="/28",IF(Q1978="","",Q1978),IF($X$13="/90",IF(#REF!="","",#REF!),"Falso"))</f>
        <v/>
      </c>
      <c r="BQ1978" s="392" t="str">
        <f t="shared" si="3030"/>
        <v/>
      </c>
    </row>
    <row r="1979" spans="1:69" ht="14.25" customHeight="1" x14ac:dyDescent="0.35">
      <c r="A1979" s="294"/>
      <c r="B1979" s="296"/>
      <c r="C1979" s="298"/>
      <c r="D1979" s="300"/>
      <c r="E1979" s="302"/>
      <c r="F1979" s="304"/>
      <c r="G1979" s="276"/>
      <c r="H1979" s="277"/>
      <c r="I1979" s="290"/>
      <c r="J1979" s="290"/>
      <c r="K1979" s="291"/>
      <c r="L1979" s="17"/>
      <c r="M1979" s="286"/>
      <c r="N1979" s="21"/>
      <c r="O1979" s="286"/>
      <c r="P1979" s="21"/>
      <c r="Q1979" s="286"/>
      <c r="R1979" s="248"/>
      <c r="S1979" s="287"/>
      <c r="T1979" s="248"/>
      <c r="U1979" s="13"/>
      <c r="V1979" s="282"/>
      <c r="W1979" s="283"/>
      <c r="X1979" s="284"/>
      <c r="Y1979" s="245"/>
      <c r="Z1979" s="245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BP1979" s="391"/>
      <c r="BQ1979" s="393"/>
    </row>
    <row r="1980" spans="1:69" ht="14.25" customHeight="1" x14ac:dyDescent="0.35">
      <c r="A1980" s="293">
        <v>982</v>
      </c>
      <c r="B1980" s="295"/>
      <c r="C1980" s="297"/>
      <c r="D1980" s="299"/>
      <c r="E1980" s="301"/>
      <c r="F1980" s="303"/>
      <c r="G1980" s="288"/>
      <c r="H1980" s="289"/>
      <c r="I1980" s="290"/>
      <c r="J1980" s="290"/>
      <c r="K1980" s="291"/>
      <c r="L1980" s="18"/>
      <c r="M1980" s="285" t="str">
        <f t="shared" ref="M1980" si="3076">IF(COUNT(L1980:L1981)&lt;1,"",AVERAGE(L1980:L1981))</f>
        <v/>
      </c>
      <c r="N1980" s="22"/>
      <c r="O1980" s="285" t="str">
        <f t="shared" ref="O1980" si="3077">IF(COUNT(N1980:N1981)&lt;1,"",AVERAGE(N1980:N1981))</f>
        <v/>
      </c>
      <c r="P1980" s="22"/>
      <c r="Q1980" s="285" t="str">
        <f t="shared" ref="Q1980" si="3078">IF(COUNT(P1980:P1981)&lt;1,"",AVERAGE(P1980:P1981))</f>
        <v/>
      </c>
      <c r="R1980" s="278" t="str">
        <f>IF($X$13="/28",IF(COUNT(P1980:P1981)&lt;=1,"",ABS(P1980-P1981)),IF($X$13="/90",IF(COUNT(#REF!)&lt;=1,"",ABS(#REF!-#REF!))))</f>
        <v/>
      </c>
      <c r="S1980" s="278" t="str">
        <f>IF($X$13="/28",IF(Q1980="","",IF(AVERAGE(Q1976:Q1981)&gt;=$W$13,ROUND(AVERAGE(Q1976:Q1981),1)&amp;" ≥ "&amp;$W$13&amp;" OK",ROUND(AVERAGE(Q1976:Q1981),1)&amp;" &lt; "&amp;$W$13&amp;" NC")),IF($X$13="/90",IF(#REF!="","",IF(AVERAGE(#REF!)&gt;=$W$13,ROUND(AVERAGE(#REF!),1)&amp;" ≥ "&amp;$W$13&amp;" OK",ROUND(AVERAGE(#REF!),1)&amp;" &lt; "&amp;$W$13&amp;" NC"))))</f>
        <v/>
      </c>
      <c r="T1980" s="278" t="str">
        <f>IF($X$13="/28",IF(Q1980="","",IF(Q1980&gt;=$W$13-$S$12,ROUND((Q1980),1)&amp;" ≥ "&amp;$W$13-$S$12&amp;" OK",ROUND((Q1980),1)&amp;" &lt; "&amp;$W$13-$S$12&amp;" NC")),IF($X$13="/90",IF(#REF!="","",IF(#REF!&gt;=$W$13-$S$12,ROUND((#REF!),1)&amp;" ≥ "&amp;$W$13-$S$12&amp;" OK",ROUND((#REF!),1)&amp;" &lt; "&amp;$W$13-$S$12&amp;" NC"))))</f>
        <v/>
      </c>
      <c r="U1980" s="14"/>
      <c r="V1980" s="279"/>
      <c r="W1980" s="280"/>
      <c r="X1980" s="281"/>
      <c r="Y1980" s="246"/>
      <c r="Z1980" s="246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BP1980" s="390" t="str">
        <f>IF($X$13="/28",IF(Q1980="","",Q1980),IF($X$13="/90",IF(#REF!="","",#REF!),"Falso"))</f>
        <v/>
      </c>
      <c r="BQ1980" s="392" t="str">
        <f t="shared" si="3022"/>
        <v/>
      </c>
    </row>
    <row r="1981" spans="1:69" ht="14.25" customHeight="1" x14ac:dyDescent="0.35">
      <c r="A1981" s="294"/>
      <c r="B1981" s="296"/>
      <c r="C1981" s="298"/>
      <c r="D1981" s="300"/>
      <c r="E1981" s="302"/>
      <c r="F1981" s="304"/>
      <c r="G1981" s="276"/>
      <c r="H1981" s="277"/>
      <c r="I1981" s="290"/>
      <c r="J1981" s="290"/>
      <c r="K1981" s="291"/>
      <c r="L1981" s="17"/>
      <c r="M1981" s="286"/>
      <c r="N1981" s="21"/>
      <c r="O1981" s="286"/>
      <c r="P1981" s="21"/>
      <c r="Q1981" s="286"/>
      <c r="R1981" s="248"/>
      <c r="S1981" s="287"/>
      <c r="T1981" s="248"/>
      <c r="U1981" s="13"/>
      <c r="V1981" s="282"/>
      <c r="W1981" s="283"/>
      <c r="X1981" s="284"/>
      <c r="Y1981" s="245"/>
      <c r="Z1981" s="245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BP1981" s="391"/>
      <c r="BQ1981" s="393"/>
    </row>
    <row r="1982" spans="1:69" ht="14.25" customHeight="1" x14ac:dyDescent="0.35">
      <c r="A1982" s="293">
        <v>983</v>
      </c>
      <c r="B1982" s="295"/>
      <c r="C1982" s="297"/>
      <c r="D1982" s="299"/>
      <c r="E1982" s="301"/>
      <c r="F1982" s="303"/>
      <c r="G1982" s="288"/>
      <c r="H1982" s="289"/>
      <c r="I1982" s="290"/>
      <c r="J1982" s="290"/>
      <c r="K1982" s="291"/>
      <c r="L1982" s="18"/>
      <c r="M1982" s="285" t="str">
        <f t="shared" ref="M1982" si="3079">IF(COUNT(L1982:L1983)&lt;1,"",AVERAGE(L1982:L1983))</f>
        <v/>
      </c>
      <c r="N1982" s="22"/>
      <c r="O1982" s="285" t="str">
        <f t="shared" ref="O1982" si="3080">IF(COUNT(N1982:N1983)&lt;1,"",AVERAGE(N1982:N1983))</f>
        <v/>
      </c>
      <c r="P1982" s="22"/>
      <c r="Q1982" s="285" t="str">
        <f t="shared" ref="Q1982" si="3081">IF(COUNT(P1982:P1983)&lt;1,"",AVERAGE(P1982:P1983))</f>
        <v/>
      </c>
      <c r="R1982" s="278" t="str">
        <f>IF($X$13="/28",IF(COUNT(P1982:P1983)&lt;=1,"",ABS(P1982-P1983)),IF($X$13="/90",IF(COUNT(#REF!)&lt;=1,"",ABS(#REF!-#REF!))))</f>
        <v/>
      </c>
      <c r="S1982" s="278" t="str">
        <f>IF($X$13="/28",IF(Q1982="","",IF(AVERAGE(Q1978:Q1983)&gt;=$W$13,ROUND(AVERAGE(Q1978:Q1983),1)&amp;" ≥ "&amp;$W$13&amp;" OK",ROUND(AVERAGE(Q1978:Q1983),1)&amp;" &lt; "&amp;$W$13&amp;" NC")),IF($X$13="/90",IF(#REF!="","",IF(AVERAGE(#REF!)&gt;=$W$13,ROUND(AVERAGE(#REF!),1)&amp;" ≥ "&amp;$W$13&amp;" OK",ROUND(AVERAGE(#REF!),1)&amp;" &lt; "&amp;$W$13&amp;" NC"))))</f>
        <v/>
      </c>
      <c r="T1982" s="278" t="str">
        <f>IF($X$13="/28",IF(Q1982="","",IF(Q1982&gt;=$W$13-$S$12,ROUND((Q1982),1)&amp;" ≥ "&amp;$W$13-$S$12&amp;" OK",ROUND((Q1982),1)&amp;" &lt; "&amp;$W$13-$S$12&amp;" NC")),IF($X$13="/90",IF(#REF!="","",IF(#REF!&gt;=$W$13-$S$12,ROUND((#REF!),1)&amp;" ≥ "&amp;$W$13-$S$12&amp;" OK",ROUND((#REF!),1)&amp;" &lt; "&amp;$W$13-$S$12&amp;" NC"))))</f>
        <v/>
      </c>
      <c r="U1982" s="14"/>
      <c r="V1982" s="279"/>
      <c r="W1982" s="280"/>
      <c r="X1982" s="281"/>
      <c r="Y1982" s="246"/>
      <c r="Z1982" s="246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BP1982" s="390" t="str">
        <f>IF($X$13="/28",IF(Q1982="","",Q1982),IF($X$13="/90",IF(#REF!="","",#REF!),"Falso"))</f>
        <v/>
      </c>
      <c r="BQ1982" s="392" t="str">
        <f t="shared" si="3026"/>
        <v/>
      </c>
    </row>
    <row r="1983" spans="1:69" ht="14.25" customHeight="1" x14ac:dyDescent="0.35">
      <c r="A1983" s="294"/>
      <c r="B1983" s="296"/>
      <c r="C1983" s="298"/>
      <c r="D1983" s="300"/>
      <c r="E1983" s="302"/>
      <c r="F1983" s="304"/>
      <c r="G1983" s="276"/>
      <c r="H1983" s="277"/>
      <c r="I1983" s="290"/>
      <c r="J1983" s="290"/>
      <c r="K1983" s="291"/>
      <c r="L1983" s="17"/>
      <c r="M1983" s="286"/>
      <c r="N1983" s="21"/>
      <c r="O1983" s="286"/>
      <c r="P1983" s="21"/>
      <c r="Q1983" s="286"/>
      <c r="R1983" s="248"/>
      <c r="S1983" s="287"/>
      <c r="T1983" s="248"/>
      <c r="U1983" s="13"/>
      <c r="V1983" s="282"/>
      <c r="W1983" s="283"/>
      <c r="X1983" s="284"/>
      <c r="Y1983" s="245"/>
      <c r="Z1983" s="245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BP1983" s="391"/>
      <c r="BQ1983" s="393"/>
    </row>
    <row r="1984" spans="1:69" ht="14.25" customHeight="1" x14ac:dyDescent="0.35">
      <c r="A1984" s="293">
        <v>984</v>
      </c>
      <c r="B1984" s="295"/>
      <c r="C1984" s="297"/>
      <c r="D1984" s="299"/>
      <c r="E1984" s="301"/>
      <c r="F1984" s="303"/>
      <c r="G1984" s="288"/>
      <c r="H1984" s="289"/>
      <c r="I1984" s="290"/>
      <c r="J1984" s="290"/>
      <c r="K1984" s="291"/>
      <c r="L1984" s="18"/>
      <c r="M1984" s="285" t="str">
        <f t="shared" ref="M1984" si="3082">IF(COUNT(L1984:L1985)&lt;1,"",AVERAGE(L1984:L1985))</f>
        <v/>
      </c>
      <c r="N1984" s="22"/>
      <c r="O1984" s="285" t="str">
        <f t="shared" ref="O1984" si="3083">IF(COUNT(N1984:N1985)&lt;1,"",AVERAGE(N1984:N1985))</f>
        <v/>
      </c>
      <c r="P1984" s="22"/>
      <c r="Q1984" s="285" t="str">
        <f t="shared" ref="Q1984" si="3084">IF(COUNT(P1984:P1985)&lt;1,"",AVERAGE(P1984:P1985))</f>
        <v/>
      </c>
      <c r="R1984" s="278" t="str">
        <f>IF($X$13="/28",IF(COUNT(P1984:P1985)&lt;=1,"",ABS(P1984-P1985)),IF($X$13="/90",IF(COUNT(#REF!)&lt;=1,"",ABS(#REF!-#REF!))))</f>
        <v/>
      </c>
      <c r="S1984" s="278" t="str">
        <f>IF($X$13="/28",IF(Q1984="","",IF(AVERAGE(Q1980:Q1985)&gt;=$W$13,ROUND(AVERAGE(Q1980:Q1985),1)&amp;" ≥ "&amp;$W$13&amp;" OK",ROUND(AVERAGE(Q1980:Q1985),1)&amp;" &lt; "&amp;$W$13&amp;" NC")),IF($X$13="/90",IF(#REF!="","",IF(AVERAGE(#REF!)&gt;=$W$13,ROUND(AVERAGE(#REF!),1)&amp;" ≥ "&amp;$W$13&amp;" OK",ROUND(AVERAGE(#REF!),1)&amp;" &lt; "&amp;$W$13&amp;" NC"))))</f>
        <v/>
      </c>
      <c r="T1984" s="278" t="str">
        <f>IF($X$13="/28",IF(Q1984="","",IF(Q1984&gt;=$W$13-$S$12,ROUND((Q1984),1)&amp;" ≥ "&amp;$W$13-$S$12&amp;" OK",ROUND((Q1984),1)&amp;" &lt; "&amp;$W$13-$S$12&amp;" NC")),IF($X$13="/90",IF(#REF!="","",IF(#REF!&gt;=$W$13-$S$12,ROUND((#REF!),1)&amp;" ≥ "&amp;$W$13-$S$12&amp;" OK",ROUND((#REF!),1)&amp;" &lt; "&amp;$W$13-$S$12&amp;" NC"))))</f>
        <v/>
      </c>
      <c r="U1984" s="14"/>
      <c r="V1984" s="279"/>
      <c r="W1984" s="280"/>
      <c r="X1984" s="281"/>
      <c r="Y1984" s="246"/>
      <c r="Z1984" s="246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BP1984" s="390" t="str">
        <f>IF($X$13="/28",IF(Q1984="","",Q1984),IF($X$13="/90",IF(#REF!="","",#REF!),"Falso"))</f>
        <v/>
      </c>
      <c r="BQ1984" s="392" t="str">
        <f t="shared" si="3030"/>
        <v/>
      </c>
    </row>
    <row r="1985" spans="1:69" ht="14.25" customHeight="1" x14ac:dyDescent="0.35">
      <c r="A1985" s="294"/>
      <c r="B1985" s="296"/>
      <c r="C1985" s="298"/>
      <c r="D1985" s="300"/>
      <c r="E1985" s="302"/>
      <c r="F1985" s="304"/>
      <c r="G1985" s="276"/>
      <c r="H1985" s="277"/>
      <c r="I1985" s="290"/>
      <c r="J1985" s="290"/>
      <c r="K1985" s="291"/>
      <c r="L1985" s="17"/>
      <c r="M1985" s="286"/>
      <c r="N1985" s="21"/>
      <c r="O1985" s="286"/>
      <c r="P1985" s="21"/>
      <c r="Q1985" s="286"/>
      <c r="R1985" s="248"/>
      <c r="S1985" s="287"/>
      <c r="T1985" s="248"/>
      <c r="U1985" s="13"/>
      <c r="V1985" s="282"/>
      <c r="W1985" s="283"/>
      <c r="X1985" s="284"/>
      <c r="Y1985" s="245"/>
      <c r="Z1985" s="245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BP1985" s="391"/>
      <c r="BQ1985" s="393"/>
    </row>
    <row r="1986" spans="1:69" ht="14.25" customHeight="1" x14ac:dyDescent="0.35">
      <c r="A1986" s="293">
        <v>985</v>
      </c>
      <c r="B1986" s="295"/>
      <c r="C1986" s="297"/>
      <c r="D1986" s="299"/>
      <c r="E1986" s="301"/>
      <c r="F1986" s="303"/>
      <c r="G1986" s="288"/>
      <c r="H1986" s="289"/>
      <c r="I1986" s="290"/>
      <c r="J1986" s="290"/>
      <c r="K1986" s="291"/>
      <c r="L1986" s="18"/>
      <c r="M1986" s="285" t="str">
        <f t="shared" ref="M1986" si="3085">IF(COUNT(L1986:L1987)&lt;1,"",AVERAGE(L1986:L1987))</f>
        <v/>
      </c>
      <c r="N1986" s="22"/>
      <c r="O1986" s="285" t="str">
        <f t="shared" ref="O1986" si="3086">IF(COUNT(N1986:N1987)&lt;1,"",AVERAGE(N1986:N1987))</f>
        <v/>
      </c>
      <c r="P1986" s="22"/>
      <c r="Q1986" s="285" t="str">
        <f t="shared" ref="Q1986" si="3087">IF(COUNT(P1986:P1987)&lt;1,"",AVERAGE(P1986:P1987))</f>
        <v/>
      </c>
      <c r="R1986" s="278" t="str">
        <f>IF($X$13="/28",IF(COUNT(P1986:P1987)&lt;=1,"",ABS(P1986-P1987)),IF($X$13="/90",IF(COUNT(#REF!)&lt;=1,"",ABS(#REF!-#REF!))))</f>
        <v/>
      </c>
      <c r="S1986" s="278" t="str">
        <f>IF($X$13="/28",IF(Q1986="","",IF(AVERAGE(Q1982:Q1987)&gt;=$W$13,ROUND(AVERAGE(Q1982:Q1987),1)&amp;" ≥ "&amp;$W$13&amp;" OK",ROUND(AVERAGE(Q1982:Q1987),1)&amp;" &lt; "&amp;$W$13&amp;" NC")),IF($X$13="/90",IF(#REF!="","",IF(AVERAGE(#REF!)&gt;=$W$13,ROUND(AVERAGE(#REF!),1)&amp;" ≥ "&amp;$W$13&amp;" OK",ROUND(AVERAGE(#REF!),1)&amp;" &lt; "&amp;$W$13&amp;" NC"))))</f>
        <v/>
      </c>
      <c r="T1986" s="278" t="str">
        <f>IF($X$13="/28",IF(Q1986="","",IF(Q1986&gt;=$W$13-$S$12,ROUND((Q1986),1)&amp;" ≥ "&amp;$W$13-$S$12&amp;" OK",ROUND((Q1986),1)&amp;" &lt; "&amp;$W$13-$S$12&amp;" NC")),IF($X$13="/90",IF(#REF!="","",IF(#REF!&gt;=$W$13-$S$12,ROUND((#REF!),1)&amp;" ≥ "&amp;$W$13-$S$12&amp;" OK",ROUND((#REF!),1)&amp;" &lt; "&amp;$W$13-$S$12&amp;" NC"))))</f>
        <v/>
      </c>
      <c r="U1986" s="14"/>
      <c r="V1986" s="279"/>
      <c r="W1986" s="280"/>
      <c r="X1986" s="281"/>
      <c r="Y1986" s="246"/>
      <c r="Z1986" s="246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BP1986" s="390" t="str">
        <f>IF($X$13="/28",IF(Q1986="","",Q1986),IF($X$13="/90",IF(#REF!="","",#REF!),"Falso"))</f>
        <v/>
      </c>
      <c r="BQ1986" s="392" t="str">
        <f t="shared" si="3022"/>
        <v/>
      </c>
    </row>
    <row r="1987" spans="1:69" ht="14.25" customHeight="1" x14ac:dyDescent="0.35">
      <c r="A1987" s="294"/>
      <c r="B1987" s="296"/>
      <c r="C1987" s="298"/>
      <c r="D1987" s="300"/>
      <c r="E1987" s="302"/>
      <c r="F1987" s="304"/>
      <c r="G1987" s="276"/>
      <c r="H1987" s="277"/>
      <c r="I1987" s="290"/>
      <c r="J1987" s="290"/>
      <c r="K1987" s="291"/>
      <c r="L1987" s="17"/>
      <c r="M1987" s="286"/>
      <c r="N1987" s="21"/>
      <c r="O1987" s="286"/>
      <c r="P1987" s="21"/>
      <c r="Q1987" s="286"/>
      <c r="R1987" s="248"/>
      <c r="S1987" s="287"/>
      <c r="T1987" s="248"/>
      <c r="U1987" s="13"/>
      <c r="V1987" s="282"/>
      <c r="W1987" s="283"/>
      <c r="X1987" s="284"/>
      <c r="Y1987" s="245"/>
      <c r="Z1987" s="245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BP1987" s="391"/>
      <c r="BQ1987" s="393"/>
    </row>
    <row r="1988" spans="1:69" ht="14.25" customHeight="1" x14ac:dyDescent="0.35">
      <c r="A1988" s="293">
        <v>986</v>
      </c>
      <c r="B1988" s="295"/>
      <c r="C1988" s="297"/>
      <c r="D1988" s="299"/>
      <c r="E1988" s="301"/>
      <c r="F1988" s="303"/>
      <c r="G1988" s="288"/>
      <c r="H1988" s="289"/>
      <c r="I1988" s="290"/>
      <c r="J1988" s="290"/>
      <c r="K1988" s="291"/>
      <c r="L1988" s="18"/>
      <c r="M1988" s="285" t="str">
        <f t="shared" ref="M1988" si="3088">IF(COUNT(L1988:L1989)&lt;1,"",AVERAGE(L1988:L1989))</f>
        <v/>
      </c>
      <c r="N1988" s="22"/>
      <c r="O1988" s="285" t="str">
        <f t="shared" ref="O1988" si="3089">IF(COUNT(N1988:N1989)&lt;1,"",AVERAGE(N1988:N1989))</f>
        <v/>
      </c>
      <c r="P1988" s="22"/>
      <c r="Q1988" s="285" t="str">
        <f t="shared" ref="Q1988" si="3090">IF(COUNT(P1988:P1989)&lt;1,"",AVERAGE(P1988:P1989))</f>
        <v/>
      </c>
      <c r="R1988" s="278" t="str">
        <f>IF($X$13="/28",IF(COUNT(P1988:P1989)&lt;=1,"",ABS(P1988-P1989)),IF($X$13="/90",IF(COUNT(#REF!)&lt;=1,"",ABS(#REF!-#REF!))))</f>
        <v/>
      </c>
      <c r="S1988" s="278" t="str">
        <f>IF($X$13="/28",IF(Q1988="","",IF(AVERAGE(Q1984:Q1989)&gt;=$W$13,ROUND(AVERAGE(Q1984:Q1989),1)&amp;" ≥ "&amp;$W$13&amp;" OK",ROUND(AVERAGE(Q1984:Q1989),1)&amp;" &lt; "&amp;$W$13&amp;" NC")),IF($X$13="/90",IF(#REF!="","",IF(AVERAGE(#REF!)&gt;=$W$13,ROUND(AVERAGE(#REF!),1)&amp;" ≥ "&amp;$W$13&amp;" OK",ROUND(AVERAGE(#REF!),1)&amp;" &lt; "&amp;$W$13&amp;" NC"))))</f>
        <v/>
      </c>
      <c r="T1988" s="278" t="str">
        <f>IF($X$13="/28",IF(Q1988="","",IF(Q1988&gt;=$W$13-$S$12,ROUND((Q1988),1)&amp;" ≥ "&amp;$W$13-$S$12&amp;" OK",ROUND((Q1988),1)&amp;" &lt; "&amp;$W$13-$S$12&amp;" NC")),IF($X$13="/90",IF(#REF!="","",IF(#REF!&gt;=$W$13-$S$12,ROUND((#REF!),1)&amp;" ≥ "&amp;$W$13-$S$12&amp;" OK",ROUND((#REF!),1)&amp;" &lt; "&amp;$W$13-$S$12&amp;" NC"))))</f>
        <v/>
      </c>
      <c r="U1988" s="14"/>
      <c r="V1988" s="279"/>
      <c r="W1988" s="280"/>
      <c r="X1988" s="281"/>
      <c r="Y1988" s="246"/>
      <c r="Z1988" s="246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BP1988" s="390" t="str">
        <f>IF($X$13="/28",IF(Q1988="","",Q1988),IF($X$13="/90",IF(#REF!="","",#REF!),"Falso"))</f>
        <v/>
      </c>
      <c r="BQ1988" s="392" t="str">
        <f t="shared" si="3026"/>
        <v/>
      </c>
    </row>
    <row r="1989" spans="1:69" ht="14.25" customHeight="1" x14ac:dyDescent="0.35">
      <c r="A1989" s="294"/>
      <c r="B1989" s="296"/>
      <c r="C1989" s="298"/>
      <c r="D1989" s="300"/>
      <c r="E1989" s="302"/>
      <c r="F1989" s="304"/>
      <c r="G1989" s="276"/>
      <c r="H1989" s="277"/>
      <c r="I1989" s="290"/>
      <c r="J1989" s="290"/>
      <c r="K1989" s="291"/>
      <c r="L1989" s="17"/>
      <c r="M1989" s="286"/>
      <c r="N1989" s="21"/>
      <c r="O1989" s="286"/>
      <c r="P1989" s="21"/>
      <c r="Q1989" s="286"/>
      <c r="R1989" s="248"/>
      <c r="S1989" s="287"/>
      <c r="T1989" s="248"/>
      <c r="U1989" s="13"/>
      <c r="V1989" s="282"/>
      <c r="W1989" s="283"/>
      <c r="X1989" s="284"/>
      <c r="Y1989" s="245"/>
      <c r="Z1989" s="245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BP1989" s="391"/>
      <c r="BQ1989" s="393"/>
    </row>
    <row r="1990" spans="1:69" ht="14.25" customHeight="1" x14ac:dyDescent="0.35">
      <c r="A1990" s="293">
        <v>987</v>
      </c>
      <c r="B1990" s="295"/>
      <c r="C1990" s="297"/>
      <c r="D1990" s="299"/>
      <c r="E1990" s="301"/>
      <c r="F1990" s="303"/>
      <c r="G1990" s="288"/>
      <c r="H1990" s="289"/>
      <c r="I1990" s="290"/>
      <c r="J1990" s="290"/>
      <c r="K1990" s="291"/>
      <c r="L1990" s="18"/>
      <c r="M1990" s="285" t="str">
        <f t="shared" ref="M1990" si="3091">IF(COUNT(L1990:L1991)&lt;1,"",AVERAGE(L1990:L1991))</f>
        <v/>
      </c>
      <c r="N1990" s="22"/>
      <c r="O1990" s="285" t="str">
        <f t="shared" ref="O1990" si="3092">IF(COUNT(N1990:N1991)&lt;1,"",AVERAGE(N1990:N1991))</f>
        <v/>
      </c>
      <c r="P1990" s="22"/>
      <c r="Q1990" s="285" t="str">
        <f t="shared" ref="Q1990" si="3093">IF(COUNT(P1990:P1991)&lt;1,"",AVERAGE(P1990:P1991))</f>
        <v/>
      </c>
      <c r="R1990" s="278" t="str">
        <f>IF($X$13="/28",IF(COUNT(P1990:P1991)&lt;=1,"",ABS(P1990-P1991)),IF($X$13="/90",IF(COUNT(#REF!)&lt;=1,"",ABS(#REF!-#REF!))))</f>
        <v/>
      </c>
      <c r="S1990" s="278" t="str">
        <f>IF($X$13="/28",IF(Q1990="","",IF(AVERAGE(Q1986:Q1991)&gt;=$W$13,ROUND(AVERAGE(Q1986:Q1991),1)&amp;" ≥ "&amp;$W$13&amp;" OK",ROUND(AVERAGE(Q1986:Q1991),1)&amp;" &lt; "&amp;$W$13&amp;" NC")),IF($X$13="/90",IF(#REF!="","",IF(AVERAGE(#REF!)&gt;=$W$13,ROUND(AVERAGE(#REF!),1)&amp;" ≥ "&amp;$W$13&amp;" OK",ROUND(AVERAGE(#REF!),1)&amp;" &lt; "&amp;$W$13&amp;" NC"))))</f>
        <v/>
      </c>
      <c r="T1990" s="278" t="str">
        <f>IF($X$13="/28",IF(Q1990="","",IF(Q1990&gt;=$W$13-$S$12,ROUND((Q1990),1)&amp;" ≥ "&amp;$W$13-$S$12&amp;" OK",ROUND((Q1990),1)&amp;" &lt; "&amp;$W$13-$S$12&amp;" NC")),IF($X$13="/90",IF(#REF!="","",IF(#REF!&gt;=$W$13-$S$12,ROUND((#REF!),1)&amp;" ≥ "&amp;$W$13-$S$12&amp;" OK",ROUND((#REF!),1)&amp;" &lt; "&amp;$W$13-$S$12&amp;" NC"))))</f>
        <v/>
      </c>
      <c r="U1990" s="14"/>
      <c r="V1990" s="279"/>
      <c r="W1990" s="280"/>
      <c r="X1990" s="281"/>
      <c r="Y1990" s="246"/>
      <c r="Z1990" s="246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BP1990" s="390" t="str">
        <f>IF($X$13="/28",IF(Q1990="","",Q1990),IF($X$13="/90",IF(#REF!="","",#REF!),"Falso"))</f>
        <v/>
      </c>
      <c r="BQ1990" s="392" t="str">
        <f t="shared" si="3030"/>
        <v/>
      </c>
    </row>
    <row r="1991" spans="1:69" ht="14.25" customHeight="1" x14ac:dyDescent="0.35">
      <c r="A1991" s="294"/>
      <c r="B1991" s="296"/>
      <c r="C1991" s="298"/>
      <c r="D1991" s="300"/>
      <c r="E1991" s="302"/>
      <c r="F1991" s="304"/>
      <c r="G1991" s="276"/>
      <c r="H1991" s="277"/>
      <c r="I1991" s="290"/>
      <c r="J1991" s="290"/>
      <c r="K1991" s="291"/>
      <c r="L1991" s="17"/>
      <c r="M1991" s="286"/>
      <c r="N1991" s="21"/>
      <c r="O1991" s="286"/>
      <c r="P1991" s="21"/>
      <c r="Q1991" s="286"/>
      <c r="R1991" s="248"/>
      <c r="S1991" s="287"/>
      <c r="T1991" s="248"/>
      <c r="U1991" s="13"/>
      <c r="V1991" s="282"/>
      <c r="W1991" s="283"/>
      <c r="X1991" s="284"/>
      <c r="Y1991" s="245"/>
      <c r="Z1991" s="245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BP1991" s="391"/>
      <c r="BQ1991" s="393"/>
    </row>
    <row r="1992" spans="1:69" ht="14.25" customHeight="1" x14ac:dyDescent="0.35">
      <c r="A1992" s="293">
        <v>988</v>
      </c>
      <c r="B1992" s="295"/>
      <c r="C1992" s="297"/>
      <c r="D1992" s="299"/>
      <c r="E1992" s="301"/>
      <c r="F1992" s="303"/>
      <c r="G1992" s="288"/>
      <c r="H1992" s="289"/>
      <c r="I1992" s="290"/>
      <c r="J1992" s="290"/>
      <c r="K1992" s="291"/>
      <c r="L1992" s="18"/>
      <c r="M1992" s="285" t="str">
        <f t="shared" ref="M1992" si="3094">IF(COUNT(L1992:L1993)&lt;1,"",AVERAGE(L1992:L1993))</f>
        <v/>
      </c>
      <c r="N1992" s="22"/>
      <c r="O1992" s="285" t="str">
        <f t="shared" ref="O1992" si="3095">IF(COUNT(N1992:N1993)&lt;1,"",AVERAGE(N1992:N1993))</f>
        <v/>
      </c>
      <c r="P1992" s="22"/>
      <c r="Q1992" s="285" t="str">
        <f t="shared" ref="Q1992" si="3096">IF(COUNT(P1992:P1993)&lt;1,"",AVERAGE(P1992:P1993))</f>
        <v/>
      </c>
      <c r="R1992" s="278" t="str">
        <f>IF($X$13="/28",IF(COUNT(P1992:P1993)&lt;=1,"",ABS(P1992-P1993)),IF($X$13="/90",IF(COUNT(#REF!)&lt;=1,"",ABS(#REF!-#REF!))))</f>
        <v/>
      </c>
      <c r="S1992" s="278" t="str">
        <f>IF($X$13="/28",IF(Q1992="","",IF(AVERAGE(Q1988:Q1993)&gt;=$W$13,ROUND(AVERAGE(Q1988:Q1993),1)&amp;" ≥ "&amp;$W$13&amp;" OK",ROUND(AVERAGE(Q1988:Q1993),1)&amp;" &lt; "&amp;$W$13&amp;" NC")),IF($X$13="/90",IF(#REF!="","",IF(AVERAGE(#REF!)&gt;=$W$13,ROUND(AVERAGE(#REF!),1)&amp;" ≥ "&amp;$W$13&amp;" OK",ROUND(AVERAGE(#REF!),1)&amp;" &lt; "&amp;$W$13&amp;" NC"))))</f>
        <v/>
      </c>
      <c r="T1992" s="278" t="str">
        <f>IF($X$13="/28",IF(Q1992="","",IF(Q1992&gt;=$W$13-$S$12,ROUND((Q1992),1)&amp;" ≥ "&amp;$W$13-$S$12&amp;" OK",ROUND((Q1992),1)&amp;" &lt; "&amp;$W$13-$S$12&amp;" NC")),IF($X$13="/90",IF(#REF!="","",IF(#REF!&gt;=$W$13-$S$12,ROUND((#REF!),1)&amp;" ≥ "&amp;$W$13-$S$12&amp;" OK",ROUND((#REF!),1)&amp;" &lt; "&amp;$W$13-$S$12&amp;" NC"))))</f>
        <v/>
      </c>
      <c r="U1992" s="14"/>
      <c r="V1992" s="279"/>
      <c r="W1992" s="280"/>
      <c r="X1992" s="281"/>
      <c r="Y1992" s="246"/>
      <c r="Z1992" s="246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BP1992" s="390" t="str">
        <f>IF($X$13="/28",IF(Q1992="","",Q1992),IF($X$13="/90",IF(#REF!="","",#REF!),"Falso"))</f>
        <v/>
      </c>
      <c r="BQ1992" s="392" t="str">
        <f t="shared" si="3022"/>
        <v/>
      </c>
    </row>
    <row r="1993" spans="1:69" ht="14.25" customHeight="1" x14ac:dyDescent="0.35">
      <c r="A1993" s="294"/>
      <c r="B1993" s="296"/>
      <c r="C1993" s="298"/>
      <c r="D1993" s="300"/>
      <c r="E1993" s="302"/>
      <c r="F1993" s="304"/>
      <c r="G1993" s="276"/>
      <c r="H1993" s="277"/>
      <c r="I1993" s="290"/>
      <c r="J1993" s="290"/>
      <c r="K1993" s="291"/>
      <c r="L1993" s="17"/>
      <c r="M1993" s="286"/>
      <c r="N1993" s="21"/>
      <c r="O1993" s="286"/>
      <c r="P1993" s="21"/>
      <c r="Q1993" s="286"/>
      <c r="R1993" s="248"/>
      <c r="S1993" s="287"/>
      <c r="T1993" s="248"/>
      <c r="U1993" s="13"/>
      <c r="V1993" s="282"/>
      <c r="W1993" s="283"/>
      <c r="X1993" s="284"/>
      <c r="Y1993" s="245"/>
      <c r="Z1993" s="245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BP1993" s="391"/>
      <c r="BQ1993" s="393"/>
    </row>
    <row r="1994" spans="1:69" ht="14.25" customHeight="1" x14ac:dyDescent="0.35">
      <c r="A1994" s="293">
        <v>989</v>
      </c>
      <c r="B1994" s="295"/>
      <c r="C1994" s="297"/>
      <c r="D1994" s="299"/>
      <c r="E1994" s="301"/>
      <c r="F1994" s="303"/>
      <c r="G1994" s="288"/>
      <c r="H1994" s="289"/>
      <c r="I1994" s="290"/>
      <c r="J1994" s="290"/>
      <c r="K1994" s="291"/>
      <c r="L1994" s="18"/>
      <c r="M1994" s="285" t="str">
        <f t="shared" ref="M1994" si="3097">IF(COUNT(L1994:L1995)&lt;1,"",AVERAGE(L1994:L1995))</f>
        <v/>
      </c>
      <c r="N1994" s="22"/>
      <c r="O1994" s="285" t="str">
        <f t="shared" ref="O1994" si="3098">IF(COUNT(N1994:N1995)&lt;1,"",AVERAGE(N1994:N1995))</f>
        <v/>
      </c>
      <c r="P1994" s="22"/>
      <c r="Q1994" s="285" t="str">
        <f t="shared" ref="Q1994" si="3099">IF(COUNT(P1994:P1995)&lt;1,"",AVERAGE(P1994:P1995))</f>
        <v/>
      </c>
      <c r="R1994" s="278" t="str">
        <f>IF($X$13="/28",IF(COUNT(P1994:P1995)&lt;=1,"",ABS(P1994-P1995)),IF($X$13="/90",IF(COUNT(#REF!)&lt;=1,"",ABS(#REF!-#REF!))))</f>
        <v/>
      </c>
      <c r="S1994" s="278" t="str">
        <f>IF($X$13="/28",IF(Q1994="","",IF(AVERAGE(Q1990:Q1995)&gt;=$W$13,ROUND(AVERAGE(Q1990:Q1995),1)&amp;" ≥ "&amp;$W$13&amp;" OK",ROUND(AVERAGE(Q1990:Q1995),1)&amp;" &lt; "&amp;$W$13&amp;" NC")),IF($X$13="/90",IF(#REF!="","",IF(AVERAGE(#REF!)&gt;=$W$13,ROUND(AVERAGE(#REF!),1)&amp;" ≥ "&amp;$W$13&amp;" OK",ROUND(AVERAGE(#REF!),1)&amp;" &lt; "&amp;$W$13&amp;" NC"))))</f>
        <v/>
      </c>
      <c r="T1994" s="278" t="str">
        <f>IF($X$13="/28",IF(Q1994="","",IF(Q1994&gt;=$W$13-$S$12,ROUND((Q1994),1)&amp;" ≥ "&amp;$W$13-$S$12&amp;" OK",ROUND((Q1994),1)&amp;" &lt; "&amp;$W$13-$S$12&amp;" NC")),IF($X$13="/90",IF(#REF!="","",IF(#REF!&gt;=$W$13-$S$12,ROUND((#REF!),1)&amp;" ≥ "&amp;$W$13-$S$12&amp;" OK",ROUND((#REF!),1)&amp;" &lt; "&amp;$W$13-$S$12&amp;" NC"))))</f>
        <v/>
      </c>
      <c r="U1994" s="14"/>
      <c r="V1994" s="279"/>
      <c r="W1994" s="280"/>
      <c r="X1994" s="281"/>
      <c r="Y1994" s="246"/>
      <c r="Z1994" s="246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BP1994" s="390" t="str">
        <f>IF($X$13="/28",IF(Q1994="","",Q1994),IF($X$13="/90",IF(#REF!="","",#REF!),"Falso"))</f>
        <v/>
      </c>
      <c r="BQ1994" s="392" t="str">
        <f t="shared" si="3026"/>
        <v/>
      </c>
    </row>
    <row r="1995" spans="1:69" ht="14.25" customHeight="1" x14ac:dyDescent="0.35">
      <c r="A1995" s="294"/>
      <c r="B1995" s="296"/>
      <c r="C1995" s="298"/>
      <c r="D1995" s="300"/>
      <c r="E1995" s="302"/>
      <c r="F1995" s="304"/>
      <c r="G1995" s="276"/>
      <c r="H1995" s="277"/>
      <c r="I1995" s="290"/>
      <c r="J1995" s="290"/>
      <c r="K1995" s="291"/>
      <c r="L1995" s="17"/>
      <c r="M1995" s="286"/>
      <c r="N1995" s="21"/>
      <c r="O1995" s="286"/>
      <c r="P1995" s="21"/>
      <c r="Q1995" s="286"/>
      <c r="R1995" s="248"/>
      <c r="S1995" s="287"/>
      <c r="T1995" s="248"/>
      <c r="U1995" s="13"/>
      <c r="V1995" s="282"/>
      <c r="W1995" s="283"/>
      <c r="X1995" s="284"/>
      <c r="Y1995" s="245"/>
      <c r="Z1995" s="245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BP1995" s="391"/>
      <c r="BQ1995" s="393"/>
    </row>
    <row r="1996" spans="1:69" ht="14.25" customHeight="1" x14ac:dyDescent="0.35">
      <c r="A1996" s="293">
        <v>990</v>
      </c>
      <c r="B1996" s="295"/>
      <c r="C1996" s="297"/>
      <c r="D1996" s="299"/>
      <c r="E1996" s="301"/>
      <c r="F1996" s="303"/>
      <c r="G1996" s="288"/>
      <c r="H1996" s="289"/>
      <c r="I1996" s="290"/>
      <c r="J1996" s="290"/>
      <c r="K1996" s="291"/>
      <c r="L1996" s="18"/>
      <c r="M1996" s="285" t="str">
        <f t="shared" ref="M1996" si="3100">IF(COUNT(L1996:L1997)&lt;1,"",AVERAGE(L1996:L1997))</f>
        <v/>
      </c>
      <c r="N1996" s="22"/>
      <c r="O1996" s="285" t="str">
        <f t="shared" ref="O1996" si="3101">IF(COUNT(N1996:N1997)&lt;1,"",AVERAGE(N1996:N1997))</f>
        <v/>
      </c>
      <c r="P1996" s="22"/>
      <c r="Q1996" s="285" t="str">
        <f t="shared" ref="Q1996" si="3102">IF(COUNT(P1996:P1997)&lt;1,"",AVERAGE(P1996:P1997))</f>
        <v/>
      </c>
      <c r="R1996" s="278" t="str">
        <f>IF($X$13="/28",IF(COUNT(P1996:P1997)&lt;=1,"",ABS(P1996-P1997)),IF($X$13="/90",IF(COUNT(#REF!)&lt;=1,"",ABS(#REF!-#REF!))))</f>
        <v/>
      </c>
      <c r="S1996" s="278" t="str">
        <f>IF($X$13="/28",IF(Q1996="","",IF(AVERAGE(Q1992:Q1997)&gt;=$W$13,ROUND(AVERAGE(Q1992:Q1997),1)&amp;" ≥ "&amp;$W$13&amp;" OK",ROUND(AVERAGE(Q1992:Q1997),1)&amp;" &lt; "&amp;$W$13&amp;" NC")),IF($X$13="/90",IF(#REF!="","",IF(AVERAGE(#REF!)&gt;=$W$13,ROUND(AVERAGE(#REF!),1)&amp;" ≥ "&amp;$W$13&amp;" OK",ROUND(AVERAGE(#REF!),1)&amp;" &lt; "&amp;$W$13&amp;" NC"))))</f>
        <v/>
      </c>
      <c r="T1996" s="278" t="str">
        <f>IF($X$13="/28",IF(Q1996="","",IF(Q1996&gt;=$W$13-$S$12,ROUND((Q1996),1)&amp;" ≥ "&amp;$W$13-$S$12&amp;" OK",ROUND((Q1996),1)&amp;" &lt; "&amp;$W$13-$S$12&amp;" NC")),IF($X$13="/90",IF(#REF!="","",IF(#REF!&gt;=$W$13-$S$12,ROUND((#REF!),1)&amp;" ≥ "&amp;$W$13-$S$12&amp;" OK",ROUND((#REF!),1)&amp;" &lt; "&amp;$W$13-$S$12&amp;" NC"))))</f>
        <v/>
      </c>
      <c r="U1996" s="14"/>
      <c r="V1996" s="279"/>
      <c r="W1996" s="280"/>
      <c r="X1996" s="281"/>
      <c r="Y1996" s="246"/>
      <c r="Z1996" s="246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BP1996" s="390" t="str">
        <f>IF($X$13="/28",IF(Q1996="","",Q1996),IF($X$13="/90",IF(#REF!="","",#REF!),"Falso"))</f>
        <v/>
      </c>
      <c r="BQ1996" s="392" t="str">
        <f t="shared" si="3030"/>
        <v/>
      </c>
    </row>
    <row r="1997" spans="1:69" ht="14.25" customHeight="1" thickBot="1" x14ac:dyDescent="0.4">
      <c r="A1997" s="384"/>
      <c r="B1997" s="385"/>
      <c r="C1997" s="386"/>
      <c r="D1997" s="387"/>
      <c r="E1997" s="388"/>
      <c r="F1997" s="389"/>
      <c r="G1997" s="377"/>
      <c r="H1997" s="378"/>
      <c r="I1997" s="382"/>
      <c r="J1997" s="382"/>
      <c r="K1997" s="383"/>
      <c r="L1997" s="19"/>
      <c r="M1997" s="379"/>
      <c r="N1997" s="23"/>
      <c r="O1997" s="379"/>
      <c r="P1997" s="23"/>
      <c r="Q1997" s="379"/>
      <c r="R1997" s="380"/>
      <c r="S1997" s="381"/>
      <c r="T1997" s="380"/>
      <c r="U1997" s="15"/>
      <c r="V1997" s="373"/>
      <c r="W1997" s="374"/>
      <c r="X1997" s="375"/>
      <c r="Y1997" s="376"/>
      <c r="Z1997" s="376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BP1997" s="391"/>
      <c r="BQ1997" s="393"/>
    </row>
    <row r="1998" spans="1:69" ht="15" customHeight="1" x14ac:dyDescent="0.35"/>
    <row r="1999" spans="1:69" ht="30" customHeight="1" x14ac:dyDescent="0.35">
      <c r="A1999" s="410" t="s">
        <v>119</v>
      </c>
      <c r="B1999" s="410"/>
      <c r="C1999" s="411" t="s">
        <v>124</v>
      </c>
      <c r="D1999" s="411"/>
      <c r="E1999" s="411"/>
      <c r="F1999" s="411"/>
      <c r="G1999" s="411"/>
      <c r="H1999" s="411"/>
      <c r="I1999" s="411"/>
      <c r="J1999" s="411"/>
      <c r="K1999" s="411"/>
      <c r="L1999" s="411"/>
    </row>
    <row r="2000" spans="1:69" ht="30" customHeight="1" x14ac:dyDescent="0.35">
      <c r="A2000" s="412" t="s">
        <v>120</v>
      </c>
      <c r="B2000" s="412"/>
      <c r="C2000" s="413" t="s">
        <v>122</v>
      </c>
      <c r="D2000" s="413"/>
      <c r="E2000" s="413"/>
      <c r="F2000" s="413"/>
      <c r="G2000" s="413"/>
      <c r="H2000" s="413"/>
      <c r="I2000" s="413"/>
      <c r="J2000" s="413"/>
      <c r="K2000" s="413"/>
      <c r="L2000" s="413"/>
    </row>
    <row r="2001" spans="1:12" ht="30" customHeight="1" x14ac:dyDescent="0.35">
      <c r="A2001" s="414" t="s">
        <v>121</v>
      </c>
      <c r="B2001" s="414"/>
      <c r="C2001" s="415" t="s">
        <v>125</v>
      </c>
      <c r="D2001" s="415"/>
      <c r="E2001" s="415"/>
      <c r="F2001" s="415"/>
      <c r="G2001" s="415"/>
      <c r="H2001" s="415"/>
      <c r="I2001" s="415"/>
      <c r="J2001" s="415"/>
      <c r="K2001" s="415"/>
      <c r="L2001" s="415"/>
    </row>
  </sheetData>
  <dataConsolidate/>
  <mergeCells count="19917">
    <mergeCell ref="A3:F3"/>
    <mergeCell ref="A4:F4"/>
    <mergeCell ref="A5:F5"/>
    <mergeCell ref="A1:G1"/>
    <mergeCell ref="A6:G6"/>
    <mergeCell ref="A1999:B1999"/>
    <mergeCell ref="C1999:L1999"/>
    <mergeCell ref="A2000:B2000"/>
    <mergeCell ref="C2000:L2000"/>
    <mergeCell ref="A2001:B2001"/>
    <mergeCell ref="C2001:L2001"/>
    <mergeCell ref="Z1962:Z1963"/>
    <mergeCell ref="Z1964:Z1965"/>
    <mergeCell ref="Z1966:Z1967"/>
    <mergeCell ref="Z1968:Z1969"/>
    <mergeCell ref="Z1970:Z1971"/>
    <mergeCell ref="Z1972:Z1973"/>
    <mergeCell ref="Z1974:Z1975"/>
    <mergeCell ref="Z1976:Z1977"/>
    <mergeCell ref="Z1978:Z1979"/>
    <mergeCell ref="Z1980:Z1981"/>
    <mergeCell ref="Z1982:Z1983"/>
    <mergeCell ref="Z1984:Z1985"/>
    <mergeCell ref="Z1986:Z1987"/>
    <mergeCell ref="Z1988:Z1989"/>
    <mergeCell ref="Z1990:Z1991"/>
    <mergeCell ref="Z1992:Z1993"/>
    <mergeCell ref="Z1994:Z1995"/>
    <mergeCell ref="Z1996:Z1997"/>
    <mergeCell ref="Z1872:Z1873"/>
    <mergeCell ref="Z1874:Z1875"/>
    <mergeCell ref="Z1876:Z1877"/>
    <mergeCell ref="Z1878:Z1879"/>
    <mergeCell ref="Z1880:Z1881"/>
    <mergeCell ref="Z1882:Z1883"/>
    <mergeCell ref="Z1884:Z1885"/>
    <mergeCell ref="Z1886:Z1887"/>
    <mergeCell ref="Z1888:Z1889"/>
    <mergeCell ref="Z1890:Z1891"/>
    <mergeCell ref="Z1892:Z1893"/>
    <mergeCell ref="Z1894:Z1895"/>
    <mergeCell ref="Z1896:Z1897"/>
    <mergeCell ref="Z1898:Z1899"/>
    <mergeCell ref="Z1900:Z1901"/>
    <mergeCell ref="Z1902:Z1903"/>
    <mergeCell ref="Z1904:Z1905"/>
    <mergeCell ref="Z1906:Z1907"/>
    <mergeCell ref="Z1908:Z1909"/>
    <mergeCell ref="Z1910:Z1911"/>
    <mergeCell ref="Z1912:Z1913"/>
    <mergeCell ref="Z1914:Z1915"/>
    <mergeCell ref="Z1916:Z1917"/>
    <mergeCell ref="Z1918:Z1919"/>
    <mergeCell ref="Z1920:Z1921"/>
    <mergeCell ref="Z1922:Z1923"/>
    <mergeCell ref="Z1924:Z1925"/>
    <mergeCell ref="Z1926:Z1927"/>
    <mergeCell ref="Z1928:Z1929"/>
    <mergeCell ref="Z1930:Z1931"/>
    <mergeCell ref="Z1932:Z1933"/>
    <mergeCell ref="Z1934:Z1935"/>
    <mergeCell ref="Z1936:Z1937"/>
    <mergeCell ref="Z1830:Z1831"/>
    <mergeCell ref="Z1832:Z1833"/>
    <mergeCell ref="Z1834:Z1835"/>
    <mergeCell ref="Z1836:Z1837"/>
    <mergeCell ref="Z1838:Z1839"/>
    <mergeCell ref="Z1840:Z1841"/>
    <mergeCell ref="Z1842:Z1843"/>
    <mergeCell ref="Z1844:Z1845"/>
    <mergeCell ref="Z1846:Z1847"/>
    <mergeCell ref="Z1848:Z1849"/>
    <mergeCell ref="Z1850:Z1851"/>
    <mergeCell ref="Z1852:Z1853"/>
    <mergeCell ref="Z1854:Z1855"/>
    <mergeCell ref="Z1856:Z1857"/>
    <mergeCell ref="Z1858:Z1859"/>
    <mergeCell ref="Z1860:Z1861"/>
    <mergeCell ref="Z1862:Z1863"/>
    <mergeCell ref="Z1864:Z1865"/>
    <mergeCell ref="Z1866:Z1867"/>
    <mergeCell ref="Z1868:Z1869"/>
    <mergeCell ref="Z1870:Z1871"/>
    <mergeCell ref="Z1938:Z1939"/>
    <mergeCell ref="Z1940:Z1941"/>
    <mergeCell ref="Z1942:Z1943"/>
    <mergeCell ref="Z1944:Z1945"/>
    <mergeCell ref="Z1946:Z1947"/>
    <mergeCell ref="Z1948:Z1949"/>
    <mergeCell ref="Z1950:Z1951"/>
    <mergeCell ref="Z1952:Z1953"/>
    <mergeCell ref="Z1954:Z1955"/>
    <mergeCell ref="Z1956:Z1957"/>
    <mergeCell ref="Z1958:Z1959"/>
    <mergeCell ref="Z1960:Z1961"/>
    <mergeCell ref="Z1764:Z1765"/>
    <mergeCell ref="Z1766:Z1767"/>
    <mergeCell ref="Z1768:Z1769"/>
    <mergeCell ref="Z1770:Z1771"/>
    <mergeCell ref="Z1772:Z1773"/>
    <mergeCell ref="Z1774:Z1775"/>
    <mergeCell ref="Z1776:Z1777"/>
    <mergeCell ref="Z1778:Z1779"/>
    <mergeCell ref="Z1780:Z1781"/>
    <mergeCell ref="Z1782:Z1783"/>
    <mergeCell ref="Z1784:Z1785"/>
    <mergeCell ref="Z1786:Z1787"/>
    <mergeCell ref="Z1788:Z1789"/>
    <mergeCell ref="Z1790:Z1791"/>
    <mergeCell ref="Z1792:Z1793"/>
    <mergeCell ref="Z1794:Z1795"/>
    <mergeCell ref="Z1796:Z1797"/>
    <mergeCell ref="Z1798:Z1799"/>
    <mergeCell ref="Z1800:Z1801"/>
    <mergeCell ref="Z1802:Z1803"/>
    <mergeCell ref="Z1804:Z1805"/>
    <mergeCell ref="Z1806:Z1807"/>
    <mergeCell ref="Z1808:Z1809"/>
    <mergeCell ref="Z1810:Z1811"/>
    <mergeCell ref="Z1812:Z1813"/>
    <mergeCell ref="Z1814:Z1815"/>
    <mergeCell ref="Z1816:Z1817"/>
    <mergeCell ref="Z1818:Z1819"/>
    <mergeCell ref="Z1820:Z1821"/>
    <mergeCell ref="Z1822:Z1823"/>
    <mergeCell ref="Z1824:Z1825"/>
    <mergeCell ref="Z1826:Z1827"/>
    <mergeCell ref="Z1828:Z1829"/>
    <mergeCell ref="Z1698:Z1699"/>
    <mergeCell ref="Z1700:Z1701"/>
    <mergeCell ref="Z1702:Z1703"/>
    <mergeCell ref="Z1704:Z1705"/>
    <mergeCell ref="Z1706:Z1707"/>
    <mergeCell ref="Z1708:Z1709"/>
    <mergeCell ref="Z1710:Z1711"/>
    <mergeCell ref="Z1712:Z1713"/>
    <mergeCell ref="Z1714:Z1715"/>
    <mergeCell ref="Z1716:Z1717"/>
    <mergeCell ref="Z1718:Z1719"/>
    <mergeCell ref="Z1720:Z1721"/>
    <mergeCell ref="Z1722:Z1723"/>
    <mergeCell ref="Z1724:Z1725"/>
    <mergeCell ref="Z1726:Z1727"/>
    <mergeCell ref="Z1728:Z1729"/>
    <mergeCell ref="Z1730:Z1731"/>
    <mergeCell ref="Z1732:Z1733"/>
    <mergeCell ref="Z1734:Z1735"/>
    <mergeCell ref="Z1736:Z1737"/>
    <mergeCell ref="Z1738:Z1739"/>
    <mergeCell ref="Z1740:Z1741"/>
    <mergeCell ref="Z1742:Z1743"/>
    <mergeCell ref="Z1744:Z1745"/>
    <mergeCell ref="Z1746:Z1747"/>
    <mergeCell ref="Z1748:Z1749"/>
    <mergeCell ref="Z1750:Z1751"/>
    <mergeCell ref="Z1752:Z1753"/>
    <mergeCell ref="Z1754:Z1755"/>
    <mergeCell ref="Z1756:Z1757"/>
    <mergeCell ref="Z1758:Z1759"/>
    <mergeCell ref="Z1760:Z1761"/>
    <mergeCell ref="Z1762:Z1763"/>
    <mergeCell ref="Z1632:Z1633"/>
    <mergeCell ref="Z1634:Z1635"/>
    <mergeCell ref="Z1636:Z1637"/>
    <mergeCell ref="Z1638:Z1639"/>
    <mergeCell ref="Z1640:Z1641"/>
    <mergeCell ref="Z1642:Z1643"/>
    <mergeCell ref="Z1644:Z1645"/>
    <mergeCell ref="Z1646:Z1647"/>
    <mergeCell ref="Z1648:Z1649"/>
    <mergeCell ref="Z1650:Z1651"/>
    <mergeCell ref="Z1652:Z1653"/>
    <mergeCell ref="Z1654:Z1655"/>
    <mergeCell ref="Z1656:Z1657"/>
    <mergeCell ref="Z1658:Z1659"/>
    <mergeCell ref="Z1660:Z1661"/>
    <mergeCell ref="Z1662:Z1663"/>
    <mergeCell ref="Z1664:Z1665"/>
    <mergeCell ref="Z1666:Z1667"/>
    <mergeCell ref="Z1668:Z1669"/>
    <mergeCell ref="Z1670:Z1671"/>
    <mergeCell ref="Z1672:Z1673"/>
    <mergeCell ref="Z1674:Z1675"/>
    <mergeCell ref="Z1676:Z1677"/>
    <mergeCell ref="Z1678:Z1679"/>
    <mergeCell ref="Z1680:Z1681"/>
    <mergeCell ref="Z1682:Z1683"/>
    <mergeCell ref="Z1684:Z1685"/>
    <mergeCell ref="Z1686:Z1687"/>
    <mergeCell ref="Z1688:Z1689"/>
    <mergeCell ref="Z1690:Z1691"/>
    <mergeCell ref="Z1692:Z1693"/>
    <mergeCell ref="Z1694:Z1695"/>
    <mergeCell ref="Z1696:Z1697"/>
    <mergeCell ref="Z1566:Z1567"/>
    <mergeCell ref="Z1568:Z1569"/>
    <mergeCell ref="Z1570:Z1571"/>
    <mergeCell ref="Z1572:Z1573"/>
    <mergeCell ref="Z1574:Z1575"/>
    <mergeCell ref="Z1576:Z1577"/>
    <mergeCell ref="Z1578:Z1579"/>
    <mergeCell ref="Z1580:Z1581"/>
    <mergeCell ref="Z1582:Z1583"/>
    <mergeCell ref="Z1584:Z1585"/>
    <mergeCell ref="Z1586:Z1587"/>
    <mergeCell ref="Z1588:Z1589"/>
    <mergeCell ref="Z1590:Z1591"/>
    <mergeCell ref="Z1592:Z1593"/>
    <mergeCell ref="Z1594:Z1595"/>
    <mergeCell ref="Z1596:Z1597"/>
    <mergeCell ref="Z1598:Z1599"/>
    <mergeCell ref="Z1600:Z1601"/>
    <mergeCell ref="Z1602:Z1603"/>
    <mergeCell ref="Z1604:Z1605"/>
    <mergeCell ref="Z1606:Z1607"/>
    <mergeCell ref="Z1608:Z1609"/>
    <mergeCell ref="Z1610:Z1611"/>
    <mergeCell ref="Z1612:Z1613"/>
    <mergeCell ref="Z1614:Z1615"/>
    <mergeCell ref="Z1616:Z1617"/>
    <mergeCell ref="Z1618:Z1619"/>
    <mergeCell ref="Z1620:Z1621"/>
    <mergeCell ref="Z1622:Z1623"/>
    <mergeCell ref="Z1624:Z1625"/>
    <mergeCell ref="Z1626:Z1627"/>
    <mergeCell ref="Z1628:Z1629"/>
    <mergeCell ref="Z1630:Z1631"/>
    <mergeCell ref="Z1500:Z1501"/>
    <mergeCell ref="Z1502:Z1503"/>
    <mergeCell ref="Z1504:Z1505"/>
    <mergeCell ref="Z1506:Z1507"/>
    <mergeCell ref="Z1508:Z1509"/>
    <mergeCell ref="Z1510:Z1511"/>
    <mergeCell ref="Z1512:Z1513"/>
    <mergeCell ref="Z1514:Z1515"/>
    <mergeCell ref="Z1516:Z1517"/>
    <mergeCell ref="Z1518:Z1519"/>
    <mergeCell ref="Z1520:Z1521"/>
    <mergeCell ref="Z1522:Z1523"/>
    <mergeCell ref="Z1524:Z1525"/>
    <mergeCell ref="Z1526:Z1527"/>
    <mergeCell ref="Z1528:Z1529"/>
    <mergeCell ref="Z1530:Z1531"/>
    <mergeCell ref="Z1532:Z1533"/>
    <mergeCell ref="Z1534:Z1535"/>
    <mergeCell ref="Z1536:Z1537"/>
    <mergeCell ref="Z1538:Z1539"/>
    <mergeCell ref="Z1540:Z1541"/>
    <mergeCell ref="Z1542:Z1543"/>
    <mergeCell ref="Z1544:Z1545"/>
    <mergeCell ref="Z1546:Z1547"/>
    <mergeCell ref="Z1548:Z1549"/>
    <mergeCell ref="Z1550:Z1551"/>
    <mergeCell ref="Z1552:Z1553"/>
    <mergeCell ref="Z1554:Z1555"/>
    <mergeCell ref="Z1556:Z1557"/>
    <mergeCell ref="Z1558:Z1559"/>
    <mergeCell ref="Z1560:Z1561"/>
    <mergeCell ref="Z1562:Z1563"/>
    <mergeCell ref="Z1564:Z1565"/>
    <mergeCell ref="Z1434:Z1435"/>
    <mergeCell ref="Z1436:Z1437"/>
    <mergeCell ref="Z1438:Z1439"/>
    <mergeCell ref="Z1440:Z1441"/>
    <mergeCell ref="Z1442:Z1443"/>
    <mergeCell ref="Z1444:Z1445"/>
    <mergeCell ref="Z1446:Z1447"/>
    <mergeCell ref="Z1448:Z1449"/>
    <mergeCell ref="Z1450:Z1451"/>
    <mergeCell ref="Z1452:Z1453"/>
    <mergeCell ref="Z1454:Z1455"/>
    <mergeCell ref="Z1456:Z1457"/>
    <mergeCell ref="Z1458:Z1459"/>
    <mergeCell ref="Z1460:Z1461"/>
    <mergeCell ref="Z1462:Z1463"/>
    <mergeCell ref="Z1464:Z1465"/>
    <mergeCell ref="Z1466:Z1467"/>
    <mergeCell ref="Z1468:Z1469"/>
    <mergeCell ref="Z1470:Z1471"/>
    <mergeCell ref="Z1472:Z1473"/>
    <mergeCell ref="Z1474:Z1475"/>
    <mergeCell ref="Z1476:Z1477"/>
    <mergeCell ref="Z1478:Z1479"/>
    <mergeCell ref="Z1480:Z1481"/>
    <mergeCell ref="Z1482:Z1483"/>
    <mergeCell ref="Z1484:Z1485"/>
    <mergeCell ref="Z1486:Z1487"/>
    <mergeCell ref="Z1488:Z1489"/>
    <mergeCell ref="Z1490:Z1491"/>
    <mergeCell ref="Z1492:Z1493"/>
    <mergeCell ref="Z1494:Z1495"/>
    <mergeCell ref="Z1496:Z1497"/>
    <mergeCell ref="Z1498:Z1499"/>
    <mergeCell ref="Z1368:Z1369"/>
    <mergeCell ref="Z1370:Z1371"/>
    <mergeCell ref="Z1372:Z1373"/>
    <mergeCell ref="Z1374:Z1375"/>
    <mergeCell ref="Z1376:Z1377"/>
    <mergeCell ref="Z1378:Z1379"/>
    <mergeCell ref="Z1380:Z1381"/>
    <mergeCell ref="Z1382:Z1383"/>
    <mergeCell ref="Z1384:Z1385"/>
    <mergeCell ref="Z1386:Z1387"/>
    <mergeCell ref="Z1388:Z1389"/>
    <mergeCell ref="Z1390:Z1391"/>
    <mergeCell ref="Z1392:Z1393"/>
    <mergeCell ref="Z1394:Z1395"/>
    <mergeCell ref="Z1396:Z1397"/>
    <mergeCell ref="Z1398:Z1399"/>
    <mergeCell ref="Z1400:Z1401"/>
    <mergeCell ref="Z1402:Z1403"/>
    <mergeCell ref="Z1404:Z1405"/>
    <mergeCell ref="Z1406:Z1407"/>
    <mergeCell ref="Z1408:Z1409"/>
    <mergeCell ref="Z1410:Z1411"/>
    <mergeCell ref="Z1412:Z1413"/>
    <mergeCell ref="Z1414:Z1415"/>
    <mergeCell ref="Z1416:Z1417"/>
    <mergeCell ref="Z1418:Z1419"/>
    <mergeCell ref="Z1420:Z1421"/>
    <mergeCell ref="Z1422:Z1423"/>
    <mergeCell ref="Z1424:Z1425"/>
    <mergeCell ref="Z1426:Z1427"/>
    <mergeCell ref="Z1428:Z1429"/>
    <mergeCell ref="Z1430:Z1431"/>
    <mergeCell ref="Z1432:Z1433"/>
    <mergeCell ref="Z1302:Z1303"/>
    <mergeCell ref="Z1304:Z1305"/>
    <mergeCell ref="Z1306:Z1307"/>
    <mergeCell ref="Z1308:Z1309"/>
    <mergeCell ref="Z1310:Z1311"/>
    <mergeCell ref="Z1312:Z1313"/>
    <mergeCell ref="Z1314:Z1315"/>
    <mergeCell ref="Z1316:Z1317"/>
    <mergeCell ref="Z1318:Z1319"/>
    <mergeCell ref="Z1320:Z1321"/>
    <mergeCell ref="Z1322:Z1323"/>
    <mergeCell ref="Z1324:Z1325"/>
    <mergeCell ref="Z1326:Z1327"/>
    <mergeCell ref="Z1328:Z1329"/>
    <mergeCell ref="Z1330:Z1331"/>
    <mergeCell ref="Z1332:Z1333"/>
    <mergeCell ref="Z1334:Z1335"/>
    <mergeCell ref="Z1336:Z1337"/>
    <mergeCell ref="Z1338:Z1339"/>
    <mergeCell ref="Z1340:Z1341"/>
    <mergeCell ref="Z1342:Z1343"/>
    <mergeCell ref="Z1344:Z1345"/>
    <mergeCell ref="Z1346:Z1347"/>
    <mergeCell ref="Z1348:Z1349"/>
    <mergeCell ref="Z1350:Z1351"/>
    <mergeCell ref="Z1352:Z1353"/>
    <mergeCell ref="Z1354:Z1355"/>
    <mergeCell ref="Z1356:Z1357"/>
    <mergeCell ref="Z1358:Z1359"/>
    <mergeCell ref="Z1360:Z1361"/>
    <mergeCell ref="Z1362:Z1363"/>
    <mergeCell ref="Z1364:Z1365"/>
    <mergeCell ref="Z1366:Z1367"/>
    <mergeCell ref="Z1236:Z1237"/>
    <mergeCell ref="Z1238:Z1239"/>
    <mergeCell ref="Z1240:Z1241"/>
    <mergeCell ref="Z1242:Z1243"/>
    <mergeCell ref="Z1244:Z1245"/>
    <mergeCell ref="Z1246:Z1247"/>
    <mergeCell ref="Z1248:Z1249"/>
    <mergeCell ref="Z1250:Z1251"/>
    <mergeCell ref="Z1252:Z1253"/>
    <mergeCell ref="Z1254:Z1255"/>
    <mergeCell ref="Z1256:Z1257"/>
    <mergeCell ref="Z1258:Z1259"/>
    <mergeCell ref="Z1260:Z1261"/>
    <mergeCell ref="Z1262:Z1263"/>
    <mergeCell ref="Z1264:Z1265"/>
    <mergeCell ref="Z1266:Z1267"/>
    <mergeCell ref="Z1268:Z1269"/>
    <mergeCell ref="Z1270:Z1271"/>
    <mergeCell ref="Z1272:Z1273"/>
    <mergeCell ref="Z1274:Z1275"/>
    <mergeCell ref="Z1276:Z1277"/>
    <mergeCell ref="Z1278:Z1279"/>
    <mergeCell ref="Z1280:Z1281"/>
    <mergeCell ref="Z1282:Z1283"/>
    <mergeCell ref="Z1284:Z1285"/>
    <mergeCell ref="Z1286:Z1287"/>
    <mergeCell ref="Z1288:Z1289"/>
    <mergeCell ref="Z1290:Z1291"/>
    <mergeCell ref="Z1292:Z1293"/>
    <mergeCell ref="Z1294:Z1295"/>
    <mergeCell ref="Z1296:Z1297"/>
    <mergeCell ref="Z1298:Z1299"/>
    <mergeCell ref="Z1300:Z1301"/>
    <mergeCell ref="Z1170:Z1171"/>
    <mergeCell ref="Z1172:Z1173"/>
    <mergeCell ref="Z1174:Z1175"/>
    <mergeCell ref="Z1176:Z1177"/>
    <mergeCell ref="Z1178:Z1179"/>
    <mergeCell ref="Z1180:Z1181"/>
    <mergeCell ref="Z1182:Z1183"/>
    <mergeCell ref="Z1184:Z1185"/>
    <mergeCell ref="Z1186:Z1187"/>
    <mergeCell ref="Z1188:Z1189"/>
    <mergeCell ref="Z1190:Z1191"/>
    <mergeCell ref="Z1192:Z1193"/>
    <mergeCell ref="Z1194:Z1195"/>
    <mergeCell ref="Z1196:Z1197"/>
    <mergeCell ref="Z1198:Z1199"/>
    <mergeCell ref="Z1200:Z1201"/>
    <mergeCell ref="Z1202:Z1203"/>
    <mergeCell ref="Z1204:Z1205"/>
    <mergeCell ref="Z1206:Z1207"/>
    <mergeCell ref="Z1208:Z1209"/>
    <mergeCell ref="Z1210:Z1211"/>
    <mergeCell ref="Z1212:Z1213"/>
    <mergeCell ref="Z1214:Z1215"/>
    <mergeCell ref="Z1216:Z1217"/>
    <mergeCell ref="Z1218:Z1219"/>
    <mergeCell ref="Z1220:Z1221"/>
    <mergeCell ref="Z1222:Z1223"/>
    <mergeCell ref="Z1224:Z1225"/>
    <mergeCell ref="Z1226:Z1227"/>
    <mergeCell ref="Z1228:Z1229"/>
    <mergeCell ref="Z1230:Z1231"/>
    <mergeCell ref="Z1232:Z1233"/>
    <mergeCell ref="Z1234:Z1235"/>
    <mergeCell ref="Z1104:Z1105"/>
    <mergeCell ref="Z1106:Z1107"/>
    <mergeCell ref="Z1108:Z1109"/>
    <mergeCell ref="Z1110:Z1111"/>
    <mergeCell ref="Z1112:Z1113"/>
    <mergeCell ref="Z1114:Z1115"/>
    <mergeCell ref="Z1116:Z1117"/>
    <mergeCell ref="Z1118:Z1119"/>
    <mergeCell ref="Z1120:Z1121"/>
    <mergeCell ref="Z1122:Z1123"/>
    <mergeCell ref="Z1124:Z1125"/>
    <mergeCell ref="Z1126:Z1127"/>
    <mergeCell ref="Z1128:Z1129"/>
    <mergeCell ref="Z1130:Z1131"/>
    <mergeCell ref="Z1132:Z1133"/>
    <mergeCell ref="Z1134:Z1135"/>
    <mergeCell ref="Z1136:Z1137"/>
    <mergeCell ref="Z1138:Z1139"/>
    <mergeCell ref="Z1140:Z1141"/>
    <mergeCell ref="Z1142:Z1143"/>
    <mergeCell ref="Z1144:Z1145"/>
    <mergeCell ref="Z1146:Z1147"/>
    <mergeCell ref="Z1148:Z1149"/>
    <mergeCell ref="Z1150:Z1151"/>
    <mergeCell ref="Z1152:Z1153"/>
    <mergeCell ref="Z1154:Z1155"/>
    <mergeCell ref="Z1156:Z1157"/>
    <mergeCell ref="Z1158:Z1159"/>
    <mergeCell ref="Z1160:Z1161"/>
    <mergeCell ref="Z1162:Z1163"/>
    <mergeCell ref="Z1164:Z1165"/>
    <mergeCell ref="Z1166:Z1167"/>
    <mergeCell ref="Z1168:Z1169"/>
    <mergeCell ref="Z1038:Z1039"/>
    <mergeCell ref="Z1040:Z1041"/>
    <mergeCell ref="Z1042:Z1043"/>
    <mergeCell ref="Z1044:Z1045"/>
    <mergeCell ref="Z1046:Z1047"/>
    <mergeCell ref="Z1048:Z1049"/>
    <mergeCell ref="Z1050:Z1051"/>
    <mergeCell ref="Z1052:Z1053"/>
    <mergeCell ref="Z1054:Z1055"/>
    <mergeCell ref="Z1056:Z1057"/>
    <mergeCell ref="Z1058:Z1059"/>
    <mergeCell ref="Z1060:Z1061"/>
    <mergeCell ref="Z1062:Z1063"/>
    <mergeCell ref="Z1064:Z1065"/>
    <mergeCell ref="Z1066:Z1067"/>
    <mergeCell ref="Z1068:Z1069"/>
    <mergeCell ref="Z1070:Z1071"/>
    <mergeCell ref="Z1072:Z1073"/>
    <mergeCell ref="Z1074:Z1075"/>
    <mergeCell ref="Z1076:Z1077"/>
    <mergeCell ref="Z1078:Z1079"/>
    <mergeCell ref="Z1080:Z1081"/>
    <mergeCell ref="Z1082:Z1083"/>
    <mergeCell ref="Z1084:Z1085"/>
    <mergeCell ref="Z1086:Z1087"/>
    <mergeCell ref="Z1088:Z1089"/>
    <mergeCell ref="Z1090:Z1091"/>
    <mergeCell ref="Z1092:Z1093"/>
    <mergeCell ref="Z1094:Z1095"/>
    <mergeCell ref="Z1096:Z1097"/>
    <mergeCell ref="Z1098:Z1099"/>
    <mergeCell ref="Z1100:Z1101"/>
    <mergeCell ref="Z1102:Z1103"/>
    <mergeCell ref="Z972:Z973"/>
    <mergeCell ref="Z974:Z975"/>
    <mergeCell ref="Z976:Z977"/>
    <mergeCell ref="Z978:Z979"/>
    <mergeCell ref="Z980:Z981"/>
    <mergeCell ref="Z982:Z983"/>
    <mergeCell ref="Z984:Z985"/>
    <mergeCell ref="Z986:Z987"/>
    <mergeCell ref="Z988:Z989"/>
    <mergeCell ref="Z990:Z991"/>
    <mergeCell ref="Z992:Z993"/>
    <mergeCell ref="Z994:Z995"/>
    <mergeCell ref="Z996:Z997"/>
    <mergeCell ref="Z998:Z999"/>
    <mergeCell ref="Z1000:Z1001"/>
    <mergeCell ref="Z1002:Z1003"/>
    <mergeCell ref="Z1004:Z1005"/>
    <mergeCell ref="Z1006:Z1007"/>
    <mergeCell ref="Z1008:Z1009"/>
    <mergeCell ref="Z1010:Z1011"/>
    <mergeCell ref="Z1012:Z1013"/>
    <mergeCell ref="Z1014:Z1015"/>
    <mergeCell ref="Z1016:Z1017"/>
    <mergeCell ref="Z1018:Z1019"/>
    <mergeCell ref="Z1020:Z1021"/>
    <mergeCell ref="Z1022:Z1023"/>
    <mergeCell ref="Z1024:Z1025"/>
    <mergeCell ref="Z1026:Z1027"/>
    <mergeCell ref="Z1028:Z1029"/>
    <mergeCell ref="Z1030:Z1031"/>
    <mergeCell ref="Z1032:Z1033"/>
    <mergeCell ref="Z1034:Z1035"/>
    <mergeCell ref="Z1036:Z1037"/>
    <mergeCell ref="Z906:Z907"/>
    <mergeCell ref="Z908:Z909"/>
    <mergeCell ref="Z910:Z911"/>
    <mergeCell ref="Z912:Z913"/>
    <mergeCell ref="Z914:Z915"/>
    <mergeCell ref="Z916:Z917"/>
    <mergeCell ref="Z918:Z919"/>
    <mergeCell ref="Z920:Z921"/>
    <mergeCell ref="Z922:Z923"/>
    <mergeCell ref="Z924:Z925"/>
    <mergeCell ref="Z926:Z927"/>
    <mergeCell ref="Z928:Z929"/>
    <mergeCell ref="Z930:Z931"/>
    <mergeCell ref="Z932:Z933"/>
    <mergeCell ref="Z934:Z935"/>
    <mergeCell ref="Z936:Z937"/>
    <mergeCell ref="Z938:Z939"/>
    <mergeCell ref="Z940:Z941"/>
    <mergeCell ref="Z942:Z943"/>
    <mergeCell ref="Z944:Z945"/>
    <mergeCell ref="Z946:Z947"/>
    <mergeCell ref="Z948:Z949"/>
    <mergeCell ref="Z950:Z951"/>
    <mergeCell ref="Z952:Z953"/>
    <mergeCell ref="Z954:Z955"/>
    <mergeCell ref="Z956:Z957"/>
    <mergeCell ref="Z958:Z959"/>
    <mergeCell ref="Z960:Z961"/>
    <mergeCell ref="Z962:Z963"/>
    <mergeCell ref="Z964:Z965"/>
    <mergeCell ref="Z966:Z967"/>
    <mergeCell ref="Z968:Z969"/>
    <mergeCell ref="Z970:Z971"/>
    <mergeCell ref="Z840:Z841"/>
    <mergeCell ref="Z842:Z843"/>
    <mergeCell ref="Z844:Z845"/>
    <mergeCell ref="Z846:Z847"/>
    <mergeCell ref="Z848:Z849"/>
    <mergeCell ref="Z850:Z851"/>
    <mergeCell ref="Z852:Z853"/>
    <mergeCell ref="Z854:Z855"/>
    <mergeCell ref="Z856:Z857"/>
    <mergeCell ref="Z858:Z859"/>
    <mergeCell ref="Z860:Z861"/>
    <mergeCell ref="Z862:Z863"/>
    <mergeCell ref="Z864:Z865"/>
    <mergeCell ref="Z866:Z867"/>
    <mergeCell ref="Z868:Z869"/>
    <mergeCell ref="Z870:Z871"/>
    <mergeCell ref="Z872:Z873"/>
    <mergeCell ref="Z874:Z875"/>
    <mergeCell ref="Z876:Z877"/>
    <mergeCell ref="Z878:Z879"/>
    <mergeCell ref="Z880:Z881"/>
    <mergeCell ref="Z882:Z883"/>
    <mergeCell ref="Z884:Z885"/>
    <mergeCell ref="Z886:Z887"/>
    <mergeCell ref="Z888:Z889"/>
    <mergeCell ref="Z890:Z891"/>
    <mergeCell ref="Z892:Z893"/>
    <mergeCell ref="Z894:Z895"/>
    <mergeCell ref="Z896:Z897"/>
    <mergeCell ref="Z898:Z899"/>
    <mergeCell ref="Z900:Z901"/>
    <mergeCell ref="Z902:Z903"/>
    <mergeCell ref="Z904:Z905"/>
    <mergeCell ref="Z774:Z775"/>
    <mergeCell ref="Z776:Z777"/>
    <mergeCell ref="Z778:Z779"/>
    <mergeCell ref="Z780:Z781"/>
    <mergeCell ref="Z782:Z783"/>
    <mergeCell ref="Z784:Z785"/>
    <mergeCell ref="Z786:Z787"/>
    <mergeCell ref="Z788:Z789"/>
    <mergeCell ref="Z790:Z791"/>
    <mergeCell ref="Z792:Z793"/>
    <mergeCell ref="Z794:Z795"/>
    <mergeCell ref="Z796:Z797"/>
    <mergeCell ref="Z798:Z799"/>
    <mergeCell ref="Z800:Z801"/>
    <mergeCell ref="Z802:Z803"/>
    <mergeCell ref="Z804:Z805"/>
    <mergeCell ref="Z806:Z807"/>
    <mergeCell ref="Z808:Z809"/>
    <mergeCell ref="Z810:Z811"/>
    <mergeCell ref="Z812:Z813"/>
    <mergeCell ref="Z814:Z815"/>
    <mergeCell ref="Z816:Z817"/>
    <mergeCell ref="Z818:Z819"/>
    <mergeCell ref="Z820:Z821"/>
    <mergeCell ref="Z822:Z823"/>
    <mergeCell ref="Z824:Z825"/>
    <mergeCell ref="Z826:Z827"/>
    <mergeCell ref="Z828:Z829"/>
    <mergeCell ref="Z830:Z831"/>
    <mergeCell ref="Z832:Z833"/>
    <mergeCell ref="Z834:Z835"/>
    <mergeCell ref="Z836:Z837"/>
    <mergeCell ref="Z838:Z839"/>
    <mergeCell ref="Z708:Z709"/>
    <mergeCell ref="Z710:Z711"/>
    <mergeCell ref="Z712:Z713"/>
    <mergeCell ref="Z714:Z715"/>
    <mergeCell ref="Z716:Z717"/>
    <mergeCell ref="Z718:Z719"/>
    <mergeCell ref="Z720:Z721"/>
    <mergeCell ref="Z722:Z723"/>
    <mergeCell ref="Z724:Z725"/>
    <mergeCell ref="Z726:Z727"/>
    <mergeCell ref="Z728:Z729"/>
    <mergeCell ref="Z730:Z731"/>
    <mergeCell ref="Z732:Z733"/>
    <mergeCell ref="Z734:Z735"/>
    <mergeCell ref="Z736:Z737"/>
    <mergeCell ref="Z738:Z739"/>
    <mergeCell ref="Z740:Z741"/>
    <mergeCell ref="Z742:Z743"/>
    <mergeCell ref="Z744:Z745"/>
    <mergeCell ref="Z746:Z747"/>
    <mergeCell ref="Z748:Z749"/>
    <mergeCell ref="Z750:Z751"/>
    <mergeCell ref="Z752:Z753"/>
    <mergeCell ref="Z754:Z755"/>
    <mergeCell ref="Z756:Z757"/>
    <mergeCell ref="Z758:Z759"/>
    <mergeCell ref="Z760:Z761"/>
    <mergeCell ref="Z762:Z763"/>
    <mergeCell ref="Z764:Z765"/>
    <mergeCell ref="Z766:Z767"/>
    <mergeCell ref="Z768:Z769"/>
    <mergeCell ref="Z770:Z771"/>
    <mergeCell ref="Z772:Z773"/>
    <mergeCell ref="Z642:Z643"/>
    <mergeCell ref="Z644:Z645"/>
    <mergeCell ref="Z646:Z647"/>
    <mergeCell ref="Z648:Z649"/>
    <mergeCell ref="Z650:Z651"/>
    <mergeCell ref="Z652:Z653"/>
    <mergeCell ref="Z654:Z655"/>
    <mergeCell ref="Z656:Z657"/>
    <mergeCell ref="Z658:Z659"/>
    <mergeCell ref="Z660:Z661"/>
    <mergeCell ref="Z662:Z663"/>
    <mergeCell ref="Z664:Z665"/>
    <mergeCell ref="Z666:Z667"/>
    <mergeCell ref="Z668:Z669"/>
    <mergeCell ref="Z670:Z671"/>
    <mergeCell ref="Z672:Z673"/>
    <mergeCell ref="Z674:Z675"/>
    <mergeCell ref="Z676:Z677"/>
    <mergeCell ref="Z678:Z679"/>
    <mergeCell ref="Z680:Z681"/>
    <mergeCell ref="Z682:Z683"/>
    <mergeCell ref="Z684:Z685"/>
    <mergeCell ref="Z686:Z687"/>
    <mergeCell ref="Z688:Z689"/>
    <mergeCell ref="Z690:Z691"/>
    <mergeCell ref="Z692:Z693"/>
    <mergeCell ref="Z694:Z695"/>
    <mergeCell ref="Z696:Z697"/>
    <mergeCell ref="Z698:Z699"/>
    <mergeCell ref="Z700:Z701"/>
    <mergeCell ref="Z702:Z703"/>
    <mergeCell ref="Z704:Z705"/>
    <mergeCell ref="Z706:Z707"/>
    <mergeCell ref="Z576:Z577"/>
    <mergeCell ref="Z578:Z579"/>
    <mergeCell ref="Z580:Z581"/>
    <mergeCell ref="Z582:Z583"/>
    <mergeCell ref="Z584:Z585"/>
    <mergeCell ref="Z586:Z587"/>
    <mergeCell ref="Z588:Z589"/>
    <mergeCell ref="Z590:Z591"/>
    <mergeCell ref="Z592:Z593"/>
    <mergeCell ref="Z594:Z595"/>
    <mergeCell ref="Z596:Z597"/>
    <mergeCell ref="Z598:Z599"/>
    <mergeCell ref="Z600:Z601"/>
    <mergeCell ref="Z602:Z603"/>
    <mergeCell ref="Z604:Z605"/>
    <mergeCell ref="Z606:Z607"/>
    <mergeCell ref="Z608:Z609"/>
    <mergeCell ref="Z610:Z611"/>
    <mergeCell ref="Z612:Z613"/>
    <mergeCell ref="Z614:Z615"/>
    <mergeCell ref="Z616:Z617"/>
    <mergeCell ref="Z618:Z619"/>
    <mergeCell ref="Z620:Z621"/>
    <mergeCell ref="Z622:Z623"/>
    <mergeCell ref="Z624:Z625"/>
    <mergeCell ref="Z626:Z627"/>
    <mergeCell ref="Z628:Z629"/>
    <mergeCell ref="Z630:Z631"/>
    <mergeCell ref="Z632:Z633"/>
    <mergeCell ref="Z634:Z635"/>
    <mergeCell ref="Z636:Z637"/>
    <mergeCell ref="Z638:Z639"/>
    <mergeCell ref="Z640:Z641"/>
    <mergeCell ref="Z510:Z511"/>
    <mergeCell ref="Z512:Z513"/>
    <mergeCell ref="Z514:Z515"/>
    <mergeCell ref="Z516:Z517"/>
    <mergeCell ref="Z518:Z519"/>
    <mergeCell ref="Z520:Z521"/>
    <mergeCell ref="Z522:Z523"/>
    <mergeCell ref="Z524:Z525"/>
    <mergeCell ref="Z526:Z527"/>
    <mergeCell ref="Z528:Z529"/>
    <mergeCell ref="Z530:Z531"/>
    <mergeCell ref="Z532:Z533"/>
    <mergeCell ref="Z534:Z535"/>
    <mergeCell ref="Z536:Z537"/>
    <mergeCell ref="Z538:Z539"/>
    <mergeCell ref="Z540:Z541"/>
    <mergeCell ref="Z542:Z543"/>
    <mergeCell ref="Z544:Z545"/>
    <mergeCell ref="Z546:Z547"/>
    <mergeCell ref="Z548:Z549"/>
    <mergeCell ref="Z550:Z551"/>
    <mergeCell ref="Z552:Z553"/>
    <mergeCell ref="Z554:Z555"/>
    <mergeCell ref="Z556:Z557"/>
    <mergeCell ref="Z558:Z559"/>
    <mergeCell ref="Z560:Z561"/>
    <mergeCell ref="Z562:Z563"/>
    <mergeCell ref="Z564:Z565"/>
    <mergeCell ref="Z566:Z567"/>
    <mergeCell ref="Z568:Z569"/>
    <mergeCell ref="Z570:Z571"/>
    <mergeCell ref="Z572:Z573"/>
    <mergeCell ref="Z574:Z575"/>
    <mergeCell ref="Z444:Z445"/>
    <mergeCell ref="Z446:Z447"/>
    <mergeCell ref="Z448:Z449"/>
    <mergeCell ref="Z450:Z451"/>
    <mergeCell ref="Z452:Z453"/>
    <mergeCell ref="Z454:Z455"/>
    <mergeCell ref="Z456:Z457"/>
    <mergeCell ref="Z458:Z459"/>
    <mergeCell ref="Z460:Z461"/>
    <mergeCell ref="Z462:Z463"/>
    <mergeCell ref="Z464:Z465"/>
    <mergeCell ref="Z466:Z467"/>
    <mergeCell ref="Z468:Z469"/>
    <mergeCell ref="Z470:Z471"/>
    <mergeCell ref="Z472:Z473"/>
    <mergeCell ref="Z474:Z475"/>
    <mergeCell ref="Z476:Z477"/>
    <mergeCell ref="Z478:Z479"/>
    <mergeCell ref="Z480:Z481"/>
    <mergeCell ref="Z482:Z483"/>
    <mergeCell ref="Z484:Z485"/>
    <mergeCell ref="Z486:Z487"/>
    <mergeCell ref="Z488:Z489"/>
    <mergeCell ref="Z490:Z491"/>
    <mergeCell ref="Z492:Z493"/>
    <mergeCell ref="Z494:Z495"/>
    <mergeCell ref="Z496:Z497"/>
    <mergeCell ref="Z498:Z499"/>
    <mergeCell ref="Z500:Z501"/>
    <mergeCell ref="Z502:Z503"/>
    <mergeCell ref="Z504:Z505"/>
    <mergeCell ref="Z506:Z507"/>
    <mergeCell ref="Z508:Z509"/>
    <mergeCell ref="Z378:Z379"/>
    <mergeCell ref="Z380:Z381"/>
    <mergeCell ref="Z382:Z383"/>
    <mergeCell ref="Z384:Z385"/>
    <mergeCell ref="Z386:Z387"/>
    <mergeCell ref="Z388:Z389"/>
    <mergeCell ref="Z390:Z391"/>
    <mergeCell ref="Z392:Z393"/>
    <mergeCell ref="Z394:Z395"/>
    <mergeCell ref="Z396:Z397"/>
    <mergeCell ref="Z398:Z399"/>
    <mergeCell ref="Z400:Z401"/>
    <mergeCell ref="Z402:Z403"/>
    <mergeCell ref="Z404:Z405"/>
    <mergeCell ref="Z406:Z407"/>
    <mergeCell ref="Z408:Z409"/>
    <mergeCell ref="Z410:Z411"/>
    <mergeCell ref="Z412:Z413"/>
    <mergeCell ref="Z414:Z415"/>
    <mergeCell ref="Z416:Z417"/>
    <mergeCell ref="Z418:Z419"/>
    <mergeCell ref="Z420:Z421"/>
    <mergeCell ref="Z422:Z423"/>
    <mergeCell ref="Z424:Z425"/>
    <mergeCell ref="Z426:Z427"/>
    <mergeCell ref="Z428:Z429"/>
    <mergeCell ref="Z430:Z431"/>
    <mergeCell ref="Z432:Z433"/>
    <mergeCell ref="Z434:Z435"/>
    <mergeCell ref="Z436:Z437"/>
    <mergeCell ref="Z438:Z439"/>
    <mergeCell ref="Z440:Z441"/>
    <mergeCell ref="Z442:Z443"/>
    <mergeCell ref="Z312:Z313"/>
    <mergeCell ref="Z314:Z315"/>
    <mergeCell ref="Z316:Z317"/>
    <mergeCell ref="Z318:Z319"/>
    <mergeCell ref="Z320:Z321"/>
    <mergeCell ref="Z322:Z323"/>
    <mergeCell ref="Z324:Z325"/>
    <mergeCell ref="Z326:Z327"/>
    <mergeCell ref="Z328:Z329"/>
    <mergeCell ref="Z330:Z331"/>
    <mergeCell ref="Z332:Z333"/>
    <mergeCell ref="Z334:Z335"/>
    <mergeCell ref="Z336:Z337"/>
    <mergeCell ref="Z338:Z339"/>
    <mergeCell ref="Z340:Z341"/>
    <mergeCell ref="Z342:Z343"/>
    <mergeCell ref="Z344:Z345"/>
    <mergeCell ref="Z346:Z347"/>
    <mergeCell ref="Z348:Z349"/>
    <mergeCell ref="Z350:Z351"/>
    <mergeCell ref="Z352:Z353"/>
    <mergeCell ref="Z354:Z355"/>
    <mergeCell ref="Z356:Z357"/>
    <mergeCell ref="Z358:Z359"/>
    <mergeCell ref="Z360:Z361"/>
    <mergeCell ref="Z362:Z363"/>
    <mergeCell ref="Z364:Z365"/>
    <mergeCell ref="Z366:Z367"/>
    <mergeCell ref="Z368:Z369"/>
    <mergeCell ref="Z370:Z371"/>
    <mergeCell ref="Z372:Z373"/>
    <mergeCell ref="Z374:Z375"/>
    <mergeCell ref="Z376:Z377"/>
    <mergeCell ref="Z246:Z247"/>
    <mergeCell ref="Z248:Z249"/>
    <mergeCell ref="Z250:Z251"/>
    <mergeCell ref="Z252:Z253"/>
    <mergeCell ref="Z254:Z255"/>
    <mergeCell ref="Z256:Z257"/>
    <mergeCell ref="Z258:Z259"/>
    <mergeCell ref="Z260:Z261"/>
    <mergeCell ref="Z262:Z263"/>
    <mergeCell ref="Z264:Z265"/>
    <mergeCell ref="Z266:Z267"/>
    <mergeCell ref="Z268:Z269"/>
    <mergeCell ref="Z270:Z271"/>
    <mergeCell ref="Z272:Z273"/>
    <mergeCell ref="Z274:Z275"/>
    <mergeCell ref="Z276:Z277"/>
    <mergeCell ref="Z278:Z279"/>
    <mergeCell ref="Z280:Z281"/>
    <mergeCell ref="Z282:Z283"/>
    <mergeCell ref="Z284:Z285"/>
    <mergeCell ref="Z286:Z287"/>
    <mergeCell ref="Z288:Z289"/>
    <mergeCell ref="Z290:Z291"/>
    <mergeCell ref="Z292:Z293"/>
    <mergeCell ref="Z294:Z295"/>
    <mergeCell ref="Z296:Z297"/>
    <mergeCell ref="Z298:Z299"/>
    <mergeCell ref="Z300:Z301"/>
    <mergeCell ref="Z302:Z303"/>
    <mergeCell ref="Z304:Z305"/>
    <mergeCell ref="Z306:Z307"/>
    <mergeCell ref="Z308:Z309"/>
    <mergeCell ref="Z310:Z311"/>
    <mergeCell ref="Z180:Z181"/>
    <mergeCell ref="Z182:Z183"/>
    <mergeCell ref="Z184:Z185"/>
    <mergeCell ref="Z186:Z187"/>
    <mergeCell ref="Z188:Z189"/>
    <mergeCell ref="Z190:Z191"/>
    <mergeCell ref="Z192:Z193"/>
    <mergeCell ref="Z194:Z195"/>
    <mergeCell ref="Z196:Z197"/>
    <mergeCell ref="Z198:Z199"/>
    <mergeCell ref="Z200:Z201"/>
    <mergeCell ref="Z202:Z203"/>
    <mergeCell ref="Z204:Z205"/>
    <mergeCell ref="Z206:Z207"/>
    <mergeCell ref="Z208:Z209"/>
    <mergeCell ref="Z210:Z211"/>
    <mergeCell ref="Z212:Z213"/>
    <mergeCell ref="Z214:Z215"/>
    <mergeCell ref="Z216:Z217"/>
    <mergeCell ref="Z218:Z219"/>
    <mergeCell ref="Z220:Z221"/>
    <mergeCell ref="Z222:Z223"/>
    <mergeCell ref="Z224:Z225"/>
    <mergeCell ref="Z226:Z227"/>
    <mergeCell ref="Z228:Z229"/>
    <mergeCell ref="Z230:Z231"/>
    <mergeCell ref="Z232:Z233"/>
    <mergeCell ref="Z234:Z235"/>
    <mergeCell ref="Z236:Z237"/>
    <mergeCell ref="Z238:Z239"/>
    <mergeCell ref="Z240:Z241"/>
    <mergeCell ref="Z242:Z243"/>
    <mergeCell ref="Z244:Z245"/>
    <mergeCell ref="Z114:Z115"/>
    <mergeCell ref="Z116:Z117"/>
    <mergeCell ref="Z118:Z119"/>
    <mergeCell ref="Z120:Z121"/>
    <mergeCell ref="Z122:Z123"/>
    <mergeCell ref="Z124:Z125"/>
    <mergeCell ref="Z126:Z127"/>
    <mergeCell ref="Z128:Z129"/>
    <mergeCell ref="Z130:Z131"/>
    <mergeCell ref="Z132:Z133"/>
    <mergeCell ref="Z134:Z135"/>
    <mergeCell ref="Z136:Z137"/>
    <mergeCell ref="Z138:Z139"/>
    <mergeCell ref="Z140:Z141"/>
    <mergeCell ref="Z142:Z143"/>
    <mergeCell ref="Z144:Z145"/>
    <mergeCell ref="Z146:Z147"/>
    <mergeCell ref="Z148:Z149"/>
    <mergeCell ref="Z150:Z151"/>
    <mergeCell ref="Z152:Z153"/>
    <mergeCell ref="Z154:Z155"/>
    <mergeCell ref="Z156:Z157"/>
    <mergeCell ref="Z158:Z159"/>
    <mergeCell ref="Z160:Z161"/>
    <mergeCell ref="Z162:Z163"/>
    <mergeCell ref="Z164:Z165"/>
    <mergeCell ref="Z166:Z167"/>
    <mergeCell ref="Z168:Z169"/>
    <mergeCell ref="Z170:Z171"/>
    <mergeCell ref="Z172:Z173"/>
    <mergeCell ref="Z174:Z175"/>
    <mergeCell ref="Z176:Z177"/>
    <mergeCell ref="Z178:Z179"/>
    <mergeCell ref="Z48:Z49"/>
    <mergeCell ref="Z50:Z51"/>
    <mergeCell ref="Z52:Z53"/>
    <mergeCell ref="Z54:Z55"/>
    <mergeCell ref="Z56:Z57"/>
    <mergeCell ref="Z58:Z59"/>
    <mergeCell ref="Z60:Z61"/>
    <mergeCell ref="Z62:Z63"/>
    <mergeCell ref="Z64:Z65"/>
    <mergeCell ref="Z66:Z67"/>
    <mergeCell ref="Z68:Z69"/>
    <mergeCell ref="Z70:Z71"/>
    <mergeCell ref="Z72:Z73"/>
    <mergeCell ref="Z74:Z75"/>
    <mergeCell ref="Z76:Z77"/>
    <mergeCell ref="Z78:Z79"/>
    <mergeCell ref="Z80:Z81"/>
    <mergeCell ref="Z82:Z83"/>
    <mergeCell ref="Z84:Z85"/>
    <mergeCell ref="Z86:Z87"/>
    <mergeCell ref="Z88:Z89"/>
    <mergeCell ref="Z90:Z91"/>
    <mergeCell ref="Z92:Z93"/>
    <mergeCell ref="Z94:Z95"/>
    <mergeCell ref="Z96:Z97"/>
    <mergeCell ref="Z98:Z99"/>
    <mergeCell ref="Z100:Z101"/>
    <mergeCell ref="Z102:Z103"/>
    <mergeCell ref="Z104:Z105"/>
    <mergeCell ref="Z106:Z107"/>
    <mergeCell ref="Z108:Z109"/>
    <mergeCell ref="Z110:Z111"/>
    <mergeCell ref="Z112:Z113"/>
    <mergeCell ref="AQ101:AT103"/>
    <mergeCell ref="V12:X12"/>
    <mergeCell ref="BP1990:BP1991"/>
    <mergeCell ref="BQ1990:BQ1991"/>
    <mergeCell ref="BP1992:BP1993"/>
    <mergeCell ref="BQ1992:BQ1993"/>
    <mergeCell ref="BP1994:BP1995"/>
    <mergeCell ref="BQ1994:BQ1995"/>
    <mergeCell ref="BP1996:BP1997"/>
    <mergeCell ref="BQ1996:BQ1997"/>
    <mergeCell ref="BS17:BV17"/>
    <mergeCell ref="AJ11:AU13"/>
    <mergeCell ref="BP1956:BP1957"/>
    <mergeCell ref="BQ1956:BQ1957"/>
    <mergeCell ref="BP1958:BP1959"/>
    <mergeCell ref="BQ1958:BQ1959"/>
    <mergeCell ref="BP1960:BP1961"/>
    <mergeCell ref="BQ1960:BQ1961"/>
    <mergeCell ref="BP1962:BP1963"/>
    <mergeCell ref="BQ1962:BQ1963"/>
    <mergeCell ref="BP1964:BP1965"/>
    <mergeCell ref="BQ1964:BQ1965"/>
    <mergeCell ref="BP1966:BP1967"/>
    <mergeCell ref="BQ1966:BQ1967"/>
    <mergeCell ref="BP1968:BP1969"/>
    <mergeCell ref="BQ1968:BQ1969"/>
    <mergeCell ref="BP1970:BP1971"/>
    <mergeCell ref="BQ1970:BQ1971"/>
    <mergeCell ref="BP1972:BP1973"/>
    <mergeCell ref="BQ1972:BQ1973"/>
    <mergeCell ref="BP1974:BP1975"/>
    <mergeCell ref="BQ1974:BQ1975"/>
    <mergeCell ref="BP1976:BP1977"/>
    <mergeCell ref="BQ1976:BQ1977"/>
    <mergeCell ref="BP1978:BP1979"/>
    <mergeCell ref="BQ1978:BQ1979"/>
    <mergeCell ref="BP1980:BP1981"/>
    <mergeCell ref="BQ1980:BQ1981"/>
    <mergeCell ref="BP1982:BP1983"/>
    <mergeCell ref="BQ1982:BQ1983"/>
    <mergeCell ref="BP1984:BP1985"/>
    <mergeCell ref="BQ1984:BQ1985"/>
    <mergeCell ref="BP1986:BP1987"/>
    <mergeCell ref="BQ1986:BQ1987"/>
    <mergeCell ref="BP1988:BP1989"/>
    <mergeCell ref="BQ1988:BQ1989"/>
    <mergeCell ref="BP1922:BP1923"/>
    <mergeCell ref="BQ1922:BQ1923"/>
    <mergeCell ref="BP1924:BP1925"/>
    <mergeCell ref="BQ1924:BQ1925"/>
    <mergeCell ref="BP1926:BP1927"/>
    <mergeCell ref="BQ1926:BQ1927"/>
    <mergeCell ref="BP1928:BP1929"/>
    <mergeCell ref="BQ1928:BQ1929"/>
    <mergeCell ref="BP1930:BP1931"/>
    <mergeCell ref="BQ1930:BQ1931"/>
    <mergeCell ref="BP1932:BP1933"/>
    <mergeCell ref="BQ1932:BQ1933"/>
    <mergeCell ref="BP1934:BP1935"/>
    <mergeCell ref="BQ1934:BQ1935"/>
    <mergeCell ref="BP1936:BP1937"/>
    <mergeCell ref="BQ1936:BQ1937"/>
    <mergeCell ref="BP1938:BP1939"/>
    <mergeCell ref="BQ1938:BQ1939"/>
    <mergeCell ref="BP1940:BP1941"/>
    <mergeCell ref="BQ1940:BQ1941"/>
    <mergeCell ref="BP1942:BP1943"/>
    <mergeCell ref="BQ1942:BQ1943"/>
    <mergeCell ref="BP1944:BP1945"/>
    <mergeCell ref="BQ1944:BQ1945"/>
    <mergeCell ref="BP1946:BP1947"/>
    <mergeCell ref="BQ1946:BQ1947"/>
    <mergeCell ref="BP1948:BP1949"/>
    <mergeCell ref="BQ1948:BQ1949"/>
    <mergeCell ref="BP1950:BP1951"/>
    <mergeCell ref="BQ1950:BQ1951"/>
    <mergeCell ref="BP1952:BP1953"/>
    <mergeCell ref="BQ1952:BQ1953"/>
    <mergeCell ref="BP1954:BP1955"/>
    <mergeCell ref="BQ1954:BQ1955"/>
    <mergeCell ref="BP1888:BP1889"/>
    <mergeCell ref="BQ1888:BQ1889"/>
    <mergeCell ref="BP1890:BP1891"/>
    <mergeCell ref="BQ1890:BQ1891"/>
    <mergeCell ref="BP1892:BP1893"/>
    <mergeCell ref="BQ1892:BQ1893"/>
    <mergeCell ref="BP1894:BP1895"/>
    <mergeCell ref="BQ1894:BQ1895"/>
    <mergeCell ref="BP1896:BP1897"/>
    <mergeCell ref="BQ1896:BQ1897"/>
    <mergeCell ref="BP1898:BP1899"/>
    <mergeCell ref="BQ1898:BQ1899"/>
    <mergeCell ref="BP1900:BP1901"/>
    <mergeCell ref="BQ1900:BQ1901"/>
    <mergeCell ref="BP1902:BP1903"/>
    <mergeCell ref="BQ1902:BQ1903"/>
    <mergeCell ref="BP1904:BP1905"/>
    <mergeCell ref="BQ1904:BQ1905"/>
    <mergeCell ref="BP1906:BP1907"/>
    <mergeCell ref="BQ1906:BQ1907"/>
    <mergeCell ref="BP1908:BP1909"/>
    <mergeCell ref="BQ1908:BQ1909"/>
    <mergeCell ref="BP1910:BP1911"/>
    <mergeCell ref="BQ1910:BQ1911"/>
    <mergeCell ref="BP1912:BP1913"/>
    <mergeCell ref="BQ1912:BQ1913"/>
    <mergeCell ref="BP1914:BP1915"/>
    <mergeCell ref="BQ1914:BQ1915"/>
    <mergeCell ref="BP1916:BP1917"/>
    <mergeCell ref="BQ1916:BQ1917"/>
    <mergeCell ref="BP1918:BP1919"/>
    <mergeCell ref="BQ1918:BQ1919"/>
    <mergeCell ref="BP1920:BP1921"/>
    <mergeCell ref="BQ1920:BQ1921"/>
    <mergeCell ref="BP1854:BP1855"/>
    <mergeCell ref="BQ1854:BQ1855"/>
    <mergeCell ref="BP1856:BP1857"/>
    <mergeCell ref="BQ1856:BQ1857"/>
    <mergeCell ref="BP1858:BP1859"/>
    <mergeCell ref="BQ1858:BQ1859"/>
    <mergeCell ref="BP1860:BP1861"/>
    <mergeCell ref="BQ1860:BQ1861"/>
    <mergeCell ref="BP1862:BP1863"/>
    <mergeCell ref="BQ1862:BQ1863"/>
    <mergeCell ref="BP1864:BP1865"/>
    <mergeCell ref="BQ1864:BQ1865"/>
    <mergeCell ref="BP1866:BP1867"/>
    <mergeCell ref="BQ1866:BQ1867"/>
    <mergeCell ref="BP1868:BP1869"/>
    <mergeCell ref="BQ1868:BQ1869"/>
    <mergeCell ref="BP1870:BP1871"/>
    <mergeCell ref="BQ1870:BQ1871"/>
    <mergeCell ref="BP1872:BP1873"/>
    <mergeCell ref="BQ1872:BQ1873"/>
    <mergeCell ref="BP1874:BP1875"/>
    <mergeCell ref="BQ1874:BQ1875"/>
    <mergeCell ref="BP1876:BP1877"/>
    <mergeCell ref="BQ1876:BQ1877"/>
    <mergeCell ref="BP1878:BP1879"/>
    <mergeCell ref="BQ1878:BQ1879"/>
    <mergeCell ref="BP1880:BP1881"/>
    <mergeCell ref="BQ1880:BQ1881"/>
    <mergeCell ref="BP1882:BP1883"/>
    <mergeCell ref="BQ1882:BQ1883"/>
    <mergeCell ref="BP1884:BP1885"/>
    <mergeCell ref="BQ1884:BQ1885"/>
    <mergeCell ref="BP1886:BP1887"/>
    <mergeCell ref="BQ1886:BQ1887"/>
    <mergeCell ref="BP1820:BP1821"/>
    <mergeCell ref="BQ1820:BQ1821"/>
    <mergeCell ref="BP1822:BP1823"/>
    <mergeCell ref="BQ1822:BQ1823"/>
    <mergeCell ref="BP1824:BP1825"/>
    <mergeCell ref="BQ1824:BQ1825"/>
    <mergeCell ref="BP1826:BP1827"/>
    <mergeCell ref="BQ1826:BQ1827"/>
    <mergeCell ref="BP1828:BP1829"/>
    <mergeCell ref="BQ1828:BQ1829"/>
    <mergeCell ref="BP1830:BP1831"/>
    <mergeCell ref="BQ1830:BQ1831"/>
    <mergeCell ref="BP1832:BP1833"/>
    <mergeCell ref="BQ1832:BQ1833"/>
    <mergeCell ref="BP1834:BP1835"/>
    <mergeCell ref="BQ1834:BQ1835"/>
    <mergeCell ref="BP1836:BP1837"/>
    <mergeCell ref="BQ1836:BQ1837"/>
    <mergeCell ref="BP1838:BP1839"/>
    <mergeCell ref="BQ1838:BQ1839"/>
    <mergeCell ref="BP1840:BP1841"/>
    <mergeCell ref="BQ1840:BQ1841"/>
    <mergeCell ref="BP1842:BP1843"/>
    <mergeCell ref="BQ1842:BQ1843"/>
    <mergeCell ref="BP1844:BP1845"/>
    <mergeCell ref="BQ1844:BQ1845"/>
    <mergeCell ref="BP1846:BP1847"/>
    <mergeCell ref="BQ1846:BQ1847"/>
    <mergeCell ref="BP1848:BP1849"/>
    <mergeCell ref="BQ1848:BQ1849"/>
    <mergeCell ref="BP1850:BP1851"/>
    <mergeCell ref="BQ1850:BQ1851"/>
    <mergeCell ref="BP1852:BP1853"/>
    <mergeCell ref="BQ1852:BQ1853"/>
    <mergeCell ref="BP1786:BP1787"/>
    <mergeCell ref="BQ1786:BQ1787"/>
    <mergeCell ref="BP1788:BP1789"/>
    <mergeCell ref="BQ1788:BQ1789"/>
    <mergeCell ref="BP1790:BP1791"/>
    <mergeCell ref="BQ1790:BQ1791"/>
    <mergeCell ref="BP1792:BP1793"/>
    <mergeCell ref="BQ1792:BQ1793"/>
    <mergeCell ref="BP1794:BP1795"/>
    <mergeCell ref="BQ1794:BQ1795"/>
    <mergeCell ref="BP1796:BP1797"/>
    <mergeCell ref="BQ1796:BQ1797"/>
    <mergeCell ref="BP1798:BP1799"/>
    <mergeCell ref="BQ1798:BQ1799"/>
    <mergeCell ref="BP1800:BP1801"/>
    <mergeCell ref="BQ1800:BQ1801"/>
    <mergeCell ref="BP1802:BP1803"/>
    <mergeCell ref="BQ1802:BQ1803"/>
    <mergeCell ref="BP1804:BP1805"/>
    <mergeCell ref="BQ1804:BQ1805"/>
    <mergeCell ref="BP1806:BP1807"/>
    <mergeCell ref="BQ1806:BQ1807"/>
    <mergeCell ref="BP1808:BP1809"/>
    <mergeCell ref="BQ1808:BQ1809"/>
    <mergeCell ref="BP1810:BP1811"/>
    <mergeCell ref="BQ1810:BQ1811"/>
    <mergeCell ref="BP1812:BP1813"/>
    <mergeCell ref="BQ1812:BQ1813"/>
    <mergeCell ref="BP1814:BP1815"/>
    <mergeCell ref="BQ1814:BQ1815"/>
    <mergeCell ref="BP1816:BP1817"/>
    <mergeCell ref="BQ1816:BQ1817"/>
    <mergeCell ref="BP1818:BP1819"/>
    <mergeCell ref="BQ1818:BQ1819"/>
    <mergeCell ref="BP1752:BP1753"/>
    <mergeCell ref="BQ1752:BQ1753"/>
    <mergeCell ref="BP1754:BP1755"/>
    <mergeCell ref="BQ1754:BQ1755"/>
    <mergeCell ref="BP1756:BP1757"/>
    <mergeCell ref="BQ1756:BQ1757"/>
    <mergeCell ref="BP1758:BP1759"/>
    <mergeCell ref="BQ1758:BQ1759"/>
    <mergeCell ref="BP1760:BP1761"/>
    <mergeCell ref="BQ1760:BQ1761"/>
    <mergeCell ref="BP1762:BP1763"/>
    <mergeCell ref="BQ1762:BQ1763"/>
    <mergeCell ref="BP1764:BP1765"/>
    <mergeCell ref="BQ1764:BQ1765"/>
    <mergeCell ref="BP1766:BP1767"/>
    <mergeCell ref="BQ1766:BQ1767"/>
    <mergeCell ref="BP1768:BP1769"/>
    <mergeCell ref="BQ1768:BQ1769"/>
    <mergeCell ref="BP1770:BP1771"/>
    <mergeCell ref="BQ1770:BQ1771"/>
    <mergeCell ref="BP1772:BP1773"/>
    <mergeCell ref="BQ1772:BQ1773"/>
    <mergeCell ref="BP1774:BP1775"/>
    <mergeCell ref="BQ1774:BQ1775"/>
    <mergeCell ref="BP1776:BP1777"/>
    <mergeCell ref="BQ1776:BQ1777"/>
    <mergeCell ref="BP1778:BP1779"/>
    <mergeCell ref="BQ1778:BQ1779"/>
    <mergeCell ref="BP1780:BP1781"/>
    <mergeCell ref="BQ1780:BQ1781"/>
    <mergeCell ref="BP1782:BP1783"/>
    <mergeCell ref="BQ1782:BQ1783"/>
    <mergeCell ref="BP1784:BP1785"/>
    <mergeCell ref="BQ1784:BQ1785"/>
    <mergeCell ref="BP1718:BP1719"/>
    <mergeCell ref="BQ1718:BQ1719"/>
    <mergeCell ref="BP1720:BP1721"/>
    <mergeCell ref="BQ1720:BQ1721"/>
    <mergeCell ref="BP1722:BP1723"/>
    <mergeCell ref="BQ1722:BQ1723"/>
    <mergeCell ref="BP1724:BP1725"/>
    <mergeCell ref="BQ1724:BQ1725"/>
    <mergeCell ref="BP1726:BP1727"/>
    <mergeCell ref="BQ1726:BQ1727"/>
    <mergeCell ref="BP1728:BP1729"/>
    <mergeCell ref="BQ1728:BQ1729"/>
    <mergeCell ref="BP1730:BP1731"/>
    <mergeCell ref="BQ1730:BQ1731"/>
    <mergeCell ref="BP1732:BP1733"/>
    <mergeCell ref="BQ1732:BQ1733"/>
    <mergeCell ref="BP1734:BP1735"/>
    <mergeCell ref="BQ1734:BQ1735"/>
    <mergeCell ref="BP1736:BP1737"/>
    <mergeCell ref="BQ1736:BQ1737"/>
    <mergeCell ref="BP1738:BP1739"/>
    <mergeCell ref="BQ1738:BQ1739"/>
    <mergeCell ref="BP1740:BP1741"/>
    <mergeCell ref="BQ1740:BQ1741"/>
    <mergeCell ref="BP1742:BP1743"/>
    <mergeCell ref="BQ1742:BQ1743"/>
    <mergeCell ref="BP1744:BP1745"/>
    <mergeCell ref="BQ1744:BQ1745"/>
    <mergeCell ref="BP1746:BP1747"/>
    <mergeCell ref="BQ1746:BQ1747"/>
    <mergeCell ref="BP1748:BP1749"/>
    <mergeCell ref="BQ1748:BQ1749"/>
    <mergeCell ref="BP1750:BP1751"/>
    <mergeCell ref="BQ1750:BQ1751"/>
    <mergeCell ref="BP1684:BP1685"/>
    <mergeCell ref="BQ1684:BQ1685"/>
    <mergeCell ref="BP1686:BP1687"/>
    <mergeCell ref="BQ1686:BQ1687"/>
    <mergeCell ref="BP1688:BP1689"/>
    <mergeCell ref="BQ1688:BQ1689"/>
    <mergeCell ref="BP1690:BP1691"/>
    <mergeCell ref="BQ1690:BQ1691"/>
    <mergeCell ref="BP1692:BP1693"/>
    <mergeCell ref="BQ1692:BQ1693"/>
    <mergeCell ref="BP1694:BP1695"/>
    <mergeCell ref="BQ1694:BQ1695"/>
    <mergeCell ref="BP1696:BP1697"/>
    <mergeCell ref="BQ1696:BQ1697"/>
    <mergeCell ref="BP1698:BP1699"/>
    <mergeCell ref="BQ1698:BQ1699"/>
    <mergeCell ref="BP1700:BP1701"/>
    <mergeCell ref="BQ1700:BQ1701"/>
    <mergeCell ref="BP1702:BP1703"/>
    <mergeCell ref="BQ1702:BQ1703"/>
    <mergeCell ref="BP1704:BP1705"/>
    <mergeCell ref="BQ1704:BQ1705"/>
    <mergeCell ref="BP1706:BP1707"/>
    <mergeCell ref="BQ1706:BQ1707"/>
    <mergeCell ref="BP1708:BP1709"/>
    <mergeCell ref="BQ1708:BQ1709"/>
    <mergeCell ref="BP1710:BP1711"/>
    <mergeCell ref="BQ1710:BQ1711"/>
    <mergeCell ref="BP1712:BP1713"/>
    <mergeCell ref="BQ1712:BQ1713"/>
    <mergeCell ref="BP1714:BP1715"/>
    <mergeCell ref="BQ1714:BQ1715"/>
    <mergeCell ref="BP1716:BP1717"/>
    <mergeCell ref="BQ1716:BQ1717"/>
    <mergeCell ref="BP1650:BP1651"/>
    <mergeCell ref="BQ1650:BQ1651"/>
    <mergeCell ref="BP1652:BP1653"/>
    <mergeCell ref="BQ1652:BQ1653"/>
    <mergeCell ref="BP1654:BP1655"/>
    <mergeCell ref="BQ1654:BQ1655"/>
    <mergeCell ref="BP1656:BP1657"/>
    <mergeCell ref="BQ1656:BQ1657"/>
    <mergeCell ref="BP1658:BP1659"/>
    <mergeCell ref="BQ1658:BQ1659"/>
    <mergeCell ref="BP1660:BP1661"/>
    <mergeCell ref="BQ1660:BQ1661"/>
    <mergeCell ref="BP1662:BP1663"/>
    <mergeCell ref="BQ1662:BQ1663"/>
    <mergeCell ref="BP1664:BP1665"/>
    <mergeCell ref="BQ1664:BQ1665"/>
    <mergeCell ref="BP1666:BP1667"/>
    <mergeCell ref="BQ1666:BQ1667"/>
    <mergeCell ref="BP1668:BP1669"/>
    <mergeCell ref="BQ1668:BQ1669"/>
    <mergeCell ref="BP1670:BP1671"/>
    <mergeCell ref="BQ1670:BQ1671"/>
    <mergeCell ref="BP1672:BP1673"/>
    <mergeCell ref="BQ1672:BQ1673"/>
    <mergeCell ref="BP1674:BP1675"/>
    <mergeCell ref="BQ1674:BQ1675"/>
    <mergeCell ref="BP1676:BP1677"/>
    <mergeCell ref="BQ1676:BQ1677"/>
    <mergeCell ref="BP1678:BP1679"/>
    <mergeCell ref="BQ1678:BQ1679"/>
    <mergeCell ref="BP1680:BP1681"/>
    <mergeCell ref="BQ1680:BQ1681"/>
    <mergeCell ref="BP1682:BP1683"/>
    <mergeCell ref="BQ1682:BQ1683"/>
    <mergeCell ref="BP1616:BP1617"/>
    <mergeCell ref="BQ1616:BQ1617"/>
    <mergeCell ref="BP1618:BP1619"/>
    <mergeCell ref="BQ1618:BQ1619"/>
    <mergeCell ref="BP1620:BP1621"/>
    <mergeCell ref="BQ1620:BQ1621"/>
    <mergeCell ref="BP1622:BP1623"/>
    <mergeCell ref="BQ1622:BQ1623"/>
    <mergeCell ref="BP1624:BP1625"/>
    <mergeCell ref="BQ1624:BQ1625"/>
    <mergeCell ref="BP1626:BP1627"/>
    <mergeCell ref="BQ1626:BQ1627"/>
    <mergeCell ref="BP1628:BP1629"/>
    <mergeCell ref="BQ1628:BQ1629"/>
    <mergeCell ref="BP1630:BP1631"/>
    <mergeCell ref="BQ1630:BQ1631"/>
    <mergeCell ref="BP1632:BP1633"/>
    <mergeCell ref="BQ1632:BQ1633"/>
    <mergeCell ref="BP1634:BP1635"/>
    <mergeCell ref="BQ1634:BQ1635"/>
    <mergeCell ref="BP1636:BP1637"/>
    <mergeCell ref="BQ1636:BQ1637"/>
    <mergeCell ref="BP1638:BP1639"/>
    <mergeCell ref="BQ1638:BQ1639"/>
    <mergeCell ref="BP1640:BP1641"/>
    <mergeCell ref="BQ1640:BQ1641"/>
    <mergeCell ref="BP1642:BP1643"/>
    <mergeCell ref="BQ1642:BQ1643"/>
    <mergeCell ref="BP1644:BP1645"/>
    <mergeCell ref="BQ1644:BQ1645"/>
    <mergeCell ref="BP1646:BP1647"/>
    <mergeCell ref="BQ1646:BQ1647"/>
    <mergeCell ref="BP1648:BP1649"/>
    <mergeCell ref="BQ1648:BQ1649"/>
    <mergeCell ref="BP1582:BP1583"/>
    <mergeCell ref="BQ1582:BQ1583"/>
    <mergeCell ref="BP1584:BP1585"/>
    <mergeCell ref="BQ1584:BQ1585"/>
    <mergeCell ref="BP1586:BP1587"/>
    <mergeCell ref="BQ1586:BQ1587"/>
    <mergeCell ref="BP1588:BP1589"/>
    <mergeCell ref="BQ1588:BQ1589"/>
    <mergeCell ref="BP1590:BP1591"/>
    <mergeCell ref="BQ1590:BQ1591"/>
    <mergeCell ref="BP1592:BP1593"/>
    <mergeCell ref="BQ1592:BQ1593"/>
    <mergeCell ref="BP1594:BP1595"/>
    <mergeCell ref="BQ1594:BQ1595"/>
    <mergeCell ref="BP1596:BP1597"/>
    <mergeCell ref="BQ1596:BQ1597"/>
    <mergeCell ref="BP1598:BP1599"/>
    <mergeCell ref="BQ1598:BQ1599"/>
    <mergeCell ref="BP1600:BP1601"/>
    <mergeCell ref="BQ1600:BQ1601"/>
    <mergeCell ref="BP1602:BP1603"/>
    <mergeCell ref="BQ1602:BQ1603"/>
    <mergeCell ref="BP1604:BP1605"/>
    <mergeCell ref="BQ1604:BQ1605"/>
    <mergeCell ref="BP1606:BP1607"/>
    <mergeCell ref="BQ1606:BQ1607"/>
    <mergeCell ref="BP1608:BP1609"/>
    <mergeCell ref="BQ1608:BQ1609"/>
    <mergeCell ref="BP1610:BP1611"/>
    <mergeCell ref="BQ1610:BQ1611"/>
    <mergeCell ref="BP1612:BP1613"/>
    <mergeCell ref="BQ1612:BQ1613"/>
    <mergeCell ref="BP1614:BP1615"/>
    <mergeCell ref="BQ1614:BQ1615"/>
    <mergeCell ref="BP1548:BP1549"/>
    <mergeCell ref="BQ1548:BQ1549"/>
    <mergeCell ref="BP1550:BP1551"/>
    <mergeCell ref="BQ1550:BQ1551"/>
    <mergeCell ref="BP1552:BP1553"/>
    <mergeCell ref="BQ1552:BQ1553"/>
    <mergeCell ref="BP1554:BP1555"/>
    <mergeCell ref="BQ1554:BQ1555"/>
    <mergeCell ref="BP1556:BP1557"/>
    <mergeCell ref="BQ1556:BQ1557"/>
    <mergeCell ref="BP1558:BP1559"/>
    <mergeCell ref="BQ1558:BQ1559"/>
    <mergeCell ref="BP1560:BP1561"/>
    <mergeCell ref="BQ1560:BQ1561"/>
    <mergeCell ref="BP1562:BP1563"/>
    <mergeCell ref="BQ1562:BQ1563"/>
    <mergeCell ref="BP1564:BP1565"/>
    <mergeCell ref="BQ1564:BQ1565"/>
    <mergeCell ref="BP1566:BP1567"/>
    <mergeCell ref="BQ1566:BQ1567"/>
    <mergeCell ref="BP1568:BP1569"/>
    <mergeCell ref="BQ1568:BQ1569"/>
    <mergeCell ref="BP1570:BP1571"/>
    <mergeCell ref="BQ1570:BQ1571"/>
    <mergeCell ref="BP1572:BP1573"/>
    <mergeCell ref="BQ1572:BQ1573"/>
    <mergeCell ref="BP1574:BP1575"/>
    <mergeCell ref="BQ1574:BQ1575"/>
    <mergeCell ref="BP1576:BP1577"/>
    <mergeCell ref="BQ1576:BQ1577"/>
    <mergeCell ref="BP1578:BP1579"/>
    <mergeCell ref="BQ1578:BQ1579"/>
    <mergeCell ref="BP1580:BP1581"/>
    <mergeCell ref="BQ1580:BQ1581"/>
    <mergeCell ref="BP1514:BP1515"/>
    <mergeCell ref="BQ1514:BQ1515"/>
    <mergeCell ref="BP1516:BP1517"/>
    <mergeCell ref="BQ1516:BQ1517"/>
    <mergeCell ref="BP1518:BP1519"/>
    <mergeCell ref="BQ1518:BQ1519"/>
    <mergeCell ref="BP1520:BP1521"/>
    <mergeCell ref="BQ1520:BQ1521"/>
    <mergeCell ref="BP1522:BP1523"/>
    <mergeCell ref="BQ1522:BQ1523"/>
    <mergeCell ref="BP1524:BP1525"/>
    <mergeCell ref="BQ1524:BQ1525"/>
    <mergeCell ref="BP1526:BP1527"/>
    <mergeCell ref="BQ1526:BQ1527"/>
    <mergeCell ref="BP1528:BP1529"/>
    <mergeCell ref="BQ1528:BQ1529"/>
    <mergeCell ref="BP1530:BP1531"/>
    <mergeCell ref="BQ1530:BQ1531"/>
    <mergeCell ref="BP1532:BP1533"/>
    <mergeCell ref="BQ1532:BQ1533"/>
    <mergeCell ref="BP1534:BP1535"/>
    <mergeCell ref="BQ1534:BQ1535"/>
    <mergeCell ref="BP1536:BP1537"/>
    <mergeCell ref="BQ1536:BQ1537"/>
    <mergeCell ref="BP1538:BP1539"/>
    <mergeCell ref="BQ1538:BQ1539"/>
    <mergeCell ref="BP1540:BP1541"/>
    <mergeCell ref="BQ1540:BQ1541"/>
    <mergeCell ref="BP1542:BP1543"/>
    <mergeCell ref="BQ1542:BQ1543"/>
    <mergeCell ref="BP1544:BP1545"/>
    <mergeCell ref="BQ1544:BQ1545"/>
    <mergeCell ref="BP1546:BP1547"/>
    <mergeCell ref="BQ1546:BQ1547"/>
    <mergeCell ref="BP1480:BP1481"/>
    <mergeCell ref="BQ1480:BQ1481"/>
    <mergeCell ref="BP1482:BP1483"/>
    <mergeCell ref="BQ1482:BQ1483"/>
    <mergeCell ref="BP1484:BP1485"/>
    <mergeCell ref="BQ1484:BQ1485"/>
    <mergeCell ref="BP1486:BP1487"/>
    <mergeCell ref="BQ1486:BQ1487"/>
    <mergeCell ref="BP1488:BP1489"/>
    <mergeCell ref="BQ1488:BQ1489"/>
    <mergeCell ref="BP1490:BP1491"/>
    <mergeCell ref="BQ1490:BQ1491"/>
    <mergeCell ref="BP1492:BP1493"/>
    <mergeCell ref="BQ1492:BQ1493"/>
    <mergeCell ref="BP1494:BP1495"/>
    <mergeCell ref="BQ1494:BQ1495"/>
    <mergeCell ref="BP1496:BP1497"/>
    <mergeCell ref="BQ1496:BQ1497"/>
    <mergeCell ref="BP1498:BP1499"/>
    <mergeCell ref="BQ1498:BQ1499"/>
    <mergeCell ref="BP1500:BP1501"/>
    <mergeCell ref="BQ1500:BQ1501"/>
    <mergeCell ref="BP1502:BP1503"/>
    <mergeCell ref="BQ1502:BQ1503"/>
    <mergeCell ref="BP1504:BP1505"/>
    <mergeCell ref="BQ1504:BQ1505"/>
    <mergeCell ref="BP1506:BP1507"/>
    <mergeCell ref="BQ1506:BQ1507"/>
    <mergeCell ref="BP1508:BP1509"/>
    <mergeCell ref="BQ1508:BQ1509"/>
    <mergeCell ref="BP1510:BP1511"/>
    <mergeCell ref="BQ1510:BQ1511"/>
    <mergeCell ref="BP1512:BP1513"/>
    <mergeCell ref="BQ1512:BQ1513"/>
    <mergeCell ref="BP1446:BP1447"/>
    <mergeCell ref="BQ1446:BQ1447"/>
    <mergeCell ref="BP1448:BP1449"/>
    <mergeCell ref="BQ1448:BQ1449"/>
    <mergeCell ref="BP1450:BP1451"/>
    <mergeCell ref="BQ1450:BQ1451"/>
    <mergeCell ref="BP1452:BP1453"/>
    <mergeCell ref="BQ1452:BQ1453"/>
    <mergeCell ref="BP1454:BP1455"/>
    <mergeCell ref="BQ1454:BQ1455"/>
    <mergeCell ref="BP1456:BP1457"/>
    <mergeCell ref="BQ1456:BQ1457"/>
    <mergeCell ref="BP1458:BP1459"/>
    <mergeCell ref="BQ1458:BQ1459"/>
    <mergeCell ref="BP1460:BP1461"/>
    <mergeCell ref="BQ1460:BQ1461"/>
    <mergeCell ref="BP1462:BP1463"/>
    <mergeCell ref="BQ1462:BQ1463"/>
    <mergeCell ref="BP1464:BP1465"/>
    <mergeCell ref="BQ1464:BQ1465"/>
    <mergeCell ref="BP1466:BP1467"/>
    <mergeCell ref="BQ1466:BQ1467"/>
    <mergeCell ref="BP1468:BP1469"/>
    <mergeCell ref="BQ1468:BQ1469"/>
    <mergeCell ref="BP1470:BP1471"/>
    <mergeCell ref="BQ1470:BQ1471"/>
    <mergeCell ref="BP1472:BP1473"/>
    <mergeCell ref="BQ1472:BQ1473"/>
    <mergeCell ref="BP1474:BP1475"/>
    <mergeCell ref="BQ1474:BQ1475"/>
    <mergeCell ref="BP1476:BP1477"/>
    <mergeCell ref="BQ1476:BQ1477"/>
    <mergeCell ref="BP1478:BP1479"/>
    <mergeCell ref="BQ1478:BQ1479"/>
    <mergeCell ref="BP1412:BP1413"/>
    <mergeCell ref="BQ1412:BQ1413"/>
    <mergeCell ref="BP1414:BP1415"/>
    <mergeCell ref="BQ1414:BQ1415"/>
    <mergeCell ref="BP1416:BP1417"/>
    <mergeCell ref="BQ1416:BQ1417"/>
    <mergeCell ref="BP1418:BP1419"/>
    <mergeCell ref="BQ1418:BQ1419"/>
    <mergeCell ref="BP1420:BP1421"/>
    <mergeCell ref="BQ1420:BQ1421"/>
    <mergeCell ref="BP1422:BP1423"/>
    <mergeCell ref="BQ1422:BQ1423"/>
    <mergeCell ref="BP1424:BP1425"/>
    <mergeCell ref="BQ1424:BQ1425"/>
    <mergeCell ref="BP1426:BP1427"/>
    <mergeCell ref="BQ1426:BQ1427"/>
    <mergeCell ref="BP1428:BP1429"/>
    <mergeCell ref="BQ1428:BQ1429"/>
    <mergeCell ref="BP1430:BP1431"/>
    <mergeCell ref="BQ1430:BQ1431"/>
    <mergeCell ref="BP1432:BP1433"/>
    <mergeCell ref="BQ1432:BQ1433"/>
    <mergeCell ref="BP1434:BP1435"/>
    <mergeCell ref="BQ1434:BQ1435"/>
    <mergeCell ref="BP1436:BP1437"/>
    <mergeCell ref="BQ1436:BQ1437"/>
    <mergeCell ref="BP1438:BP1439"/>
    <mergeCell ref="BQ1438:BQ1439"/>
    <mergeCell ref="BP1440:BP1441"/>
    <mergeCell ref="BQ1440:BQ1441"/>
    <mergeCell ref="BP1442:BP1443"/>
    <mergeCell ref="BQ1442:BQ1443"/>
    <mergeCell ref="BP1444:BP1445"/>
    <mergeCell ref="BQ1444:BQ1445"/>
    <mergeCell ref="BP1378:BP1379"/>
    <mergeCell ref="BQ1378:BQ1379"/>
    <mergeCell ref="BP1380:BP1381"/>
    <mergeCell ref="BQ1380:BQ1381"/>
    <mergeCell ref="BP1382:BP1383"/>
    <mergeCell ref="BQ1382:BQ1383"/>
    <mergeCell ref="BP1384:BP1385"/>
    <mergeCell ref="BQ1384:BQ1385"/>
    <mergeCell ref="BP1386:BP1387"/>
    <mergeCell ref="BQ1386:BQ1387"/>
    <mergeCell ref="BP1388:BP1389"/>
    <mergeCell ref="BQ1388:BQ1389"/>
    <mergeCell ref="BP1390:BP1391"/>
    <mergeCell ref="BQ1390:BQ1391"/>
    <mergeCell ref="BP1392:BP1393"/>
    <mergeCell ref="BQ1392:BQ1393"/>
    <mergeCell ref="BP1394:BP1395"/>
    <mergeCell ref="BQ1394:BQ1395"/>
    <mergeCell ref="BP1396:BP1397"/>
    <mergeCell ref="BQ1396:BQ1397"/>
    <mergeCell ref="BP1398:BP1399"/>
    <mergeCell ref="BQ1398:BQ1399"/>
    <mergeCell ref="BP1400:BP1401"/>
    <mergeCell ref="BQ1400:BQ1401"/>
    <mergeCell ref="BP1402:BP1403"/>
    <mergeCell ref="BQ1402:BQ1403"/>
    <mergeCell ref="BP1404:BP1405"/>
    <mergeCell ref="BQ1404:BQ1405"/>
    <mergeCell ref="BP1406:BP1407"/>
    <mergeCell ref="BQ1406:BQ1407"/>
    <mergeCell ref="BP1408:BP1409"/>
    <mergeCell ref="BQ1408:BQ1409"/>
    <mergeCell ref="BP1410:BP1411"/>
    <mergeCell ref="BQ1410:BQ1411"/>
    <mergeCell ref="BP1344:BP1345"/>
    <mergeCell ref="BQ1344:BQ1345"/>
    <mergeCell ref="BP1346:BP1347"/>
    <mergeCell ref="BQ1346:BQ1347"/>
    <mergeCell ref="BP1348:BP1349"/>
    <mergeCell ref="BQ1348:BQ1349"/>
    <mergeCell ref="BP1350:BP1351"/>
    <mergeCell ref="BQ1350:BQ1351"/>
    <mergeCell ref="BP1352:BP1353"/>
    <mergeCell ref="BQ1352:BQ1353"/>
    <mergeCell ref="BP1354:BP1355"/>
    <mergeCell ref="BQ1354:BQ1355"/>
    <mergeCell ref="BP1356:BP1357"/>
    <mergeCell ref="BQ1356:BQ1357"/>
    <mergeCell ref="BP1358:BP1359"/>
    <mergeCell ref="BQ1358:BQ1359"/>
    <mergeCell ref="BP1360:BP1361"/>
    <mergeCell ref="BQ1360:BQ1361"/>
    <mergeCell ref="BP1362:BP1363"/>
    <mergeCell ref="BQ1362:BQ1363"/>
    <mergeCell ref="BP1364:BP1365"/>
    <mergeCell ref="BQ1364:BQ1365"/>
    <mergeCell ref="BP1366:BP1367"/>
    <mergeCell ref="BQ1366:BQ1367"/>
    <mergeCell ref="BP1368:BP1369"/>
    <mergeCell ref="BQ1368:BQ1369"/>
    <mergeCell ref="BP1370:BP1371"/>
    <mergeCell ref="BQ1370:BQ1371"/>
    <mergeCell ref="BP1372:BP1373"/>
    <mergeCell ref="BQ1372:BQ1373"/>
    <mergeCell ref="BP1374:BP1375"/>
    <mergeCell ref="BQ1374:BQ1375"/>
    <mergeCell ref="BP1376:BP1377"/>
    <mergeCell ref="BQ1376:BQ1377"/>
    <mergeCell ref="BP1310:BP1311"/>
    <mergeCell ref="BQ1310:BQ1311"/>
    <mergeCell ref="BP1312:BP1313"/>
    <mergeCell ref="BQ1312:BQ1313"/>
    <mergeCell ref="BP1314:BP1315"/>
    <mergeCell ref="BQ1314:BQ1315"/>
    <mergeCell ref="BP1316:BP1317"/>
    <mergeCell ref="BQ1316:BQ1317"/>
    <mergeCell ref="BP1318:BP1319"/>
    <mergeCell ref="BQ1318:BQ1319"/>
    <mergeCell ref="BP1320:BP1321"/>
    <mergeCell ref="BQ1320:BQ1321"/>
    <mergeCell ref="BP1322:BP1323"/>
    <mergeCell ref="BQ1322:BQ1323"/>
    <mergeCell ref="BP1324:BP1325"/>
    <mergeCell ref="BQ1324:BQ1325"/>
    <mergeCell ref="BP1326:BP1327"/>
    <mergeCell ref="BQ1326:BQ1327"/>
    <mergeCell ref="BP1328:BP1329"/>
    <mergeCell ref="BQ1328:BQ1329"/>
    <mergeCell ref="BP1330:BP1331"/>
    <mergeCell ref="BQ1330:BQ1331"/>
    <mergeCell ref="BP1332:BP1333"/>
    <mergeCell ref="BQ1332:BQ1333"/>
    <mergeCell ref="BP1334:BP1335"/>
    <mergeCell ref="BQ1334:BQ1335"/>
    <mergeCell ref="BP1336:BP1337"/>
    <mergeCell ref="BQ1336:BQ1337"/>
    <mergeCell ref="BP1338:BP1339"/>
    <mergeCell ref="BQ1338:BQ1339"/>
    <mergeCell ref="BP1340:BP1341"/>
    <mergeCell ref="BQ1340:BQ1341"/>
    <mergeCell ref="BP1342:BP1343"/>
    <mergeCell ref="BQ1342:BQ1343"/>
    <mergeCell ref="BP1276:BP1277"/>
    <mergeCell ref="BQ1276:BQ1277"/>
    <mergeCell ref="BP1278:BP1279"/>
    <mergeCell ref="BQ1278:BQ1279"/>
    <mergeCell ref="BP1280:BP1281"/>
    <mergeCell ref="BQ1280:BQ1281"/>
    <mergeCell ref="BP1282:BP1283"/>
    <mergeCell ref="BQ1282:BQ1283"/>
    <mergeCell ref="BP1284:BP1285"/>
    <mergeCell ref="BQ1284:BQ1285"/>
    <mergeCell ref="BP1286:BP1287"/>
    <mergeCell ref="BQ1286:BQ1287"/>
    <mergeCell ref="BP1288:BP1289"/>
    <mergeCell ref="BQ1288:BQ1289"/>
    <mergeCell ref="BP1290:BP1291"/>
    <mergeCell ref="BQ1290:BQ1291"/>
    <mergeCell ref="BP1292:BP1293"/>
    <mergeCell ref="BQ1292:BQ1293"/>
    <mergeCell ref="BP1294:BP1295"/>
    <mergeCell ref="BQ1294:BQ1295"/>
    <mergeCell ref="BP1296:BP1297"/>
    <mergeCell ref="BQ1296:BQ1297"/>
    <mergeCell ref="BP1298:BP1299"/>
    <mergeCell ref="BQ1298:BQ1299"/>
    <mergeCell ref="BP1300:BP1301"/>
    <mergeCell ref="BQ1300:BQ1301"/>
    <mergeCell ref="BP1302:BP1303"/>
    <mergeCell ref="BQ1302:BQ1303"/>
    <mergeCell ref="BP1304:BP1305"/>
    <mergeCell ref="BQ1304:BQ1305"/>
    <mergeCell ref="BP1306:BP1307"/>
    <mergeCell ref="BQ1306:BQ1307"/>
    <mergeCell ref="BP1308:BP1309"/>
    <mergeCell ref="BQ1308:BQ1309"/>
    <mergeCell ref="BP1242:BP1243"/>
    <mergeCell ref="BQ1242:BQ1243"/>
    <mergeCell ref="BP1244:BP1245"/>
    <mergeCell ref="BQ1244:BQ1245"/>
    <mergeCell ref="BP1246:BP1247"/>
    <mergeCell ref="BQ1246:BQ1247"/>
    <mergeCell ref="BP1248:BP1249"/>
    <mergeCell ref="BQ1248:BQ1249"/>
    <mergeCell ref="BP1250:BP1251"/>
    <mergeCell ref="BQ1250:BQ1251"/>
    <mergeCell ref="BP1252:BP1253"/>
    <mergeCell ref="BQ1252:BQ1253"/>
    <mergeCell ref="BP1254:BP1255"/>
    <mergeCell ref="BQ1254:BQ1255"/>
    <mergeCell ref="BP1256:BP1257"/>
    <mergeCell ref="BQ1256:BQ1257"/>
    <mergeCell ref="BP1258:BP1259"/>
    <mergeCell ref="BQ1258:BQ1259"/>
    <mergeCell ref="BP1260:BP1261"/>
    <mergeCell ref="BQ1260:BQ1261"/>
    <mergeCell ref="BP1262:BP1263"/>
    <mergeCell ref="BQ1262:BQ1263"/>
    <mergeCell ref="BP1264:BP1265"/>
    <mergeCell ref="BQ1264:BQ1265"/>
    <mergeCell ref="BP1266:BP1267"/>
    <mergeCell ref="BQ1266:BQ1267"/>
    <mergeCell ref="BP1268:BP1269"/>
    <mergeCell ref="BQ1268:BQ1269"/>
    <mergeCell ref="BP1270:BP1271"/>
    <mergeCell ref="BQ1270:BQ1271"/>
    <mergeCell ref="BP1272:BP1273"/>
    <mergeCell ref="BQ1272:BQ1273"/>
    <mergeCell ref="BP1274:BP1275"/>
    <mergeCell ref="BQ1274:BQ1275"/>
    <mergeCell ref="BP1208:BP1209"/>
    <mergeCell ref="BQ1208:BQ1209"/>
    <mergeCell ref="BP1210:BP1211"/>
    <mergeCell ref="BQ1210:BQ1211"/>
    <mergeCell ref="BP1212:BP1213"/>
    <mergeCell ref="BQ1212:BQ1213"/>
    <mergeCell ref="BP1214:BP1215"/>
    <mergeCell ref="BQ1214:BQ1215"/>
    <mergeCell ref="BP1216:BP1217"/>
    <mergeCell ref="BQ1216:BQ1217"/>
    <mergeCell ref="BP1218:BP1219"/>
    <mergeCell ref="BQ1218:BQ1219"/>
    <mergeCell ref="BP1220:BP1221"/>
    <mergeCell ref="BQ1220:BQ1221"/>
    <mergeCell ref="BP1222:BP1223"/>
    <mergeCell ref="BQ1222:BQ1223"/>
    <mergeCell ref="BP1224:BP1225"/>
    <mergeCell ref="BQ1224:BQ1225"/>
    <mergeCell ref="BP1226:BP1227"/>
    <mergeCell ref="BQ1226:BQ1227"/>
    <mergeCell ref="BP1228:BP1229"/>
    <mergeCell ref="BQ1228:BQ1229"/>
    <mergeCell ref="BP1230:BP1231"/>
    <mergeCell ref="BQ1230:BQ1231"/>
    <mergeCell ref="BP1232:BP1233"/>
    <mergeCell ref="BQ1232:BQ1233"/>
    <mergeCell ref="BP1234:BP1235"/>
    <mergeCell ref="BQ1234:BQ1235"/>
    <mergeCell ref="BP1236:BP1237"/>
    <mergeCell ref="BQ1236:BQ1237"/>
    <mergeCell ref="BP1238:BP1239"/>
    <mergeCell ref="BQ1238:BQ1239"/>
    <mergeCell ref="BP1240:BP1241"/>
    <mergeCell ref="BQ1240:BQ1241"/>
    <mergeCell ref="BP1174:BP1175"/>
    <mergeCell ref="BQ1174:BQ1175"/>
    <mergeCell ref="BP1176:BP1177"/>
    <mergeCell ref="BQ1176:BQ1177"/>
    <mergeCell ref="BP1178:BP1179"/>
    <mergeCell ref="BQ1178:BQ1179"/>
    <mergeCell ref="BP1180:BP1181"/>
    <mergeCell ref="BQ1180:BQ1181"/>
    <mergeCell ref="BP1182:BP1183"/>
    <mergeCell ref="BQ1182:BQ1183"/>
    <mergeCell ref="BP1184:BP1185"/>
    <mergeCell ref="BQ1184:BQ1185"/>
    <mergeCell ref="BP1186:BP1187"/>
    <mergeCell ref="BQ1186:BQ1187"/>
    <mergeCell ref="BP1188:BP1189"/>
    <mergeCell ref="BQ1188:BQ1189"/>
    <mergeCell ref="BP1190:BP1191"/>
    <mergeCell ref="BQ1190:BQ1191"/>
    <mergeCell ref="BP1192:BP1193"/>
    <mergeCell ref="BQ1192:BQ1193"/>
    <mergeCell ref="BP1194:BP1195"/>
    <mergeCell ref="BQ1194:BQ1195"/>
    <mergeCell ref="BP1196:BP1197"/>
    <mergeCell ref="BQ1196:BQ1197"/>
    <mergeCell ref="BP1198:BP1199"/>
    <mergeCell ref="BQ1198:BQ1199"/>
    <mergeCell ref="BP1200:BP1201"/>
    <mergeCell ref="BQ1200:BQ1201"/>
    <mergeCell ref="BP1202:BP1203"/>
    <mergeCell ref="BQ1202:BQ1203"/>
    <mergeCell ref="BP1204:BP1205"/>
    <mergeCell ref="BQ1204:BQ1205"/>
    <mergeCell ref="BP1206:BP1207"/>
    <mergeCell ref="BQ1206:BQ1207"/>
    <mergeCell ref="BP1140:BP1141"/>
    <mergeCell ref="BQ1140:BQ1141"/>
    <mergeCell ref="BP1142:BP1143"/>
    <mergeCell ref="BQ1142:BQ1143"/>
    <mergeCell ref="BP1144:BP1145"/>
    <mergeCell ref="BQ1144:BQ1145"/>
    <mergeCell ref="BP1146:BP1147"/>
    <mergeCell ref="BQ1146:BQ1147"/>
    <mergeCell ref="BP1148:BP1149"/>
    <mergeCell ref="BQ1148:BQ1149"/>
    <mergeCell ref="BP1150:BP1151"/>
    <mergeCell ref="BQ1150:BQ1151"/>
    <mergeCell ref="BP1152:BP1153"/>
    <mergeCell ref="BQ1152:BQ1153"/>
    <mergeCell ref="BP1154:BP1155"/>
    <mergeCell ref="BQ1154:BQ1155"/>
    <mergeCell ref="BP1156:BP1157"/>
    <mergeCell ref="BQ1156:BQ1157"/>
    <mergeCell ref="BP1158:BP1159"/>
    <mergeCell ref="BQ1158:BQ1159"/>
    <mergeCell ref="BP1160:BP1161"/>
    <mergeCell ref="BQ1160:BQ1161"/>
    <mergeCell ref="BP1162:BP1163"/>
    <mergeCell ref="BQ1162:BQ1163"/>
    <mergeCell ref="BP1164:BP1165"/>
    <mergeCell ref="BQ1164:BQ1165"/>
    <mergeCell ref="BP1166:BP1167"/>
    <mergeCell ref="BQ1166:BQ1167"/>
    <mergeCell ref="BP1168:BP1169"/>
    <mergeCell ref="BQ1168:BQ1169"/>
    <mergeCell ref="BP1170:BP1171"/>
    <mergeCell ref="BQ1170:BQ1171"/>
    <mergeCell ref="BP1172:BP1173"/>
    <mergeCell ref="BQ1172:BQ1173"/>
    <mergeCell ref="BP1106:BP1107"/>
    <mergeCell ref="BQ1106:BQ1107"/>
    <mergeCell ref="BP1108:BP1109"/>
    <mergeCell ref="BQ1108:BQ1109"/>
    <mergeCell ref="BP1110:BP1111"/>
    <mergeCell ref="BQ1110:BQ1111"/>
    <mergeCell ref="BP1112:BP1113"/>
    <mergeCell ref="BQ1112:BQ1113"/>
    <mergeCell ref="BP1114:BP1115"/>
    <mergeCell ref="BQ1114:BQ1115"/>
    <mergeCell ref="BP1116:BP1117"/>
    <mergeCell ref="BQ1116:BQ1117"/>
    <mergeCell ref="BP1118:BP1119"/>
    <mergeCell ref="BQ1118:BQ1119"/>
    <mergeCell ref="BP1120:BP1121"/>
    <mergeCell ref="BQ1120:BQ1121"/>
    <mergeCell ref="BP1122:BP1123"/>
    <mergeCell ref="BQ1122:BQ1123"/>
    <mergeCell ref="BP1124:BP1125"/>
    <mergeCell ref="BQ1124:BQ1125"/>
    <mergeCell ref="BP1126:BP1127"/>
    <mergeCell ref="BQ1126:BQ1127"/>
    <mergeCell ref="BP1128:BP1129"/>
    <mergeCell ref="BQ1128:BQ1129"/>
    <mergeCell ref="BP1130:BP1131"/>
    <mergeCell ref="BQ1130:BQ1131"/>
    <mergeCell ref="BP1132:BP1133"/>
    <mergeCell ref="BQ1132:BQ1133"/>
    <mergeCell ref="BP1134:BP1135"/>
    <mergeCell ref="BQ1134:BQ1135"/>
    <mergeCell ref="BP1136:BP1137"/>
    <mergeCell ref="BQ1136:BQ1137"/>
    <mergeCell ref="BP1138:BP1139"/>
    <mergeCell ref="BQ1138:BQ1139"/>
    <mergeCell ref="BP1072:BP1073"/>
    <mergeCell ref="BQ1072:BQ1073"/>
    <mergeCell ref="BP1074:BP1075"/>
    <mergeCell ref="BQ1074:BQ1075"/>
    <mergeCell ref="BP1076:BP1077"/>
    <mergeCell ref="BQ1076:BQ1077"/>
    <mergeCell ref="BP1078:BP1079"/>
    <mergeCell ref="BQ1078:BQ1079"/>
    <mergeCell ref="BP1080:BP1081"/>
    <mergeCell ref="BQ1080:BQ1081"/>
    <mergeCell ref="BP1082:BP1083"/>
    <mergeCell ref="BQ1082:BQ1083"/>
    <mergeCell ref="BP1084:BP1085"/>
    <mergeCell ref="BQ1084:BQ1085"/>
    <mergeCell ref="BP1086:BP1087"/>
    <mergeCell ref="BQ1086:BQ1087"/>
    <mergeCell ref="BP1088:BP1089"/>
    <mergeCell ref="BQ1088:BQ1089"/>
    <mergeCell ref="BP1090:BP1091"/>
    <mergeCell ref="BQ1090:BQ1091"/>
    <mergeCell ref="BP1092:BP1093"/>
    <mergeCell ref="BQ1092:BQ1093"/>
    <mergeCell ref="BP1094:BP1095"/>
    <mergeCell ref="BQ1094:BQ1095"/>
    <mergeCell ref="BP1096:BP1097"/>
    <mergeCell ref="BQ1096:BQ1097"/>
    <mergeCell ref="BP1098:BP1099"/>
    <mergeCell ref="BQ1098:BQ1099"/>
    <mergeCell ref="BP1100:BP1101"/>
    <mergeCell ref="BQ1100:BQ1101"/>
    <mergeCell ref="BP1102:BP1103"/>
    <mergeCell ref="BQ1102:BQ1103"/>
    <mergeCell ref="BP1104:BP1105"/>
    <mergeCell ref="BQ1104:BQ1105"/>
    <mergeCell ref="BP1038:BP1039"/>
    <mergeCell ref="BQ1038:BQ1039"/>
    <mergeCell ref="BP1040:BP1041"/>
    <mergeCell ref="BQ1040:BQ1041"/>
    <mergeCell ref="BP1042:BP1043"/>
    <mergeCell ref="BQ1042:BQ1043"/>
    <mergeCell ref="BP1044:BP1045"/>
    <mergeCell ref="BQ1044:BQ1045"/>
    <mergeCell ref="BP1046:BP1047"/>
    <mergeCell ref="BQ1046:BQ1047"/>
    <mergeCell ref="BP1048:BP1049"/>
    <mergeCell ref="BQ1048:BQ1049"/>
    <mergeCell ref="BP1050:BP1051"/>
    <mergeCell ref="BQ1050:BQ1051"/>
    <mergeCell ref="BP1052:BP1053"/>
    <mergeCell ref="BQ1052:BQ1053"/>
    <mergeCell ref="BP1054:BP1055"/>
    <mergeCell ref="BQ1054:BQ1055"/>
    <mergeCell ref="BP1056:BP1057"/>
    <mergeCell ref="BQ1056:BQ1057"/>
    <mergeCell ref="BP1058:BP1059"/>
    <mergeCell ref="BQ1058:BQ1059"/>
    <mergeCell ref="BP1060:BP1061"/>
    <mergeCell ref="BQ1060:BQ1061"/>
    <mergeCell ref="BP1062:BP1063"/>
    <mergeCell ref="BQ1062:BQ1063"/>
    <mergeCell ref="BP1064:BP1065"/>
    <mergeCell ref="BQ1064:BQ1065"/>
    <mergeCell ref="BP1066:BP1067"/>
    <mergeCell ref="BQ1066:BQ1067"/>
    <mergeCell ref="BP1068:BP1069"/>
    <mergeCell ref="BQ1068:BQ1069"/>
    <mergeCell ref="BP1070:BP1071"/>
    <mergeCell ref="BQ1070:BQ1071"/>
    <mergeCell ref="BP1004:BP1005"/>
    <mergeCell ref="BQ1004:BQ1005"/>
    <mergeCell ref="BP1006:BP1007"/>
    <mergeCell ref="BQ1006:BQ1007"/>
    <mergeCell ref="BP1008:BP1009"/>
    <mergeCell ref="BQ1008:BQ1009"/>
    <mergeCell ref="BP1010:BP1011"/>
    <mergeCell ref="BQ1010:BQ1011"/>
    <mergeCell ref="BP1012:BP1013"/>
    <mergeCell ref="BQ1012:BQ1013"/>
    <mergeCell ref="BP1014:BP1015"/>
    <mergeCell ref="BQ1014:BQ1015"/>
    <mergeCell ref="BP1016:BP1017"/>
    <mergeCell ref="BQ1016:BQ1017"/>
    <mergeCell ref="BP1018:BP1019"/>
    <mergeCell ref="BQ1018:BQ1019"/>
    <mergeCell ref="BP1020:BP1021"/>
    <mergeCell ref="BQ1020:BQ1021"/>
    <mergeCell ref="BP1022:BP1023"/>
    <mergeCell ref="BQ1022:BQ1023"/>
    <mergeCell ref="BP1024:BP1025"/>
    <mergeCell ref="BQ1024:BQ1025"/>
    <mergeCell ref="BP1026:BP1027"/>
    <mergeCell ref="BQ1026:BQ1027"/>
    <mergeCell ref="BP1028:BP1029"/>
    <mergeCell ref="BQ1028:BQ1029"/>
    <mergeCell ref="BP1030:BP1031"/>
    <mergeCell ref="BQ1030:BQ1031"/>
    <mergeCell ref="BP1032:BP1033"/>
    <mergeCell ref="BQ1032:BQ1033"/>
    <mergeCell ref="BP1034:BP1035"/>
    <mergeCell ref="BQ1034:BQ1035"/>
    <mergeCell ref="BP1036:BP1037"/>
    <mergeCell ref="BQ1036:BQ1037"/>
    <mergeCell ref="BP970:BP971"/>
    <mergeCell ref="BQ970:BQ971"/>
    <mergeCell ref="BP972:BP973"/>
    <mergeCell ref="BQ972:BQ973"/>
    <mergeCell ref="BP974:BP975"/>
    <mergeCell ref="BQ974:BQ975"/>
    <mergeCell ref="BP976:BP977"/>
    <mergeCell ref="BQ976:BQ977"/>
    <mergeCell ref="BP978:BP979"/>
    <mergeCell ref="BQ978:BQ979"/>
    <mergeCell ref="BP980:BP981"/>
    <mergeCell ref="BQ980:BQ981"/>
    <mergeCell ref="BP982:BP983"/>
    <mergeCell ref="BQ982:BQ983"/>
    <mergeCell ref="BP984:BP985"/>
    <mergeCell ref="BQ984:BQ985"/>
    <mergeCell ref="BP986:BP987"/>
    <mergeCell ref="BQ986:BQ987"/>
    <mergeCell ref="BP988:BP989"/>
    <mergeCell ref="BQ988:BQ989"/>
    <mergeCell ref="BP990:BP991"/>
    <mergeCell ref="BQ990:BQ991"/>
    <mergeCell ref="BP992:BP993"/>
    <mergeCell ref="BQ992:BQ993"/>
    <mergeCell ref="BP994:BP995"/>
    <mergeCell ref="BQ994:BQ995"/>
    <mergeCell ref="BP996:BP997"/>
    <mergeCell ref="BQ996:BQ997"/>
    <mergeCell ref="BP998:BP999"/>
    <mergeCell ref="BQ998:BQ999"/>
    <mergeCell ref="BP1000:BP1001"/>
    <mergeCell ref="BQ1000:BQ1001"/>
    <mergeCell ref="BP1002:BP1003"/>
    <mergeCell ref="BQ1002:BQ1003"/>
    <mergeCell ref="BP936:BP937"/>
    <mergeCell ref="BQ936:BQ937"/>
    <mergeCell ref="BP938:BP939"/>
    <mergeCell ref="BQ938:BQ939"/>
    <mergeCell ref="BP940:BP941"/>
    <mergeCell ref="BQ940:BQ941"/>
    <mergeCell ref="BP942:BP943"/>
    <mergeCell ref="BQ942:BQ943"/>
    <mergeCell ref="BP944:BP945"/>
    <mergeCell ref="BQ944:BQ945"/>
    <mergeCell ref="BP946:BP947"/>
    <mergeCell ref="BQ946:BQ947"/>
    <mergeCell ref="BP948:BP949"/>
    <mergeCell ref="BQ948:BQ949"/>
    <mergeCell ref="BP950:BP951"/>
    <mergeCell ref="BQ950:BQ951"/>
    <mergeCell ref="BP952:BP953"/>
    <mergeCell ref="BQ952:BQ953"/>
    <mergeCell ref="BP954:BP955"/>
    <mergeCell ref="BQ954:BQ955"/>
    <mergeCell ref="BP956:BP957"/>
    <mergeCell ref="BQ956:BQ957"/>
    <mergeCell ref="BP958:BP959"/>
    <mergeCell ref="BQ958:BQ959"/>
    <mergeCell ref="BP960:BP961"/>
    <mergeCell ref="BQ960:BQ961"/>
    <mergeCell ref="BP962:BP963"/>
    <mergeCell ref="BQ962:BQ963"/>
    <mergeCell ref="BP964:BP965"/>
    <mergeCell ref="BQ964:BQ965"/>
    <mergeCell ref="BP966:BP967"/>
    <mergeCell ref="BQ966:BQ967"/>
    <mergeCell ref="BP968:BP969"/>
    <mergeCell ref="BQ968:BQ969"/>
    <mergeCell ref="BP902:BP903"/>
    <mergeCell ref="BQ902:BQ903"/>
    <mergeCell ref="BP904:BP905"/>
    <mergeCell ref="BQ904:BQ905"/>
    <mergeCell ref="BP906:BP907"/>
    <mergeCell ref="BQ906:BQ907"/>
    <mergeCell ref="BP908:BP909"/>
    <mergeCell ref="BQ908:BQ909"/>
    <mergeCell ref="BP910:BP911"/>
    <mergeCell ref="BQ910:BQ911"/>
    <mergeCell ref="BP912:BP913"/>
    <mergeCell ref="BQ912:BQ913"/>
    <mergeCell ref="BP914:BP915"/>
    <mergeCell ref="BQ914:BQ915"/>
    <mergeCell ref="BP916:BP917"/>
    <mergeCell ref="BQ916:BQ917"/>
    <mergeCell ref="BP918:BP919"/>
    <mergeCell ref="BQ918:BQ919"/>
    <mergeCell ref="BP920:BP921"/>
    <mergeCell ref="BQ920:BQ921"/>
    <mergeCell ref="BP922:BP923"/>
    <mergeCell ref="BQ922:BQ923"/>
    <mergeCell ref="BP924:BP925"/>
    <mergeCell ref="BQ924:BQ925"/>
    <mergeCell ref="BP926:BP927"/>
    <mergeCell ref="BQ926:BQ927"/>
    <mergeCell ref="BP928:BP929"/>
    <mergeCell ref="BQ928:BQ929"/>
    <mergeCell ref="BP930:BP931"/>
    <mergeCell ref="BQ930:BQ931"/>
    <mergeCell ref="BP932:BP933"/>
    <mergeCell ref="BQ932:BQ933"/>
    <mergeCell ref="BP934:BP935"/>
    <mergeCell ref="BQ934:BQ935"/>
    <mergeCell ref="BP868:BP869"/>
    <mergeCell ref="BQ868:BQ869"/>
    <mergeCell ref="BP870:BP871"/>
    <mergeCell ref="BQ870:BQ871"/>
    <mergeCell ref="BP872:BP873"/>
    <mergeCell ref="BQ872:BQ873"/>
    <mergeCell ref="BP874:BP875"/>
    <mergeCell ref="BQ874:BQ875"/>
    <mergeCell ref="BP876:BP877"/>
    <mergeCell ref="BQ876:BQ877"/>
    <mergeCell ref="BP878:BP879"/>
    <mergeCell ref="BQ878:BQ879"/>
    <mergeCell ref="BP880:BP881"/>
    <mergeCell ref="BQ880:BQ881"/>
    <mergeCell ref="BP882:BP883"/>
    <mergeCell ref="BQ882:BQ883"/>
    <mergeCell ref="BP884:BP885"/>
    <mergeCell ref="BQ884:BQ885"/>
    <mergeCell ref="BP886:BP887"/>
    <mergeCell ref="BQ886:BQ887"/>
    <mergeCell ref="BP888:BP889"/>
    <mergeCell ref="BQ888:BQ889"/>
    <mergeCell ref="BP890:BP891"/>
    <mergeCell ref="BQ890:BQ891"/>
    <mergeCell ref="BP892:BP893"/>
    <mergeCell ref="BQ892:BQ893"/>
    <mergeCell ref="BP894:BP895"/>
    <mergeCell ref="BQ894:BQ895"/>
    <mergeCell ref="BP896:BP897"/>
    <mergeCell ref="BQ896:BQ897"/>
    <mergeCell ref="BP898:BP899"/>
    <mergeCell ref="BQ898:BQ899"/>
    <mergeCell ref="BP900:BP901"/>
    <mergeCell ref="BQ900:BQ901"/>
    <mergeCell ref="BP834:BP835"/>
    <mergeCell ref="BQ834:BQ835"/>
    <mergeCell ref="BP836:BP837"/>
    <mergeCell ref="BQ836:BQ837"/>
    <mergeCell ref="BP838:BP839"/>
    <mergeCell ref="BQ838:BQ839"/>
    <mergeCell ref="BP840:BP841"/>
    <mergeCell ref="BQ840:BQ841"/>
    <mergeCell ref="BP842:BP843"/>
    <mergeCell ref="BQ842:BQ843"/>
    <mergeCell ref="BP844:BP845"/>
    <mergeCell ref="BQ844:BQ845"/>
    <mergeCell ref="BP846:BP847"/>
    <mergeCell ref="BQ846:BQ847"/>
    <mergeCell ref="BP848:BP849"/>
    <mergeCell ref="BQ848:BQ849"/>
    <mergeCell ref="BP850:BP851"/>
    <mergeCell ref="BQ850:BQ851"/>
    <mergeCell ref="BP852:BP853"/>
    <mergeCell ref="BQ852:BQ853"/>
    <mergeCell ref="BP854:BP855"/>
    <mergeCell ref="BQ854:BQ855"/>
    <mergeCell ref="BP856:BP857"/>
    <mergeCell ref="BQ856:BQ857"/>
    <mergeCell ref="BP858:BP859"/>
    <mergeCell ref="BQ858:BQ859"/>
    <mergeCell ref="BP860:BP861"/>
    <mergeCell ref="BQ860:BQ861"/>
    <mergeCell ref="BP862:BP863"/>
    <mergeCell ref="BQ862:BQ863"/>
    <mergeCell ref="BP864:BP865"/>
    <mergeCell ref="BQ864:BQ865"/>
    <mergeCell ref="BP866:BP867"/>
    <mergeCell ref="BQ866:BQ867"/>
    <mergeCell ref="BP800:BP801"/>
    <mergeCell ref="BQ800:BQ801"/>
    <mergeCell ref="BP802:BP803"/>
    <mergeCell ref="BQ802:BQ803"/>
    <mergeCell ref="BP804:BP805"/>
    <mergeCell ref="BQ804:BQ805"/>
    <mergeCell ref="BP806:BP807"/>
    <mergeCell ref="BQ806:BQ807"/>
    <mergeCell ref="BP808:BP809"/>
    <mergeCell ref="BQ808:BQ809"/>
    <mergeCell ref="BP810:BP811"/>
    <mergeCell ref="BQ810:BQ811"/>
    <mergeCell ref="BP812:BP813"/>
    <mergeCell ref="BQ812:BQ813"/>
    <mergeCell ref="BP814:BP815"/>
    <mergeCell ref="BQ814:BQ815"/>
    <mergeCell ref="BP816:BP817"/>
    <mergeCell ref="BQ816:BQ817"/>
    <mergeCell ref="BP818:BP819"/>
    <mergeCell ref="BQ818:BQ819"/>
    <mergeCell ref="BP820:BP821"/>
    <mergeCell ref="BQ820:BQ821"/>
    <mergeCell ref="BP822:BP823"/>
    <mergeCell ref="BQ822:BQ823"/>
    <mergeCell ref="BP824:BP825"/>
    <mergeCell ref="BQ824:BQ825"/>
    <mergeCell ref="BP826:BP827"/>
    <mergeCell ref="BQ826:BQ827"/>
    <mergeCell ref="BP828:BP829"/>
    <mergeCell ref="BQ828:BQ829"/>
    <mergeCell ref="BP830:BP831"/>
    <mergeCell ref="BQ830:BQ831"/>
    <mergeCell ref="BP832:BP833"/>
    <mergeCell ref="BQ832:BQ833"/>
    <mergeCell ref="BP766:BP767"/>
    <mergeCell ref="BQ766:BQ767"/>
    <mergeCell ref="BP768:BP769"/>
    <mergeCell ref="BQ768:BQ769"/>
    <mergeCell ref="BP770:BP771"/>
    <mergeCell ref="BQ770:BQ771"/>
    <mergeCell ref="BP772:BP773"/>
    <mergeCell ref="BQ772:BQ773"/>
    <mergeCell ref="BP774:BP775"/>
    <mergeCell ref="BQ774:BQ775"/>
    <mergeCell ref="BP776:BP777"/>
    <mergeCell ref="BQ776:BQ777"/>
    <mergeCell ref="BP778:BP779"/>
    <mergeCell ref="BQ778:BQ779"/>
    <mergeCell ref="BP780:BP781"/>
    <mergeCell ref="BQ780:BQ781"/>
    <mergeCell ref="BP782:BP783"/>
    <mergeCell ref="BQ782:BQ783"/>
    <mergeCell ref="BP784:BP785"/>
    <mergeCell ref="BQ784:BQ785"/>
    <mergeCell ref="BP786:BP787"/>
    <mergeCell ref="BQ786:BQ787"/>
    <mergeCell ref="BP788:BP789"/>
    <mergeCell ref="BQ788:BQ789"/>
    <mergeCell ref="BP790:BP791"/>
    <mergeCell ref="BQ790:BQ791"/>
    <mergeCell ref="BP792:BP793"/>
    <mergeCell ref="BQ792:BQ793"/>
    <mergeCell ref="BP794:BP795"/>
    <mergeCell ref="BQ794:BQ795"/>
    <mergeCell ref="BP796:BP797"/>
    <mergeCell ref="BQ796:BQ797"/>
    <mergeCell ref="BP798:BP799"/>
    <mergeCell ref="BQ798:BQ799"/>
    <mergeCell ref="BP732:BP733"/>
    <mergeCell ref="BQ732:BQ733"/>
    <mergeCell ref="BP734:BP735"/>
    <mergeCell ref="BQ734:BQ735"/>
    <mergeCell ref="BP736:BP737"/>
    <mergeCell ref="BQ736:BQ737"/>
    <mergeCell ref="BP738:BP739"/>
    <mergeCell ref="BQ738:BQ739"/>
    <mergeCell ref="BP740:BP741"/>
    <mergeCell ref="BQ740:BQ741"/>
    <mergeCell ref="BP742:BP743"/>
    <mergeCell ref="BQ742:BQ743"/>
    <mergeCell ref="BP744:BP745"/>
    <mergeCell ref="BQ744:BQ745"/>
    <mergeCell ref="BP746:BP747"/>
    <mergeCell ref="BQ746:BQ747"/>
    <mergeCell ref="BP748:BP749"/>
    <mergeCell ref="BQ748:BQ749"/>
    <mergeCell ref="BP750:BP751"/>
    <mergeCell ref="BQ750:BQ751"/>
    <mergeCell ref="BP752:BP753"/>
    <mergeCell ref="BQ752:BQ753"/>
    <mergeCell ref="BP754:BP755"/>
    <mergeCell ref="BQ754:BQ755"/>
    <mergeCell ref="BP756:BP757"/>
    <mergeCell ref="BQ756:BQ757"/>
    <mergeCell ref="BP758:BP759"/>
    <mergeCell ref="BQ758:BQ759"/>
    <mergeCell ref="BP760:BP761"/>
    <mergeCell ref="BQ760:BQ761"/>
    <mergeCell ref="BP762:BP763"/>
    <mergeCell ref="BQ762:BQ763"/>
    <mergeCell ref="BP764:BP765"/>
    <mergeCell ref="BQ764:BQ765"/>
    <mergeCell ref="BP698:BP699"/>
    <mergeCell ref="BQ698:BQ699"/>
    <mergeCell ref="BP700:BP701"/>
    <mergeCell ref="BQ700:BQ701"/>
    <mergeCell ref="BP702:BP703"/>
    <mergeCell ref="BQ702:BQ703"/>
    <mergeCell ref="BP704:BP705"/>
    <mergeCell ref="BQ704:BQ705"/>
    <mergeCell ref="BP706:BP707"/>
    <mergeCell ref="BQ706:BQ707"/>
    <mergeCell ref="BP708:BP709"/>
    <mergeCell ref="BQ708:BQ709"/>
    <mergeCell ref="BP710:BP711"/>
    <mergeCell ref="BQ710:BQ711"/>
    <mergeCell ref="BP712:BP713"/>
    <mergeCell ref="BQ712:BQ713"/>
    <mergeCell ref="BP714:BP715"/>
    <mergeCell ref="BQ714:BQ715"/>
    <mergeCell ref="BP716:BP717"/>
    <mergeCell ref="BQ716:BQ717"/>
    <mergeCell ref="BP718:BP719"/>
    <mergeCell ref="BQ718:BQ719"/>
    <mergeCell ref="BP720:BP721"/>
    <mergeCell ref="BQ720:BQ721"/>
    <mergeCell ref="BP722:BP723"/>
    <mergeCell ref="BQ722:BQ723"/>
    <mergeCell ref="BP724:BP725"/>
    <mergeCell ref="BQ724:BQ725"/>
    <mergeCell ref="BP726:BP727"/>
    <mergeCell ref="BQ726:BQ727"/>
    <mergeCell ref="BP728:BP729"/>
    <mergeCell ref="BQ728:BQ729"/>
    <mergeCell ref="BP730:BP731"/>
    <mergeCell ref="BQ730:BQ731"/>
    <mergeCell ref="BP664:BP665"/>
    <mergeCell ref="BQ664:BQ665"/>
    <mergeCell ref="BP666:BP667"/>
    <mergeCell ref="BQ666:BQ667"/>
    <mergeCell ref="BP668:BP669"/>
    <mergeCell ref="BQ668:BQ669"/>
    <mergeCell ref="BP670:BP671"/>
    <mergeCell ref="BQ670:BQ671"/>
    <mergeCell ref="BP672:BP673"/>
    <mergeCell ref="BQ672:BQ673"/>
    <mergeCell ref="BP674:BP675"/>
    <mergeCell ref="BQ674:BQ675"/>
    <mergeCell ref="BP676:BP677"/>
    <mergeCell ref="BQ676:BQ677"/>
    <mergeCell ref="BP678:BP679"/>
    <mergeCell ref="BQ678:BQ679"/>
    <mergeCell ref="BP680:BP681"/>
    <mergeCell ref="BQ680:BQ681"/>
    <mergeCell ref="BP682:BP683"/>
    <mergeCell ref="BQ682:BQ683"/>
    <mergeCell ref="BP684:BP685"/>
    <mergeCell ref="BQ684:BQ685"/>
    <mergeCell ref="BP686:BP687"/>
    <mergeCell ref="BQ686:BQ687"/>
    <mergeCell ref="BP688:BP689"/>
    <mergeCell ref="BQ688:BQ689"/>
    <mergeCell ref="BP690:BP691"/>
    <mergeCell ref="BQ690:BQ691"/>
    <mergeCell ref="BP692:BP693"/>
    <mergeCell ref="BQ692:BQ693"/>
    <mergeCell ref="BP694:BP695"/>
    <mergeCell ref="BQ694:BQ695"/>
    <mergeCell ref="BP696:BP697"/>
    <mergeCell ref="BQ696:BQ697"/>
    <mergeCell ref="BP630:BP631"/>
    <mergeCell ref="BQ630:BQ631"/>
    <mergeCell ref="BP632:BP633"/>
    <mergeCell ref="BQ632:BQ633"/>
    <mergeCell ref="BP634:BP635"/>
    <mergeCell ref="BQ634:BQ635"/>
    <mergeCell ref="BP636:BP637"/>
    <mergeCell ref="BQ636:BQ637"/>
    <mergeCell ref="BP638:BP639"/>
    <mergeCell ref="BQ638:BQ639"/>
    <mergeCell ref="BP640:BP641"/>
    <mergeCell ref="BQ640:BQ641"/>
    <mergeCell ref="BP642:BP643"/>
    <mergeCell ref="BQ642:BQ643"/>
    <mergeCell ref="BP644:BP645"/>
    <mergeCell ref="BQ644:BQ645"/>
    <mergeCell ref="BP646:BP647"/>
    <mergeCell ref="BQ646:BQ647"/>
    <mergeCell ref="BP648:BP649"/>
    <mergeCell ref="BQ648:BQ649"/>
    <mergeCell ref="BP650:BP651"/>
    <mergeCell ref="BQ650:BQ651"/>
    <mergeCell ref="BP652:BP653"/>
    <mergeCell ref="BQ652:BQ653"/>
    <mergeCell ref="BP654:BP655"/>
    <mergeCell ref="BQ654:BQ655"/>
    <mergeCell ref="BP656:BP657"/>
    <mergeCell ref="BQ656:BQ657"/>
    <mergeCell ref="BP658:BP659"/>
    <mergeCell ref="BQ658:BQ659"/>
    <mergeCell ref="BP660:BP661"/>
    <mergeCell ref="BQ660:BQ661"/>
    <mergeCell ref="BP662:BP663"/>
    <mergeCell ref="BQ662:BQ663"/>
    <mergeCell ref="BP596:BP597"/>
    <mergeCell ref="BQ596:BQ597"/>
    <mergeCell ref="BP598:BP599"/>
    <mergeCell ref="BQ598:BQ599"/>
    <mergeCell ref="BP600:BP601"/>
    <mergeCell ref="BQ600:BQ601"/>
    <mergeCell ref="BP602:BP603"/>
    <mergeCell ref="BQ602:BQ603"/>
    <mergeCell ref="BP604:BP605"/>
    <mergeCell ref="BQ604:BQ605"/>
    <mergeCell ref="BP606:BP607"/>
    <mergeCell ref="BQ606:BQ607"/>
    <mergeCell ref="BP608:BP609"/>
    <mergeCell ref="BQ608:BQ609"/>
    <mergeCell ref="BP610:BP611"/>
    <mergeCell ref="BQ610:BQ611"/>
    <mergeCell ref="BP612:BP613"/>
    <mergeCell ref="BQ612:BQ613"/>
    <mergeCell ref="BP614:BP615"/>
    <mergeCell ref="BQ614:BQ615"/>
    <mergeCell ref="BP616:BP617"/>
    <mergeCell ref="BQ616:BQ617"/>
    <mergeCell ref="BP618:BP619"/>
    <mergeCell ref="BQ618:BQ619"/>
    <mergeCell ref="BP620:BP621"/>
    <mergeCell ref="BQ620:BQ621"/>
    <mergeCell ref="BP622:BP623"/>
    <mergeCell ref="BQ622:BQ623"/>
    <mergeCell ref="BP624:BP625"/>
    <mergeCell ref="BQ624:BQ625"/>
    <mergeCell ref="BP626:BP627"/>
    <mergeCell ref="BQ626:BQ627"/>
    <mergeCell ref="BP628:BP629"/>
    <mergeCell ref="BQ628:BQ629"/>
    <mergeCell ref="BP562:BP563"/>
    <mergeCell ref="BQ562:BQ563"/>
    <mergeCell ref="BP564:BP565"/>
    <mergeCell ref="BQ564:BQ565"/>
    <mergeCell ref="BP566:BP567"/>
    <mergeCell ref="BQ566:BQ567"/>
    <mergeCell ref="BP568:BP569"/>
    <mergeCell ref="BQ568:BQ569"/>
    <mergeCell ref="BP570:BP571"/>
    <mergeCell ref="BQ570:BQ571"/>
    <mergeCell ref="BP572:BP573"/>
    <mergeCell ref="BQ572:BQ573"/>
    <mergeCell ref="BP574:BP575"/>
    <mergeCell ref="BQ574:BQ575"/>
    <mergeCell ref="BP576:BP577"/>
    <mergeCell ref="BQ576:BQ577"/>
    <mergeCell ref="BP578:BP579"/>
    <mergeCell ref="BQ578:BQ579"/>
    <mergeCell ref="BP580:BP581"/>
    <mergeCell ref="BQ580:BQ581"/>
    <mergeCell ref="BP582:BP583"/>
    <mergeCell ref="BQ582:BQ583"/>
    <mergeCell ref="BP584:BP585"/>
    <mergeCell ref="BQ584:BQ585"/>
    <mergeCell ref="BP586:BP587"/>
    <mergeCell ref="BQ586:BQ587"/>
    <mergeCell ref="BP588:BP589"/>
    <mergeCell ref="BQ588:BQ589"/>
    <mergeCell ref="BP590:BP591"/>
    <mergeCell ref="BQ590:BQ591"/>
    <mergeCell ref="BP592:BP593"/>
    <mergeCell ref="BQ592:BQ593"/>
    <mergeCell ref="BP594:BP595"/>
    <mergeCell ref="BQ594:BQ595"/>
    <mergeCell ref="BP528:BP529"/>
    <mergeCell ref="BQ528:BQ529"/>
    <mergeCell ref="BP530:BP531"/>
    <mergeCell ref="BQ530:BQ531"/>
    <mergeCell ref="BP532:BP533"/>
    <mergeCell ref="BQ532:BQ533"/>
    <mergeCell ref="BP534:BP535"/>
    <mergeCell ref="BQ534:BQ535"/>
    <mergeCell ref="BP536:BP537"/>
    <mergeCell ref="BQ536:BQ537"/>
    <mergeCell ref="BP538:BP539"/>
    <mergeCell ref="BQ538:BQ539"/>
    <mergeCell ref="BP540:BP541"/>
    <mergeCell ref="BQ540:BQ541"/>
    <mergeCell ref="BP542:BP543"/>
    <mergeCell ref="BQ542:BQ543"/>
    <mergeCell ref="BP544:BP545"/>
    <mergeCell ref="BQ544:BQ545"/>
    <mergeCell ref="BP546:BP547"/>
    <mergeCell ref="BQ546:BQ547"/>
    <mergeCell ref="BP548:BP549"/>
    <mergeCell ref="BQ548:BQ549"/>
    <mergeCell ref="BP550:BP551"/>
    <mergeCell ref="BQ550:BQ551"/>
    <mergeCell ref="BP552:BP553"/>
    <mergeCell ref="BQ552:BQ553"/>
    <mergeCell ref="BP554:BP555"/>
    <mergeCell ref="BQ554:BQ555"/>
    <mergeCell ref="BP556:BP557"/>
    <mergeCell ref="BQ556:BQ557"/>
    <mergeCell ref="BP558:BP559"/>
    <mergeCell ref="BQ558:BQ559"/>
    <mergeCell ref="BP560:BP561"/>
    <mergeCell ref="BQ560:BQ561"/>
    <mergeCell ref="BP494:BP495"/>
    <mergeCell ref="BQ494:BQ495"/>
    <mergeCell ref="BP496:BP497"/>
    <mergeCell ref="BQ496:BQ497"/>
    <mergeCell ref="BP498:BP499"/>
    <mergeCell ref="BQ498:BQ499"/>
    <mergeCell ref="BP500:BP501"/>
    <mergeCell ref="BQ500:BQ501"/>
    <mergeCell ref="BP502:BP503"/>
    <mergeCell ref="BQ502:BQ503"/>
    <mergeCell ref="BP504:BP505"/>
    <mergeCell ref="BQ504:BQ505"/>
    <mergeCell ref="BP506:BP507"/>
    <mergeCell ref="BQ506:BQ507"/>
    <mergeCell ref="BP508:BP509"/>
    <mergeCell ref="BQ508:BQ509"/>
    <mergeCell ref="BP510:BP511"/>
    <mergeCell ref="BQ510:BQ511"/>
    <mergeCell ref="BP512:BP513"/>
    <mergeCell ref="BQ512:BQ513"/>
    <mergeCell ref="BP514:BP515"/>
    <mergeCell ref="BQ514:BQ515"/>
    <mergeCell ref="BP516:BP517"/>
    <mergeCell ref="BQ516:BQ517"/>
    <mergeCell ref="BP518:BP519"/>
    <mergeCell ref="BQ518:BQ519"/>
    <mergeCell ref="BP520:BP521"/>
    <mergeCell ref="BQ520:BQ521"/>
    <mergeCell ref="BP522:BP523"/>
    <mergeCell ref="BQ522:BQ523"/>
    <mergeCell ref="BP524:BP525"/>
    <mergeCell ref="BQ524:BQ525"/>
    <mergeCell ref="BP526:BP527"/>
    <mergeCell ref="BQ526:BQ527"/>
    <mergeCell ref="BP460:BP461"/>
    <mergeCell ref="BQ460:BQ461"/>
    <mergeCell ref="BP462:BP463"/>
    <mergeCell ref="BQ462:BQ463"/>
    <mergeCell ref="BP464:BP465"/>
    <mergeCell ref="BQ464:BQ465"/>
    <mergeCell ref="BP466:BP467"/>
    <mergeCell ref="BQ466:BQ467"/>
    <mergeCell ref="BP468:BP469"/>
    <mergeCell ref="BQ468:BQ469"/>
    <mergeCell ref="BP470:BP471"/>
    <mergeCell ref="BQ470:BQ471"/>
    <mergeCell ref="BP472:BP473"/>
    <mergeCell ref="BQ472:BQ473"/>
    <mergeCell ref="BP474:BP475"/>
    <mergeCell ref="BQ474:BQ475"/>
    <mergeCell ref="BP476:BP477"/>
    <mergeCell ref="BQ476:BQ477"/>
    <mergeCell ref="BP478:BP479"/>
    <mergeCell ref="BQ478:BQ479"/>
    <mergeCell ref="BP480:BP481"/>
    <mergeCell ref="BQ480:BQ481"/>
    <mergeCell ref="BP482:BP483"/>
    <mergeCell ref="BQ482:BQ483"/>
    <mergeCell ref="BP484:BP485"/>
    <mergeCell ref="BQ484:BQ485"/>
    <mergeCell ref="BP486:BP487"/>
    <mergeCell ref="BQ486:BQ487"/>
    <mergeCell ref="BP488:BP489"/>
    <mergeCell ref="BQ488:BQ489"/>
    <mergeCell ref="BP490:BP491"/>
    <mergeCell ref="BQ490:BQ491"/>
    <mergeCell ref="BP492:BP493"/>
    <mergeCell ref="BQ492:BQ493"/>
    <mergeCell ref="BP426:BP427"/>
    <mergeCell ref="BQ426:BQ427"/>
    <mergeCell ref="BP428:BP429"/>
    <mergeCell ref="BQ428:BQ429"/>
    <mergeCell ref="BP430:BP431"/>
    <mergeCell ref="BQ430:BQ431"/>
    <mergeCell ref="BP432:BP433"/>
    <mergeCell ref="BQ432:BQ433"/>
    <mergeCell ref="BP434:BP435"/>
    <mergeCell ref="BQ434:BQ435"/>
    <mergeCell ref="BP436:BP437"/>
    <mergeCell ref="BQ436:BQ437"/>
    <mergeCell ref="BP438:BP439"/>
    <mergeCell ref="BQ438:BQ439"/>
    <mergeCell ref="BP440:BP441"/>
    <mergeCell ref="BQ440:BQ441"/>
    <mergeCell ref="BP442:BP443"/>
    <mergeCell ref="BQ442:BQ443"/>
    <mergeCell ref="BP444:BP445"/>
    <mergeCell ref="BQ444:BQ445"/>
    <mergeCell ref="BP446:BP447"/>
    <mergeCell ref="BQ446:BQ447"/>
    <mergeCell ref="BP448:BP449"/>
    <mergeCell ref="BQ448:BQ449"/>
    <mergeCell ref="BP450:BP451"/>
    <mergeCell ref="BQ450:BQ451"/>
    <mergeCell ref="BP452:BP453"/>
    <mergeCell ref="BQ452:BQ453"/>
    <mergeCell ref="BP454:BP455"/>
    <mergeCell ref="BQ454:BQ455"/>
    <mergeCell ref="BP456:BP457"/>
    <mergeCell ref="BQ456:BQ457"/>
    <mergeCell ref="BP458:BP459"/>
    <mergeCell ref="BQ458:BQ459"/>
    <mergeCell ref="BP392:BP393"/>
    <mergeCell ref="BQ392:BQ393"/>
    <mergeCell ref="BP394:BP395"/>
    <mergeCell ref="BQ394:BQ395"/>
    <mergeCell ref="BP396:BP397"/>
    <mergeCell ref="BQ396:BQ397"/>
    <mergeCell ref="BP398:BP399"/>
    <mergeCell ref="BQ398:BQ399"/>
    <mergeCell ref="BP400:BP401"/>
    <mergeCell ref="BQ400:BQ401"/>
    <mergeCell ref="BP402:BP403"/>
    <mergeCell ref="BQ402:BQ403"/>
    <mergeCell ref="BP404:BP405"/>
    <mergeCell ref="BQ404:BQ405"/>
    <mergeCell ref="BP406:BP407"/>
    <mergeCell ref="BQ406:BQ407"/>
    <mergeCell ref="BP408:BP409"/>
    <mergeCell ref="BQ408:BQ409"/>
    <mergeCell ref="BP410:BP411"/>
    <mergeCell ref="BQ410:BQ411"/>
    <mergeCell ref="BP412:BP413"/>
    <mergeCell ref="BQ412:BQ413"/>
    <mergeCell ref="BP414:BP415"/>
    <mergeCell ref="BQ414:BQ415"/>
    <mergeCell ref="BP416:BP417"/>
    <mergeCell ref="BQ416:BQ417"/>
    <mergeCell ref="BP418:BP419"/>
    <mergeCell ref="BQ418:BQ419"/>
    <mergeCell ref="BP420:BP421"/>
    <mergeCell ref="BQ420:BQ421"/>
    <mergeCell ref="BP422:BP423"/>
    <mergeCell ref="BQ422:BQ423"/>
    <mergeCell ref="BP424:BP425"/>
    <mergeCell ref="BQ424:BQ425"/>
    <mergeCell ref="BP358:BP359"/>
    <mergeCell ref="BQ358:BQ359"/>
    <mergeCell ref="BP360:BP361"/>
    <mergeCell ref="BQ360:BQ361"/>
    <mergeCell ref="BP362:BP363"/>
    <mergeCell ref="BQ362:BQ363"/>
    <mergeCell ref="BP364:BP365"/>
    <mergeCell ref="BQ364:BQ365"/>
    <mergeCell ref="BP366:BP367"/>
    <mergeCell ref="BQ366:BQ367"/>
    <mergeCell ref="BP368:BP369"/>
    <mergeCell ref="BQ368:BQ369"/>
    <mergeCell ref="BP370:BP371"/>
    <mergeCell ref="BQ370:BQ371"/>
    <mergeCell ref="BP372:BP373"/>
    <mergeCell ref="BQ372:BQ373"/>
    <mergeCell ref="BP374:BP375"/>
    <mergeCell ref="BQ374:BQ375"/>
    <mergeCell ref="BP376:BP377"/>
    <mergeCell ref="BQ376:BQ377"/>
    <mergeCell ref="BP378:BP379"/>
    <mergeCell ref="BQ378:BQ379"/>
    <mergeCell ref="BP380:BP381"/>
    <mergeCell ref="BQ380:BQ381"/>
    <mergeCell ref="BP382:BP383"/>
    <mergeCell ref="BQ382:BQ383"/>
    <mergeCell ref="BP384:BP385"/>
    <mergeCell ref="BQ384:BQ385"/>
    <mergeCell ref="BP386:BP387"/>
    <mergeCell ref="BQ386:BQ387"/>
    <mergeCell ref="BP388:BP389"/>
    <mergeCell ref="BQ388:BQ389"/>
    <mergeCell ref="BP390:BP391"/>
    <mergeCell ref="BQ390:BQ391"/>
    <mergeCell ref="BP324:BP325"/>
    <mergeCell ref="BQ324:BQ325"/>
    <mergeCell ref="BP326:BP327"/>
    <mergeCell ref="BQ326:BQ327"/>
    <mergeCell ref="BP328:BP329"/>
    <mergeCell ref="BQ328:BQ329"/>
    <mergeCell ref="BP330:BP331"/>
    <mergeCell ref="BQ330:BQ331"/>
    <mergeCell ref="BP332:BP333"/>
    <mergeCell ref="BQ332:BQ333"/>
    <mergeCell ref="BP334:BP335"/>
    <mergeCell ref="BQ334:BQ335"/>
    <mergeCell ref="BP336:BP337"/>
    <mergeCell ref="BQ336:BQ337"/>
    <mergeCell ref="BP338:BP339"/>
    <mergeCell ref="BQ338:BQ339"/>
    <mergeCell ref="BP340:BP341"/>
    <mergeCell ref="BQ340:BQ341"/>
    <mergeCell ref="BP342:BP343"/>
    <mergeCell ref="BQ342:BQ343"/>
    <mergeCell ref="BP344:BP345"/>
    <mergeCell ref="BQ344:BQ345"/>
    <mergeCell ref="BP346:BP347"/>
    <mergeCell ref="BQ346:BQ347"/>
    <mergeCell ref="BP348:BP349"/>
    <mergeCell ref="BQ348:BQ349"/>
    <mergeCell ref="BP350:BP351"/>
    <mergeCell ref="BQ350:BQ351"/>
    <mergeCell ref="BP352:BP353"/>
    <mergeCell ref="BQ352:BQ353"/>
    <mergeCell ref="BP354:BP355"/>
    <mergeCell ref="BQ354:BQ355"/>
    <mergeCell ref="BP356:BP357"/>
    <mergeCell ref="BQ356:BQ357"/>
    <mergeCell ref="BP290:BP291"/>
    <mergeCell ref="BQ290:BQ291"/>
    <mergeCell ref="BP292:BP293"/>
    <mergeCell ref="BQ292:BQ293"/>
    <mergeCell ref="BP294:BP295"/>
    <mergeCell ref="BQ294:BQ295"/>
    <mergeCell ref="BP296:BP297"/>
    <mergeCell ref="BQ296:BQ297"/>
    <mergeCell ref="BP298:BP299"/>
    <mergeCell ref="BQ298:BQ299"/>
    <mergeCell ref="BP300:BP301"/>
    <mergeCell ref="BQ300:BQ301"/>
    <mergeCell ref="BP302:BP303"/>
    <mergeCell ref="BQ302:BQ303"/>
    <mergeCell ref="BP304:BP305"/>
    <mergeCell ref="BQ304:BQ305"/>
    <mergeCell ref="BP306:BP307"/>
    <mergeCell ref="BQ306:BQ307"/>
    <mergeCell ref="BP308:BP309"/>
    <mergeCell ref="BQ308:BQ309"/>
    <mergeCell ref="BP310:BP311"/>
    <mergeCell ref="BQ310:BQ311"/>
    <mergeCell ref="BP312:BP313"/>
    <mergeCell ref="BQ312:BQ313"/>
    <mergeCell ref="BP314:BP315"/>
    <mergeCell ref="BQ314:BQ315"/>
    <mergeCell ref="BP316:BP317"/>
    <mergeCell ref="BQ316:BQ317"/>
    <mergeCell ref="BP318:BP319"/>
    <mergeCell ref="BQ318:BQ319"/>
    <mergeCell ref="BP320:BP321"/>
    <mergeCell ref="BQ320:BQ321"/>
    <mergeCell ref="BP322:BP323"/>
    <mergeCell ref="BQ322:BQ323"/>
    <mergeCell ref="BP256:BP257"/>
    <mergeCell ref="BQ256:BQ257"/>
    <mergeCell ref="BP258:BP259"/>
    <mergeCell ref="BQ258:BQ259"/>
    <mergeCell ref="BP260:BP261"/>
    <mergeCell ref="BQ260:BQ261"/>
    <mergeCell ref="BP262:BP263"/>
    <mergeCell ref="BQ262:BQ263"/>
    <mergeCell ref="BP264:BP265"/>
    <mergeCell ref="BQ264:BQ265"/>
    <mergeCell ref="BP266:BP267"/>
    <mergeCell ref="BQ266:BQ267"/>
    <mergeCell ref="BP268:BP269"/>
    <mergeCell ref="BQ268:BQ269"/>
    <mergeCell ref="BP270:BP271"/>
    <mergeCell ref="BQ270:BQ271"/>
    <mergeCell ref="BP272:BP273"/>
    <mergeCell ref="BQ272:BQ273"/>
    <mergeCell ref="BP274:BP275"/>
    <mergeCell ref="BQ274:BQ275"/>
    <mergeCell ref="BP276:BP277"/>
    <mergeCell ref="BQ276:BQ277"/>
    <mergeCell ref="BP278:BP279"/>
    <mergeCell ref="BQ278:BQ279"/>
    <mergeCell ref="BP280:BP281"/>
    <mergeCell ref="BQ280:BQ281"/>
    <mergeCell ref="BP282:BP283"/>
    <mergeCell ref="BQ282:BQ283"/>
    <mergeCell ref="BP284:BP285"/>
    <mergeCell ref="BQ284:BQ285"/>
    <mergeCell ref="BP286:BP287"/>
    <mergeCell ref="BQ286:BQ287"/>
    <mergeCell ref="BP288:BP289"/>
    <mergeCell ref="BQ288:BQ289"/>
    <mergeCell ref="BP222:BP223"/>
    <mergeCell ref="BQ222:BQ223"/>
    <mergeCell ref="BP224:BP225"/>
    <mergeCell ref="BQ224:BQ225"/>
    <mergeCell ref="BP226:BP227"/>
    <mergeCell ref="BQ226:BQ227"/>
    <mergeCell ref="BP228:BP229"/>
    <mergeCell ref="BQ228:BQ229"/>
    <mergeCell ref="BP230:BP231"/>
    <mergeCell ref="BQ230:BQ231"/>
    <mergeCell ref="BP232:BP233"/>
    <mergeCell ref="BQ232:BQ233"/>
    <mergeCell ref="BP234:BP235"/>
    <mergeCell ref="BQ234:BQ235"/>
    <mergeCell ref="BP236:BP237"/>
    <mergeCell ref="BQ236:BQ237"/>
    <mergeCell ref="BP238:BP239"/>
    <mergeCell ref="BQ238:BQ239"/>
    <mergeCell ref="BP240:BP241"/>
    <mergeCell ref="BQ240:BQ241"/>
    <mergeCell ref="BP242:BP243"/>
    <mergeCell ref="BQ242:BQ243"/>
    <mergeCell ref="BP244:BP245"/>
    <mergeCell ref="BQ244:BQ245"/>
    <mergeCell ref="BP246:BP247"/>
    <mergeCell ref="BQ246:BQ247"/>
    <mergeCell ref="BP248:BP249"/>
    <mergeCell ref="BQ248:BQ249"/>
    <mergeCell ref="BP250:BP251"/>
    <mergeCell ref="BQ250:BQ251"/>
    <mergeCell ref="BP252:BP253"/>
    <mergeCell ref="BQ252:BQ253"/>
    <mergeCell ref="BP254:BP255"/>
    <mergeCell ref="BQ254:BQ255"/>
    <mergeCell ref="BP188:BP189"/>
    <mergeCell ref="BQ188:BQ189"/>
    <mergeCell ref="BP190:BP191"/>
    <mergeCell ref="BQ190:BQ191"/>
    <mergeCell ref="BP192:BP193"/>
    <mergeCell ref="BQ192:BQ193"/>
    <mergeCell ref="BP194:BP195"/>
    <mergeCell ref="BQ194:BQ195"/>
    <mergeCell ref="BP196:BP197"/>
    <mergeCell ref="BQ196:BQ197"/>
    <mergeCell ref="BP198:BP199"/>
    <mergeCell ref="BQ198:BQ199"/>
    <mergeCell ref="BP200:BP201"/>
    <mergeCell ref="BQ200:BQ201"/>
    <mergeCell ref="BP202:BP203"/>
    <mergeCell ref="BQ202:BQ203"/>
    <mergeCell ref="BP204:BP205"/>
    <mergeCell ref="BQ204:BQ205"/>
    <mergeCell ref="BP206:BP207"/>
    <mergeCell ref="BQ206:BQ207"/>
    <mergeCell ref="BP208:BP209"/>
    <mergeCell ref="BQ208:BQ209"/>
    <mergeCell ref="BP210:BP211"/>
    <mergeCell ref="BQ210:BQ211"/>
    <mergeCell ref="BP212:BP213"/>
    <mergeCell ref="BQ212:BQ213"/>
    <mergeCell ref="BP214:BP215"/>
    <mergeCell ref="BQ214:BQ215"/>
    <mergeCell ref="BP216:BP217"/>
    <mergeCell ref="BQ216:BQ217"/>
    <mergeCell ref="BP218:BP219"/>
    <mergeCell ref="BQ218:BQ219"/>
    <mergeCell ref="BP220:BP221"/>
    <mergeCell ref="BQ220:BQ221"/>
    <mergeCell ref="BP154:BP155"/>
    <mergeCell ref="BQ154:BQ155"/>
    <mergeCell ref="BP156:BP157"/>
    <mergeCell ref="BQ156:BQ157"/>
    <mergeCell ref="BP158:BP159"/>
    <mergeCell ref="BQ158:BQ159"/>
    <mergeCell ref="BP160:BP161"/>
    <mergeCell ref="BQ160:BQ161"/>
    <mergeCell ref="BP162:BP163"/>
    <mergeCell ref="BQ162:BQ163"/>
    <mergeCell ref="BP164:BP165"/>
    <mergeCell ref="BQ164:BQ165"/>
    <mergeCell ref="BP166:BP167"/>
    <mergeCell ref="BQ166:BQ167"/>
    <mergeCell ref="BP168:BP169"/>
    <mergeCell ref="BQ168:BQ169"/>
    <mergeCell ref="BP170:BP171"/>
    <mergeCell ref="BQ170:BQ171"/>
    <mergeCell ref="BP172:BP173"/>
    <mergeCell ref="BQ172:BQ173"/>
    <mergeCell ref="BP174:BP175"/>
    <mergeCell ref="BQ174:BQ175"/>
    <mergeCell ref="BP176:BP177"/>
    <mergeCell ref="BQ176:BQ177"/>
    <mergeCell ref="BP178:BP179"/>
    <mergeCell ref="BQ178:BQ179"/>
    <mergeCell ref="BP180:BP181"/>
    <mergeCell ref="BQ180:BQ181"/>
    <mergeCell ref="BP182:BP183"/>
    <mergeCell ref="BQ182:BQ183"/>
    <mergeCell ref="BP184:BP185"/>
    <mergeCell ref="BQ184:BQ185"/>
    <mergeCell ref="BP186:BP187"/>
    <mergeCell ref="BQ186:BQ187"/>
    <mergeCell ref="BP120:BP121"/>
    <mergeCell ref="BQ120:BQ121"/>
    <mergeCell ref="BP122:BP123"/>
    <mergeCell ref="BQ122:BQ123"/>
    <mergeCell ref="BP124:BP125"/>
    <mergeCell ref="BQ124:BQ125"/>
    <mergeCell ref="BP126:BP127"/>
    <mergeCell ref="BQ126:BQ127"/>
    <mergeCell ref="BP128:BP129"/>
    <mergeCell ref="BQ128:BQ129"/>
    <mergeCell ref="BP130:BP131"/>
    <mergeCell ref="BQ130:BQ131"/>
    <mergeCell ref="BP132:BP133"/>
    <mergeCell ref="BQ132:BQ133"/>
    <mergeCell ref="BP134:BP135"/>
    <mergeCell ref="BQ134:BQ135"/>
    <mergeCell ref="BP136:BP137"/>
    <mergeCell ref="BQ136:BQ137"/>
    <mergeCell ref="BP138:BP139"/>
    <mergeCell ref="BQ138:BQ139"/>
    <mergeCell ref="BP140:BP141"/>
    <mergeCell ref="BQ140:BQ141"/>
    <mergeCell ref="BP142:BP143"/>
    <mergeCell ref="BQ142:BQ143"/>
    <mergeCell ref="BP144:BP145"/>
    <mergeCell ref="BQ144:BQ145"/>
    <mergeCell ref="BP146:BP147"/>
    <mergeCell ref="BQ146:BQ147"/>
    <mergeCell ref="BP148:BP149"/>
    <mergeCell ref="BQ148:BQ149"/>
    <mergeCell ref="BP150:BP151"/>
    <mergeCell ref="BQ150:BQ151"/>
    <mergeCell ref="BP152:BP153"/>
    <mergeCell ref="BQ152:BQ153"/>
    <mergeCell ref="BP86:BP87"/>
    <mergeCell ref="BQ86:BQ87"/>
    <mergeCell ref="BP88:BP89"/>
    <mergeCell ref="BQ88:BQ89"/>
    <mergeCell ref="BP90:BP91"/>
    <mergeCell ref="BQ90:BQ91"/>
    <mergeCell ref="BP92:BP93"/>
    <mergeCell ref="BQ92:BQ93"/>
    <mergeCell ref="BP94:BP95"/>
    <mergeCell ref="BQ94:BQ95"/>
    <mergeCell ref="BP96:BP97"/>
    <mergeCell ref="BQ96:BQ97"/>
    <mergeCell ref="BP98:BP99"/>
    <mergeCell ref="BQ98:BQ99"/>
    <mergeCell ref="BP100:BP101"/>
    <mergeCell ref="BQ100:BQ101"/>
    <mergeCell ref="BP102:BP103"/>
    <mergeCell ref="BQ102:BQ103"/>
    <mergeCell ref="BP104:BP105"/>
    <mergeCell ref="BQ104:BQ105"/>
    <mergeCell ref="BP106:BP107"/>
    <mergeCell ref="BQ106:BQ107"/>
    <mergeCell ref="BP108:BP109"/>
    <mergeCell ref="BQ108:BQ109"/>
    <mergeCell ref="BP110:BP111"/>
    <mergeCell ref="BQ110:BQ111"/>
    <mergeCell ref="BP112:BP113"/>
    <mergeCell ref="BQ112:BQ113"/>
    <mergeCell ref="BP114:BP115"/>
    <mergeCell ref="BQ114:BQ115"/>
    <mergeCell ref="BP116:BP117"/>
    <mergeCell ref="BQ116:BQ117"/>
    <mergeCell ref="BP118:BP119"/>
    <mergeCell ref="BQ118:BQ119"/>
    <mergeCell ref="BQ52:BQ53"/>
    <mergeCell ref="BP54:BP55"/>
    <mergeCell ref="BQ54:BQ55"/>
    <mergeCell ref="BP56:BP57"/>
    <mergeCell ref="BQ56:BQ57"/>
    <mergeCell ref="BP58:BP59"/>
    <mergeCell ref="BQ58:BQ59"/>
    <mergeCell ref="BP60:BP61"/>
    <mergeCell ref="BQ60:BQ61"/>
    <mergeCell ref="BP62:BP63"/>
    <mergeCell ref="BQ62:BQ63"/>
    <mergeCell ref="BP64:BP65"/>
    <mergeCell ref="BQ64:BQ65"/>
    <mergeCell ref="BP66:BP67"/>
    <mergeCell ref="BQ66:BQ67"/>
    <mergeCell ref="BP68:BP69"/>
    <mergeCell ref="BQ68:BQ69"/>
    <mergeCell ref="BP70:BP71"/>
    <mergeCell ref="BQ70:BQ71"/>
    <mergeCell ref="BP72:BP73"/>
    <mergeCell ref="BQ72:BQ73"/>
    <mergeCell ref="BP74:BP75"/>
    <mergeCell ref="BQ74:BQ75"/>
    <mergeCell ref="BP76:BP77"/>
    <mergeCell ref="BQ76:BQ77"/>
    <mergeCell ref="BP78:BP79"/>
    <mergeCell ref="BQ78:BQ79"/>
    <mergeCell ref="BP80:BP81"/>
    <mergeCell ref="BQ80:BQ81"/>
    <mergeCell ref="BP82:BP83"/>
    <mergeCell ref="BQ82:BQ83"/>
    <mergeCell ref="BP84:BP85"/>
    <mergeCell ref="BQ84:BQ85"/>
    <mergeCell ref="V1996:X1997"/>
    <mergeCell ref="Y1996:Y1997"/>
    <mergeCell ref="G1997:H1997"/>
    <mergeCell ref="Q1996:Q1997"/>
    <mergeCell ref="R1996:R1997"/>
    <mergeCell ref="S1996:S1997"/>
    <mergeCell ref="T1996:T1997"/>
    <mergeCell ref="G1996:H1996"/>
    <mergeCell ref="I1996:K1997"/>
    <mergeCell ref="M1996:M1997"/>
    <mergeCell ref="O1996:O1997"/>
    <mergeCell ref="A1996:A1997"/>
    <mergeCell ref="B1996:B1997"/>
    <mergeCell ref="C1996:C1997"/>
    <mergeCell ref="D1996:D1997"/>
    <mergeCell ref="E1996:E1997"/>
    <mergeCell ref="F1996:F1997"/>
    <mergeCell ref="T1994:T1995"/>
    <mergeCell ref="V1994:X1995"/>
    <mergeCell ref="Y1994:Y1995"/>
    <mergeCell ref="G1995:H1995"/>
    <mergeCell ref="O1994:O1995"/>
    <mergeCell ref="Q1994:Q1995"/>
    <mergeCell ref="R1994:R1995"/>
    <mergeCell ref="S1994:S1995"/>
    <mergeCell ref="F1994:F1995"/>
    <mergeCell ref="G1994:H1994"/>
    <mergeCell ref="I1994:K1995"/>
    <mergeCell ref="M1994:M1995"/>
    <mergeCell ref="BP18:BP19"/>
    <mergeCell ref="BQ18:BQ19"/>
    <mergeCell ref="BP20:BP21"/>
    <mergeCell ref="BQ20:BQ21"/>
    <mergeCell ref="BP22:BP23"/>
    <mergeCell ref="BQ22:BQ23"/>
    <mergeCell ref="BP24:BP25"/>
    <mergeCell ref="BQ24:BQ25"/>
    <mergeCell ref="BP26:BP27"/>
    <mergeCell ref="BQ26:BQ27"/>
    <mergeCell ref="BP28:BP29"/>
    <mergeCell ref="BQ28:BQ29"/>
    <mergeCell ref="BP30:BP31"/>
    <mergeCell ref="BQ30:BQ31"/>
    <mergeCell ref="BP32:BP33"/>
    <mergeCell ref="BQ32:BQ33"/>
    <mergeCell ref="BP34:BP35"/>
    <mergeCell ref="BQ34:BQ35"/>
    <mergeCell ref="BP36:BP37"/>
    <mergeCell ref="BQ36:BQ37"/>
    <mergeCell ref="BP38:BP39"/>
    <mergeCell ref="BQ38:BQ39"/>
    <mergeCell ref="BP40:BP41"/>
    <mergeCell ref="BQ40:BQ41"/>
    <mergeCell ref="BP42:BP43"/>
    <mergeCell ref="BQ42:BQ43"/>
    <mergeCell ref="BP44:BP45"/>
    <mergeCell ref="BQ44:BQ45"/>
    <mergeCell ref="BP46:BP47"/>
    <mergeCell ref="BQ46:BQ47"/>
    <mergeCell ref="BP48:BP49"/>
    <mergeCell ref="BQ48:BQ49"/>
    <mergeCell ref="BP50:BP51"/>
    <mergeCell ref="BQ50:BQ51"/>
    <mergeCell ref="BP52:BP53"/>
    <mergeCell ref="V1992:X1993"/>
    <mergeCell ref="Y1992:Y1993"/>
    <mergeCell ref="G1993:H1993"/>
    <mergeCell ref="A1994:A1995"/>
    <mergeCell ref="B1994:B1995"/>
    <mergeCell ref="C1994:C1995"/>
    <mergeCell ref="D1994:D1995"/>
    <mergeCell ref="E1994:E1995"/>
    <mergeCell ref="Q1992:Q1993"/>
    <mergeCell ref="R1992:R1993"/>
    <mergeCell ref="S1992:S1993"/>
    <mergeCell ref="T1992:T1993"/>
    <mergeCell ref="G1992:H1992"/>
    <mergeCell ref="I1992:K1993"/>
    <mergeCell ref="M1992:M1993"/>
    <mergeCell ref="O1992:O1993"/>
    <mergeCell ref="A1992:A1993"/>
    <mergeCell ref="B1992:B1993"/>
    <mergeCell ref="C1992:C1993"/>
    <mergeCell ref="D1992:D1993"/>
    <mergeCell ref="E1992:E1993"/>
    <mergeCell ref="F1992:F1993"/>
    <mergeCell ref="T1990:T1991"/>
    <mergeCell ref="V1990:X1991"/>
    <mergeCell ref="Y1990:Y1991"/>
    <mergeCell ref="G1991:H1991"/>
    <mergeCell ref="O1990:O1991"/>
    <mergeCell ref="Q1990:Q1991"/>
    <mergeCell ref="R1990:R1991"/>
    <mergeCell ref="S1990:S1991"/>
    <mergeCell ref="F1990:F1991"/>
    <mergeCell ref="G1990:H1990"/>
    <mergeCell ref="I1990:K1991"/>
    <mergeCell ref="M1990:M1991"/>
    <mergeCell ref="V1988:X1989"/>
    <mergeCell ref="Y1988:Y1989"/>
    <mergeCell ref="G1989:H1989"/>
    <mergeCell ref="A1990:A1991"/>
    <mergeCell ref="B1990:B1991"/>
    <mergeCell ref="C1990:C1991"/>
    <mergeCell ref="D1990:D1991"/>
    <mergeCell ref="E1990:E1991"/>
    <mergeCell ref="Q1988:Q1989"/>
    <mergeCell ref="R1988:R1989"/>
    <mergeCell ref="S1988:S1989"/>
    <mergeCell ref="T1988:T1989"/>
    <mergeCell ref="G1988:H1988"/>
    <mergeCell ref="I1988:K1989"/>
    <mergeCell ref="M1988:M1989"/>
    <mergeCell ref="O1988:O1989"/>
    <mergeCell ref="A1988:A1989"/>
    <mergeCell ref="B1988:B1989"/>
    <mergeCell ref="C1988:C1989"/>
    <mergeCell ref="D1988:D1989"/>
    <mergeCell ref="E1988:E1989"/>
    <mergeCell ref="F1988:F1989"/>
    <mergeCell ref="T1986:T1987"/>
    <mergeCell ref="V1986:X1987"/>
    <mergeCell ref="Y1986:Y1987"/>
    <mergeCell ref="G1987:H1987"/>
    <mergeCell ref="O1986:O1987"/>
    <mergeCell ref="Q1986:Q1987"/>
    <mergeCell ref="R1986:R1987"/>
    <mergeCell ref="S1986:S1987"/>
    <mergeCell ref="F1986:F1987"/>
    <mergeCell ref="G1986:H1986"/>
    <mergeCell ref="I1986:K1987"/>
    <mergeCell ref="M1986:M1987"/>
    <mergeCell ref="V1984:X1985"/>
    <mergeCell ref="Y1984:Y1985"/>
    <mergeCell ref="G1985:H1985"/>
    <mergeCell ref="A1986:A1987"/>
    <mergeCell ref="B1986:B1987"/>
    <mergeCell ref="C1986:C1987"/>
    <mergeCell ref="D1986:D1987"/>
    <mergeCell ref="E1986:E1987"/>
    <mergeCell ref="Q1984:Q1985"/>
    <mergeCell ref="R1984:R1985"/>
    <mergeCell ref="S1984:S1985"/>
    <mergeCell ref="T1984:T1985"/>
    <mergeCell ref="G1984:H1984"/>
    <mergeCell ref="I1984:K1985"/>
    <mergeCell ref="M1984:M1985"/>
    <mergeCell ref="O1984:O1985"/>
    <mergeCell ref="A1984:A1985"/>
    <mergeCell ref="B1984:B1985"/>
    <mergeCell ref="C1984:C1985"/>
    <mergeCell ref="D1984:D1985"/>
    <mergeCell ref="E1984:E1985"/>
    <mergeCell ref="F1984:F1985"/>
    <mergeCell ref="T1982:T1983"/>
    <mergeCell ref="V1982:X1983"/>
    <mergeCell ref="Y1982:Y1983"/>
    <mergeCell ref="G1983:H1983"/>
    <mergeCell ref="O1982:O1983"/>
    <mergeCell ref="Q1982:Q1983"/>
    <mergeCell ref="R1982:R1983"/>
    <mergeCell ref="S1982:S1983"/>
    <mergeCell ref="F1982:F1983"/>
    <mergeCell ref="G1982:H1982"/>
    <mergeCell ref="I1982:K1983"/>
    <mergeCell ref="M1982:M1983"/>
    <mergeCell ref="V1980:X1981"/>
    <mergeCell ref="Y1980:Y1981"/>
    <mergeCell ref="G1981:H1981"/>
    <mergeCell ref="A1982:A1983"/>
    <mergeCell ref="B1982:B1983"/>
    <mergeCell ref="C1982:C1983"/>
    <mergeCell ref="D1982:D1983"/>
    <mergeCell ref="E1982:E1983"/>
    <mergeCell ref="Q1980:Q1981"/>
    <mergeCell ref="R1980:R1981"/>
    <mergeCell ref="S1980:S1981"/>
    <mergeCell ref="T1980:T1981"/>
    <mergeCell ref="G1980:H1980"/>
    <mergeCell ref="I1980:K1981"/>
    <mergeCell ref="M1980:M1981"/>
    <mergeCell ref="O1980:O1981"/>
    <mergeCell ref="A1980:A1981"/>
    <mergeCell ref="B1980:B1981"/>
    <mergeCell ref="C1980:C1981"/>
    <mergeCell ref="D1980:D1981"/>
    <mergeCell ref="E1980:E1981"/>
    <mergeCell ref="F1980:F1981"/>
    <mergeCell ref="T1978:T1979"/>
    <mergeCell ref="V1978:X1979"/>
    <mergeCell ref="Y1978:Y1979"/>
    <mergeCell ref="G1979:H1979"/>
    <mergeCell ref="O1978:O1979"/>
    <mergeCell ref="Q1978:Q1979"/>
    <mergeCell ref="R1978:R1979"/>
    <mergeCell ref="S1978:S1979"/>
    <mergeCell ref="F1978:F1979"/>
    <mergeCell ref="G1978:H1978"/>
    <mergeCell ref="I1978:K1979"/>
    <mergeCell ref="M1978:M1979"/>
    <mergeCell ref="V1976:X1977"/>
    <mergeCell ref="Y1976:Y1977"/>
    <mergeCell ref="G1977:H1977"/>
    <mergeCell ref="A1978:A1979"/>
    <mergeCell ref="B1978:B1979"/>
    <mergeCell ref="C1978:C1979"/>
    <mergeCell ref="D1978:D1979"/>
    <mergeCell ref="E1978:E1979"/>
    <mergeCell ref="Q1976:Q1977"/>
    <mergeCell ref="R1976:R1977"/>
    <mergeCell ref="S1976:S1977"/>
    <mergeCell ref="T1976:T1977"/>
    <mergeCell ref="G1976:H1976"/>
    <mergeCell ref="I1976:K1977"/>
    <mergeCell ref="M1976:M1977"/>
    <mergeCell ref="O1976:O1977"/>
    <mergeCell ref="A1976:A1977"/>
    <mergeCell ref="B1976:B1977"/>
    <mergeCell ref="C1976:C1977"/>
    <mergeCell ref="D1976:D1977"/>
    <mergeCell ref="E1976:E1977"/>
    <mergeCell ref="F1976:F1977"/>
    <mergeCell ref="T1974:T1975"/>
    <mergeCell ref="V1974:X1975"/>
    <mergeCell ref="Y1974:Y1975"/>
    <mergeCell ref="G1975:H1975"/>
    <mergeCell ref="O1974:O1975"/>
    <mergeCell ref="Q1974:Q1975"/>
    <mergeCell ref="R1974:R1975"/>
    <mergeCell ref="S1974:S1975"/>
    <mergeCell ref="F1974:F1975"/>
    <mergeCell ref="G1974:H1974"/>
    <mergeCell ref="I1974:K1975"/>
    <mergeCell ref="M1974:M1975"/>
    <mergeCell ref="V1972:X1973"/>
    <mergeCell ref="Y1972:Y1973"/>
    <mergeCell ref="G1973:H1973"/>
    <mergeCell ref="A1974:A1975"/>
    <mergeCell ref="B1974:B1975"/>
    <mergeCell ref="C1974:C1975"/>
    <mergeCell ref="D1974:D1975"/>
    <mergeCell ref="E1974:E1975"/>
    <mergeCell ref="Q1972:Q1973"/>
    <mergeCell ref="R1972:R1973"/>
    <mergeCell ref="S1972:S1973"/>
    <mergeCell ref="T1972:T1973"/>
    <mergeCell ref="G1972:H1972"/>
    <mergeCell ref="I1972:K1973"/>
    <mergeCell ref="M1972:M1973"/>
    <mergeCell ref="O1972:O1973"/>
    <mergeCell ref="A1972:A1973"/>
    <mergeCell ref="B1972:B1973"/>
    <mergeCell ref="C1972:C1973"/>
    <mergeCell ref="D1972:D1973"/>
    <mergeCell ref="E1972:E1973"/>
    <mergeCell ref="F1972:F1973"/>
    <mergeCell ref="T1970:T1971"/>
    <mergeCell ref="V1970:X1971"/>
    <mergeCell ref="Y1970:Y1971"/>
    <mergeCell ref="G1971:H1971"/>
    <mergeCell ref="O1970:O1971"/>
    <mergeCell ref="Q1970:Q1971"/>
    <mergeCell ref="R1970:R1971"/>
    <mergeCell ref="S1970:S1971"/>
    <mergeCell ref="F1970:F1971"/>
    <mergeCell ref="G1970:H1970"/>
    <mergeCell ref="I1970:K1971"/>
    <mergeCell ref="M1970:M1971"/>
    <mergeCell ref="V1968:X1969"/>
    <mergeCell ref="Y1968:Y1969"/>
    <mergeCell ref="G1969:H1969"/>
    <mergeCell ref="A1970:A1971"/>
    <mergeCell ref="B1970:B1971"/>
    <mergeCell ref="C1970:C1971"/>
    <mergeCell ref="D1970:D1971"/>
    <mergeCell ref="E1970:E1971"/>
    <mergeCell ref="Q1968:Q1969"/>
    <mergeCell ref="R1968:R1969"/>
    <mergeCell ref="S1968:S1969"/>
    <mergeCell ref="T1968:T1969"/>
    <mergeCell ref="G1968:H1968"/>
    <mergeCell ref="I1968:K1969"/>
    <mergeCell ref="M1968:M1969"/>
    <mergeCell ref="O1968:O1969"/>
    <mergeCell ref="A1968:A1969"/>
    <mergeCell ref="B1968:B1969"/>
    <mergeCell ref="C1968:C1969"/>
    <mergeCell ref="D1968:D1969"/>
    <mergeCell ref="E1968:E1969"/>
    <mergeCell ref="F1968:F1969"/>
    <mergeCell ref="T1966:T1967"/>
    <mergeCell ref="V1966:X1967"/>
    <mergeCell ref="Y1966:Y1967"/>
    <mergeCell ref="G1967:H1967"/>
    <mergeCell ref="O1966:O1967"/>
    <mergeCell ref="Q1966:Q1967"/>
    <mergeCell ref="R1966:R1967"/>
    <mergeCell ref="S1966:S1967"/>
    <mergeCell ref="F1966:F1967"/>
    <mergeCell ref="G1966:H1966"/>
    <mergeCell ref="I1966:K1967"/>
    <mergeCell ref="M1966:M1967"/>
    <mergeCell ref="V1964:X1965"/>
    <mergeCell ref="Y1964:Y1965"/>
    <mergeCell ref="G1965:H1965"/>
    <mergeCell ref="A1966:A1967"/>
    <mergeCell ref="B1966:B1967"/>
    <mergeCell ref="C1966:C1967"/>
    <mergeCell ref="D1966:D1967"/>
    <mergeCell ref="E1966:E1967"/>
    <mergeCell ref="Q1964:Q1965"/>
    <mergeCell ref="R1964:R1965"/>
    <mergeCell ref="S1964:S1965"/>
    <mergeCell ref="T1964:T1965"/>
    <mergeCell ref="G1964:H1964"/>
    <mergeCell ref="I1964:K1965"/>
    <mergeCell ref="M1964:M1965"/>
    <mergeCell ref="O1964:O1965"/>
    <mergeCell ref="A1964:A1965"/>
    <mergeCell ref="B1964:B1965"/>
    <mergeCell ref="C1964:C1965"/>
    <mergeCell ref="D1964:D1965"/>
    <mergeCell ref="E1964:E1965"/>
    <mergeCell ref="F1964:F1965"/>
    <mergeCell ref="T1962:T1963"/>
    <mergeCell ref="V1962:X1963"/>
    <mergeCell ref="Y1962:Y1963"/>
    <mergeCell ref="G1963:H1963"/>
    <mergeCell ref="O1962:O1963"/>
    <mergeCell ref="Q1962:Q1963"/>
    <mergeCell ref="R1962:R1963"/>
    <mergeCell ref="S1962:S1963"/>
    <mergeCell ref="F1962:F1963"/>
    <mergeCell ref="G1962:H1962"/>
    <mergeCell ref="I1962:K1963"/>
    <mergeCell ref="M1962:M1963"/>
    <mergeCell ref="V1960:X1961"/>
    <mergeCell ref="Y1960:Y1961"/>
    <mergeCell ref="G1961:H1961"/>
    <mergeCell ref="A1962:A1963"/>
    <mergeCell ref="B1962:B1963"/>
    <mergeCell ref="C1962:C1963"/>
    <mergeCell ref="D1962:D1963"/>
    <mergeCell ref="E1962:E1963"/>
    <mergeCell ref="Q1960:Q1961"/>
    <mergeCell ref="R1960:R1961"/>
    <mergeCell ref="S1960:S1961"/>
    <mergeCell ref="T1960:T1961"/>
    <mergeCell ref="G1960:H1960"/>
    <mergeCell ref="I1960:K1961"/>
    <mergeCell ref="M1960:M1961"/>
    <mergeCell ref="O1960:O1961"/>
    <mergeCell ref="A1960:A1961"/>
    <mergeCell ref="B1960:B1961"/>
    <mergeCell ref="C1960:C1961"/>
    <mergeCell ref="D1960:D1961"/>
    <mergeCell ref="E1960:E1961"/>
    <mergeCell ref="F1960:F1961"/>
    <mergeCell ref="T1958:T1959"/>
    <mergeCell ref="V1958:X1959"/>
    <mergeCell ref="Y1958:Y1959"/>
    <mergeCell ref="G1959:H1959"/>
    <mergeCell ref="O1958:O1959"/>
    <mergeCell ref="Q1958:Q1959"/>
    <mergeCell ref="R1958:R1959"/>
    <mergeCell ref="S1958:S1959"/>
    <mergeCell ref="F1958:F1959"/>
    <mergeCell ref="G1958:H1958"/>
    <mergeCell ref="I1958:K1959"/>
    <mergeCell ref="M1958:M1959"/>
    <mergeCell ref="V1956:X1957"/>
    <mergeCell ref="Y1956:Y1957"/>
    <mergeCell ref="G1957:H1957"/>
    <mergeCell ref="A1958:A1959"/>
    <mergeCell ref="B1958:B1959"/>
    <mergeCell ref="C1958:C1959"/>
    <mergeCell ref="D1958:D1959"/>
    <mergeCell ref="E1958:E1959"/>
    <mergeCell ref="Q1956:Q1957"/>
    <mergeCell ref="R1956:R1957"/>
    <mergeCell ref="S1956:S1957"/>
    <mergeCell ref="T1956:T1957"/>
    <mergeCell ref="G1956:H1956"/>
    <mergeCell ref="I1956:K1957"/>
    <mergeCell ref="M1956:M1957"/>
    <mergeCell ref="O1956:O1957"/>
    <mergeCell ref="A1956:A1957"/>
    <mergeCell ref="B1956:B1957"/>
    <mergeCell ref="C1956:C1957"/>
    <mergeCell ref="D1956:D1957"/>
    <mergeCell ref="E1956:E1957"/>
    <mergeCell ref="F1956:F1957"/>
    <mergeCell ref="T1954:T1955"/>
    <mergeCell ref="V1954:X1955"/>
    <mergeCell ref="Y1954:Y1955"/>
    <mergeCell ref="G1955:H1955"/>
    <mergeCell ref="O1954:O1955"/>
    <mergeCell ref="Q1954:Q1955"/>
    <mergeCell ref="R1954:R1955"/>
    <mergeCell ref="S1954:S1955"/>
    <mergeCell ref="F1954:F1955"/>
    <mergeCell ref="G1954:H1954"/>
    <mergeCell ref="I1954:K1955"/>
    <mergeCell ref="M1954:M1955"/>
    <mergeCell ref="V1952:X1953"/>
    <mergeCell ref="Y1952:Y1953"/>
    <mergeCell ref="G1953:H1953"/>
    <mergeCell ref="A1954:A1955"/>
    <mergeCell ref="B1954:B1955"/>
    <mergeCell ref="C1954:C1955"/>
    <mergeCell ref="D1954:D1955"/>
    <mergeCell ref="E1954:E1955"/>
    <mergeCell ref="Q1952:Q1953"/>
    <mergeCell ref="R1952:R1953"/>
    <mergeCell ref="S1952:S1953"/>
    <mergeCell ref="T1952:T1953"/>
    <mergeCell ref="G1952:H1952"/>
    <mergeCell ref="I1952:K1953"/>
    <mergeCell ref="M1952:M1953"/>
    <mergeCell ref="O1952:O1953"/>
    <mergeCell ref="A1952:A1953"/>
    <mergeCell ref="B1952:B1953"/>
    <mergeCell ref="C1952:C1953"/>
    <mergeCell ref="D1952:D1953"/>
    <mergeCell ref="E1952:E1953"/>
    <mergeCell ref="F1952:F1953"/>
    <mergeCell ref="T1950:T1951"/>
    <mergeCell ref="V1950:X1951"/>
    <mergeCell ref="Y1950:Y1951"/>
    <mergeCell ref="G1951:H1951"/>
    <mergeCell ref="O1950:O1951"/>
    <mergeCell ref="Q1950:Q1951"/>
    <mergeCell ref="R1950:R1951"/>
    <mergeCell ref="S1950:S1951"/>
    <mergeCell ref="F1950:F1951"/>
    <mergeCell ref="G1950:H1950"/>
    <mergeCell ref="I1950:K1951"/>
    <mergeCell ref="M1950:M1951"/>
    <mergeCell ref="V1948:X1949"/>
    <mergeCell ref="Y1948:Y1949"/>
    <mergeCell ref="G1949:H1949"/>
    <mergeCell ref="A1950:A1951"/>
    <mergeCell ref="B1950:B1951"/>
    <mergeCell ref="C1950:C1951"/>
    <mergeCell ref="D1950:D1951"/>
    <mergeCell ref="E1950:E1951"/>
    <mergeCell ref="Q1948:Q1949"/>
    <mergeCell ref="R1948:R1949"/>
    <mergeCell ref="S1948:S1949"/>
    <mergeCell ref="T1948:T1949"/>
    <mergeCell ref="G1948:H1948"/>
    <mergeCell ref="I1948:K1949"/>
    <mergeCell ref="M1948:M1949"/>
    <mergeCell ref="O1948:O1949"/>
    <mergeCell ref="A1948:A1949"/>
    <mergeCell ref="B1948:B1949"/>
    <mergeCell ref="C1948:C1949"/>
    <mergeCell ref="D1948:D1949"/>
    <mergeCell ref="E1948:E1949"/>
    <mergeCell ref="F1948:F1949"/>
    <mergeCell ref="T1946:T1947"/>
    <mergeCell ref="V1946:X1947"/>
    <mergeCell ref="Y1946:Y1947"/>
    <mergeCell ref="G1947:H1947"/>
    <mergeCell ref="O1946:O1947"/>
    <mergeCell ref="Q1946:Q1947"/>
    <mergeCell ref="R1946:R1947"/>
    <mergeCell ref="S1946:S1947"/>
    <mergeCell ref="F1946:F1947"/>
    <mergeCell ref="G1946:H1946"/>
    <mergeCell ref="I1946:K1947"/>
    <mergeCell ref="M1946:M1947"/>
    <mergeCell ref="V1944:X1945"/>
    <mergeCell ref="Y1944:Y1945"/>
    <mergeCell ref="G1945:H1945"/>
    <mergeCell ref="A1946:A1947"/>
    <mergeCell ref="B1946:B1947"/>
    <mergeCell ref="C1946:C1947"/>
    <mergeCell ref="D1946:D1947"/>
    <mergeCell ref="E1946:E1947"/>
    <mergeCell ref="Q1944:Q1945"/>
    <mergeCell ref="R1944:R1945"/>
    <mergeCell ref="S1944:S1945"/>
    <mergeCell ref="T1944:T1945"/>
    <mergeCell ref="G1944:H1944"/>
    <mergeCell ref="I1944:K1945"/>
    <mergeCell ref="M1944:M1945"/>
    <mergeCell ref="O1944:O1945"/>
    <mergeCell ref="A1944:A1945"/>
    <mergeCell ref="B1944:B1945"/>
    <mergeCell ref="C1944:C1945"/>
    <mergeCell ref="D1944:D1945"/>
    <mergeCell ref="E1944:E1945"/>
    <mergeCell ref="F1944:F1945"/>
    <mergeCell ref="T1942:T1943"/>
    <mergeCell ref="V1942:X1943"/>
    <mergeCell ref="Y1942:Y1943"/>
    <mergeCell ref="G1943:H1943"/>
    <mergeCell ref="O1942:O1943"/>
    <mergeCell ref="Q1942:Q1943"/>
    <mergeCell ref="R1942:R1943"/>
    <mergeCell ref="S1942:S1943"/>
    <mergeCell ref="F1942:F1943"/>
    <mergeCell ref="G1942:H1942"/>
    <mergeCell ref="I1942:K1943"/>
    <mergeCell ref="M1942:M1943"/>
    <mergeCell ref="V1940:X1941"/>
    <mergeCell ref="Y1940:Y1941"/>
    <mergeCell ref="G1941:H1941"/>
    <mergeCell ref="A1942:A1943"/>
    <mergeCell ref="B1942:B1943"/>
    <mergeCell ref="C1942:C1943"/>
    <mergeCell ref="D1942:D1943"/>
    <mergeCell ref="E1942:E1943"/>
    <mergeCell ref="Q1940:Q1941"/>
    <mergeCell ref="R1940:R1941"/>
    <mergeCell ref="S1940:S1941"/>
    <mergeCell ref="T1940:T1941"/>
    <mergeCell ref="G1940:H1940"/>
    <mergeCell ref="I1940:K1941"/>
    <mergeCell ref="M1940:M1941"/>
    <mergeCell ref="O1940:O1941"/>
    <mergeCell ref="A1940:A1941"/>
    <mergeCell ref="B1940:B1941"/>
    <mergeCell ref="C1940:C1941"/>
    <mergeCell ref="D1940:D1941"/>
    <mergeCell ref="E1940:E1941"/>
    <mergeCell ref="F1940:F1941"/>
    <mergeCell ref="T1938:T1939"/>
    <mergeCell ref="V1938:X1939"/>
    <mergeCell ref="Y1938:Y1939"/>
    <mergeCell ref="G1939:H1939"/>
    <mergeCell ref="O1938:O1939"/>
    <mergeCell ref="Q1938:Q1939"/>
    <mergeCell ref="R1938:R1939"/>
    <mergeCell ref="S1938:S1939"/>
    <mergeCell ref="F1938:F1939"/>
    <mergeCell ref="G1938:H1938"/>
    <mergeCell ref="I1938:K1939"/>
    <mergeCell ref="M1938:M1939"/>
    <mergeCell ref="V1936:X1937"/>
    <mergeCell ref="Y1936:Y1937"/>
    <mergeCell ref="G1937:H1937"/>
    <mergeCell ref="A1938:A1939"/>
    <mergeCell ref="B1938:B1939"/>
    <mergeCell ref="C1938:C1939"/>
    <mergeCell ref="D1938:D1939"/>
    <mergeCell ref="E1938:E1939"/>
    <mergeCell ref="Q1936:Q1937"/>
    <mergeCell ref="R1936:R1937"/>
    <mergeCell ref="S1936:S1937"/>
    <mergeCell ref="T1936:T1937"/>
    <mergeCell ref="G1936:H1936"/>
    <mergeCell ref="I1936:K1937"/>
    <mergeCell ref="M1936:M1937"/>
    <mergeCell ref="O1936:O1937"/>
    <mergeCell ref="A1936:A1937"/>
    <mergeCell ref="B1936:B1937"/>
    <mergeCell ref="C1936:C1937"/>
    <mergeCell ref="D1936:D1937"/>
    <mergeCell ref="E1936:E1937"/>
    <mergeCell ref="F1936:F1937"/>
    <mergeCell ref="T1934:T1935"/>
    <mergeCell ref="V1934:X1935"/>
    <mergeCell ref="Y1934:Y1935"/>
    <mergeCell ref="G1935:H1935"/>
    <mergeCell ref="O1934:O1935"/>
    <mergeCell ref="Q1934:Q1935"/>
    <mergeCell ref="R1934:R1935"/>
    <mergeCell ref="S1934:S1935"/>
    <mergeCell ref="F1934:F1935"/>
    <mergeCell ref="G1934:H1934"/>
    <mergeCell ref="I1934:K1935"/>
    <mergeCell ref="M1934:M1935"/>
    <mergeCell ref="V1932:X1933"/>
    <mergeCell ref="Y1932:Y1933"/>
    <mergeCell ref="G1933:H1933"/>
    <mergeCell ref="A1934:A1935"/>
    <mergeCell ref="B1934:B1935"/>
    <mergeCell ref="C1934:C1935"/>
    <mergeCell ref="D1934:D1935"/>
    <mergeCell ref="E1934:E1935"/>
    <mergeCell ref="Q1932:Q1933"/>
    <mergeCell ref="R1932:R1933"/>
    <mergeCell ref="S1932:S1933"/>
    <mergeCell ref="T1932:T1933"/>
    <mergeCell ref="G1932:H1932"/>
    <mergeCell ref="I1932:K1933"/>
    <mergeCell ref="M1932:M1933"/>
    <mergeCell ref="O1932:O1933"/>
    <mergeCell ref="A1932:A1933"/>
    <mergeCell ref="B1932:B1933"/>
    <mergeCell ref="C1932:C1933"/>
    <mergeCell ref="D1932:D1933"/>
    <mergeCell ref="E1932:E1933"/>
    <mergeCell ref="F1932:F1933"/>
    <mergeCell ref="T1930:T1931"/>
    <mergeCell ref="V1930:X1931"/>
    <mergeCell ref="Y1930:Y1931"/>
    <mergeCell ref="G1931:H1931"/>
    <mergeCell ref="O1930:O1931"/>
    <mergeCell ref="Q1930:Q1931"/>
    <mergeCell ref="R1930:R1931"/>
    <mergeCell ref="S1930:S1931"/>
    <mergeCell ref="F1930:F1931"/>
    <mergeCell ref="G1930:H1930"/>
    <mergeCell ref="I1930:K1931"/>
    <mergeCell ref="M1930:M1931"/>
    <mergeCell ref="V1928:X1929"/>
    <mergeCell ref="Y1928:Y1929"/>
    <mergeCell ref="G1929:H1929"/>
    <mergeCell ref="A1930:A1931"/>
    <mergeCell ref="B1930:B1931"/>
    <mergeCell ref="C1930:C1931"/>
    <mergeCell ref="D1930:D1931"/>
    <mergeCell ref="E1930:E1931"/>
    <mergeCell ref="Q1928:Q1929"/>
    <mergeCell ref="R1928:R1929"/>
    <mergeCell ref="S1928:S1929"/>
    <mergeCell ref="T1928:T1929"/>
    <mergeCell ref="G1928:H1928"/>
    <mergeCell ref="I1928:K1929"/>
    <mergeCell ref="M1928:M1929"/>
    <mergeCell ref="O1928:O1929"/>
    <mergeCell ref="A1928:A1929"/>
    <mergeCell ref="B1928:B1929"/>
    <mergeCell ref="C1928:C1929"/>
    <mergeCell ref="D1928:D1929"/>
    <mergeCell ref="E1928:E1929"/>
    <mergeCell ref="F1928:F1929"/>
    <mergeCell ref="T1926:T1927"/>
    <mergeCell ref="V1926:X1927"/>
    <mergeCell ref="Y1926:Y1927"/>
    <mergeCell ref="G1927:H1927"/>
    <mergeCell ref="O1926:O1927"/>
    <mergeCell ref="Q1926:Q1927"/>
    <mergeCell ref="R1926:R1927"/>
    <mergeCell ref="S1926:S1927"/>
    <mergeCell ref="F1926:F1927"/>
    <mergeCell ref="G1926:H1926"/>
    <mergeCell ref="I1926:K1927"/>
    <mergeCell ref="M1926:M1927"/>
    <mergeCell ref="V1924:X1925"/>
    <mergeCell ref="Y1924:Y1925"/>
    <mergeCell ref="G1925:H1925"/>
    <mergeCell ref="A1926:A1927"/>
    <mergeCell ref="B1926:B1927"/>
    <mergeCell ref="C1926:C1927"/>
    <mergeCell ref="D1926:D1927"/>
    <mergeCell ref="E1926:E1927"/>
    <mergeCell ref="Q1924:Q1925"/>
    <mergeCell ref="R1924:R1925"/>
    <mergeCell ref="S1924:S1925"/>
    <mergeCell ref="T1924:T1925"/>
    <mergeCell ref="G1924:H1924"/>
    <mergeCell ref="I1924:K1925"/>
    <mergeCell ref="M1924:M1925"/>
    <mergeCell ref="O1924:O1925"/>
    <mergeCell ref="A1924:A1925"/>
    <mergeCell ref="B1924:B1925"/>
    <mergeCell ref="C1924:C1925"/>
    <mergeCell ref="D1924:D1925"/>
    <mergeCell ref="E1924:E1925"/>
    <mergeCell ref="F1924:F1925"/>
    <mergeCell ref="T1922:T1923"/>
    <mergeCell ref="V1922:X1923"/>
    <mergeCell ref="Y1922:Y1923"/>
    <mergeCell ref="G1923:H1923"/>
    <mergeCell ref="O1922:O1923"/>
    <mergeCell ref="Q1922:Q1923"/>
    <mergeCell ref="R1922:R1923"/>
    <mergeCell ref="S1922:S1923"/>
    <mergeCell ref="F1922:F1923"/>
    <mergeCell ref="G1922:H1922"/>
    <mergeCell ref="I1922:K1923"/>
    <mergeCell ref="M1922:M1923"/>
    <mergeCell ref="V1920:X1921"/>
    <mergeCell ref="Y1920:Y1921"/>
    <mergeCell ref="G1921:H1921"/>
    <mergeCell ref="A1922:A1923"/>
    <mergeCell ref="B1922:B1923"/>
    <mergeCell ref="C1922:C1923"/>
    <mergeCell ref="D1922:D1923"/>
    <mergeCell ref="E1922:E1923"/>
    <mergeCell ref="Q1920:Q1921"/>
    <mergeCell ref="R1920:R1921"/>
    <mergeCell ref="S1920:S1921"/>
    <mergeCell ref="T1920:T1921"/>
    <mergeCell ref="G1920:H1920"/>
    <mergeCell ref="I1920:K1921"/>
    <mergeCell ref="M1920:M1921"/>
    <mergeCell ref="O1920:O1921"/>
    <mergeCell ref="A1920:A1921"/>
    <mergeCell ref="B1920:B1921"/>
    <mergeCell ref="C1920:C1921"/>
    <mergeCell ref="D1920:D1921"/>
    <mergeCell ref="E1920:E1921"/>
    <mergeCell ref="F1920:F1921"/>
    <mergeCell ref="T1918:T1919"/>
    <mergeCell ref="V1918:X1919"/>
    <mergeCell ref="Y1918:Y1919"/>
    <mergeCell ref="G1919:H1919"/>
    <mergeCell ref="O1918:O1919"/>
    <mergeCell ref="Q1918:Q1919"/>
    <mergeCell ref="R1918:R1919"/>
    <mergeCell ref="S1918:S1919"/>
    <mergeCell ref="F1918:F1919"/>
    <mergeCell ref="G1918:H1918"/>
    <mergeCell ref="I1918:K1919"/>
    <mergeCell ref="M1918:M1919"/>
    <mergeCell ref="V1916:X1917"/>
    <mergeCell ref="Y1916:Y1917"/>
    <mergeCell ref="G1917:H1917"/>
    <mergeCell ref="A1918:A1919"/>
    <mergeCell ref="B1918:B1919"/>
    <mergeCell ref="C1918:C1919"/>
    <mergeCell ref="D1918:D1919"/>
    <mergeCell ref="E1918:E1919"/>
    <mergeCell ref="Q1916:Q1917"/>
    <mergeCell ref="R1916:R1917"/>
    <mergeCell ref="S1916:S1917"/>
    <mergeCell ref="T1916:T1917"/>
    <mergeCell ref="G1916:H1916"/>
    <mergeCell ref="I1916:K1917"/>
    <mergeCell ref="M1916:M1917"/>
    <mergeCell ref="O1916:O1917"/>
    <mergeCell ref="A1916:A1917"/>
    <mergeCell ref="B1916:B1917"/>
    <mergeCell ref="C1916:C1917"/>
    <mergeCell ref="D1916:D1917"/>
    <mergeCell ref="E1916:E1917"/>
    <mergeCell ref="F1916:F1917"/>
    <mergeCell ref="T1914:T1915"/>
    <mergeCell ref="V1914:X1915"/>
    <mergeCell ref="Y1914:Y1915"/>
    <mergeCell ref="G1915:H1915"/>
    <mergeCell ref="O1914:O1915"/>
    <mergeCell ref="Q1914:Q1915"/>
    <mergeCell ref="R1914:R1915"/>
    <mergeCell ref="S1914:S1915"/>
    <mergeCell ref="F1914:F1915"/>
    <mergeCell ref="G1914:H1914"/>
    <mergeCell ref="I1914:K1915"/>
    <mergeCell ref="M1914:M1915"/>
    <mergeCell ref="V1912:X1913"/>
    <mergeCell ref="Y1912:Y1913"/>
    <mergeCell ref="G1913:H1913"/>
    <mergeCell ref="A1914:A1915"/>
    <mergeCell ref="B1914:B1915"/>
    <mergeCell ref="C1914:C1915"/>
    <mergeCell ref="D1914:D1915"/>
    <mergeCell ref="E1914:E1915"/>
    <mergeCell ref="Q1912:Q1913"/>
    <mergeCell ref="R1912:R1913"/>
    <mergeCell ref="S1912:S1913"/>
    <mergeCell ref="T1912:T1913"/>
    <mergeCell ref="G1912:H1912"/>
    <mergeCell ref="I1912:K1913"/>
    <mergeCell ref="M1912:M1913"/>
    <mergeCell ref="O1912:O1913"/>
    <mergeCell ref="A1912:A1913"/>
    <mergeCell ref="B1912:B1913"/>
    <mergeCell ref="C1912:C1913"/>
    <mergeCell ref="D1912:D1913"/>
    <mergeCell ref="E1912:E1913"/>
    <mergeCell ref="F1912:F1913"/>
    <mergeCell ref="T1910:T1911"/>
    <mergeCell ref="V1910:X1911"/>
    <mergeCell ref="Y1910:Y1911"/>
    <mergeCell ref="G1911:H1911"/>
    <mergeCell ref="O1910:O1911"/>
    <mergeCell ref="Q1910:Q1911"/>
    <mergeCell ref="R1910:R1911"/>
    <mergeCell ref="S1910:S1911"/>
    <mergeCell ref="F1910:F1911"/>
    <mergeCell ref="G1910:H1910"/>
    <mergeCell ref="I1910:K1911"/>
    <mergeCell ref="M1910:M1911"/>
    <mergeCell ref="V1908:X1909"/>
    <mergeCell ref="Y1908:Y1909"/>
    <mergeCell ref="G1909:H1909"/>
    <mergeCell ref="A1910:A1911"/>
    <mergeCell ref="B1910:B1911"/>
    <mergeCell ref="C1910:C1911"/>
    <mergeCell ref="D1910:D1911"/>
    <mergeCell ref="E1910:E1911"/>
    <mergeCell ref="Q1908:Q1909"/>
    <mergeCell ref="R1908:R1909"/>
    <mergeCell ref="S1908:S1909"/>
    <mergeCell ref="T1908:T1909"/>
    <mergeCell ref="G1908:H1908"/>
    <mergeCell ref="I1908:K1909"/>
    <mergeCell ref="M1908:M1909"/>
    <mergeCell ref="O1908:O1909"/>
    <mergeCell ref="A1908:A1909"/>
    <mergeCell ref="B1908:B1909"/>
    <mergeCell ref="C1908:C1909"/>
    <mergeCell ref="D1908:D1909"/>
    <mergeCell ref="E1908:E1909"/>
    <mergeCell ref="F1908:F1909"/>
    <mergeCell ref="T1906:T1907"/>
    <mergeCell ref="V1906:X1907"/>
    <mergeCell ref="Y1906:Y1907"/>
    <mergeCell ref="G1907:H1907"/>
    <mergeCell ref="O1906:O1907"/>
    <mergeCell ref="Q1906:Q1907"/>
    <mergeCell ref="R1906:R1907"/>
    <mergeCell ref="S1906:S1907"/>
    <mergeCell ref="F1906:F1907"/>
    <mergeCell ref="G1906:H1906"/>
    <mergeCell ref="I1906:K1907"/>
    <mergeCell ref="M1906:M1907"/>
    <mergeCell ref="V1904:X1905"/>
    <mergeCell ref="Y1904:Y1905"/>
    <mergeCell ref="G1905:H1905"/>
    <mergeCell ref="A1906:A1907"/>
    <mergeCell ref="B1906:B1907"/>
    <mergeCell ref="C1906:C1907"/>
    <mergeCell ref="D1906:D1907"/>
    <mergeCell ref="E1906:E1907"/>
    <mergeCell ref="Q1904:Q1905"/>
    <mergeCell ref="R1904:R1905"/>
    <mergeCell ref="S1904:S1905"/>
    <mergeCell ref="T1904:T1905"/>
    <mergeCell ref="G1904:H1904"/>
    <mergeCell ref="I1904:K1905"/>
    <mergeCell ref="M1904:M1905"/>
    <mergeCell ref="O1904:O1905"/>
    <mergeCell ref="A1904:A1905"/>
    <mergeCell ref="B1904:B1905"/>
    <mergeCell ref="C1904:C1905"/>
    <mergeCell ref="D1904:D1905"/>
    <mergeCell ref="E1904:E1905"/>
    <mergeCell ref="F1904:F1905"/>
    <mergeCell ref="T1902:T1903"/>
    <mergeCell ref="V1902:X1903"/>
    <mergeCell ref="Y1902:Y1903"/>
    <mergeCell ref="G1903:H1903"/>
    <mergeCell ref="O1902:O1903"/>
    <mergeCell ref="Q1902:Q1903"/>
    <mergeCell ref="R1902:R1903"/>
    <mergeCell ref="S1902:S1903"/>
    <mergeCell ref="F1902:F1903"/>
    <mergeCell ref="G1902:H1902"/>
    <mergeCell ref="I1902:K1903"/>
    <mergeCell ref="M1902:M1903"/>
    <mergeCell ref="V1900:X1901"/>
    <mergeCell ref="Y1900:Y1901"/>
    <mergeCell ref="G1901:H1901"/>
    <mergeCell ref="A1902:A1903"/>
    <mergeCell ref="B1902:B1903"/>
    <mergeCell ref="C1902:C1903"/>
    <mergeCell ref="D1902:D1903"/>
    <mergeCell ref="E1902:E1903"/>
    <mergeCell ref="Q1900:Q1901"/>
    <mergeCell ref="R1900:R1901"/>
    <mergeCell ref="S1900:S1901"/>
    <mergeCell ref="T1900:T1901"/>
    <mergeCell ref="G1900:H1900"/>
    <mergeCell ref="I1900:K1901"/>
    <mergeCell ref="M1900:M1901"/>
    <mergeCell ref="O1900:O1901"/>
    <mergeCell ref="A1900:A1901"/>
    <mergeCell ref="B1900:B1901"/>
    <mergeCell ref="C1900:C1901"/>
    <mergeCell ref="D1900:D1901"/>
    <mergeCell ref="E1900:E1901"/>
    <mergeCell ref="F1900:F1901"/>
    <mergeCell ref="T1898:T1899"/>
    <mergeCell ref="V1898:X1899"/>
    <mergeCell ref="Y1898:Y1899"/>
    <mergeCell ref="G1899:H1899"/>
    <mergeCell ref="O1898:O1899"/>
    <mergeCell ref="Q1898:Q1899"/>
    <mergeCell ref="R1898:R1899"/>
    <mergeCell ref="S1898:S1899"/>
    <mergeCell ref="F1898:F1899"/>
    <mergeCell ref="G1898:H1898"/>
    <mergeCell ref="I1898:K1899"/>
    <mergeCell ref="M1898:M1899"/>
    <mergeCell ref="V1896:X1897"/>
    <mergeCell ref="Y1896:Y1897"/>
    <mergeCell ref="G1897:H1897"/>
    <mergeCell ref="A1898:A1899"/>
    <mergeCell ref="B1898:B1899"/>
    <mergeCell ref="C1898:C1899"/>
    <mergeCell ref="D1898:D1899"/>
    <mergeCell ref="E1898:E1899"/>
    <mergeCell ref="Q1896:Q1897"/>
    <mergeCell ref="R1896:R1897"/>
    <mergeCell ref="S1896:S1897"/>
    <mergeCell ref="T1896:T1897"/>
    <mergeCell ref="G1896:H1896"/>
    <mergeCell ref="I1896:K1897"/>
    <mergeCell ref="M1896:M1897"/>
    <mergeCell ref="O1896:O1897"/>
    <mergeCell ref="A1896:A1897"/>
    <mergeCell ref="B1896:B1897"/>
    <mergeCell ref="C1896:C1897"/>
    <mergeCell ref="D1896:D1897"/>
    <mergeCell ref="E1896:E1897"/>
    <mergeCell ref="F1896:F1897"/>
    <mergeCell ref="T1894:T1895"/>
    <mergeCell ref="V1894:X1895"/>
    <mergeCell ref="Y1894:Y1895"/>
    <mergeCell ref="G1895:H1895"/>
    <mergeCell ref="O1894:O1895"/>
    <mergeCell ref="Q1894:Q1895"/>
    <mergeCell ref="R1894:R1895"/>
    <mergeCell ref="S1894:S1895"/>
    <mergeCell ref="F1894:F1895"/>
    <mergeCell ref="G1894:H1894"/>
    <mergeCell ref="I1894:K1895"/>
    <mergeCell ref="M1894:M1895"/>
    <mergeCell ref="V1892:X1893"/>
    <mergeCell ref="Y1892:Y1893"/>
    <mergeCell ref="G1893:H1893"/>
    <mergeCell ref="A1894:A1895"/>
    <mergeCell ref="B1894:B1895"/>
    <mergeCell ref="C1894:C1895"/>
    <mergeCell ref="D1894:D1895"/>
    <mergeCell ref="E1894:E1895"/>
    <mergeCell ref="Q1892:Q1893"/>
    <mergeCell ref="R1892:R1893"/>
    <mergeCell ref="S1892:S1893"/>
    <mergeCell ref="T1892:T1893"/>
    <mergeCell ref="G1892:H1892"/>
    <mergeCell ref="I1892:K1893"/>
    <mergeCell ref="M1892:M1893"/>
    <mergeCell ref="O1892:O1893"/>
    <mergeCell ref="A1892:A1893"/>
    <mergeCell ref="B1892:B1893"/>
    <mergeCell ref="C1892:C1893"/>
    <mergeCell ref="D1892:D1893"/>
    <mergeCell ref="E1892:E1893"/>
    <mergeCell ref="F1892:F1893"/>
    <mergeCell ref="T1890:T1891"/>
    <mergeCell ref="V1890:X1891"/>
    <mergeCell ref="Y1890:Y1891"/>
    <mergeCell ref="G1891:H1891"/>
    <mergeCell ref="O1890:O1891"/>
    <mergeCell ref="Q1890:Q1891"/>
    <mergeCell ref="R1890:R1891"/>
    <mergeCell ref="S1890:S1891"/>
    <mergeCell ref="F1890:F1891"/>
    <mergeCell ref="G1890:H1890"/>
    <mergeCell ref="I1890:K1891"/>
    <mergeCell ref="M1890:M1891"/>
    <mergeCell ref="V1888:X1889"/>
    <mergeCell ref="Y1888:Y1889"/>
    <mergeCell ref="G1889:H1889"/>
    <mergeCell ref="A1890:A1891"/>
    <mergeCell ref="B1890:B1891"/>
    <mergeCell ref="C1890:C1891"/>
    <mergeCell ref="D1890:D1891"/>
    <mergeCell ref="E1890:E1891"/>
    <mergeCell ref="Q1888:Q1889"/>
    <mergeCell ref="R1888:R1889"/>
    <mergeCell ref="S1888:S1889"/>
    <mergeCell ref="T1888:T1889"/>
    <mergeCell ref="G1888:H1888"/>
    <mergeCell ref="I1888:K1889"/>
    <mergeCell ref="M1888:M1889"/>
    <mergeCell ref="O1888:O1889"/>
    <mergeCell ref="A1888:A1889"/>
    <mergeCell ref="B1888:B1889"/>
    <mergeCell ref="C1888:C1889"/>
    <mergeCell ref="D1888:D1889"/>
    <mergeCell ref="E1888:E1889"/>
    <mergeCell ref="F1888:F1889"/>
    <mergeCell ref="T1886:T1887"/>
    <mergeCell ref="V1886:X1887"/>
    <mergeCell ref="Y1886:Y1887"/>
    <mergeCell ref="G1887:H1887"/>
    <mergeCell ref="O1886:O1887"/>
    <mergeCell ref="Q1886:Q1887"/>
    <mergeCell ref="R1886:R1887"/>
    <mergeCell ref="S1886:S1887"/>
    <mergeCell ref="F1886:F1887"/>
    <mergeCell ref="G1886:H1886"/>
    <mergeCell ref="I1886:K1887"/>
    <mergeCell ref="M1886:M1887"/>
    <mergeCell ref="V1884:X1885"/>
    <mergeCell ref="Y1884:Y1885"/>
    <mergeCell ref="G1885:H1885"/>
    <mergeCell ref="A1886:A1887"/>
    <mergeCell ref="B1886:B1887"/>
    <mergeCell ref="C1886:C1887"/>
    <mergeCell ref="D1886:D1887"/>
    <mergeCell ref="E1886:E1887"/>
    <mergeCell ref="Q1884:Q1885"/>
    <mergeCell ref="R1884:R1885"/>
    <mergeCell ref="S1884:S1885"/>
    <mergeCell ref="T1884:T1885"/>
    <mergeCell ref="G1884:H1884"/>
    <mergeCell ref="I1884:K1885"/>
    <mergeCell ref="M1884:M1885"/>
    <mergeCell ref="O1884:O1885"/>
    <mergeCell ref="A1884:A1885"/>
    <mergeCell ref="B1884:B1885"/>
    <mergeCell ref="C1884:C1885"/>
    <mergeCell ref="D1884:D1885"/>
    <mergeCell ref="E1884:E1885"/>
    <mergeCell ref="F1884:F1885"/>
    <mergeCell ref="T1882:T1883"/>
    <mergeCell ref="V1882:X1883"/>
    <mergeCell ref="Y1882:Y1883"/>
    <mergeCell ref="G1883:H1883"/>
    <mergeCell ref="O1882:O1883"/>
    <mergeCell ref="Q1882:Q1883"/>
    <mergeCell ref="R1882:R1883"/>
    <mergeCell ref="S1882:S1883"/>
    <mergeCell ref="F1882:F1883"/>
    <mergeCell ref="G1882:H1882"/>
    <mergeCell ref="I1882:K1883"/>
    <mergeCell ref="M1882:M1883"/>
    <mergeCell ref="V1880:X1881"/>
    <mergeCell ref="Y1880:Y1881"/>
    <mergeCell ref="G1881:H1881"/>
    <mergeCell ref="A1882:A1883"/>
    <mergeCell ref="B1882:B1883"/>
    <mergeCell ref="C1882:C1883"/>
    <mergeCell ref="D1882:D1883"/>
    <mergeCell ref="E1882:E1883"/>
    <mergeCell ref="Q1880:Q1881"/>
    <mergeCell ref="R1880:R1881"/>
    <mergeCell ref="S1880:S1881"/>
    <mergeCell ref="T1880:T1881"/>
    <mergeCell ref="G1880:H1880"/>
    <mergeCell ref="I1880:K1881"/>
    <mergeCell ref="M1880:M1881"/>
    <mergeCell ref="O1880:O1881"/>
    <mergeCell ref="A1880:A1881"/>
    <mergeCell ref="B1880:B1881"/>
    <mergeCell ref="C1880:C1881"/>
    <mergeCell ref="D1880:D1881"/>
    <mergeCell ref="E1880:E1881"/>
    <mergeCell ref="F1880:F1881"/>
    <mergeCell ref="T1878:T1879"/>
    <mergeCell ref="V1878:X1879"/>
    <mergeCell ref="Y1878:Y1879"/>
    <mergeCell ref="G1879:H1879"/>
    <mergeCell ref="O1878:O1879"/>
    <mergeCell ref="Q1878:Q1879"/>
    <mergeCell ref="R1878:R1879"/>
    <mergeCell ref="S1878:S1879"/>
    <mergeCell ref="F1878:F1879"/>
    <mergeCell ref="G1878:H1878"/>
    <mergeCell ref="I1878:K1879"/>
    <mergeCell ref="M1878:M1879"/>
    <mergeCell ref="V1876:X1877"/>
    <mergeCell ref="Y1876:Y1877"/>
    <mergeCell ref="G1877:H1877"/>
    <mergeCell ref="A1878:A1879"/>
    <mergeCell ref="B1878:B1879"/>
    <mergeCell ref="C1878:C1879"/>
    <mergeCell ref="D1878:D1879"/>
    <mergeCell ref="E1878:E1879"/>
    <mergeCell ref="Q1876:Q1877"/>
    <mergeCell ref="R1876:R1877"/>
    <mergeCell ref="S1876:S1877"/>
    <mergeCell ref="T1876:T1877"/>
    <mergeCell ref="G1876:H1876"/>
    <mergeCell ref="I1876:K1877"/>
    <mergeCell ref="M1876:M1877"/>
    <mergeCell ref="O1876:O1877"/>
    <mergeCell ref="A1876:A1877"/>
    <mergeCell ref="B1876:B1877"/>
    <mergeCell ref="C1876:C1877"/>
    <mergeCell ref="D1876:D1877"/>
    <mergeCell ref="E1876:E1877"/>
    <mergeCell ref="F1876:F1877"/>
    <mergeCell ref="T1874:T1875"/>
    <mergeCell ref="V1874:X1875"/>
    <mergeCell ref="Y1874:Y1875"/>
    <mergeCell ref="G1875:H1875"/>
    <mergeCell ref="O1874:O1875"/>
    <mergeCell ref="Q1874:Q1875"/>
    <mergeCell ref="R1874:R1875"/>
    <mergeCell ref="S1874:S1875"/>
    <mergeCell ref="F1874:F1875"/>
    <mergeCell ref="G1874:H1874"/>
    <mergeCell ref="I1874:K1875"/>
    <mergeCell ref="M1874:M1875"/>
    <mergeCell ref="V1872:X1873"/>
    <mergeCell ref="Y1872:Y1873"/>
    <mergeCell ref="G1873:H1873"/>
    <mergeCell ref="A1874:A1875"/>
    <mergeCell ref="B1874:B1875"/>
    <mergeCell ref="C1874:C1875"/>
    <mergeCell ref="D1874:D1875"/>
    <mergeCell ref="E1874:E1875"/>
    <mergeCell ref="Q1872:Q1873"/>
    <mergeCell ref="R1872:R1873"/>
    <mergeCell ref="S1872:S1873"/>
    <mergeCell ref="T1872:T1873"/>
    <mergeCell ref="G1872:H1872"/>
    <mergeCell ref="I1872:K1873"/>
    <mergeCell ref="M1872:M1873"/>
    <mergeCell ref="O1872:O1873"/>
    <mergeCell ref="A1872:A1873"/>
    <mergeCell ref="B1872:B1873"/>
    <mergeCell ref="C1872:C1873"/>
    <mergeCell ref="D1872:D1873"/>
    <mergeCell ref="E1872:E1873"/>
    <mergeCell ref="F1872:F1873"/>
    <mergeCell ref="T1870:T1871"/>
    <mergeCell ref="V1870:X1871"/>
    <mergeCell ref="Y1870:Y1871"/>
    <mergeCell ref="G1871:H1871"/>
    <mergeCell ref="O1870:O1871"/>
    <mergeCell ref="Q1870:Q1871"/>
    <mergeCell ref="R1870:R1871"/>
    <mergeCell ref="S1870:S1871"/>
    <mergeCell ref="F1870:F1871"/>
    <mergeCell ref="G1870:H1870"/>
    <mergeCell ref="I1870:K1871"/>
    <mergeCell ref="M1870:M1871"/>
    <mergeCell ref="V1868:X1869"/>
    <mergeCell ref="Y1868:Y1869"/>
    <mergeCell ref="G1869:H1869"/>
    <mergeCell ref="A1870:A1871"/>
    <mergeCell ref="B1870:B1871"/>
    <mergeCell ref="C1870:C1871"/>
    <mergeCell ref="D1870:D1871"/>
    <mergeCell ref="E1870:E1871"/>
    <mergeCell ref="Q1868:Q1869"/>
    <mergeCell ref="R1868:R1869"/>
    <mergeCell ref="S1868:S1869"/>
    <mergeCell ref="T1868:T1869"/>
    <mergeCell ref="G1868:H1868"/>
    <mergeCell ref="I1868:K1869"/>
    <mergeCell ref="M1868:M1869"/>
    <mergeCell ref="O1868:O1869"/>
    <mergeCell ref="A1868:A1869"/>
    <mergeCell ref="B1868:B1869"/>
    <mergeCell ref="C1868:C1869"/>
    <mergeCell ref="D1868:D1869"/>
    <mergeCell ref="E1868:E1869"/>
    <mergeCell ref="F1868:F1869"/>
    <mergeCell ref="T1866:T1867"/>
    <mergeCell ref="V1866:X1867"/>
    <mergeCell ref="Y1866:Y1867"/>
    <mergeCell ref="G1867:H1867"/>
    <mergeCell ref="O1866:O1867"/>
    <mergeCell ref="Q1866:Q1867"/>
    <mergeCell ref="R1866:R1867"/>
    <mergeCell ref="S1866:S1867"/>
    <mergeCell ref="F1866:F1867"/>
    <mergeCell ref="G1866:H1866"/>
    <mergeCell ref="I1866:K1867"/>
    <mergeCell ref="M1866:M1867"/>
    <mergeCell ref="V1864:X1865"/>
    <mergeCell ref="Y1864:Y1865"/>
    <mergeCell ref="G1865:H1865"/>
    <mergeCell ref="A1866:A1867"/>
    <mergeCell ref="B1866:B1867"/>
    <mergeCell ref="C1866:C1867"/>
    <mergeCell ref="D1866:D1867"/>
    <mergeCell ref="E1866:E1867"/>
    <mergeCell ref="Q1864:Q1865"/>
    <mergeCell ref="R1864:R1865"/>
    <mergeCell ref="S1864:S1865"/>
    <mergeCell ref="T1864:T1865"/>
    <mergeCell ref="G1864:H1864"/>
    <mergeCell ref="I1864:K1865"/>
    <mergeCell ref="M1864:M1865"/>
    <mergeCell ref="O1864:O1865"/>
    <mergeCell ref="A1864:A1865"/>
    <mergeCell ref="B1864:B1865"/>
    <mergeCell ref="C1864:C1865"/>
    <mergeCell ref="D1864:D1865"/>
    <mergeCell ref="E1864:E1865"/>
    <mergeCell ref="F1864:F1865"/>
    <mergeCell ref="T1862:T1863"/>
    <mergeCell ref="V1862:X1863"/>
    <mergeCell ref="Y1862:Y1863"/>
    <mergeCell ref="G1863:H1863"/>
    <mergeCell ref="O1862:O1863"/>
    <mergeCell ref="Q1862:Q1863"/>
    <mergeCell ref="R1862:R1863"/>
    <mergeCell ref="S1862:S1863"/>
    <mergeCell ref="F1862:F1863"/>
    <mergeCell ref="G1862:H1862"/>
    <mergeCell ref="I1862:K1863"/>
    <mergeCell ref="M1862:M1863"/>
    <mergeCell ref="V1860:X1861"/>
    <mergeCell ref="Y1860:Y1861"/>
    <mergeCell ref="G1861:H1861"/>
    <mergeCell ref="A1862:A1863"/>
    <mergeCell ref="B1862:B1863"/>
    <mergeCell ref="C1862:C1863"/>
    <mergeCell ref="D1862:D1863"/>
    <mergeCell ref="E1862:E1863"/>
    <mergeCell ref="Q1860:Q1861"/>
    <mergeCell ref="R1860:R1861"/>
    <mergeCell ref="S1860:S1861"/>
    <mergeCell ref="T1860:T1861"/>
    <mergeCell ref="G1860:H1860"/>
    <mergeCell ref="I1860:K1861"/>
    <mergeCell ref="M1860:M1861"/>
    <mergeCell ref="O1860:O1861"/>
    <mergeCell ref="A1860:A1861"/>
    <mergeCell ref="B1860:B1861"/>
    <mergeCell ref="C1860:C1861"/>
    <mergeCell ref="D1860:D1861"/>
    <mergeCell ref="E1860:E1861"/>
    <mergeCell ref="F1860:F1861"/>
    <mergeCell ref="T1858:T1859"/>
    <mergeCell ref="V1858:X1859"/>
    <mergeCell ref="Y1858:Y1859"/>
    <mergeCell ref="G1859:H1859"/>
    <mergeCell ref="O1858:O1859"/>
    <mergeCell ref="Q1858:Q1859"/>
    <mergeCell ref="R1858:R1859"/>
    <mergeCell ref="S1858:S1859"/>
    <mergeCell ref="F1858:F1859"/>
    <mergeCell ref="G1858:H1858"/>
    <mergeCell ref="I1858:K1859"/>
    <mergeCell ref="M1858:M1859"/>
    <mergeCell ref="V1856:X1857"/>
    <mergeCell ref="Y1856:Y1857"/>
    <mergeCell ref="G1857:H1857"/>
    <mergeCell ref="A1858:A1859"/>
    <mergeCell ref="B1858:B1859"/>
    <mergeCell ref="C1858:C1859"/>
    <mergeCell ref="D1858:D1859"/>
    <mergeCell ref="E1858:E1859"/>
    <mergeCell ref="Q1856:Q1857"/>
    <mergeCell ref="R1856:R1857"/>
    <mergeCell ref="S1856:S1857"/>
    <mergeCell ref="T1856:T1857"/>
    <mergeCell ref="G1856:H1856"/>
    <mergeCell ref="I1856:K1857"/>
    <mergeCell ref="M1856:M1857"/>
    <mergeCell ref="O1856:O1857"/>
    <mergeCell ref="A1856:A1857"/>
    <mergeCell ref="B1856:B1857"/>
    <mergeCell ref="C1856:C1857"/>
    <mergeCell ref="D1856:D1857"/>
    <mergeCell ref="E1856:E1857"/>
    <mergeCell ref="F1856:F1857"/>
    <mergeCell ref="T1854:T1855"/>
    <mergeCell ref="V1854:X1855"/>
    <mergeCell ref="Y1854:Y1855"/>
    <mergeCell ref="G1855:H1855"/>
    <mergeCell ref="O1854:O1855"/>
    <mergeCell ref="Q1854:Q1855"/>
    <mergeCell ref="R1854:R1855"/>
    <mergeCell ref="S1854:S1855"/>
    <mergeCell ref="F1854:F1855"/>
    <mergeCell ref="G1854:H1854"/>
    <mergeCell ref="I1854:K1855"/>
    <mergeCell ref="M1854:M1855"/>
    <mergeCell ref="V1852:X1853"/>
    <mergeCell ref="Y1852:Y1853"/>
    <mergeCell ref="G1853:H1853"/>
    <mergeCell ref="A1854:A1855"/>
    <mergeCell ref="B1854:B1855"/>
    <mergeCell ref="C1854:C1855"/>
    <mergeCell ref="D1854:D1855"/>
    <mergeCell ref="E1854:E1855"/>
    <mergeCell ref="Q1852:Q1853"/>
    <mergeCell ref="R1852:R1853"/>
    <mergeCell ref="S1852:S1853"/>
    <mergeCell ref="T1852:T1853"/>
    <mergeCell ref="G1852:H1852"/>
    <mergeCell ref="I1852:K1853"/>
    <mergeCell ref="M1852:M1853"/>
    <mergeCell ref="O1852:O1853"/>
    <mergeCell ref="A1852:A1853"/>
    <mergeCell ref="B1852:B1853"/>
    <mergeCell ref="C1852:C1853"/>
    <mergeCell ref="D1852:D1853"/>
    <mergeCell ref="E1852:E1853"/>
    <mergeCell ref="F1852:F1853"/>
    <mergeCell ref="T1850:T1851"/>
    <mergeCell ref="V1850:X1851"/>
    <mergeCell ref="Y1850:Y1851"/>
    <mergeCell ref="G1851:H1851"/>
    <mergeCell ref="O1850:O1851"/>
    <mergeCell ref="Q1850:Q1851"/>
    <mergeCell ref="R1850:R1851"/>
    <mergeCell ref="S1850:S1851"/>
    <mergeCell ref="F1850:F1851"/>
    <mergeCell ref="G1850:H1850"/>
    <mergeCell ref="I1850:K1851"/>
    <mergeCell ref="M1850:M1851"/>
    <mergeCell ref="V1848:X1849"/>
    <mergeCell ref="Y1848:Y1849"/>
    <mergeCell ref="G1849:H1849"/>
    <mergeCell ref="A1850:A1851"/>
    <mergeCell ref="B1850:B1851"/>
    <mergeCell ref="C1850:C1851"/>
    <mergeCell ref="D1850:D1851"/>
    <mergeCell ref="E1850:E1851"/>
    <mergeCell ref="Q1848:Q1849"/>
    <mergeCell ref="R1848:R1849"/>
    <mergeCell ref="S1848:S1849"/>
    <mergeCell ref="T1848:T1849"/>
    <mergeCell ref="G1848:H1848"/>
    <mergeCell ref="I1848:K1849"/>
    <mergeCell ref="M1848:M1849"/>
    <mergeCell ref="O1848:O1849"/>
    <mergeCell ref="A1848:A1849"/>
    <mergeCell ref="B1848:B1849"/>
    <mergeCell ref="C1848:C1849"/>
    <mergeCell ref="D1848:D1849"/>
    <mergeCell ref="E1848:E1849"/>
    <mergeCell ref="F1848:F1849"/>
    <mergeCell ref="T1846:T1847"/>
    <mergeCell ref="V1846:X1847"/>
    <mergeCell ref="Y1846:Y1847"/>
    <mergeCell ref="G1847:H1847"/>
    <mergeCell ref="O1846:O1847"/>
    <mergeCell ref="Q1846:Q1847"/>
    <mergeCell ref="R1846:R1847"/>
    <mergeCell ref="S1846:S1847"/>
    <mergeCell ref="F1846:F1847"/>
    <mergeCell ref="G1846:H1846"/>
    <mergeCell ref="I1846:K1847"/>
    <mergeCell ref="M1846:M1847"/>
    <mergeCell ref="V1844:X1845"/>
    <mergeCell ref="Y1844:Y1845"/>
    <mergeCell ref="G1845:H1845"/>
    <mergeCell ref="A1846:A1847"/>
    <mergeCell ref="B1846:B1847"/>
    <mergeCell ref="C1846:C1847"/>
    <mergeCell ref="D1846:D1847"/>
    <mergeCell ref="E1846:E1847"/>
    <mergeCell ref="Q1844:Q1845"/>
    <mergeCell ref="R1844:R1845"/>
    <mergeCell ref="S1844:S1845"/>
    <mergeCell ref="T1844:T1845"/>
    <mergeCell ref="G1844:H1844"/>
    <mergeCell ref="I1844:K1845"/>
    <mergeCell ref="M1844:M1845"/>
    <mergeCell ref="O1844:O1845"/>
    <mergeCell ref="A1844:A1845"/>
    <mergeCell ref="B1844:B1845"/>
    <mergeCell ref="C1844:C1845"/>
    <mergeCell ref="D1844:D1845"/>
    <mergeCell ref="E1844:E1845"/>
    <mergeCell ref="F1844:F1845"/>
    <mergeCell ref="T1842:T1843"/>
    <mergeCell ref="V1842:X1843"/>
    <mergeCell ref="Y1842:Y1843"/>
    <mergeCell ref="G1843:H1843"/>
    <mergeCell ref="O1842:O1843"/>
    <mergeCell ref="Q1842:Q1843"/>
    <mergeCell ref="R1842:R1843"/>
    <mergeCell ref="S1842:S1843"/>
    <mergeCell ref="F1842:F1843"/>
    <mergeCell ref="G1842:H1842"/>
    <mergeCell ref="I1842:K1843"/>
    <mergeCell ref="M1842:M1843"/>
    <mergeCell ref="V1840:X1841"/>
    <mergeCell ref="Y1840:Y1841"/>
    <mergeCell ref="G1841:H1841"/>
    <mergeCell ref="A1842:A1843"/>
    <mergeCell ref="B1842:B1843"/>
    <mergeCell ref="C1842:C1843"/>
    <mergeCell ref="D1842:D1843"/>
    <mergeCell ref="E1842:E1843"/>
    <mergeCell ref="Q1840:Q1841"/>
    <mergeCell ref="R1840:R1841"/>
    <mergeCell ref="S1840:S1841"/>
    <mergeCell ref="T1840:T1841"/>
    <mergeCell ref="G1840:H1840"/>
    <mergeCell ref="I1840:K1841"/>
    <mergeCell ref="M1840:M1841"/>
    <mergeCell ref="O1840:O1841"/>
    <mergeCell ref="A1840:A1841"/>
    <mergeCell ref="B1840:B1841"/>
    <mergeCell ref="C1840:C1841"/>
    <mergeCell ref="D1840:D1841"/>
    <mergeCell ref="E1840:E1841"/>
    <mergeCell ref="F1840:F1841"/>
    <mergeCell ref="T1838:T1839"/>
    <mergeCell ref="V1838:X1839"/>
    <mergeCell ref="Y1838:Y1839"/>
    <mergeCell ref="G1839:H1839"/>
    <mergeCell ref="O1838:O1839"/>
    <mergeCell ref="Q1838:Q1839"/>
    <mergeCell ref="R1838:R1839"/>
    <mergeCell ref="S1838:S1839"/>
    <mergeCell ref="F1838:F1839"/>
    <mergeCell ref="G1838:H1838"/>
    <mergeCell ref="I1838:K1839"/>
    <mergeCell ref="M1838:M1839"/>
    <mergeCell ref="V1836:X1837"/>
    <mergeCell ref="Y1836:Y1837"/>
    <mergeCell ref="G1837:H1837"/>
    <mergeCell ref="A1838:A1839"/>
    <mergeCell ref="B1838:B1839"/>
    <mergeCell ref="C1838:C1839"/>
    <mergeCell ref="D1838:D1839"/>
    <mergeCell ref="E1838:E1839"/>
    <mergeCell ref="Q1836:Q1837"/>
    <mergeCell ref="R1836:R1837"/>
    <mergeCell ref="S1836:S1837"/>
    <mergeCell ref="T1836:T1837"/>
    <mergeCell ref="G1836:H1836"/>
    <mergeCell ref="I1836:K1837"/>
    <mergeCell ref="M1836:M1837"/>
    <mergeCell ref="O1836:O1837"/>
    <mergeCell ref="A1836:A1837"/>
    <mergeCell ref="B1836:B1837"/>
    <mergeCell ref="C1836:C1837"/>
    <mergeCell ref="D1836:D1837"/>
    <mergeCell ref="E1836:E1837"/>
    <mergeCell ref="F1836:F1837"/>
    <mergeCell ref="T1834:T1835"/>
    <mergeCell ref="V1834:X1835"/>
    <mergeCell ref="Y1834:Y1835"/>
    <mergeCell ref="G1835:H1835"/>
    <mergeCell ref="O1834:O1835"/>
    <mergeCell ref="Q1834:Q1835"/>
    <mergeCell ref="R1834:R1835"/>
    <mergeCell ref="S1834:S1835"/>
    <mergeCell ref="F1834:F1835"/>
    <mergeCell ref="G1834:H1834"/>
    <mergeCell ref="I1834:K1835"/>
    <mergeCell ref="M1834:M1835"/>
    <mergeCell ref="V1832:X1833"/>
    <mergeCell ref="Y1832:Y1833"/>
    <mergeCell ref="G1833:H1833"/>
    <mergeCell ref="A1834:A1835"/>
    <mergeCell ref="B1834:B1835"/>
    <mergeCell ref="C1834:C1835"/>
    <mergeCell ref="D1834:D1835"/>
    <mergeCell ref="E1834:E1835"/>
    <mergeCell ref="Q1832:Q1833"/>
    <mergeCell ref="R1832:R1833"/>
    <mergeCell ref="S1832:S1833"/>
    <mergeCell ref="T1832:T1833"/>
    <mergeCell ref="G1832:H1832"/>
    <mergeCell ref="I1832:K1833"/>
    <mergeCell ref="M1832:M1833"/>
    <mergeCell ref="O1832:O1833"/>
    <mergeCell ref="A1832:A1833"/>
    <mergeCell ref="B1832:B1833"/>
    <mergeCell ref="C1832:C1833"/>
    <mergeCell ref="D1832:D1833"/>
    <mergeCell ref="E1832:E1833"/>
    <mergeCell ref="F1832:F1833"/>
    <mergeCell ref="T1830:T1831"/>
    <mergeCell ref="V1830:X1831"/>
    <mergeCell ref="Y1830:Y1831"/>
    <mergeCell ref="G1831:H1831"/>
    <mergeCell ref="O1830:O1831"/>
    <mergeCell ref="Q1830:Q1831"/>
    <mergeCell ref="R1830:R1831"/>
    <mergeCell ref="S1830:S1831"/>
    <mergeCell ref="F1830:F1831"/>
    <mergeCell ref="G1830:H1830"/>
    <mergeCell ref="I1830:K1831"/>
    <mergeCell ref="M1830:M1831"/>
    <mergeCell ref="V1828:X1829"/>
    <mergeCell ref="Y1828:Y1829"/>
    <mergeCell ref="G1829:H1829"/>
    <mergeCell ref="A1830:A1831"/>
    <mergeCell ref="B1830:B1831"/>
    <mergeCell ref="C1830:C1831"/>
    <mergeCell ref="D1830:D1831"/>
    <mergeCell ref="E1830:E1831"/>
    <mergeCell ref="Q1828:Q1829"/>
    <mergeCell ref="R1828:R1829"/>
    <mergeCell ref="S1828:S1829"/>
    <mergeCell ref="T1828:T1829"/>
    <mergeCell ref="G1828:H1828"/>
    <mergeCell ref="I1828:K1829"/>
    <mergeCell ref="M1828:M1829"/>
    <mergeCell ref="O1828:O1829"/>
    <mergeCell ref="A1828:A1829"/>
    <mergeCell ref="B1828:B1829"/>
    <mergeCell ref="C1828:C1829"/>
    <mergeCell ref="D1828:D1829"/>
    <mergeCell ref="E1828:E1829"/>
    <mergeCell ref="F1828:F1829"/>
    <mergeCell ref="T1826:T1827"/>
    <mergeCell ref="V1826:X1827"/>
    <mergeCell ref="Y1826:Y1827"/>
    <mergeCell ref="G1827:H1827"/>
    <mergeCell ref="O1826:O1827"/>
    <mergeCell ref="Q1826:Q1827"/>
    <mergeCell ref="R1826:R1827"/>
    <mergeCell ref="S1826:S1827"/>
    <mergeCell ref="F1826:F1827"/>
    <mergeCell ref="G1826:H1826"/>
    <mergeCell ref="I1826:K1827"/>
    <mergeCell ref="M1826:M1827"/>
    <mergeCell ref="V1824:X1825"/>
    <mergeCell ref="Y1824:Y1825"/>
    <mergeCell ref="G1825:H1825"/>
    <mergeCell ref="A1826:A1827"/>
    <mergeCell ref="B1826:B1827"/>
    <mergeCell ref="C1826:C1827"/>
    <mergeCell ref="D1826:D1827"/>
    <mergeCell ref="E1826:E1827"/>
    <mergeCell ref="Q1824:Q1825"/>
    <mergeCell ref="R1824:R1825"/>
    <mergeCell ref="S1824:S1825"/>
    <mergeCell ref="T1824:T1825"/>
    <mergeCell ref="G1824:H1824"/>
    <mergeCell ref="I1824:K1825"/>
    <mergeCell ref="M1824:M1825"/>
    <mergeCell ref="O1824:O1825"/>
    <mergeCell ref="A1824:A1825"/>
    <mergeCell ref="B1824:B1825"/>
    <mergeCell ref="C1824:C1825"/>
    <mergeCell ref="D1824:D1825"/>
    <mergeCell ref="E1824:E1825"/>
    <mergeCell ref="F1824:F1825"/>
    <mergeCell ref="T1822:T1823"/>
    <mergeCell ref="V1822:X1823"/>
    <mergeCell ref="Y1822:Y1823"/>
    <mergeCell ref="G1823:H1823"/>
    <mergeCell ref="O1822:O1823"/>
    <mergeCell ref="Q1822:Q1823"/>
    <mergeCell ref="R1822:R1823"/>
    <mergeCell ref="S1822:S1823"/>
    <mergeCell ref="F1822:F1823"/>
    <mergeCell ref="G1822:H1822"/>
    <mergeCell ref="I1822:K1823"/>
    <mergeCell ref="M1822:M1823"/>
    <mergeCell ref="V1820:X1821"/>
    <mergeCell ref="Y1820:Y1821"/>
    <mergeCell ref="G1821:H1821"/>
    <mergeCell ref="A1822:A1823"/>
    <mergeCell ref="B1822:B1823"/>
    <mergeCell ref="C1822:C1823"/>
    <mergeCell ref="D1822:D1823"/>
    <mergeCell ref="E1822:E1823"/>
    <mergeCell ref="Q1820:Q1821"/>
    <mergeCell ref="R1820:R1821"/>
    <mergeCell ref="S1820:S1821"/>
    <mergeCell ref="T1820:T1821"/>
    <mergeCell ref="G1820:H1820"/>
    <mergeCell ref="I1820:K1821"/>
    <mergeCell ref="M1820:M1821"/>
    <mergeCell ref="O1820:O1821"/>
    <mergeCell ref="A1820:A1821"/>
    <mergeCell ref="B1820:B1821"/>
    <mergeCell ref="C1820:C1821"/>
    <mergeCell ref="D1820:D1821"/>
    <mergeCell ref="E1820:E1821"/>
    <mergeCell ref="F1820:F1821"/>
    <mergeCell ref="T1818:T1819"/>
    <mergeCell ref="V1818:X1819"/>
    <mergeCell ref="Y1818:Y1819"/>
    <mergeCell ref="G1819:H1819"/>
    <mergeCell ref="O1818:O1819"/>
    <mergeCell ref="Q1818:Q1819"/>
    <mergeCell ref="R1818:R1819"/>
    <mergeCell ref="S1818:S1819"/>
    <mergeCell ref="F1818:F1819"/>
    <mergeCell ref="G1818:H1818"/>
    <mergeCell ref="I1818:K1819"/>
    <mergeCell ref="M1818:M1819"/>
    <mergeCell ref="V1816:X1817"/>
    <mergeCell ref="Y1816:Y1817"/>
    <mergeCell ref="G1817:H1817"/>
    <mergeCell ref="A1818:A1819"/>
    <mergeCell ref="B1818:B1819"/>
    <mergeCell ref="C1818:C1819"/>
    <mergeCell ref="D1818:D1819"/>
    <mergeCell ref="E1818:E1819"/>
    <mergeCell ref="Q1816:Q1817"/>
    <mergeCell ref="R1816:R1817"/>
    <mergeCell ref="S1816:S1817"/>
    <mergeCell ref="T1816:T1817"/>
    <mergeCell ref="G1816:H1816"/>
    <mergeCell ref="I1816:K1817"/>
    <mergeCell ref="M1816:M1817"/>
    <mergeCell ref="O1816:O1817"/>
    <mergeCell ref="A1816:A1817"/>
    <mergeCell ref="B1816:B1817"/>
    <mergeCell ref="C1816:C1817"/>
    <mergeCell ref="D1816:D1817"/>
    <mergeCell ref="E1816:E1817"/>
    <mergeCell ref="F1816:F1817"/>
    <mergeCell ref="T1814:T1815"/>
    <mergeCell ref="V1814:X1815"/>
    <mergeCell ref="Y1814:Y1815"/>
    <mergeCell ref="G1815:H1815"/>
    <mergeCell ref="O1814:O1815"/>
    <mergeCell ref="Q1814:Q1815"/>
    <mergeCell ref="R1814:R1815"/>
    <mergeCell ref="S1814:S1815"/>
    <mergeCell ref="F1814:F1815"/>
    <mergeCell ref="G1814:H1814"/>
    <mergeCell ref="I1814:K1815"/>
    <mergeCell ref="M1814:M1815"/>
    <mergeCell ref="V1812:X1813"/>
    <mergeCell ref="Y1812:Y1813"/>
    <mergeCell ref="G1813:H1813"/>
    <mergeCell ref="A1814:A1815"/>
    <mergeCell ref="B1814:B1815"/>
    <mergeCell ref="C1814:C1815"/>
    <mergeCell ref="D1814:D1815"/>
    <mergeCell ref="E1814:E1815"/>
    <mergeCell ref="Q1812:Q1813"/>
    <mergeCell ref="R1812:R1813"/>
    <mergeCell ref="S1812:S1813"/>
    <mergeCell ref="T1812:T1813"/>
    <mergeCell ref="G1812:H1812"/>
    <mergeCell ref="I1812:K1813"/>
    <mergeCell ref="M1812:M1813"/>
    <mergeCell ref="O1812:O1813"/>
    <mergeCell ref="A1812:A1813"/>
    <mergeCell ref="B1812:B1813"/>
    <mergeCell ref="C1812:C1813"/>
    <mergeCell ref="D1812:D1813"/>
    <mergeCell ref="E1812:E1813"/>
    <mergeCell ref="F1812:F1813"/>
    <mergeCell ref="T1810:T1811"/>
    <mergeCell ref="V1810:X1811"/>
    <mergeCell ref="Y1810:Y1811"/>
    <mergeCell ref="G1811:H1811"/>
    <mergeCell ref="O1810:O1811"/>
    <mergeCell ref="Q1810:Q1811"/>
    <mergeCell ref="R1810:R1811"/>
    <mergeCell ref="S1810:S1811"/>
    <mergeCell ref="F1810:F1811"/>
    <mergeCell ref="G1810:H1810"/>
    <mergeCell ref="I1810:K1811"/>
    <mergeCell ref="M1810:M1811"/>
    <mergeCell ref="V1808:X1809"/>
    <mergeCell ref="Y1808:Y1809"/>
    <mergeCell ref="G1809:H1809"/>
    <mergeCell ref="A1810:A1811"/>
    <mergeCell ref="B1810:B1811"/>
    <mergeCell ref="C1810:C1811"/>
    <mergeCell ref="D1810:D1811"/>
    <mergeCell ref="E1810:E1811"/>
    <mergeCell ref="Q1808:Q1809"/>
    <mergeCell ref="R1808:R1809"/>
    <mergeCell ref="S1808:S1809"/>
    <mergeCell ref="T1808:T1809"/>
    <mergeCell ref="G1808:H1808"/>
    <mergeCell ref="I1808:K1809"/>
    <mergeCell ref="M1808:M1809"/>
    <mergeCell ref="O1808:O1809"/>
    <mergeCell ref="A1808:A1809"/>
    <mergeCell ref="B1808:B1809"/>
    <mergeCell ref="C1808:C1809"/>
    <mergeCell ref="D1808:D1809"/>
    <mergeCell ref="E1808:E1809"/>
    <mergeCell ref="F1808:F1809"/>
    <mergeCell ref="T1806:T1807"/>
    <mergeCell ref="V1806:X1807"/>
    <mergeCell ref="Y1806:Y1807"/>
    <mergeCell ref="G1807:H1807"/>
    <mergeCell ref="O1806:O1807"/>
    <mergeCell ref="Q1806:Q1807"/>
    <mergeCell ref="R1806:R1807"/>
    <mergeCell ref="S1806:S1807"/>
    <mergeCell ref="F1806:F1807"/>
    <mergeCell ref="G1806:H1806"/>
    <mergeCell ref="I1806:K1807"/>
    <mergeCell ref="M1806:M1807"/>
    <mergeCell ref="V1804:X1805"/>
    <mergeCell ref="Y1804:Y1805"/>
    <mergeCell ref="G1805:H1805"/>
    <mergeCell ref="A1806:A1807"/>
    <mergeCell ref="B1806:B1807"/>
    <mergeCell ref="C1806:C1807"/>
    <mergeCell ref="D1806:D1807"/>
    <mergeCell ref="E1806:E1807"/>
    <mergeCell ref="Q1804:Q1805"/>
    <mergeCell ref="R1804:R1805"/>
    <mergeCell ref="S1804:S1805"/>
    <mergeCell ref="T1804:T1805"/>
    <mergeCell ref="G1804:H1804"/>
    <mergeCell ref="I1804:K1805"/>
    <mergeCell ref="M1804:M1805"/>
    <mergeCell ref="O1804:O1805"/>
    <mergeCell ref="A1804:A1805"/>
    <mergeCell ref="B1804:B1805"/>
    <mergeCell ref="C1804:C1805"/>
    <mergeCell ref="D1804:D1805"/>
    <mergeCell ref="E1804:E1805"/>
    <mergeCell ref="F1804:F1805"/>
    <mergeCell ref="T1802:T1803"/>
    <mergeCell ref="V1802:X1803"/>
    <mergeCell ref="Y1802:Y1803"/>
    <mergeCell ref="G1803:H1803"/>
    <mergeCell ref="O1802:O1803"/>
    <mergeCell ref="Q1802:Q1803"/>
    <mergeCell ref="R1802:R1803"/>
    <mergeCell ref="S1802:S1803"/>
    <mergeCell ref="F1802:F1803"/>
    <mergeCell ref="G1802:H1802"/>
    <mergeCell ref="I1802:K1803"/>
    <mergeCell ref="M1802:M1803"/>
    <mergeCell ref="V1800:X1801"/>
    <mergeCell ref="Y1800:Y1801"/>
    <mergeCell ref="G1801:H1801"/>
    <mergeCell ref="A1802:A1803"/>
    <mergeCell ref="B1802:B1803"/>
    <mergeCell ref="C1802:C1803"/>
    <mergeCell ref="D1802:D1803"/>
    <mergeCell ref="E1802:E1803"/>
    <mergeCell ref="Q1800:Q1801"/>
    <mergeCell ref="R1800:R1801"/>
    <mergeCell ref="S1800:S1801"/>
    <mergeCell ref="T1800:T1801"/>
    <mergeCell ref="G1800:H1800"/>
    <mergeCell ref="I1800:K1801"/>
    <mergeCell ref="M1800:M1801"/>
    <mergeCell ref="O1800:O1801"/>
    <mergeCell ref="A1800:A1801"/>
    <mergeCell ref="B1800:B1801"/>
    <mergeCell ref="C1800:C1801"/>
    <mergeCell ref="D1800:D1801"/>
    <mergeCell ref="E1800:E1801"/>
    <mergeCell ref="F1800:F1801"/>
    <mergeCell ref="T1798:T1799"/>
    <mergeCell ref="V1798:X1799"/>
    <mergeCell ref="Y1798:Y1799"/>
    <mergeCell ref="G1799:H1799"/>
    <mergeCell ref="O1798:O1799"/>
    <mergeCell ref="Q1798:Q1799"/>
    <mergeCell ref="R1798:R1799"/>
    <mergeCell ref="S1798:S1799"/>
    <mergeCell ref="F1798:F1799"/>
    <mergeCell ref="G1798:H1798"/>
    <mergeCell ref="I1798:K1799"/>
    <mergeCell ref="M1798:M1799"/>
    <mergeCell ref="V1796:X1797"/>
    <mergeCell ref="Y1796:Y1797"/>
    <mergeCell ref="G1797:H1797"/>
    <mergeCell ref="A1798:A1799"/>
    <mergeCell ref="B1798:B1799"/>
    <mergeCell ref="C1798:C1799"/>
    <mergeCell ref="D1798:D1799"/>
    <mergeCell ref="E1798:E1799"/>
    <mergeCell ref="Q1796:Q1797"/>
    <mergeCell ref="R1796:R1797"/>
    <mergeCell ref="S1796:S1797"/>
    <mergeCell ref="T1796:T1797"/>
    <mergeCell ref="G1796:H1796"/>
    <mergeCell ref="I1796:K1797"/>
    <mergeCell ref="M1796:M1797"/>
    <mergeCell ref="O1796:O1797"/>
    <mergeCell ref="A1796:A1797"/>
    <mergeCell ref="B1796:B1797"/>
    <mergeCell ref="C1796:C1797"/>
    <mergeCell ref="D1796:D1797"/>
    <mergeCell ref="E1796:E1797"/>
    <mergeCell ref="F1796:F1797"/>
    <mergeCell ref="T1794:T1795"/>
    <mergeCell ref="V1794:X1795"/>
    <mergeCell ref="Y1794:Y1795"/>
    <mergeCell ref="G1795:H1795"/>
    <mergeCell ref="O1794:O1795"/>
    <mergeCell ref="Q1794:Q1795"/>
    <mergeCell ref="R1794:R1795"/>
    <mergeCell ref="S1794:S1795"/>
    <mergeCell ref="F1794:F1795"/>
    <mergeCell ref="G1794:H1794"/>
    <mergeCell ref="I1794:K1795"/>
    <mergeCell ref="M1794:M1795"/>
    <mergeCell ref="V1792:X1793"/>
    <mergeCell ref="Y1792:Y1793"/>
    <mergeCell ref="G1793:H1793"/>
    <mergeCell ref="A1794:A1795"/>
    <mergeCell ref="B1794:B1795"/>
    <mergeCell ref="C1794:C1795"/>
    <mergeCell ref="D1794:D1795"/>
    <mergeCell ref="E1794:E1795"/>
    <mergeCell ref="Q1792:Q1793"/>
    <mergeCell ref="R1792:R1793"/>
    <mergeCell ref="S1792:S1793"/>
    <mergeCell ref="T1792:T1793"/>
    <mergeCell ref="G1792:H1792"/>
    <mergeCell ref="I1792:K1793"/>
    <mergeCell ref="M1792:M1793"/>
    <mergeCell ref="O1792:O1793"/>
    <mergeCell ref="A1792:A1793"/>
    <mergeCell ref="B1792:B1793"/>
    <mergeCell ref="C1792:C1793"/>
    <mergeCell ref="D1792:D1793"/>
    <mergeCell ref="E1792:E1793"/>
    <mergeCell ref="F1792:F1793"/>
    <mergeCell ref="T1790:T1791"/>
    <mergeCell ref="V1790:X1791"/>
    <mergeCell ref="Y1790:Y1791"/>
    <mergeCell ref="G1791:H1791"/>
    <mergeCell ref="O1790:O1791"/>
    <mergeCell ref="Q1790:Q1791"/>
    <mergeCell ref="R1790:R1791"/>
    <mergeCell ref="S1790:S1791"/>
    <mergeCell ref="F1790:F1791"/>
    <mergeCell ref="G1790:H1790"/>
    <mergeCell ref="I1790:K1791"/>
    <mergeCell ref="M1790:M1791"/>
    <mergeCell ref="V1788:X1789"/>
    <mergeCell ref="Y1788:Y1789"/>
    <mergeCell ref="G1789:H1789"/>
    <mergeCell ref="A1790:A1791"/>
    <mergeCell ref="B1790:B1791"/>
    <mergeCell ref="C1790:C1791"/>
    <mergeCell ref="D1790:D1791"/>
    <mergeCell ref="E1790:E1791"/>
    <mergeCell ref="Q1788:Q1789"/>
    <mergeCell ref="R1788:R1789"/>
    <mergeCell ref="S1788:S1789"/>
    <mergeCell ref="T1788:T1789"/>
    <mergeCell ref="G1788:H1788"/>
    <mergeCell ref="I1788:K1789"/>
    <mergeCell ref="M1788:M1789"/>
    <mergeCell ref="O1788:O1789"/>
    <mergeCell ref="A1788:A1789"/>
    <mergeCell ref="B1788:B1789"/>
    <mergeCell ref="C1788:C1789"/>
    <mergeCell ref="D1788:D1789"/>
    <mergeCell ref="E1788:E1789"/>
    <mergeCell ref="F1788:F1789"/>
    <mergeCell ref="T1786:T1787"/>
    <mergeCell ref="V1786:X1787"/>
    <mergeCell ref="Y1786:Y1787"/>
    <mergeCell ref="G1787:H1787"/>
    <mergeCell ref="O1786:O1787"/>
    <mergeCell ref="Q1786:Q1787"/>
    <mergeCell ref="R1786:R1787"/>
    <mergeCell ref="S1786:S1787"/>
    <mergeCell ref="F1786:F1787"/>
    <mergeCell ref="G1786:H1786"/>
    <mergeCell ref="I1786:K1787"/>
    <mergeCell ref="M1786:M1787"/>
    <mergeCell ref="V1784:X1785"/>
    <mergeCell ref="Y1784:Y1785"/>
    <mergeCell ref="G1785:H1785"/>
    <mergeCell ref="A1786:A1787"/>
    <mergeCell ref="B1786:B1787"/>
    <mergeCell ref="C1786:C1787"/>
    <mergeCell ref="D1786:D1787"/>
    <mergeCell ref="E1786:E1787"/>
    <mergeCell ref="Q1784:Q1785"/>
    <mergeCell ref="R1784:R1785"/>
    <mergeCell ref="S1784:S1785"/>
    <mergeCell ref="T1784:T1785"/>
    <mergeCell ref="G1784:H1784"/>
    <mergeCell ref="I1784:K1785"/>
    <mergeCell ref="M1784:M1785"/>
    <mergeCell ref="O1784:O1785"/>
    <mergeCell ref="A1784:A1785"/>
    <mergeCell ref="B1784:B1785"/>
    <mergeCell ref="C1784:C1785"/>
    <mergeCell ref="D1784:D1785"/>
    <mergeCell ref="E1784:E1785"/>
    <mergeCell ref="F1784:F1785"/>
    <mergeCell ref="T1782:T1783"/>
    <mergeCell ref="V1782:X1783"/>
    <mergeCell ref="Y1782:Y1783"/>
    <mergeCell ref="G1783:H1783"/>
    <mergeCell ref="O1782:O1783"/>
    <mergeCell ref="Q1782:Q1783"/>
    <mergeCell ref="R1782:R1783"/>
    <mergeCell ref="S1782:S1783"/>
    <mergeCell ref="F1782:F1783"/>
    <mergeCell ref="G1782:H1782"/>
    <mergeCell ref="I1782:K1783"/>
    <mergeCell ref="M1782:M1783"/>
    <mergeCell ref="V1780:X1781"/>
    <mergeCell ref="Y1780:Y1781"/>
    <mergeCell ref="G1781:H1781"/>
    <mergeCell ref="A1782:A1783"/>
    <mergeCell ref="B1782:B1783"/>
    <mergeCell ref="C1782:C1783"/>
    <mergeCell ref="D1782:D1783"/>
    <mergeCell ref="E1782:E1783"/>
    <mergeCell ref="Q1780:Q1781"/>
    <mergeCell ref="R1780:R1781"/>
    <mergeCell ref="S1780:S1781"/>
    <mergeCell ref="T1780:T1781"/>
    <mergeCell ref="G1780:H1780"/>
    <mergeCell ref="I1780:K1781"/>
    <mergeCell ref="M1780:M1781"/>
    <mergeCell ref="O1780:O1781"/>
    <mergeCell ref="A1780:A1781"/>
    <mergeCell ref="B1780:B1781"/>
    <mergeCell ref="C1780:C1781"/>
    <mergeCell ref="D1780:D1781"/>
    <mergeCell ref="E1780:E1781"/>
    <mergeCell ref="F1780:F1781"/>
    <mergeCell ref="T1778:T1779"/>
    <mergeCell ref="V1778:X1779"/>
    <mergeCell ref="Y1778:Y1779"/>
    <mergeCell ref="G1779:H1779"/>
    <mergeCell ref="O1778:O1779"/>
    <mergeCell ref="Q1778:Q1779"/>
    <mergeCell ref="R1778:R1779"/>
    <mergeCell ref="S1778:S1779"/>
    <mergeCell ref="F1778:F1779"/>
    <mergeCell ref="G1778:H1778"/>
    <mergeCell ref="I1778:K1779"/>
    <mergeCell ref="M1778:M1779"/>
    <mergeCell ref="V1776:X1777"/>
    <mergeCell ref="Y1776:Y1777"/>
    <mergeCell ref="G1777:H1777"/>
    <mergeCell ref="A1778:A1779"/>
    <mergeCell ref="B1778:B1779"/>
    <mergeCell ref="C1778:C1779"/>
    <mergeCell ref="D1778:D1779"/>
    <mergeCell ref="E1778:E1779"/>
    <mergeCell ref="Q1776:Q1777"/>
    <mergeCell ref="R1776:R1777"/>
    <mergeCell ref="S1776:S1777"/>
    <mergeCell ref="T1776:T1777"/>
    <mergeCell ref="G1776:H1776"/>
    <mergeCell ref="I1776:K1777"/>
    <mergeCell ref="M1776:M1777"/>
    <mergeCell ref="O1776:O1777"/>
    <mergeCell ref="A1776:A1777"/>
    <mergeCell ref="B1776:B1777"/>
    <mergeCell ref="C1776:C1777"/>
    <mergeCell ref="D1776:D1777"/>
    <mergeCell ref="E1776:E1777"/>
    <mergeCell ref="F1776:F1777"/>
    <mergeCell ref="T1774:T1775"/>
    <mergeCell ref="V1774:X1775"/>
    <mergeCell ref="Y1774:Y1775"/>
    <mergeCell ref="G1775:H1775"/>
    <mergeCell ref="O1774:O1775"/>
    <mergeCell ref="Q1774:Q1775"/>
    <mergeCell ref="R1774:R1775"/>
    <mergeCell ref="S1774:S1775"/>
    <mergeCell ref="F1774:F1775"/>
    <mergeCell ref="G1774:H1774"/>
    <mergeCell ref="I1774:K1775"/>
    <mergeCell ref="M1774:M1775"/>
    <mergeCell ref="V1772:X1773"/>
    <mergeCell ref="Y1772:Y1773"/>
    <mergeCell ref="G1773:H1773"/>
    <mergeCell ref="A1774:A1775"/>
    <mergeCell ref="B1774:B1775"/>
    <mergeCell ref="C1774:C1775"/>
    <mergeCell ref="D1774:D1775"/>
    <mergeCell ref="E1774:E1775"/>
    <mergeCell ref="Q1772:Q1773"/>
    <mergeCell ref="R1772:R1773"/>
    <mergeCell ref="S1772:S1773"/>
    <mergeCell ref="T1772:T1773"/>
    <mergeCell ref="G1772:H1772"/>
    <mergeCell ref="I1772:K1773"/>
    <mergeCell ref="M1772:M1773"/>
    <mergeCell ref="O1772:O1773"/>
    <mergeCell ref="A1772:A1773"/>
    <mergeCell ref="B1772:B1773"/>
    <mergeCell ref="C1772:C1773"/>
    <mergeCell ref="D1772:D1773"/>
    <mergeCell ref="E1772:E1773"/>
    <mergeCell ref="F1772:F1773"/>
    <mergeCell ref="T1770:T1771"/>
    <mergeCell ref="V1770:X1771"/>
    <mergeCell ref="Y1770:Y1771"/>
    <mergeCell ref="G1771:H1771"/>
    <mergeCell ref="O1770:O1771"/>
    <mergeCell ref="Q1770:Q1771"/>
    <mergeCell ref="R1770:R1771"/>
    <mergeCell ref="S1770:S1771"/>
    <mergeCell ref="F1770:F1771"/>
    <mergeCell ref="G1770:H1770"/>
    <mergeCell ref="I1770:K1771"/>
    <mergeCell ref="M1770:M1771"/>
    <mergeCell ref="V1768:X1769"/>
    <mergeCell ref="Y1768:Y1769"/>
    <mergeCell ref="G1769:H1769"/>
    <mergeCell ref="A1770:A1771"/>
    <mergeCell ref="B1770:B1771"/>
    <mergeCell ref="C1770:C1771"/>
    <mergeCell ref="D1770:D1771"/>
    <mergeCell ref="E1770:E1771"/>
    <mergeCell ref="Q1768:Q1769"/>
    <mergeCell ref="R1768:R1769"/>
    <mergeCell ref="S1768:S1769"/>
    <mergeCell ref="T1768:T1769"/>
    <mergeCell ref="G1768:H1768"/>
    <mergeCell ref="I1768:K1769"/>
    <mergeCell ref="M1768:M1769"/>
    <mergeCell ref="O1768:O1769"/>
    <mergeCell ref="A1768:A1769"/>
    <mergeCell ref="B1768:B1769"/>
    <mergeCell ref="C1768:C1769"/>
    <mergeCell ref="D1768:D1769"/>
    <mergeCell ref="E1768:E1769"/>
    <mergeCell ref="F1768:F1769"/>
    <mergeCell ref="T1766:T1767"/>
    <mergeCell ref="V1766:X1767"/>
    <mergeCell ref="Y1766:Y1767"/>
    <mergeCell ref="G1767:H1767"/>
    <mergeCell ref="O1766:O1767"/>
    <mergeCell ref="Q1766:Q1767"/>
    <mergeCell ref="R1766:R1767"/>
    <mergeCell ref="S1766:S1767"/>
    <mergeCell ref="F1766:F1767"/>
    <mergeCell ref="G1766:H1766"/>
    <mergeCell ref="I1766:K1767"/>
    <mergeCell ref="M1766:M1767"/>
    <mergeCell ref="V1764:X1765"/>
    <mergeCell ref="Y1764:Y1765"/>
    <mergeCell ref="G1765:H1765"/>
    <mergeCell ref="A1766:A1767"/>
    <mergeCell ref="B1766:B1767"/>
    <mergeCell ref="C1766:C1767"/>
    <mergeCell ref="D1766:D1767"/>
    <mergeCell ref="E1766:E1767"/>
    <mergeCell ref="Q1764:Q1765"/>
    <mergeCell ref="R1764:R1765"/>
    <mergeCell ref="S1764:S1765"/>
    <mergeCell ref="T1764:T1765"/>
    <mergeCell ref="G1764:H1764"/>
    <mergeCell ref="I1764:K1765"/>
    <mergeCell ref="M1764:M1765"/>
    <mergeCell ref="O1764:O1765"/>
    <mergeCell ref="A1764:A1765"/>
    <mergeCell ref="B1764:B1765"/>
    <mergeCell ref="C1764:C1765"/>
    <mergeCell ref="D1764:D1765"/>
    <mergeCell ref="E1764:E1765"/>
    <mergeCell ref="F1764:F1765"/>
    <mergeCell ref="T1762:T1763"/>
    <mergeCell ref="V1762:X1763"/>
    <mergeCell ref="Y1762:Y1763"/>
    <mergeCell ref="G1763:H1763"/>
    <mergeCell ref="O1762:O1763"/>
    <mergeCell ref="Q1762:Q1763"/>
    <mergeCell ref="R1762:R1763"/>
    <mergeCell ref="S1762:S1763"/>
    <mergeCell ref="F1762:F1763"/>
    <mergeCell ref="G1762:H1762"/>
    <mergeCell ref="I1762:K1763"/>
    <mergeCell ref="M1762:M1763"/>
    <mergeCell ref="V1760:X1761"/>
    <mergeCell ref="Y1760:Y1761"/>
    <mergeCell ref="G1761:H1761"/>
    <mergeCell ref="A1762:A1763"/>
    <mergeCell ref="B1762:B1763"/>
    <mergeCell ref="C1762:C1763"/>
    <mergeCell ref="D1762:D1763"/>
    <mergeCell ref="E1762:E1763"/>
    <mergeCell ref="Q1760:Q1761"/>
    <mergeCell ref="R1760:R1761"/>
    <mergeCell ref="S1760:S1761"/>
    <mergeCell ref="T1760:T1761"/>
    <mergeCell ref="G1760:H1760"/>
    <mergeCell ref="I1760:K1761"/>
    <mergeCell ref="M1760:M1761"/>
    <mergeCell ref="O1760:O1761"/>
    <mergeCell ref="A1760:A1761"/>
    <mergeCell ref="B1760:B1761"/>
    <mergeCell ref="C1760:C1761"/>
    <mergeCell ref="D1760:D1761"/>
    <mergeCell ref="E1760:E1761"/>
    <mergeCell ref="F1760:F1761"/>
    <mergeCell ref="T1758:T1759"/>
    <mergeCell ref="V1758:X1759"/>
    <mergeCell ref="Y1758:Y1759"/>
    <mergeCell ref="G1759:H1759"/>
    <mergeCell ref="O1758:O1759"/>
    <mergeCell ref="Q1758:Q1759"/>
    <mergeCell ref="R1758:R1759"/>
    <mergeCell ref="S1758:S1759"/>
    <mergeCell ref="F1758:F1759"/>
    <mergeCell ref="G1758:H1758"/>
    <mergeCell ref="I1758:K1759"/>
    <mergeCell ref="M1758:M1759"/>
    <mergeCell ref="V1756:X1757"/>
    <mergeCell ref="Y1756:Y1757"/>
    <mergeCell ref="G1757:H1757"/>
    <mergeCell ref="A1758:A1759"/>
    <mergeCell ref="B1758:B1759"/>
    <mergeCell ref="C1758:C1759"/>
    <mergeCell ref="D1758:D1759"/>
    <mergeCell ref="E1758:E1759"/>
    <mergeCell ref="Q1756:Q1757"/>
    <mergeCell ref="R1756:R1757"/>
    <mergeCell ref="S1756:S1757"/>
    <mergeCell ref="T1756:T1757"/>
    <mergeCell ref="G1756:H1756"/>
    <mergeCell ref="I1756:K1757"/>
    <mergeCell ref="M1756:M1757"/>
    <mergeCell ref="O1756:O1757"/>
    <mergeCell ref="A1756:A1757"/>
    <mergeCell ref="B1756:B1757"/>
    <mergeCell ref="C1756:C1757"/>
    <mergeCell ref="D1756:D1757"/>
    <mergeCell ref="E1756:E1757"/>
    <mergeCell ref="F1756:F1757"/>
    <mergeCell ref="T1754:T1755"/>
    <mergeCell ref="V1754:X1755"/>
    <mergeCell ref="Y1754:Y1755"/>
    <mergeCell ref="G1755:H1755"/>
    <mergeCell ref="O1754:O1755"/>
    <mergeCell ref="Q1754:Q1755"/>
    <mergeCell ref="R1754:R1755"/>
    <mergeCell ref="S1754:S1755"/>
    <mergeCell ref="F1754:F1755"/>
    <mergeCell ref="G1754:H1754"/>
    <mergeCell ref="I1754:K1755"/>
    <mergeCell ref="M1754:M1755"/>
    <mergeCell ref="V1752:X1753"/>
    <mergeCell ref="Y1752:Y1753"/>
    <mergeCell ref="G1753:H1753"/>
    <mergeCell ref="A1754:A1755"/>
    <mergeCell ref="B1754:B1755"/>
    <mergeCell ref="C1754:C1755"/>
    <mergeCell ref="D1754:D1755"/>
    <mergeCell ref="E1754:E1755"/>
    <mergeCell ref="Q1752:Q1753"/>
    <mergeCell ref="R1752:R1753"/>
    <mergeCell ref="S1752:S1753"/>
    <mergeCell ref="T1752:T1753"/>
    <mergeCell ref="G1752:H1752"/>
    <mergeCell ref="I1752:K1753"/>
    <mergeCell ref="M1752:M1753"/>
    <mergeCell ref="O1752:O1753"/>
    <mergeCell ref="A1752:A1753"/>
    <mergeCell ref="B1752:B1753"/>
    <mergeCell ref="C1752:C1753"/>
    <mergeCell ref="D1752:D1753"/>
    <mergeCell ref="E1752:E1753"/>
    <mergeCell ref="F1752:F1753"/>
    <mergeCell ref="T1750:T1751"/>
    <mergeCell ref="V1750:X1751"/>
    <mergeCell ref="Y1750:Y1751"/>
    <mergeCell ref="G1751:H1751"/>
    <mergeCell ref="O1750:O1751"/>
    <mergeCell ref="Q1750:Q1751"/>
    <mergeCell ref="R1750:R1751"/>
    <mergeCell ref="S1750:S1751"/>
    <mergeCell ref="F1750:F1751"/>
    <mergeCell ref="G1750:H1750"/>
    <mergeCell ref="I1750:K1751"/>
    <mergeCell ref="M1750:M1751"/>
    <mergeCell ref="V1748:X1749"/>
    <mergeCell ref="Y1748:Y1749"/>
    <mergeCell ref="G1749:H1749"/>
    <mergeCell ref="A1750:A1751"/>
    <mergeCell ref="B1750:B1751"/>
    <mergeCell ref="C1750:C1751"/>
    <mergeCell ref="D1750:D1751"/>
    <mergeCell ref="E1750:E1751"/>
    <mergeCell ref="Q1748:Q1749"/>
    <mergeCell ref="R1748:R1749"/>
    <mergeCell ref="S1748:S1749"/>
    <mergeCell ref="T1748:T1749"/>
    <mergeCell ref="G1748:H1748"/>
    <mergeCell ref="I1748:K1749"/>
    <mergeCell ref="M1748:M1749"/>
    <mergeCell ref="O1748:O1749"/>
    <mergeCell ref="A1748:A1749"/>
    <mergeCell ref="B1748:B1749"/>
    <mergeCell ref="C1748:C1749"/>
    <mergeCell ref="D1748:D1749"/>
    <mergeCell ref="E1748:E1749"/>
    <mergeCell ref="F1748:F1749"/>
    <mergeCell ref="T1746:T1747"/>
    <mergeCell ref="V1746:X1747"/>
    <mergeCell ref="Y1746:Y1747"/>
    <mergeCell ref="G1747:H1747"/>
    <mergeCell ref="O1746:O1747"/>
    <mergeCell ref="Q1746:Q1747"/>
    <mergeCell ref="R1746:R1747"/>
    <mergeCell ref="S1746:S1747"/>
    <mergeCell ref="F1746:F1747"/>
    <mergeCell ref="G1746:H1746"/>
    <mergeCell ref="I1746:K1747"/>
    <mergeCell ref="M1746:M1747"/>
    <mergeCell ref="V1744:X1745"/>
    <mergeCell ref="Y1744:Y1745"/>
    <mergeCell ref="G1745:H1745"/>
    <mergeCell ref="A1746:A1747"/>
    <mergeCell ref="B1746:B1747"/>
    <mergeCell ref="C1746:C1747"/>
    <mergeCell ref="D1746:D1747"/>
    <mergeCell ref="E1746:E1747"/>
    <mergeCell ref="Q1744:Q1745"/>
    <mergeCell ref="R1744:R1745"/>
    <mergeCell ref="S1744:S1745"/>
    <mergeCell ref="T1744:T1745"/>
    <mergeCell ref="G1744:H1744"/>
    <mergeCell ref="I1744:K1745"/>
    <mergeCell ref="M1744:M1745"/>
    <mergeCell ref="O1744:O1745"/>
    <mergeCell ref="A1744:A1745"/>
    <mergeCell ref="B1744:B1745"/>
    <mergeCell ref="C1744:C1745"/>
    <mergeCell ref="D1744:D1745"/>
    <mergeCell ref="E1744:E1745"/>
    <mergeCell ref="F1744:F1745"/>
    <mergeCell ref="T1742:T1743"/>
    <mergeCell ref="V1742:X1743"/>
    <mergeCell ref="Y1742:Y1743"/>
    <mergeCell ref="G1743:H1743"/>
    <mergeCell ref="O1742:O1743"/>
    <mergeCell ref="Q1742:Q1743"/>
    <mergeCell ref="R1742:R1743"/>
    <mergeCell ref="S1742:S1743"/>
    <mergeCell ref="F1742:F1743"/>
    <mergeCell ref="G1742:H1742"/>
    <mergeCell ref="I1742:K1743"/>
    <mergeCell ref="M1742:M1743"/>
    <mergeCell ref="V1740:X1741"/>
    <mergeCell ref="Y1740:Y1741"/>
    <mergeCell ref="G1741:H1741"/>
    <mergeCell ref="A1742:A1743"/>
    <mergeCell ref="B1742:B1743"/>
    <mergeCell ref="C1742:C1743"/>
    <mergeCell ref="D1742:D1743"/>
    <mergeCell ref="E1742:E1743"/>
    <mergeCell ref="Q1740:Q1741"/>
    <mergeCell ref="R1740:R1741"/>
    <mergeCell ref="S1740:S1741"/>
    <mergeCell ref="T1740:T1741"/>
    <mergeCell ref="G1740:H1740"/>
    <mergeCell ref="I1740:K1741"/>
    <mergeCell ref="M1740:M1741"/>
    <mergeCell ref="O1740:O1741"/>
    <mergeCell ref="A1740:A1741"/>
    <mergeCell ref="B1740:B1741"/>
    <mergeCell ref="C1740:C1741"/>
    <mergeCell ref="D1740:D1741"/>
    <mergeCell ref="E1740:E1741"/>
    <mergeCell ref="F1740:F1741"/>
    <mergeCell ref="T1738:T1739"/>
    <mergeCell ref="V1738:X1739"/>
    <mergeCell ref="Y1738:Y1739"/>
    <mergeCell ref="G1739:H1739"/>
    <mergeCell ref="O1738:O1739"/>
    <mergeCell ref="Q1738:Q1739"/>
    <mergeCell ref="R1738:R1739"/>
    <mergeCell ref="S1738:S1739"/>
    <mergeCell ref="F1738:F1739"/>
    <mergeCell ref="G1738:H1738"/>
    <mergeCell ref="I1738:K1739"/>
    <mergeCell ref="M1738:M1739"/>
    <mergeCell ref="V1736:X1737"/>
    <mergeCell ref="Y1736:Y1737"/>
    <mergeCell ref="G1737:H1737"/>
    <mergeCell ref="A1738:A1739"/>
    <mergeCell ref="B1738:B1739"/>
    <mergeCell ref="C1738:C1739"/>
    <mergeCell ref="D1738:D1739"/>
    <mergeCell ref="E1738:E1739"/>
    <mergeCell ref="Q1736:Q1737"/>
    <mergeCell ref="R1736:R1737"/>
    <mergeCell ref="S1736:S1737"/>
    <mergeCell ref="T1736:T1737"/>
    <mergeCell ref="G1736:H1736"/>
    <mergeCell ref="I1736:K1737"/>
    <mergeCell ref="M1736:M1737"/>
    <mergeCell ref="O1736:O1737"/>
    <mergeCell ref="A1736:A1737"/>
    <mergeCell ref="B1736:B1737"/>
    <mergeCell ref="C1736:C1737"/>
    <mergeCell ref="D1736:D1737"/>
    <mergeCell ref="E1736:E1737"/>
    <mergeCell ref="F1736:F1737"/>
    <mergeCell ref="T1734:T1735"/>
    <mergeCell ref="V1734:X1735"/>
    <mergeCell ref="Y1734:Y1735"/>
    <mergeCell ref="G1735:H1735"/>
    <mergeCell ref="O1734:O1735"/>
    <mergeCell ref="Q1734:Q1735"/>
    <mergeCell ref="R1734:R1735"/>
    <mergeCell ref="S1734:S1735"/>
    <mergeCell ref="F1734:F1735"/>
    <mergeCell ref="G1734:H1734"/>
    <mergeCell ref="I1734:K1735"/>
    <mergeCell ref="M1734:M1735"/>
    <mergeCell ref="V1732:X1733"/>
    <mergeCell ref="Y1732:Y1733"/>
    <mergeCell ref="G1733:H1733"/>
    <mergeCell ref="A1734:A1735"/>
    <mergeCell ref="B1734:B1735"/>
    <mergeCell ref="C1734:C1735"/>
    <mergeCell ref="D1734:D1735"/>
    <mergeCell ref="E1734:E1735"/>
    <mergeCell ref="Q1732:Q1733"/>
    <mergeCell ref="R1732:R1733"/>
    <mergeCell ref="S1732:S1733"/>
    <mergeCell ref="T1732:T1733"/>
    <mergeCell ref="G1732:H1732"/>
    <mergeCell ref="I1732:K1733"/>
    <mergeCell ref="M1732:M1733"/>
    <mergeCell ref="O1732:O1733"/>
    <mergeCell ref="A1732:A1733"/>
    <mergeCell ref="B1732:B1733"/>
    <mergeCell ref="C1732:C1733"/>
    <mergeCell ref="D1732:D1733"/>
    <mergeCell ref="E1732:E1733"/>
    <mergeCell ref="F1732:F1733"/>
    <mergeCell ref="T1730:T1731"/>
    <mergeCell ref="V1730:X1731"/>
    <mergeCell ref="Y1730:Y1731"/>
    <mergeCell ref="G1731:H1731"/>
    <mergeCell ref="O1730:O1731"/>
    <mergeCell ref="Q1730:Q1731"/>
    <mergeCell ref="R1730:R1731"/>
    <mergeCell ref="S1730:S1731"/>
    <mergeCell ref="F1730:F1731"/>
    <mergeCell ref="G1730:H1730"/>
    <mergeCell ref="I1730:K1731"/>
    <mergeCell ref="M1730:M1731"/>
    <mergeCell ref="V1728:X1729"/>
    <mergeCell ref="Y1728:Y1729"/>
    <mergeCell ref="G1729:H1729"/>
    <mergeCell ref="A1730:A1731"/>
    <mergeCell ref="B1730:B1731"/>
    <mergeCell ref="C1730:C1731"/>
    <mergeCell ref="D1730:D1731"/>
    <mergeCell ref="E1730:E1731"/>
    <mergeCell ref="Q1728:Q1729"/>
    <mergeCell ref="R1728:R1729"/>
    <mergeCell ref="S1728:S1729"/>
    <mergeCell ref="T1728:T1729"/>
    <mergeCell ref="G1728:H1728"/>
    <mergeCell ref="I1728:K1729"/>
    <mergeCell ref="M1728:M1729"/>
    <mergeCell ref="O1728:O1729"/>
    <mergeCell ref="A1728:A1729"/>
    <mergeCell ref="B1728:B1729"/>
    <mergeCell ref="C1728:C1729"/>
    <mergeCell ref="D1728:D1729"/>
    <mergeCell ref="E1728:E1729"/>
    <mergeCell ref="F1728:F1729"/>
    <mergeCell ref="T1726:T1727"/>
    <mergeCell ref="V1726:X1727"/>
    <mergeCell ref="Y1726:Y1727"/>
    <mergeCell ref="G1727:H1727"/>
    <mergeCell ref="O1726:O1727"/>
    <mergeCell ref="Q1726:Q1727"/>
    <mergeCell ref="R1726:R1727"/>
    <mergeCell ref="S1726:S1727"/>
    <mergeCell ref="F1726:F1727"/>
    <mergeCell ref="G1726:H1726"/>
    <mergeCell ref="I1726:K1727"/>
    <mergeCell ref="M1726:M1727"/>
    <mergeCell ref="V1724:X1725"/>
    <mergeCell ref="Y1724:Y1725"/>
    <mergeCell ref="G1725:H1725"/>
    <mergeCell ref="A1726:A1727"/>
    <mergeCell ref="B1726:B1727"/>
    <mergeCell ref="C1726:C1727"/>
    <mergeCell ref="D1726:D1727"/>
    <mergeCell ref="E1726:E1727"/>
    <mergeCell ref="Q1724:Q1725"/>
    <mergeCell ref="R1724:R1725"/>
    <mergeCell ref="S1724:S1725"/>
    <mergeCell ref="T1724:T1725"/>
    <mergeCell ref="G1724:H1724"/>
    <mergeCell ref="I1724:K1725"/>
    <mergeCell ref="M1724:M1725"/>
    <mergeCell ref="O1724:O1725"/>
    <mergeCell ref="A1724:A1725"/>
    <mergeCell ref="B1724:B1725"/>
    <mergeCell ref="C1724:C1725"/>
    <mergeCell ref="D1724:D1725"/>
    <mergeCell ref="E1724:E1725"/>
    <mergeCell ref="F1724:F1725"/>
    <mergeCell ref="T1722:T1723"/>
    <mergeCell ref="V1722:X1723"/>
    <mergeCell ref="Y1722:Y1723"/>
    <mergeCell ref="G1723:H1723"/>
    <mergeCell ref="O1722:O1723"/>
    <mergeCell ref="Q1722:Q1723"/>
    <mergeCell ref="R1722:R1723"/>
    <mergeCell ref="S1722:S1723"/>
    <mergeCell ref="F1722:F1723"/>
    <mergeCell ref="G1722:H1722"/>
    <mergeCell ref="I1722:K1723"/>
    <mergeCell ref="M1722:M1723"/>
    <mergeCell ref="V1720:X1721"/>
    <mergeCell ref="Y1720:Y1721"/>
    <mergeCell ref="G1721:H1721"/>
    <mergeCell ref="A1722:A1723"/>
    <mergeCell ref="B1722:B1723"/>
    <mergeCell ref="C1722:C1723"/>
    <mergeCell ref="D1722:D1723"/>
    <mergeCell ref="E1722:E1723"/>
    <mergeCell ref="Q1720:Q1721"/>
    <mergeCell ref="R1720:R1721"/>
    <mergeCell ref="S1720:S1721"/>
    <mergeCell ref="T1720:T1721"/>
    <mergeCell ref="G1720:H1720"/>
    <mergeCell ref="I1720:K1721"/>
    <mergeCell ref="M1720:M1721"/>
    <mergeCell ref="O1720:O1721"/>
    <mergeCell ref="A1720:A1721"/>
    <mergeCell ref="B1720:B1721"/>
    <mergeCell ref="C1720:C1721"/>
    <mergeCell ref="D1720:D1721"/>
    <mergeCell ref="E1720:E1721"/>
    <mergeCell ref="F1720:F1721"/>
    <mergeCell ref="T1718:T1719"/>
    <mergeCell ref="V1718:X1719"/>
    <mergeCell ref="Y1718:Y1719"/>
    <mergeCell ref="G1719:H1719"/>
    <mergeCell ref="O1718:O1719"/>
    <mergeCell ref="Q1718:Q1719"/>
    <mergeCell ref="R1718:R1719"/>
    <mergeCell ref="S1718:S1719"/>
    <mergeCell ref="F1718:F1719"/>
    <mergeCell ref="G1718:H1718"/>
    <mergeCell ref="I1718:K1719"/>
    <mergeCell ref="M1718:M1719"/>
    <mergeCell ref="V1716:X1717"/>
    <mergeCell ref="Y1716:Y1717"/>
    <mergeCell ref="G1717:H1717"/>
    <mergeCell ref="A1718:A1719"/>
    <mergeCell ref="B1718:B1719"/>
    <mergeCell ref="C1718:C1719"/>
    <mergeCell ref="D1718:D1719"/>
    <mergeCell ref="E1718:E1719"/>
    <mergeCell ref="Q1716:Q1717"/>
    <mergeCell ref="R1716:R1717"/>
    <mergeCell ref="S1716:S1717"/>
    <mergeCell ref="T1716:T1717"/>
    <mergeCell ref="G1716:H1716"/>
    <mergeCell ref="I1716:K1717"/>
    <mergeCell ref="M1716:M1717"/>
    <mergeCell ref="O1716:O1717"/>
    <mergeCell ref="A1716:A1717"/>
    <mergeCell ref="B1716:B1717"/>
    <mergeCell ref="C1716:C1717"/>
    <mergeCell ref="D1716:D1717"/>
    <mergeCell ref="E1716:E1717"/>
    <mergeCell ref="F1716:F1717"/>
    <mergeCell ref="T1714:T1715"/>
    <mergeCell ref="V1714:X1715"/>
    <mergeCell ref="Y1714:Y1715"/>
    <mergeCell ref="G1715:H1715"/>
    <mergeCell ref="O1714:O1715"/>
    <mergeCell ref="Q1714:Q1715"/>
    <mergeCell ref="R1714:R1715"/>
    <mergeCell ref="S1714:S1715"/>
    <mergeCell ref="F1714:F1715"/>
    <mergeCell ref="G1714:H1714"/>
    <mergeCell ref="I1714:K1715"/>
    <mergeCell ref="M1714:M1715"/>
    <mergeCell ref="V1712:X1713"/>
    <mergeCell ref="Y1712:Y1713"/>
    <mergeCell ref="G1713:H1713"/>
    <mergeCell ref="A1714:A1715"/>
    <mergeCell ref="B1714:B1715"/>
    <mergeCell ref="C1714:C1715"/>
    <mergeCell ref="D1714:D1715"/>
    <mergeCell ref="E1714:E1715"/>
    <mergeCell ref="Q1712:Q1713"/>
    <mergeCell ref="R1712:R1713"/>
    <mergeCell ref="S1712:S1713"/>
    <mergeCell ref="T1712:T1713"/>
    <mergeCell ref="G1712:H1712"/>
    <mergeCell ref="I1712:K1713"/>
    <mergeCell ref="M1712:M1713"/>
    <mergeCell ref="O1712:O1713"/>
    <mergeCell ref="A1712:A1713"/>
    <mergeCell ref="B1712:B1713"/>
    <mergeCell ref="C1712:C1713"/>
    <mergeCell ref="D1712:D1713"/>
    <mergeCell ref="E1712:E1713"/>
    <mergeCell ref="F1712:F1713"/>
    <mergeCell ref="T1710:T1711"/>
    <mergeCell ref="V1710:X1711"/>
    <mergeCell ref="Y1710:Y1711"/>
    <mergeCell ref="G1711:H1711"/>
    <mergeCell ref="O1710:O1711"/>
    <mergeCell ref="Q1710:Q1711"/>
    <mergeCell ref="R1710:R1711"/>
    <mergeCell ref="S1710:S1711"/>
    <mergeCell ref="F1710:F1711"/>
    <mergeCell ref="G1710:H1710"/>
    <mergeCell ref="I1710:K1711"/>
    <mergeCell ref="M1710:M1711"/>
    <mergeCell ref="V1708:X1709"/>
    <mergeCell ref="Y1708:Y1709"/>
    <mergeCell ref="G1709:H1709"/>
    <mergeCell ref="A1710:A1711"/>
    <mergeCell ref="B1710:B1711"/>
    <mergeCell ref="C1710:C1711"/>
    <mergeCell ref="D1710:D1711"/>
    <mergeCell ref="E1710:E1711"/>
    <mergeCell ref="Q1708:Q1709"/>
    <mergeCell ref="R1708:R1709"/>
    <mergeCell ref="S1708:S1709"/>
    <mergeCell ref="T1708:T1709"/>
    <mergeCell ref="G1708:H1708"/>
    <mergeCell ref="I1708:K1709"/>
    <mergeCell ref="M1708:M1709"/>
    <mergeCell ref="O1708:O1709"/>
    <mergeCell ref="A1708:A1709"/>
    <mergeCell ref="B1708:B1709"/>
    <mergeCell ref="C1708:C1709"/>
    <mergeCell ref="D1708:D1709"/>
    <mergeCell ref="E1708:E1709"/>
    <mergeCell ref="F1708:F1709"/>
    <mergeCell ref="T1706:T1707"/>
    <mergeCell ref="V1706:X1707"/>
    <mergeCell ref="Y1706:Y1707"/>
    <mergeCell ref="G1707:H1707"/>
    <mergeCell ref="O1706:O1707"/>
    <mergeCell ref="Q1706:Q1707"/>
    <mergeCell ref="R1706:R1707"/>
    <mergeCell ref="S1706:S1707"/>
    <mergeCell ref="F1706:F1707"/>
    <mergeCell ref="G1706:H1706"/>
    <mergeCell ref="I1706:K1707"/>
    <mergeCell ref="M1706:M1707"/>
    <mergeCell ref="V1704:X1705"/>
    <mergeCell ref="Y1704:Y1705"/>
    <mergeCell ref="G1705:H1705"/>
    <mergeCell ref="A1706:A1707"/>
    <mergeCell ref="B1706:B1707"/>
    <mergeCell ref="C1706:C1707"/>
    <mergeCell ref="D1706:D1707"/>
    <mergeCell ref="E1706:E1707"/>
    <mergeCell ref="Q1704:Q1705"/>
    <mergeCell ref="R1704:R1705"/>
    <mergeCell ref="S1704:S1705"/>
    <mergeCell ref="T1704:T1705"/>
    <mergeCell ref="G1704:H1704"/>
    <mergeCell ref="I1704:K1705"/>
    <mergeCell ref="M1704:M1705"/>
    <mergeCell ref="O1704:O1705"/>
    <mergeCell ref="A1704:A1705"/>
    <mergeCell ref="B1704:B1705"/>
    <mergeCell ref="C1704:C1705"/>
    <mergeCell ref="D1704:D1705"/>
    <mergeCell ref="E1704:E1705"/>
    <mergeCell ref="F1704:F1705"/>
    <mergeCell ref="T1702:T1703"/>
    <mergeCell ref="V1702:X1703"/>
    <mergeCell ref="Y1702:Y1703"/>
    <mergeCell ref="G1703:H1703"/>
    <mergeCell ref="O1702:O1703"/>
    <mergeCell ref="Q1702:Q1703"/>
    <mergeCell ref="R1702:R1703"/>
    <mergeCell ref="S1702:S1703"/>
    <mergeCell ref="F1702:F1703"/>
    <mergeCell ref="G1702:H1702"/>
    <mergeCell ref="I1702:K1703"/>
    <mergeCell ref="M1702:M1703"/>
    <mergeCell ref="V1700:X1701"/>
    <mergeCell ref="Y1700:Y1701"/>
    <mergeCell ref="G1701:H1701"/>
    <mergeCell ref="A1702:A1703"/>
    <mergeCell ref="B1702:B1703"/>
    <mergeCell ref="C1702:C1703"/>
    <mergeCell ref="D1702:D1703"/>
    <mergeCell ref="E1702:E1703"/>
    <mergeCell ref="Q1700:Q1701"/>
    <mergeCell ref="R1700:R1701"/>
    <mergeCell ref="S1700:S1701"/>
    <mergeCell ref="T1700:T1701"/>
    <mergeCell ref="G1700:H1700"/>
    <mergeCell ref="I1700:K1701"/>
    <mergeCell ref="M1700:M1701"/>
    <mergeCell ref="O1700:O1701"/>
    <mergeCell ref="A1700:A1701"/>
    <mergeCell ref="B1700:B1701"/>
    <mergeCell ref="C1700:C1701"/>
    <mergeCell ref="D1700:D1701"/>
    <mergeCell ref="E1700:E1701"/>
    <mergeCell ref="F1700:F1701"/>
    <mergeCell ref="T1698:T1699"/>
    <mergeCell ref="V1698:X1699"/>
    <mergeCell ref="Y1698:Y1699"/>
    <mergeCell ref="G1699:H1699"/>
    <mergeCell ref="O1698:O1699"/>
    <mergeCell ref="Q1698:Q1699"/>
    <mergeCell ref="R1698:R1699"/>
    <mergeCell ref="S1698:S1699"/>
    <mergeCell ref="F1698:F1699"/>
    <mergeCell ref="G1698:H1698"/>
    <mergeCell ref="I1698:K1699"/>
    <mergeCell ref="M1698:M1699"/>
    <mergeCell ref="V1696:X1697"/>
    <mergeCell ref="Y1696:Y1697"/>
    <mergeCell ref="G1697:H1697"/>
    <mergeCell ref="A1698:A1699"/>
    <mergeCell ref="B1698:B1699"/>
    <mergeCell ref="C1698:C1699"/>
    <mergeCell ref="D1698:D1699"/>
    <mergeCell ref="E1698:E1699"/>
    <mergeCell ref="Q1696:Q1697"/>
    <mergeCell ref="R1696:R1697"/>
    <mergeCell ref="S1696:S1697"/>
    <mergeCell ref="T1696:T1697"/>
    <mergeCell ref="G1696:H1696"/>
    <mergeCell ref="I1696:K1697"/>
    <mergeCell ref="M1696:M1697"/>
    <mergeCell ref="O1696:O1697"/>
    <mergeCell ref="A1696:A1697"/>
    <mergeCell ref="B1696:B1697"/>
    <mergeCell ref="C1696:C1697"/>
    <mergeCell ref="D1696:D1697"/>
    <mergeCell ref="E1696:E1697"/>
    <mergeCell ref="F1696:F1697"/>
    <mergeCell ref="T1694:T1695"/>
    <mergeCell ref="V1694:X1695"/>
    <mergeCell ref="Y1694:Y1695"/>
    <mergeCell ref="G1695:H1695"/>
    <mergeCell ref="O1694:O1695"/>
    <mergeCell ref="Q1694:Q1695"/>
    <mergeCell ref="R1694:R1695"/>
    <mergeCell ref="S1694:S1695"/>
    <mergeCell ref="F1694:F1695"/>
    <mergeCell ref="G1694:H1694"/>
    <mergeCell ref="I1694:K1695"/>
    <mergeCell ref="M1694:M1695"/>
    <mergeCell ref="V1692:X1693"/>
    <mergeCell ref="Y1692:Y1693"/>
    <mergeCell ref="G1693:H1693"/>
    <mergeCell ref="A1694:A1695"/>
    <mergeCell ref="B1694:B1695"/>
    <mergeCell ref="C1694:C1695"/>
    <mergeCell ref="D1694:D1695"/>
    <mergeCell ref="E1694:E1695"/>
    <mergeCell ref="Q1692:Q1693"/>
    <mergeCell ref="R1692:R1693"/>
    <mergeCell ref="S1692:S1693"/>
    <mergeCell ref="T1692:T1693"/>
    <mergeCell ref="G1692:H1692"/>
    <mergeCell ref="I1692:K1693"/>
    <mergeCell ref="M1692:M1693"/>
    <mergeCell ref="O1692:O1693"/>
    <mergeCell ref="A1692:A1693"/>
    <mergeCell ref="B1692:B1693"/>
    <mergeCell ref="C1692:C1693"/>
    <mergeCell ref="D1692:D1693"/>
    <mergeCell ref="E1692:E1693"/>
    <mergeCell ref="F1692:F1693"/>
    <mergeCell ref="T1690:T1691"/>
    <mergeCell ref="V1690:X1691"/>
    <mergeCell ref="Y1690:Y1691"/>
    <mergeCell ref="G1691:H1691"/>
    <mergeCell ref="O1690:O1691"/>
    <mergeCell ref="Q1690:Q1691"/>
    <mergeCell ref="R1690:R1691"/>
    <mergeCell ref="S1690:S1691"/>
    <mergeCell ref="F1690:F1691"/>
    <mergeCell ref="G1690:H1690"/>
    <mergeCell ref="I1690:K1691"/>
    <mergeCell ref="M1690:M1691"/>
    <mergeCell ref="V1688:X1689"/>
    <mergeCell ref="Y1688:Y1689"/>
    <mergeCell ref="G1689:H1689"/>
    <mergeCell ref="A1690:A1691"/>
    <mergeCell ref="B1690:B1691"/>
    <mergeCell ref="C1690:C1691"/>
    <mergeCell ref="D1690:D1691"/>
    <mergeCell ref="E1690:E1691"/>
    <mergeCell ref="Q1688:Q1689"/>
    <mergeCell ref="R1688:R1689"/>
    <mergeCell ref="S1688:S1689"/>
    <mergeCell ref="T1688:T1689"/>
    <mergeCell ref="G1688:H1688"/>
    <mergeCell ref="I1688:K1689"/>
    <mergeCell ref="M1688:M1689"/>
    <mergeCell ref="O1688:O1689"/>
    <mergeCell ref="A1688:A1689"/>
    <mergeCell ref="B1688:B1689"/>
    <mergeCell ref="C1688:C1689"/>
    <mergeCell ref="D1688:D1689"/>
    <mergeCell ref="E1688:E1689"/>
    <mergeCell ref="F1688:F1689"/>
    <mergeCell ref="T1686:T1687"/>
    <mergeCell ref="V1686:X1687"/>
    <mergeCell ref="Y1686:Y1687"/>
    <mergeCell ref="G1687:H1687"/>
    <mergeCell ref="O1686:O1687"/>
    <mergeCell ref="Q1686:Q1687"/>
    <mergeCell ref="R1686:R1687"/>
    <mergeCell ref="S1686:S1687"/>
    <mergeCell ref="F1686:F1687"/>
    <mergeCell ref="G1686:H1686"/>
    <mergeCell ref="I1686:K1687"/>
    <mergeCell ref="M1686:M1687"/>
    <mergeCell ref="V1684:X1685"/>
    <mergeCell ref="Y1684:Y1685"/>
    <mergeCell ref="G1685:H1685"/>
    <mergeCell ref="A1686:A1687"/>
    <mergeCell ref="B1686:B1687"/>
    <mergeCell ref="C1686:C1687"/>
    <mergeCell ref="D1686:D1687"/>
    <mergeCell ref="E1686:E1687"/>
    <mergeCell ref="Q1684:Q1685"/>
    <mergeCell ref="R1684:R1685"/>
    <mergeCell ref="S1684:S1685"/>
    <mergeCell ref="T1684:T1685"/>
    <mergeCell ref="G1684:H1684"/>
    <mergeCell ref="I1684:K1685"/>
    <mergeCell ref="M1684:M1685"/>
    <mergeCell ref="O1684:O1685"/>
    <mergeCell ref="A1684:A1685"/>
    <mergeCell ref="B1684:B1685"/>
    <mergeCell ref="C1684:C1685"/>
    <mergeCell ref="D1684:D1685"/>
    <mergeCell ref="E1684:E1685"/>
    <mergeCell ref="F1684:F1685"/>
    <mergeCell ref="T1682:T1683"/>
    <mergeCell ref="V1682:X1683"/>
    <mergeCell ref="Y1682:Y1683"/>
    <mergeCell ref="G1683:H1683"/>
    <mergeCell ref="O1682:O1683"/>
    <mergeCell ref="Q1682:Q1683"/>
    <mergeCell ref="R1682:R1683"/>
    <mergeCell ref="S1682:S1683"/>
    <mergeCell ref="F1682:F1683"/>
    <mergeCell ref="G1682:H1682"/>
    <mergeCell ref="I1682:K1683"/>
    <mergeCell ref="M1682:M1683"/>
    <mergeCell ref="V1680:X1681"/>
    <mergeCell ref="Y1680:Y1681"/>
    <mergeCell ref="G1681:H1681"/>
    <mergeCell ref="A1682:A1683"/>
    <mergeCell ref="B1682:B1683"/>
    <mergeCell ref="C1682:C1683"/>
    <mergeCell ref="D1682:D1683"/>
    <mergeCell ref="E1682:E1683"/>
    <mergeCell ref="Q1680:Q1681"/>
    <mergeCell ref="R1680:R1681"/>
    <mergeCell ref="S1680:S1681"/>
    <mergeCell ref="T1680:T1681"/>
    <mergeCell ref="G1680:H1680"/>
    <mergeCell ref="I1680:K1681"/>
    <mergeCell ref="M1680:M1681"/>
    <mergeCell ref="O1680:O1681"/>
    <mergeCell ref="A1680:A1681"/>
    <mergeCell ref="B1680:B1681"/>
    <mergeCell ref="C1680:C1681"/>
    <mergeCell ref="D1680:D1681"/>
    <mergeCell ref="E1680:E1681"/>
    <mergeCell ref="F1680:F1681"/>
    <mergeCell ref="T1678:T1679"/>
    <mergeCell ref="V1678:X1679"/>
    <mergeCell ref="Y1678:Y1679"/>
    <mergeCell ref="G1679:H1679"/>
    <mergeCell ref="O1678:O1679"/>
    <mergeCell ref="Q1678:Q1679"/>
    <mergeCell ref="R1678:R1679"/>
    <mergeCell ref="S1678:S1679"/>
    <mergeCell ref="F1678:F1679"/>
    <mergeCell ref="G1678:H1678"/>
    <mergeCell ref="I1678:K1679"/>
    <mergeCell ref="M1678:M1679"/>
    <mergeCell ref="V1676:X1677"/>
    <mergeCell ref="Y1676:Y1677"/>
    <mergeCell ref="G1677:H1677"/>
    <mergeCell ref="A1678:A1679"/>
    <mergeCell ref="B1678:B1679"/>
    <mergeCell ref="C1678:C1679"/>
    <mergeCell ref="D1678:D1679"/>
    <mergeCell ref="E1678:E1679"/>
    <mergeCell ref="Q1676:Q1677"/>
    <mergeCell ref="R1676:R1677"/>
    <mergeCell ref="S1676:S1677"/>
    <mergeCell ref="T1676:T1677"/>
    <mergeCell ref="G1676:H1676"/>
    <mergeCell ref="I1676:K1677"/>
    <mergeCell ref="M1676:M1677"/>
    <mergeCell ref="O1676:O1677"/>
    <mergeCell ref="A1676:A1677"/>
    <mergeCell ref="B1676:B1677"/>
    <mergeCell ref="C1676:C1677"/>
    <mergeCell ref="D1676:D1677"/>
    <mergeCell ref="E1676:E1677"/>
    <mergeCell ref="F1676:F1677"/>
    <mergeCell ref="T1674:T1675"/>
    <mergeCell ref="V1674:X1675"/>
    <mergeCell ref="Y1674:Y1675"/>
    <mergeCell ref="G1675:H1675"/>
    <mergeCell ref="O1674:O1675"/>
    <mergeCell ref="Q1674:Q1675"/>
    <mergeCell ref="R1674:R1675"/>
    <mergeCell ref="S1674:S1675"/>
    <mergeCell ref="F1674:F1675"/>
    <mergeCell ref="G1674:H1674"/>
    <mergeCell ref="I1674:K1675"/>
    <mergeCell ref="M1674:M1675"/>
    <mergeCell ref="V1672:X1673"/>
    <mergeCell ref="Y1672:Y1673"/>
    <mergeCell ref="G1673:H1673"/>
    <mergeCell ref="A1674:A1675"/>
    <mergeCell ref="B1674:B1675"/>
    <mergeCell ref="C1674:C1675"/>
    <mergeCell ref="D1674:D1675"/>
    <mergeCell ref="E1674:E1675"/>
    <mergeCell ref="Q1672:Q1673"/>
    <mergeCell ref="R1672:R1673"/>
    <mergeCell ref="S1672:S1673"/>
    <mergeCell ref="T1672:T1673"/>
    <mergeCell ref="G1672:H1672"/>
    <mergeCell ref="I1672:K1673"/>
    <mergeCell ref="M1672:M1673"/>
    <mergeCell ref="O1672:O1673"/>
    <mergeCell ref="A1672:A1673"/>
    <mergeCell ref="B1672:B1673"/>
    <mergeCell ref="C1672:C1673"/>
    <mergeCell ref="D1672:D1673"/>
    <mergeCell ref="E1672:E1673"/>
    <mergeCell ref="F1672:F1673"/>
    <mergeCell ref="T1670:T1671"/>
    <mergeCell ref="V1670:X1671"/>
    <mergeCell ref="Y1670:Y1671"/>
    <mergeCell ref="G1671:H1671"/>
    <mergeCell ref="O1670:O1671"/>
    <mergeCell ref="Q1670:Q1671"/>
    <mergeCell ref="R1670:R1671"/>
    <mergeCell ref="S1670:S1671"/>
    <mergeCell ref="F1670:F1671"/>
    <mergeCell ref="G1670:H1670"/>
    <mergeCell ref="I1670:K1671"/>
    <mergeCell ref="M1670:M1671"/>
    <mergeCell ref="V1668:X1669"/>
    <mergeCell ref="Y1668:Y1669"/>
    <mergeCell ref="G1669:H1669"/>
    <mergeCell ref="A1670:A1671"/>
    <mergeCell ref="B1670:B1671"/>
    <mergeCell ref="C1670:C1671"/>
    <mergeCell ref="D1670:D1671"/>
    <mergeCell ref="E1670:E1671"/>
    <mergeCell ref="Q1668:Q1669"/>
    <mergeCell ref="R1668:R1669"/>
    <mergeCell ref="S1668:S1669"/>
    <mergeCell ref="T1668:T1669"/>
    <mergeCell ref="G1668:H1668"/>
    <mergeCell ref="I1668:K1669"/>
    <mergeCell ref="M1668:M1669"/>
    <mergeCell ref="O1668:O1669"/>
    <mergeCell ref="A1668:A1669"/>
    <mergeCell ref="B1668:B1669"/>
    <mergeCell ref="C1668:C1669"/>
    <mergeCell ref="D1668:D1669"/>
    <mergeCell ref="E1668:E1669"/>
    <mergeCell ref="F1668:F1669"/>
    <mergeCell ref="T1666:T1667"/>
    <mergeCell ref="V1666:X1667"/>
    <mergeCell ref="Y1666:Y1667"/>
    <mergeCell ref="G1667:H1667"/>
    <mergeCell ref="O1666:O1667"/>
    <mergeCell ref="Q1666:Q1667"/>
    <mergeCell ref="R1666:R1667"/>
    <mergeCell ref="S1666:S1667"/>
    <mergeCell ref="F1666:F1667"/>
    <mergeCell ref="G1666:H1666"/>
    <mergeCell ref="I1666:K1667"/>
    <mergeCell ref="M1666:M1667"/>
    <mergeCell ref="V1664:X1665"/>
    <mergeCell ref="Y1664:Y1665"/>
    <mergeCell ref="G1665:H1665"/>
    <mergeCell ref="A1666:A1667"/>
    <mergeCell ref="B1666:B1667"/>
    <mergeCell ref="C1666:C1667"/>
    <mergeCell ref="D1666:D1667"/>
    <mergeCell ref="E1666:E1667"/>
    <mergeCell ref="Q1664:Q1665"/>
    <mergeCell ref="R1664:R1665"/>
    <mergeCell ref="S1664:S1665"/>
    <mergeCell ref="T1664:T1665"/>
    <mergeCell ref="G1664:H1664"/>
    <mergeCell ref="I1664:K1665"/>
    <mergeCell ref="M1664:M1665"/>
    <mergeCell ref="O1664:O1665"/>
    <mergeCell ref="A1664:A1665"/>
    <mergeCell ref="B1664:B1665"/>
    <mergeCell ref="C1664:C1665"/>
    <mergeCell ref="D1664:D1665"/>
    <mergeCell ref="E1664:E1665"/>
    <mergeCell ref="F1664:F1665"/>
    <mergeCell ref="T1662:T1663"/>
    <mergeCell ref="V1662:X1663"/>
    <mergeCell ref="Y1662:Y1663"/>
    <mergeCell ref="G1663:H1663"/>
    <mergeCell ref="O1662:O1663"/>
    <mergeCell ref="Q1662:Q1663"/>
    <mergeCell ref="R1662:R1663"/>
    <mergeCell ref="S1662:S1663"/>
    <mergeCell ref="F1662:F1663"/>
    <mergeCell ref="G1662:H1662"/>
    <mergeCell ref="I1662:K1663"/>
    <mergeCell ref="M1662:M1663"/>
    <mergeCell ref="V1660:X1661"/>
    <mergeCell ref="Y1660:Y1661"/>
    <mergeCell ref="G1661:H1661"/>
    <mergeCell ref="A1662:A1663"/>
    <mergeCell ref="B1662:B1663"/>
    <mergeCell ref="C1662:C1663"/>
    <mergeCell ref="D1662:D1663"/>
    <mergeCell ref="E1662:E1663"/>
    <mergeCell ref="Q1660:Q1661"/>
    <mergeCell ref="R1660:R1661"/>
    <mergeCell ref="S1660:S1661"/>
    <mergeCell ref="T1660:T1661"/>
    <mergeCell ref="G1660:H1660"/>
    <mergeCell ref="I1660:K1661"/>
    <mergeCell ref="M1660:M1661"/>
    <mergeCell ref="O1660:O1661"/>
    <mergeCell ref="A1660:A1661"/>
    <mergeCell ref="B1660:B1661"/>
    <mergeCell ref="C1660:C1661"/>
    <mergeCell ref="D1660:D1661"/>
    <mergeCell ref="E1660:E1661"/>
    <mergeCell ref="F1660:F1661"/>
    <mergeCell ref="T1658:T1659"/>
    <mergeCell ref="V1658:X1659"/>
    <mergeCell ref="Y1658:Y1659"/>
    <mergeCell ref="G1659:H1659"/>
    <mergeCell ref="O1658:O1659"/>
    <mergeCell ref="Q1658:Q1659"/>
    <mergeCell ref="R1658:R1659"/>
    <mergeCell ref="S1658:S1659"/>
    <mergeCell ref="F1658:F1659"/>
    <mergeCell ref="G1658:H1658"/>
    <mergeCell ref="I1658:K1659"/>
    <mergeCell ref="M1658:M1659"/>
    <mergeCell ref="V1656:X1657"/>
    <mergeCell ref="Y1656:Y1657"/>
    <mergeCell ref="G1657:H1657"/>
    <mergeCell ref="A1658:A1659"/>
    <mergeCell ref="B1658:B1659"/>
    <mergeCell ref="C1658:C1659"/>
    <mergeCell ref="D1658:D1659"/>
    <mergeCell ref="E1658:E1659"/>
    <mergeCell ref="Q1656:Q1657"/>
    <mergeCell ref="R1656:R1657"/>
    <mergeCell ref="S1656:S1657"/>
    <mergeCell ref="T1656:T1657"/>
    <mergeCell ref="G1656:H1656"/>
    <mergeCell ref="I1656:K1657"/>
    <mergeCell ref="M1656:M1657"/>
    <mergeCell ref="O1656:O1657"/>
    <mergeCell ref="A1656:A1657"/>
    <mergeCell ref="B1656:B1657"/>
    <mergeCell ref="C1656:C1657"/>
    <mergeCell ref="D1656:D1657"/>
    <mergeCell ref="E1656:E1657"/>
    <mergeCell ref="F1656:F1657"/>
    <mergeCell ref="T1654:T1655"/>
    <mergeCell ref="V1654:X1655"/>
    <mergeCell ref="Y1654:Y1655"/>
    <mergeCell ref="G1655:H1655"/>
    <mergeCell ref="O1654:O1655"/>
    <mergeCell ref="Q1654:Q1655"/>
    <mergeCell ref="R1654:R1655"/>
    <mergeCell ref="S1654:S1655"/>
    <mergeCell ref="F1654:F1655"/>
    <mergeCell ref="G1654:H1654"/>
    <mergeCell ref="I1654:K1655"/>
    <mergeCell ref="M1654:M1655"/>
    <mergeCell ref="V1652:X1653"/>
    <mergeCell ref="Y1652:Y1653"/>
    <mergeCell ref="G1653:H1653"/>
    <mergeCell ref="A1654:A1655"/>
    <mergeCell ref="B1654:B1655"/>
    <mergeCell ref="C1654:C1655"/>
    <mergeCell ref="D1654:D1655"/>
    <mergeCell ref="E1654:E1655"/>
    <mergeCell ref="Q1652:Q1653"/>
    <mergeCell ref="R1652:R1653"/>
    <mergeCell ref="S1652:S1653"/>
    <mergeCell ref="T1652:T1653"/>
    <mergeCell ref="G1652:H1652"/>
    <mergeCell ref="I1652:K1653"/>
    <mergeCell ref="M1652:M1653"/>
    <mergeCell ref="O1652:O1653"/>
    <mergeCell ref="A1652:A1653"/>
    <mergeCell ref="B1652:B1653"/>
    <mergeCell ref="C1652:C1653"/>
    <mergeCell ref="D1652:D1653"/>
    <mergeCell ref="E1652:E1653"/>
    <mergeCell ref="F1652:F1653"/>
    <mergeCell ref="T1650:T1651"/>
    <mergeCell ref="V1650:X1651"/>
    <mergeCell ref="Y1650:Y1651"/>
    <mergeCell ref="G1651:H1651"/>
    <mergeCell ref="O1650:O1651"/>
    <mergeCell ref="Q1650:Q1651"/>
    <mergeCell ref="R1650:R1651"/>
    <mergeCell ref="S1650:S1651"/>
    <mergeCell ref="F1650:F1651"/>
    <mergeCell ref="G1650:H1650"/>
    <mergeCell ref="I1650:K1651"/>
    <mergeCell ref="M1650:M1651"/>
    <mergeCell ref="V1648:X1649"/>
    <mergeCell ref="Y1648:Y1649"/>
    <mergeCell ref="G1649:H1649"/>
    <mergeCell ref="A1650:A1651"/>
    <mergeCell ref="B1650:B1651"/>
    <mergeCell ref="C1650:C1651"/>
    <mergeCell ref="D1650:D1651"/>
    <mergeCell ref="E1650:E1651"/>
    <mergeCell ref="Q1648:Q1649"/>
    <mergeCell ref="R1648:R1649"/>
    <mergeCell ref="S1648:S1649"/>
    <mergeCell ref="T1648:T1649"/>
    <mergeCell ref="G1648:H1648"/>
    <mergeCell ref="I1648:K1649"/>
    <mergeCell ref="M1648:M1649"/>
    <mergeCell ref="O1648:O1649"/>
    <mergeCell ref="A1648:A1649"/>
    <mergeCell ref="B1648:B1649"/>
    <mergeCell ref="C1648:C1649"/>
    <mergeCell ref="D1648:D1649"/>
    <mergeCell ref="E1648:E1649"/>
    <mergeCell ref="F1648:F1649"/>
    <mergeCell ref="T1646:T1647"/>
    <mergeCell ref="V1646:X1647"/>
    <mergeCell ref="Y1646:Y1647"/>
    <mergeCell ref="G1647:H1647"/>
    <mergeCell ref="O1646:O1647"/>
    <mergeCell ref="Q1646:Q1647"/>
    <mergeCell ref="R1646:R1647"/>
    <mergeCell ref="S1646:S1647"/>
    <mergeCell ref="F1646:F1647"/>
    <mergeCell ref="G1646:H1646"/>
    <mergeCell ref="I1646:K1647"/>
    <mergeCell ref="M1646:M1647"/>
    <mergeCell ref="V1644:X1645"/>
    <mergeCell ref="Y1644:Y1645"/>
    <mergeCell ref="G1645:H1645"/>
    <mergeCell ref="A1646:A1647"/>
    <mergeCell ref="B1646:B1647"/>
    <mergeCell ref="C1646:C1647"/>
    <mergeCell ref="D1646:D1647"/>
    <mergeCell ref="E1646:E1647"/>
    <mergeCell ref="Q1644:Q1645"/>
    <mergeCell ref="R1644:R1645"/>
    <mergeCell ref="S1644:S1645"/>
    <mergeCell ref="T1644:T1645"/>
    <mergeCell ref="G1644:H1644"/>
    <mergeCell ref="I1644:K1645"/>
    <mergeCell ref="M1644:M1645"/>
    <mergeCell ref="O1644:O1645"/>
    <mergeCell ref="A1644:A1645"/>
    <mergeCell ref="B1644:B1645"/>
    <mergeCell ref="C1644:C1645"/>
    <mergeCell ref="D1644:D1645"/>
    <mergeCell ref="E1644:E1645"/>
    <mergeCell ref="F1644:F1645"/>
    <mergeCell ref="T1642:T1643"/>
    <mergeCell ref="V1642:X1643"/>
    <mergeCell ref="Y1642:Y1643"/>
    <mergeCell ref="G1643:H1643"/>
    <mergeCell ref="O1642:O1643"/>
    <mergeCell ref="Q1642:Q1643"/>
    <mergeCell ref="R1642:R1643"/>
    <mergeCell ref="S1642:S1643"/>
    <mergeCell ref="F1642:F1643"/>
    <mergeCell ref="G1642:H1642"/>
    <mergeCell ref="I1642:K1643"/>
    <mergeCell ref="M1642:M1643"/>
    <mergeCell ref="V1640:X1641"/>
    <mergeCell ref="Y1640:Y1641"/>
    <mergeCell ref="G1641:H1641"/>
    <mergeCell ref="A1642:A1643"/>
    <mergeCell ref="B1642:B1643"/>
    <mergeCell ref="C1642:C1643"/>
    <mergeCell ref="D1642:D1643"/>
    <mergeCell ref="E1642:E1643"/>
    <mergeCell ref="Q1640:Q1641"/>
    <mergeCell ref="R1640:R1641"/>
    <mergeCell ref="S1640:S1641"/>
    <mergeCell ref="T1640:T1641"/>
    <mergeCell ref="G1640:H1640"/>
    <mergeCell ref="I1640:K1641"/>
    <mergeCell ref="M1640:M1641"/>
    <mergeCell ref="O1640:O1641"/>
    <mergeCell ref="A1640:A1641"/>
    <mergeCell ref="B1640:B1641"/>
    <mergeCell ref="C1640:C1641"/>
    <mergeCell ref="D1640:D1641"/>
    <mergeCell ref="E1640:E1641"/>
    <mergeCell ref="F1640:F1641"/>
    <mergeCell ref="T1638:T1639"/>
    <mergeCell ref="V1638:X1639"/>
    <mergeCell ref="Y1638:Y1639"/>
    <mergeCell ref="G1639:H1639"/>
    <mergeCell ref="O1638:O1639"/>
    <mergeCell ref="Q1638:Q1639"/>
    <mergeCell ref="R1638:R1639"/>
    <mergeCell ref="S1638:S1639"/>
    <mergeCell ref="F1638:F1639"/>
    <mergeCell ref="G1638:H1638"/>
    <mergeCell ref="I1638:K1639"/>
    <mergeCell ref="M1638:M1639"/>
    <mergeCell ref="V1636:X1637"/>
    <mergeCell ref="Y1636:Y1637"/>
    <mergeCell ref="G1637:H1637"/>
    <mergeCell ref="A1638:A1639"/>
    <mergeCell ref="B1638:B1639"/>
    <mergeCell ref="C1638:C1639"/>
    <mergeCell ref="D1638:D1639"/>
    <mergeCell ref="E1638:E1639"/>
    <mergeCell ref="Q1636:Q1637"/>
    <mergeCell ref="R1636:R1637"/>
    <mergeCell ref="S1636:S1637"/>
    <mergeCell ref="T1636:T1637"/>
    <mergeCell ref="G1636:H1636"/>
    <mergeCell ref="I1636:K1637"/>
    <mergeCell ref="M1636:M1637"/>
    <mergeCell ref="O1636:O1637"/>
    <mergeCell ref="A1636:A1637"/>
    <mergeCell ref="B1636:B1637"/>
    <mergeCell ref="C1636:C1637"/>
    <mergeCell ref="D1636:D1637"/>
    <mergeCell ref="E1636:E1637"/>
    <mergeCell ref="F1636:F1637"/>
    <mergeCell ref="T1634:T1635"/>
    <mergeCell ref="V1634:X1635"/>
    <mergeCell ref="Y1634:Y1635"/>
    <mergeCell ref="G1635:H1635"/>
    <mergeCell ref="O1634:O1635"/>
    <mergeCell ref="Q1634:Q1635"/>
    <mergeCell ref="R1634:R1635"/>
    <mergeCell ref="S1634:S1635"/>
    <mergeCell ref="F1634:F1635"/>
    <mergeCell ref="G1634:H1634"/>
    <mergeCell ref="I1634:K1635"/>
    <mergeCell ref="M1634:M1635"/>
    <mergeCell ref="V1632:X1633"/>
    <mergeCell ref="Y1632:Y1633"/>
    <mergeCell ref="G1633:H1633"/>
    <mergeCell ref="A1634:A1635"/>
    <mergeCell ref="B1634:B1635"/>
    <mergeCell ref="C1634:C1635"/>
    <mergeCell ref="D1634:D1635"/>
    <mergeCell ref="E1634:E1635"/>
    <mergeCell ref="Q1632:Q1633"/>
    <mergeCell ref="R1632:R1633"/>
    <mergeCell ref="S1632:S1633"/>
    <mergeCell ref="T1632:T1633"/>
    <mergeCell ref="G1632:H1632"/>
    <mergeCell ref="I1632:K1633"/>
    <mergeCell ref="M1632:M1633"/>
    <mergeCell ref="O1632:O1633"/>
    <mergeCell ref="A1632:A1633"/>
    <mergeCell ref="B1632:B1633"/>
    <mergeCell ref="C1632:C1633"/>
    <mergeCell ref="D1632:D1633"/>
    <mergeCell ref="E1632:E1633"/>
    <mergeCell ref="F1632:F1633"/>
    <mergeCell ref="T1630:T1631"/>
    <mergeCell ref="V1630:X1631"/>
    <mergeCell ref="Y1630:Y1631"/>
    <mergeCell ref="G1631:H1631"/>
    <mergeCell ref="O1630:O1631"/>
    <mergeCell ref="Q1630:Q1631"/>
    <mergeCell ref="R1630:R1631"/>
    <mergeCell ref="S1630:S1631"/>
    <mergeCell ref="F1630:F1631"/>
    <mergeCell ref="G1630:H1630"/>
    <mergeCell ref="I1630:K1631"/>
    <mergeCell ref="M1630:M1631"/>
    <mergeCell ref="V1628:X1629"/>
    <mergeCell ref="Y1628:Y1629"/>
    <mergeCell ref="G1629:H1629"/>
    <mergeCell ref="A1630:A1631"/>
    <mergeCell ref="B1630:B1631"/>
    <mergeCell ref="C1630:C1631"/>
    <mergeCell ref="D1630:D1631"/>
    <mergeCell ref="E1630:E1631"/>
    <mergeCell ref="Q1628:Q1629"/>
    <mergeCell ref="R1628:R1629"/>
    <mergeCell ref="S1628:S1629"/>
    <mergeCell ref="T1628:T1629"/>
    <mergeCell ref="G1628:H1628"/>
    <mergeCell ref="I1628:K1629"/>
    <mergeCell ref="M1628:M1629"/>
    <mergeCell ref="O1628:O1629"/>
    <mergeCell ref="A1628:A1629"/>
    <mergeCell ref="B1628:B1629"/>
    <mergeCell ref="C1628:C1629"/>
    <mergeCell ref="D1628:D1629"/>
    <mergeCell ref="E1628:E1629"/>
    <mergeCell ref="F1628:F1629"/>
    <mergeCell ref="T1626:T1627"/>
    <mergeCell ref="V1626:X1627"/>
    <mergeCell ref="Y1626:Y1627"/>
    <mergeCell ref="G1627:H1627"/>
    <mergeCell ref="O1626:O1627"/>
    <mergeCell ref="Q1626:Q1627"/>
    <mergeCell ref="R1626:R1627"/>
    <mergeCell ref="S1626:S1627"/>
    <mergeCell ref="F1626:F1627"/>
    <mergeCell ref="G1626:H1626"/>
    <mergeCell ref="I1626:K1627"/>
    <mergeCell ref="M1626:M1627"/>
    <mergeCell ref="V1624:X1625"/>
    <mergeCell ref="Y1624:Y1625"/>
    <mergeCell ref="G1625:H1625"/>
    <mergeCell ref="A1626:A1627"/>
    <mergeCell ref="B1626:B1627"/>
    <mergeCell ref="C1626:C1627"/>
    <mergeCell ref="D1626:D1627"/>
    <mergeCell ref="E1626:E1627"/>
    <mergeCell ref="Q1624:Q1625"/>
    <mergeCell ref="R1624:R1625"/>
    <mergeCell ref="S1624:S1625"/>
    <mergeCell ref="T1624:T1625"/>
    <mergeCell ref="G1624:H1624"/>
    <mergeCell ref="I1624:K1625"/>
    <mergeCell ref="M1624:M1625"/>
    <mergeCell ref="O1624:O1625"/>
    <mergeCell ref="A1624:A1625"/>
    <mergeCell ref="B1624:B1625"/>
    <mergeCell ref="C1624:C1625"/>
    <mergeCell ref="D1624:D1625"/>
    <mergeCell ref="E1624:E1625"/>
    <mergeCell ref="F1624:F1625"/>
    <mergeCell ref="T1622:T1623"/>
    <mergeCell ref="V1622:X1623"/>
    <mergeCell ref="Y1622:Y1623"/>
    <mergeCell ref="G1623:H1623"/>
    <mergeCell ref="O1622:O1623"/>
    <mergeCell ref="Q1622:Q1623"/>
    <mergeCell ref="R1622:R1623"/>
    <mergeCell ref="S1622:S1623"/>
    <mergeCell ref="F1622:F1623"/>
    <mergeCell ref="G1622:H1622"/>
    <mergeCell ref="I1622:K1623"/>
    <mergeCell ref="M1622:M1623"/>
    <mergeCell ref="V1620:X1621"/>
    <mergeCell ref="Y1620:Y1621"/>
    <mergeCell ref="G1621:H1621"/>
    <mergeCell ref="A1622:A1623"/>
    <mergeCell ref="B1622:B1623"/>
    <mergeCell ref="C1622:C1623"/>
    <mergeCell ref="D1622:D1623"/>
    <mergeCell ref="E1622:E1623"/>
    <mergeCell ref="Q1620:Q1621"/>
    <mergeCell ref="R1620:R1621"/>
    <mergeCell ref="S1620:S1621"/>
    <mergeCell ref="T1620:T1621"/>
    <mergeCell ref="G1620:H1620"/>
    <mergeCell ref="I1620:K1621"/>
    <mergeCell ref="M1620:M1621"/>
    <mergeCell ref="O1620:O1621"/>
    <mergeCell ref="A1620:A1621"/>
    <mergeCell ref="B1620:B1621"/>
    <mergeCell ref="C1620:C1621"/>
    <mergeCell ref="D1620:D1621"/>
    <mergeCell ref="E1620:E1621"/>
    <mergeCell ref="F1620:F1621"/>
    <mergeCell ref="T1618:T1619"/>
    <mergeCell ref="V1618:X1619"/>
    <mergeCell ref="Y1618:Y1619"/>
    <mergeCell ref="G1619:H1619"/>
    <mergeCell ref="O1618:O1619"/>
    <mergeCell ref="Q1618:Q1619"/>
    <mergeCell ref="R1618:R1619"/>
    <mergeCell ref="S1618:S1619"/>
    <mergeCell ref="F1618:F1619"/>
    <mergeCell ref="G1618:H1618"/>
    <mergeCell ref="I1618:K1619"/>
    <mergeCell ref="M1618:M1619"/>
    <mergeCell ref="V1616:X1617"/>
    <mergeCell ref="Y1616:Y1617"/>
    <mergeCell ref="G1617:H1617"/>
    <mergeCell ref="A1618:A1619"/>
    <mergeCell ref="B1618:B1619"/>
    <mergeCell ref="C1618:C1619"/>
    <mergeCell ref="D1618:D1619"/>
    <mergeCell ref="E1618:E1619"/>
    <mergeCell ref="Q1616:Q1617"/>
    <mergeCell ref="R1616:R1617"/>
    <mergeCell ref="S1616:S1617"/>
    <mergeCell ref="T1616:T1617"/>
    <mergeCell ref="G1616:H1616"/>
    <mergeCell ref="I1616:K1617"/>
    <mergeCell ref="M1616:M1617"/>
    <mergeCell ref="O1616:O1617"/>
    <mergeCell ref="A1616:A1617"/>
    <mergeCell ref="B1616:B1617"/>
    <mergeCell ref="C1616:C1617"/>
    <mergeCell ref="D1616:D1617"/>
    <mergeCell ref="E1616:E1617"/>
    <mergeCell ref="F1616:F1617"/>
    <mergeCell ref="T1614:T1615"/>
    <mergeCell ref="V1614:X1615"/>
    <mergeCell ref="Y1614:Y1615"/>
    <mergeCell ref="G1615:H1615"/>
    <mergeCell ref="O1614:O1615"/>
    <mergeCell ref="Q1614:Q1615"/>
    <mergeCell ref="R1614:R1615"/>
    <mergeCell ref="S1614:S1615"/>
    <mergeCell ref="F1614:F1615"/>
    <mergeCell ref="G1614:H1614"/>
    <mergeCell ref="I1614:K1615"/>
    <mergeCell ref="M1614:M1615"/>
    <mergeCell ref="V1612:X1613"/>
    <mergeCell ref="Y1612:Y1613"/>
    <mergeCell ref="G1613:H1613"/>
    <mergeCell ref="A1614:A1615"/>
    <mergeCell ref="B1614:B1615"/>
    <mergeCell ref="C1614:C1615"/>
    <mergeCell ref="D1614:D1615"/>
    <mergeCell ref="E1614:E1615"/>
    <mergeCell ref="Q1612:Q1613"/>
    <mergeCell ref="R1612:R1613"/>
    <mergeCell ref="S1612:S1613"/>
    <mergeCell ref="T1612:T1613"/>
    <mergeCell ref="G1612:H1612"/>
    <mergeCell ref="I1612:K1613"/>
    <mergeCell ref="M1612:M1613"/>
    <mergeCell ref="O1612:O1613"/>
    <mergeCell ref="A1612:A1613"/>
    <mergeCell ref="B1612:B1613"/>
    <mergeCell ref="C1612:C1613"/>
    <mergeCell ref="D1612:D1613"/>
    <mergeCell ref="E1612:E1613"/>
    <mergeCell ref="F1612:F1613"/>
    <mergeCell ref="T1610:T1611"/>
    <mergeCell ref="V1610:X1611"/>
    <mergeCell ref="Y1610:Y1611"/>
    <mergeCell ref="G1611:H1611"/>
    <mergeCell ref="O1610:O1611"/>
    <mergeCell ref="Q1610:Q1611"/>
    <mergeCell ref="R1610:R1611"/>
    <mergeCell ref="S1610:S1611"/>
    <mergeCell ref="F1610:F1611"/>
    <mergeCell ref="G1610:H1610"/>
    <mergeCell ref="I1610:K1611"/>
    <mergeCell ref="M1610:M1611"/>
    <mergeCell ref="V1608:X1609"/>
    <mergeCell ref="Y1608:Y1609"/>
    <mergeCell ref="G1609:H1609"/>
    <mergeCell ref="A1610:A1611"/>
    <mergeCell ref="B1610:B1611"/>
    <mergeCell ref="C1610:C1611"/>
    <mergeCell ref="D1610:D1611"/>
    <mergeCell ref="E1610:E1611"/>
    <mergeCell ref="Q1608:Q1609"/>
    <mergeCell ref="R1608:R1609"/>
    <mergeCell ref="S1608:S1609"/>
    <mergeCell ref="T1608:T1609"/>
    <mergeCell ref="G1608:H1608"/>
    <mergeCell ref="I1608:K1609"/>
    <mergeCell ref="M1608:M1609"/>
    <mergeCell ref="O1608:O1609"/>
    <mergeCell ref="A1608:A1609"/>
    <mergeCell ref="B1608:B1609"/>
    <mergeCell ref="C1608:C1609"/>
    <mergeCell ref="D1608:D1609"/>
    <mergeCell ref="E1608:E1609"/>
    <mergeCell ref="F1608:F1609"/>
    <mergeCell ref="T1606:T1607"/>
    <mergeCell ref="V1606:X1607"/>
    <mergeCell ref="Y1606:Y1607"/>
    <mergeCell ref="G1607:H1607"/>
    <mergeCell ref="O1606:O1607"/>
    <mergeCell ref="Q1606:Q1607"/>
    <mergeCell ref="R1606:R1607"/>
    <mergeCell ref="S1606:S1607"/>
    <mergeCell ref="F1606:F1607"/>
    <mergeCell ref="G1606:H1606"/>
    <mergeCell ref="I1606:K1607"/>
    <mergeCell ref="M1606:M1607"/>
    <mergeCell ref="V1604:X1605"/>
    <mergeCell ref="Y1604:Y1605"/>
    <mergeCell ref="G1605:H1605"/>
    <mergeCell ref="A1606:A1607"/>
    <mergeCell ref="B1606:B1607"/>
    <mergeCell ref="C1606:C1607"/>
    <mergeCell ref="D1606:D1607"/>
    <mergeCell ref="E1606:E1607"/>
    <mergeCell ref="Q1604:Q1605"/>
    <mergeCell ref="R1604:R1605"/>
    <mergeCell ref="S1604:S1605"/>
    <mergeCell ref="T1604:T1605"/>
    <mergeCell ref="G1604:H1604"/>
    <mergeCell ref="I1604:K1605"/>
    <mergeCell ref="M1604:M1605"/>
    <mergeCell ref="O1604:O1605"/>
    <mergeCell ref="A1604:A1605"/>
    <mergeCell ref="B1604:B1605"/>
    <mergeCell ref="C1604:C1605"/>
    <mergeCell ref="D1604:D1605"/>
    <mergeCell ref="E1604:E1605"/>
    <mergeCell ref="F1604:F1605"/>
    <mergeCell ref="T1602:T1603"/>
    <mergeCell ref="V1602:X1603"/>
    <mergeCell ref="Y1602:Y1603"/>
    <mergeCell ref="G1603:H1603"/>
    <mergeCell ref="O1602:O1603"/>
    <mergeCell ref="Q1602:Q1603"/>
    <mergeCell ref="R1602:R1603"/>
    <mergeCell ref="S1602:S1603"/>
    <mergeCell ref="F1602:F1603"/>
    <mergeCell ref="G1602:H1602"/>
    <mergeCell ref="I1602:K1603"/>
    <mergeCell ref="M1602:M1603"/>
    <mergeCell ref="V1600:X1601"/>
    <mergeCell ref="Y1600:Y1601"/>
    <mergeCell ref="G1601:H1601"/>
    <mergeCell ref="A1602:A1603"/>
    <mergeCell ref="B1602:B1603"/>
    <mergeCell ref="C1602:C1603"/>
    <mergeCell ref="D1602:D1603"/>
    <mergeCell ref="E1602:E1603"/>
    <mergeCell ref="Q1600:Q1601"/>
    <mergeCell ref="R1600:R1601"/>
    <mergeCell ref="S1600:S1601"/>
    <mergeCell ref="T1600:T1601"/>
    <mergeCell ref="G1600:H1600"/>
    <mergeCell ref="I1600:K1601"/>
    <mergeCell ref="M1600:M1601"/>
    <mergeCell ref="O1600:O1601"/>
    <mergeCell ref="A1600:A1601"/>
    <mergeCell ref="B1600:B1601"/>
    <mergeCell ref="C1600:C1601"/>
    <mergeCell ref="D1600:D1601"/>
    <mergeCell ref="E1600:E1601"/>
    <mergeCell ref="F1600:F1601"/>
    <mergeCell ref="T1598:T1599"/>
    <mergeCell ref="V1598:X1599"/>
    <mergeCell ref="Y1598:Y1599"/>
    <mergeCell ref="G1599:H1599"/>
    <mergeCell ref="O1598:O1599"/>
    <mergeCell ref="Q1598:Q1599"/>
    <mergeCell ref="R1598:R1599"/>
    <mergeCell ref="S1598:S1599"/>
    <mergeCell ref="F1598:F1599"/>
    <mergeCell ref="G1598:H1598"/>
    <mergeCell ref="I1598:K1599"/>
    <mergeCell ref="M1598:M1599"/>
    <mergeCell ref="V1596:X1597"/>
    <mergeCell ref="Y1596:Y1597"/>
    <mergeCell ref="G1597:H1597"/>
    <mergeCell ref="A1598:A1599"/>
    <mergeCell ref="B1598:B1599"/>
    <mergeCell ref="C1598:C1599"/>
    <mergeCell ref="D1598:D1599"/>
    <mergeCell ref="E1598:E1599"/>
    <mergeCell ref="Q1596:Q1597"/>
    <mergeCell ref="R1596:R1597"/>
    <mergeCell ref="S1596:S1597"/>
    <mergeCell ref="T1596:T1597"/>
    <mergeCell ref="G1596:H1596"/>
    <mergeCell ref="I1596:K1597"/>
    <mergeCell ref="M1596:M1597"/>
    <mergeCell ref="O1596:O1597"/>
    <mergeCell ref="A1596:A1597"/>
    <mergeCell ref="B1596:B1597"/>
    <mergeCell ref="C1596:C1597"/>
    <mergeCell ref="D1596:D1597"/>
    <mergeCell ref="E1596:E1597"/>
    <mergeCell ref="F1596:F1597"/>
    <mergeCell ref="T1594:T1595"/>
    <mergeCell ref="V1594:X1595"/>
    <mergeCell ref="Y1594:Y1595"/>
    <mergeCell ref="G1595:H1595"/>
    <mergeCell ref="O1594:O1595"/>
    <mergeCell ref="Q1594:Q1595"/>
    <mergeCell ref="R1594:R1595"/>
    <mergeCell ref="S1594:S1595"/>
    <mergeCell ref="F1594:F1595"/>
    <mergeCell ref="G1594:H1594"/>
    <mergeCell ref="I1594:K1595"/>
    <mergeCell ref="M1594:M1595"/>
    <mergeCell ref="V1592:X1593"/>
    <mergeCell ref="Y1592:Y1593"/>
    <mergeCell ref="G1593:H1593"/>
    <mergeCell ref="A1594:A1595"/>
    <mergeCell ref="B1594:B1595"/>
    <mergeCell ref="C1594:C1595"/>
    <mergeCell ref="D1594:D1595"/>
    <mergeCell ref="E1594:E1595"/>
    <mergeCell ref="Q1592:Q1593"/>
    <mergeCell ref="R1592:R1593"/>
    <mergeCell ref="S1592:S1593"/>
    <mergeCell ref="T1592:T1593"/>
    <mergeCell ref="G1592:H1592"/>
    <mergeCell ref="I1592:K1593"/>
    <mergeCell ref="M1592:M1593"/>
    <mergeCell ref="O1592:O1593"/>
    <mergeCell ref="A1592:A1593"/>
    <mergeCell ref="B1592:B1593"/>
    <mergeCell ref="C1592:C1593"/>
    <mergeCell ref="D1592:D1593"/>
    <mergeCell ref="E1592:E1593"/>
    <mergeCell ref="F1592:F1593"/>
    <mergeCell ref="T1590:T1591"/>
    <mergeCell ref="V1590:X1591"/>
    <mergeCell ref="Y1590:Y1591"/>
    <mergeCell ref="G1591:H1591"/>
    <mergeCell ref="O1590:O1591"/>
    <mergeCell ref="Q1590:Q1591"/>
    <mergeCell ref="R1590:R1591"/>
    <mergeCell ref="S1590:S1591"/>
    <mergeCell ref="F1590:F1591"/>
    <mergeCell ref="G1590:H1590"/>
    <mergeCell ref="I1590:K1591"/>
    <mergeCell ref="M1590:M1591"/>
    <mergeCell ref="V1588:X1589"/>
    <mergeCell ref="Y1588:Y1589"/>
    <mergeCell ref="G1589:H1589"/>
    <mergeCell ref="A1590:A1591"/>
    <mergeCell ref="B1590:B1591"/>
    <mergeCell ref="C1590:C1591"/>
    <mergeCell ref="D1590:D1591"/>
    <mergeCell ref="E1590:E1591"/>
    <mergeCell ref="Q1588:Q1589"/>
    <mergeCell ref="R1588:R1589"/>
    <mergeCell ref="S1588:S1589"/>
    <mergeCell ref="T1588:T1589"/>
    <mergeCell ref="G1588:H1588"/>
    <mergeCell ref="I1588:K1589"/>
    <mergeCell ref="M1588:M1589"/>
    <mergeCell ref="O1588:O1589"/>
    <mergeCell ref="A1588:A1589"/>
    <mergeCell ref="B1588:B1589"/>
    <mergeCell ref="C1588:C1589"/>
    <mergeCell ref="D1588:D1589"/>
    <mergeCell ref="E1588:E1589"/>
    <mergeCell ref="F1588:F1589"/>
    <mergeCell ref="T1586:T1587"/>
    <mergeCell ref="V1586:X1587"/>
    <mergeCell ref="Y1586:Y1587"/>
    <mergeCell ref="G1587:H1587"/>
    <mergeCell ref="O1586:O1587"/>
    <mergeCell ref="Q1586:Q1587"/>
    <mergeCell ref="R1586:R1587"/>
    <mergeCell ref="S1586:S1587"/>
    <mergeCell ref="F1586:F1587"/>
    <mergeCell ref="G1586:H1586"/>
    <mergeCell ref="I1586:K1587"/>
    <mergeCell ref="M1586:M1587"/>
    <mergeCell ref="V1584:X1585"/>
    <mergeCell ref="Y1584:Y1585"/>
    <mergeCell ref="G1585:H1585"/>
    <mergeCell ref="A1586:A1587"/>
    <mergeCell ref="B1586:B1587"/>
    <mergeCell ref="C1586:C1587"/>
    <mergeCell ref="D1586:D1587"/>
    <mergeCell ref="E1586:E1587"/>
    <mergeCell ref="Q1584:Q1585"/>
    <mergeCell ref="R1584:R1585"/>
    <mergeCell ref="S1584:S1585"/>
    <mergeCell ref="T1584:T1585"/>
    <mergeCell ref="G1584:H1584"/>
    <mergeCell ref="I1584:K1585"/>
    <mergeCell ref="M1584:M1585"/>
    <mergeCell ref="O1584:O1585"/>
    <mergeCell ref="A1584:A1585"/>
    <mergeCell ref="B1584:B1585"/>
    <mergeCell ref="C1584:C1585"/>
    <mergeCell ref="D1584:D1585"/>
    <mergeCell ref="E1584:E1585"/>
    <mergeCell ref="F1584:F1585"/>
    <mergeCell ref="T1582:T1583"/>
    <mergeCell ref="V1582:X1583"/>
    <mergeCell ref="Y1582:Y1583"/>
    <mergeCell ref="G1583:H1583"/>
    <mergeCell ref="O1582:O1583"/>
    <mergeCell ref="Q1582:Q1583"/>
    <mergeCell ref="R1582:R1583"/>
    <mergeCell ref="S1582:S1583"/>
    <mergeCell ref="F1582:F1583"/>
    <mergeCell ref="G1582:H1582"/>
    <mergeCell ref="I1582:K1583"/>
    <mergeCell ref="M1582:M1583"/>
    <mergeCell ref="V1580:X1581"/>
    <mergeCell ref="Y1580:Y1581"/>
    <mergeCell ref="G1581:H1581"/>
    <mergeCell ref="A1582:A1583"/>
    <mergeCell ref="B1582:B1583"/>
    <mergeCell ref="C1582:C1583"/>
    <mergeCell ref="D1582:D1583"/>
    <mergeCell ref="E1582:E1583"/>
    <mergeCell ref="Q1580:Q1581"/>
    <mergeCell ref="R1580:R1581"/>
    <mergeCell ref="S1580:S1581"/>
    <mergeCell ref="T1580:T1581"/>
    <mergeCell ref="G1580:H1580"/>
    <mergeCell ref="I1580:K1581"/>
    <mergeCell ref="M1580:M1581"/>
    <mergeCell ref="O1580:O1581"/>
    <mergeCell ref="A1580:A1581"/>
    <mergeCell ref="B1580:B1581"/>
    <mergeCell ref="C1580:C1581"/>
    <mergeCell ref="D1580:D1581"/>
    <mergeCell ref="E1580:E1581"/>
    <mergeCell ref="F1580:F1581"/>
    <mergeCell ref="T1578:T1579"/>
    <mergeCell ref="V1578:X1579"/>
    <mergeCell ref="Y1578:Y1579"/>
    <mergeCell ref="G1579:H1579"/>
    <mergeCell ref="O1578:O1579"/>
    <mergeCell ref="Q1578:Q1579"/>
    <mergeCell ref="R1578:R1579"/>
    <mergeCell ref="S1578:S1579"/>
    <mergeCell ref="F1578:F1579"/>
    <mergeCell ref="G1578:H1578"/>
    <mergeCell ref="I1578:K1579"/>
    <mergeCell ref="M1578:M1579"/>
    <mergeCell ref="V1576:X1577"/>
    <mergeCell ref="Y1576:Y1577"/>
    <mergeCell ref="G1577:H1577"/>
    <mergeCell ref="A1578:A1579"/>
    <mergeCell ref="B1578:B1579"/>
    <mergeCell ref="C1578:C1579"/>
    <mergeCell ref="D1578:D1579"/>
    <mergeCell ref="E1578:E1579"/>
    <mergeCell ref="Q1576:Q1577"/>
    <mergeCell ref="R1576:R1577"/>
    <mergeCell ref="S1576:S1577"/>
    <mergeCell ref="T1576:T1577"/>
    <mergeCell ref="G1576:H1576"/>
    <mergeCell ref="I1576:K1577"/>
    <mergeCell ref="M1576:M1577"/>
    <mergeCell ref="O1576:O1577"/>
    <mergeCell ref="A1576:A1577"/>
    <mergeCell ref="B1576:B1577"/>
    <mergeCell ref="C1576:C1577"/>
    <mergeCell ref="D1576:D1577"/>
    <mergeCell ref="E1576:E1577"/>
    <mergeCell ref="F1576:F1577"/>
    <mergeCell ref="T1574:T1575"/>
    <mergeCell ref="V1574:X1575"/>
    <mergeCell ref="Y1574:Y1575"/>
    <mergeCell ref="G1575:H1575"/>
    <mergeCell ref="O1574:O1575"/>
    <mergeCell ref="Q1574:Q1575"/>
    <mergeCell ref="R1574:R1575"/>
    <mergeCell ref="S1574:S1575"/>
    <mergeCell ref="F1574:F1575"/>
    <mergeCell ref="G1574:H1574"/>
    <mergeCell ref="I1574:K1575"/>
    <mergeCell ref="M1574:M1575"/>
    <mergeCell ref="V1572:X1573"/>
    <mergeCell ref="Y1572:Y1573"/>
    <mergeCell ref="G1573:H1573"/>
    <mergeCell ref="A1574:A1575"/>
    <mergeCell ref="B1574:B1575"/>
    <mergeCell ref="C1574:C1575"/>
    <mergeCell ref="D1574:D1575"/>
    <mergeCell ref="E1574:E1575"/>
    <mergeCell ref="Q1572:Q1573"/>
    <mergeCell ref="R1572:R1573"/>
    <mergeCell ref="S1572:S1573"/>
    <mergeCell ref="T1572:T1573"/>
    <mergeCell ref="G1572:H1572"/>
    <mergeCell ref="I1572:K1573"/>
    <mergeCell ref="M1572:M1573"/>
    <mergeCell ref="O1572:O1573"/>
    <mergeCell ref="A1572:A1573"/>
    <mergeCell ref="B1572:B1573"/>
    <mergeCell ref="C1572:C1573"/>
    <mergeCell ref="D1572:D1573"/>
    <mergeCell ref="E1572:E1573"/>
    <mergeCell ref="F1572:F1573"/>
    <mergeCell ref="T1570:T1571"/>
    <mergeCell ref="V1570:X1571"/>
    <mergeCell ref="Y1570:Y1571"/>
    <mergeCell ref="G1571:H1571"/>
    <mergeCell ref="O1570:O1571"/>
    <mergeCell ref="Q1570:Q1571"/>
    <mergeCell ref="R1570:R1571"/>
    <mergeCell ref="S1570:S1571"/>
    <mergeCell ref="F1570:F1571"/>
    <mergeCell ref="G1570:H1570"/>
    <mergeCell ref="I1570:K1571"/>
    <mergeCell ref="M1570:M1571"/>
    <mergeCell ref="V1568:X1569"/>
    <mergeCell ref="Y1568:Y1569"/>
    <mergeCell ref="G1569:H1569"/>
    <mergeCell ref="A1570:A1571"/>
    <mergeCell ref="B1570:B1571"/>
    <mergeCell ref="C1570:C1571"/>
    <mergeCell ref="D1570:D1571"/>
    <mergeCell ref="E1570:E1571"/>
    <mergeCell ref="Q1568:Q1569"/>
    <mergeCell ref="R1568:R1569"/>
    <mergeCell ref="S1568:S1569"/>
    <mergeCell ref="T1568:T1569"/>
    <mergeCell ref="G1568:H1568"/>
    <mergeCell ref="I1568:K1569"/>
    <mergeCell ref="M1568:M1569"/>
    <mergeCell ref="O1568:O1569"/>
    <mergeCell ref="A1568:A1569"/>
    <mergeCell ref="B1568:B1569"/>
    <mergeCell ref="C1568:C1569"/>
    <mergeCell ref="D1568:D1569"/>
    <mergeCell ref="E1568:E1569"/>
    <mergeCell ref="F1568:F1569"/>
    <mergeCell ref="T1566:T1567"/>
    <mergeCell ref="V1566:X1567"/>
    <mergeCell ref="Y1566:Y1567"/>
    <mergeCell ref="G1567:H1567"/>
    <mergeCell ref="O1566:O1567"/>
    <mergeCell ref="Q1566:Q1567"/>
    <mergeCell ref="R1566:R1567"/>
    <mergeCell ref="S1566:S1567"/>
    <mergeCell ref="F1566:F1567"/>
    <mergeCell ref="G1566:H1566"/>
    <mergeCell ref="I1566:K1567"/>
    <mergeCell ref="M1566:M1567"/>
    <mergeCell ref="V1564:X1565"/>
    <mergeCell ref="Y1564:Y1565"/>
    <mergeCell ref="G1565:H1565"/>
    <mergeCell ref="A1566:A1567"/>
    <mergeCell ref="B1566:B1567"/>
    <mergeCell ref="C1566:C1567"/>
    <mergeCell ref="D1566:D1567"/>
    <mergeCell ref="E1566:E1567"/>
    <mergeCell ref="Q1564:Q1565"/>
    <mergeCell ref="R1564:R1565"/>
    <mergeCell ref="S1564:S1565"/>
    <mergeCell ref="T1564:T1565"/>
    <mergeCell ref="G1564:H1564"/>
    <mergeCell ref="I1564:K1565"/>
    <mergeCell ref="M1564:M1565"/>
    <mergeCell ref="O1564:O1565"/>
    <mergeCell ref="A1564:A1565"/>
    <mergeCell ref="B1564:B1565"/>
    <mergeCell ref="C1564:C1565"/>
    <mergeCell ref="D1564:D1565"/>
    <mergeCell ref="E1564:E1565"/>
    <mergeCell ref="F1564:F1565"/>
    <mergeCell ref="T1562:T1563"/>
    <mergeCell ref="V1562:X1563"/>
    <mergeCell ref="Y1562:Y1563"/>
    <mergeCell ref="G1563:H1563"/>
    <mergeCell ref="O1562:O1563"/>
    <mergeCell ref="Q1562:Q1563"/>
    <mergeCell ref="R1562:R1563"/>
    <mergeCell ref="S1562:S1563"/>
    <mergeCell ref="F1562:F1563"/>
    <mergeCell ref="G1562:H1562"/>
    <mergeCell ref="I1562:K1563"/>
    <mergeCell ref="M1562:M1563"/>
    <mergeCell ref="V1560:X1561"/>
    <mergeCell ref="Y1560:Y1561"/>
    <mergeCell ref="G1561:H1561"/>
    <mergeCell ref="A1562:A1563"/>
    <mergeCell ref="B1562:B1563"/>
    <mergeCell ref="C1562:C1563"/>
    <mergeCell ref="D1562:D1563"/>
    <mergeCell ref="E1562:E1563"/>
    <mergeCell ref="Q1560:Q1561"/>
    <mergeCell ref="R1560:R1561"/>
    <mergeCell ref="S1560:S1561"/>
    <mergeCell ref="T1560:T1561"/>
    <mergeCell ref="G1560:H1560"/>
    <mergeCell ref="I1560:K1561"/>
    <mergeCell ref="M1560:M1561"/>
    <mergeCell ref="O1560:O1561"/>
    <mergeCell ref="A1560:A1561"/>
    <mergeCell ref="B1560:B1561"/>
    <mergeCell ref="C1560:C1561"/>
    <mergeCell ref="D1560:D1561"/>
    <mergeCell ref="E1560:E1561"/>
    <mergeCell ref="F1560:F1561"/>
    <mergeCell ref="T1558:T1559"/>
    <mergeCell ref="V1558:X1559"/>
    <mergeCell ref="Y1558:Y1559"/>
    <mergeCell ref="G1559:H1559"/>
    <mergeCell ref="O1558:O1559"/>
    <mergeCell ref="Q1558:Q1559"/>
    <mergeCell ref="R1558:R1559"/>
    <mergeCell ref="S1558:S1559"/>
    <mergeCell ref="F1558:F1559"/>
    <mergeCell ref="G1558:H1558"/>
    <mergeCell ref="I1558:K1559"/>
    <mergeCell ref="M1558:M1559"/>
    <mergeCell ref="V1556:X1557"/>
    <mergeCell ref="Y1556:Y1557"/>
    <mergeCell ref="G1557:H1557"/>
    <mergeCell ref="A1558:A1559"/>
    <mergeCell ref="B1558:B1559"/>
    <mergeCell ref="C1558:C1559"/>
    <mergeCell ref="D1558:D1559"/>
    <mergeCell ref="E1558:E1559"/>
    <mergeCell ref="Q1556:Q1557"/>
    <mergeCell ref="R1556:R1557"/>
    <mergeCell ref="S1556:S1557"/>
    <mergeCell ref="T1556:T1557"/>
    <mergeCell ref="G1556:H1556"/>
    <mergeCell ref="I1556:K1557"/>
    <mergeCell ref="M1556:M1557"/>
    <mergeCell ref="O1556:O1557"/>
    <mergeCell ref="A1556:A1557"/>
    <mergeCell ref="B1556:B1557"/>
    <mergeCell ref="C1556:C1557"/>
    <mergeCell ref="D1556:D1557"/>
    <mergeCell ref="E1556:E1557"/>
    <mergeCell ref="F1556:F1557"/>
    <mergeCell ref="T1554:T1555"/>
    <mergeCell ref="V1554:X1555"/>
    <mergeCell ref="Y1554:Y1555"/>
    <mergeCell ref="G1555:H1555"/>
    <mergeCell ref="O1554:O1555"/>
    <mergeCell ref="Q1554:Q1555"/>
    <mergeCell ref="R1554:R1555"/>
    <mergeCell ref="S1554:S1555"/>
    <mergeCell ref="F1554:F1555"/>
    <mergeCell ref="G1554:H1554"/>
    <mergeCell ref="I1554:K1555"/>
    <mergeCell ref="M1554:M1555"/>
    <mergeCell ref="V1552:X1553"/>
    <mergeCell ref="Y1552:Y1553"/>
    <mergeCell ref="G1553:H1553"/>
    <mergeCell ref="A1554:A1555"/>
    <mergeCell ref="B1554:B1555"/>
    <mergeCell ref="C1554:C1555"/>
    <mergeCell ref="D1554:D1555"/>
    <mergeCell ref="E1554:E1555"/>
    <mergeCell ref="Q1552:Q1553"/>
    <mergeCell ref="R1552:R1553"/>
    <mergeCell ref="S1552:S1553"/>
    <mergeCell ref="T1552:T1553"/>
    <mergeCell ref="G1552:H1552"/>
    <mergeCell ref="I1552:K1553"/>
    <mergeCell ref="M1552:M1553"/>
    <mergeCell ref="O1552:O1553"/>
    <mergeCell ref="A1552:A1553"/>
    <mergeCell ref="B1552:B1553"/>
    <mergeCell ref="C1552:C1553"/>
    <mergeCell ref="D1552:D1553"/>
    <mergeCell ref="E1552:E1553"/>
    <mergeCell ref="F1552:F1553"/>
    <mergeCell ref="T1550:T1551"/>
    <mergeCell ref="V1550:X1551"/>
    <mergeCell ref="Y1550:Y1551"/>
    <mergeCell ref="G1551:H1551"/>
    <mergeCell ref="O1550:O1551"/>
    <mergeCell ref="Q1550:Q1551"/>
    <mergeCell ref="R1550:R1551"/>
    <mergeCell ref="S1550:S1551"/>
    <mergeCell ref="F1550:F1551"/>
    <mergeCell ref="G1550:H1550"/>
    <mergeCell ref="I1550:K1551"/>
    <mergeCell ref="M1550:M1551"/>
    <mergeCell ref="V1548:X1549"/>
    <mergeCell ref="Y1548:Y1549"/>
    <mergeCell ref="G1549:H1549"/>
    <mergeCell ref="A1550:A1551"/>
    <mergeCell ref="B1550:B1551"/>
    <mergeCell ref="C1550:C1551"/>
    <mergeCell ref="D1550:D1551"/>
    <mergeCell ref="E1550:E1551"/>
    <mergeCell ref="Q1548:Q1549"/>
    <mergeCell ref="R1548:R1549"/>
    <mergeCell ref="S1548:S1549"/>
    <mergeCell ref="T1548:T1549"/>
    <mergeCell ref="G1548:H1548"/>
    <mergeCell ref="I1548:K1549"/>
    <mergeCell ref="M1548:M1549"/>
    <mergeCell ref="O1548:O1549"/>
    <mergeCell ref="A1548:A1549"/>
    <mergeCell ref="B1548:B1549"/>
    <mergeCell ref="C1548:C1549"/>
    <mergeCell ref="D1548:D1549"/>
    <mergeCell ref="E1548:E1549"/>
    <mergeCell ref="F1548:F1549"/>
    <mergeCell ref="T1546:T1547"/>
    <mergeCell ref="V1546:X1547"/>
    <mergeCell ref="Y1546:Y1547"/>
    <mergeCell ref="G1547:H1547"/>
    <mergeCell ref="O1546:O1547"/>
    <mergeCell ref="Q1546:Q1547"/>
    <mergeCell ref="R1546:R1547"/>
    <mergeCell ref="S1546:S1547"/>
    <mergeCell ref="F1546:F1547"/>
    <mergeCell ref="G1546:H1546"/>
    <mergeCell ref="I1546:K1547"/>
    <mergeCell ref="M1546:M1547"/>
    <mergeCell ref="V1544:X1545"/>
    <mergeCell ref="Y1544:Y1545"/>
    <mergeCell ref="G1545:H1545"/>
    <mergeCell ref="A1546:A1547"/>
    <mergeCell ref="B1546:B1547"/>
    <mergeCell ref="C1546:C1547"/>
    <mergeCell ref="D1546:D1547"/>
    <mergeCell ref="E1546:E1547"/>
    <mergeCell ref="Q1544:Q1545"/>
    <mergeCell ref="R1544:R1545"/>
    <mergeCell ref="S1544:S1545"/>
    <mergeCell ref="T1544:T1545"/>
    <mergeCell ref="G1544:H1544"/>
    <mergeCell ref="I1544:K1545"/>
    <mergeCell ref="M1544:M1545"/>
    <mergeCell ref="O1544:O1545"/>
    <mergeCell ref="A1544:A1545"/>
    <mergeCell ref="B1544:B1545"/>
    <mergeCell ref="C1544:C1545"/>
    <mergeCell ref="D1544:D1545"/>
    <mergeCell ref="E1544:E1545"/>
    <mergeCell ref="F1544:F1545"/>
    <mergeCell ref="T1542:T1543"/>
    <mergeCell ref="V1542:X1543"/>
    <mergeCell ref="Y1542:Y1543"/>
    <mergeCell ref="G1543:H1543"/>
    <mergeCell ref="O1542:O1543"/>
    <mergeCell ref="Q1542:Q1543"/>
    <mergeCell ref="R1542:R1543"/>
    <mergeCell ref="S1542:S1543"/>
    <mergeCell ref="F1542:F1543"/>
    <mergeCell ref="G1542:H1542"/>
    <mergeCell ref="I1542:K1543"/>
    <mergeCell ref="M1542:M1543"/>
    <mergeCell ref="V1540:X1541"/>
    <mergeCell ref="Y1540:Y1541"/>
    <mergeCell ref="G1541:H1541"/>
    <mergeCell ref="A1542:A1543"/>
    <mergeCell ref="B1542:B1543"/>
    <mergeCell ref="C1542:C1543"/>
    <mergeCell ref="D1542:D1543"/>
    <mergeCell ref="E1542:E1543"/>
    <mergeCell ref="Q1540:Q1541"/>
    <mergeCell ref="R1540:R1541"/>
    <mergeCell ref="S1540:S1541"/>
    <mergeCell ref="T1540:T1541"/>
    <mergeCell ref="G1540:H1540"/>
    <mergeCell ref="I1540:K1541"/>
    <mergeCell ref="M1540:M1541"/>
    <mergeCell ref="O1540:O1541"/>
    <mergeCell ref="A1540:A1541"/>
    <mergeCell ref="B1540:B1541"/>
    <mergeCell ref="C1540:C1541"/>
    <mergeCell ref="D1540:D1541"/>
    <mergeCell ref="E1540:E1541"/>
    <mergeCell ref="F1540:F1541"/>
    <mergeCell ref="T1538:T1539"/>
    <mergeCell ref="V1538:X1539"/>
    <mergeCell ref="Y1538:Y1539"/>
    <mergeCell ref="G1539:H1539"/>
    <mergeCell ref="O1538:O1539"/>
    <mergeCell ref="Q1538:Q1539"/>
    <mergeCell ref="R1538:R1539"/>
    <mergeCell ref="S1538:S1539"/>
    <mergeCell ref="F1538:F1539"/>
    <mergeCell ref="G1538:H1538"/>
    <mergeCell ref="I1538:K1539"/>
    <mergeCell ref="M1538:M1539"/>
    <mergeCell ref="V1536:X1537"/>
    <mergeCell ref="Y1536:Y1537"/>
    <mergeCell ref="G1537:H1537"/>
    <mergeCell ref="A1538:A1539"/>
    <mergeCell ref="B1538:B1539"/>
    <mergeCell ref="C1538:C1539"/>
    <mergeCell ref="D1538:D1539"/>
    <mergeCell ref="E1538:E1539"/>
    <mergeCell ref="Q1536:Q1537"/>
    <mergeCell ref="R1536:R1537"/>
    <mergeCell ref="S1536:S1537"/>
    <mergeCell ref="T1536:T1537"/>
    <mergeCell ref="G1536:H1536"/>
    <mergeCell ref="I1536:K1537"/>
    <mergeCell ref="M1536:M1537"/>
    <mergeCell ref="O1536:O1537"/>
    <mergeCell ref="A1536:A1537"/>
    <mergeCell ref="B1536:B1537"/>
    <mergeCell ref="C1536:C1537"/>
    <mergeCell ref="D1536:D1537"/>
    <mergeCell ref="E1536:E1537"/>
    <mergeCell ref="F1536:F1537"/>
    <mergeCell ref="T1534:T1535"/>
    <mergeCell ref="V1534:X1535"/>
    <mergeCell ref="Y1534:Y1535"/>
    <mergeCell ref="G1535:H1535"/>
    <mergeCell ref="O1534:O1535"/>
    <mergeCell ref="Q1534:Q1535"/>
    <mergeCell ref="R1534:R1535"/>
    <mergeCell ref="S1534:S1535"/>
    <mergeCell ref="F1534:F1535"/>
    <mergeCell ref="G1534:H1534"/>
    <mergeCell ref="I1534:K1535"/>
    <mergeCell ref="M1534:M1535"/>
    <mergeCell ref="V1532:X1533"/>
    <mergeCell ref="Y1532:Y1533"/>
    <mergeCell ref="G1533:H1533"/>
    <mergeCell ref="A1534:A1535"/>
    <mergeCell ref="B1534:B1535"/>
    <mergeCell ref="C1534:C1535"/>
    <mergeCell ref="D1534:D1535"/>
    <mergeCell ref="E1534:E1535"/>
    <mergeCell ref="Q1532:Q1533"/>
    <mergeCell ref="R1532:R1533"/>
    <mergeCell ref="S1532:S1533"/>
    <mergeCell ref="T1532:T1533"/>
    <mergeCell ref="G1532:H1532"/>
    <mergeCell ref="I1532:K1533"/>
    <mergeCell ref="M1532:M1533"/>
    <mergeCell ref="O1532:O1533"/>
    <mergeCell ref="A1532:A1533"/>
    <mergeCell ref="B1532:B1533"/>
    <mergeCell ref="C1532:C1533"/>
    <mergeCell ref="D1532:D1533"/>
    <mergeCell ref="E1532:E1533"/>
    <mergeCell ref="F1532:F1533"/>
    <mergeCell ref="T1530:T1531"/>
    <mergeCell ref="V1530:X1531"/>
    <mergeCell ref="Y1530:Y1531"/>
    <mergeCell ref="G1531:H1531"/>
    <mergeCell ref="O1530:O1531"/>
    <mergeCell ref="Q1530:Q1531"/>
    <mergeCell ref="R1530:R1531"/>
    <mergeCell ref="S1530:S1531"/>
    <mergeCell ref="F1530:F1531"/>
    <mergeCell ref="G1530:H1530"/>
    <mergeCell ref="I1530:K1531"/>
    <mergeCell ref="M1530:M1531"/>
    <mergeCell ref="V1528:X1529"/>
    <mergeCell ref="Y1528:Y1529"/>
    <mergeCell ref="G1529:H1529"/>
    <mergeCell ref="A1530:A1531"/>
    <mergeCell ref="B1530:B1531"/>
    <mergeCell ref="C1530:C1531"/>
    <mergeCell ref="D1530:D1531"/>
    <mergeCell ref="E1530:E1531"/>
    <mergeCell ref="Q1528:Q1529"/>
    <mergeCell ref="R1528:R1529"/>
    <mergeCell ref="S1528:S1529"/>
    <mergeCell ref="T1528:T1529"/>
    <mergeCell ref="G1528:H1528"/>
    <mergeCell ref="I1528:K1529"/>
    <mergeCell ref="M1528:M1529"/>
    <mergeCell ref="O1528:O1529"/>
    <mergeCell ref="A1528:A1529"/>
    <mergeCell ref="B1528:B1529"/>
    <mergeCell ref="C1528:C1529"/>
    <mergeCell ref="D1528:D1529"/>
    <mergeCell ref="E1528:E1529"/>
    <mergeCell ref="F1528:F1529"/>
    <mergeCell ref="T1526:T1527"/>
    <mergeCell ref="V1526:X1527"/>
    <mergeCell ref="Y1526:Y1527"/>
    <mergeCell ref="G1527:H1527"/>
    <mergeCell ref="O1526:O1527"/>
    <mergeCell ref="Q1526:Q1527"/>
    <mergeCell ref="R1526:R1527"/>
    <mergeCell ref="S1526:S1527"/>
    <mergeCell ref="F1526:F1527"/>
    <mergeCell ref="G1526:H1526"/>
    <mergeCell ref="I1526:K1527"/>
    <mergeCell ref="M1526:M1527"/>
    <mergeCell ref="V1524:X1525"/>
    <mergeCell ref="Y1524:Y1525"/>
    <mergeCell ref="G1525:H1525"/>
    <mergeCell ref="A1526:A1527"/>
    <mergeCell ref="B1526:B1527"/>
    <mergeCell ref="C1526:C1527"/>
    <mergeCell ref="D1526:D1527"/>
    <mergeCell ref="E1526:E1527"/>
    <mergeCell ref="Q1524:Q1525"/>
    <mergeCell ref="R1524:R1525"/>
    <mergeCell ref="S1524:S1525"/>
    <mergeCell ref="T1524:T1525"/>
    <mergeCell ref="G1524:H1524"/>
    <mergeCell ref="I1524:K1525"/>
    <mergeCell ref="M1524:M1525"/>
    <mergeCell ref="O1524:O1525"/>
    <mergeCell ref="A1524:A1525"/>
    <mergeCell ref="B1524:B1525"/>
    <mergeCell ref="C1524:C1525"/>
    <mergeCell ref="D1524:D1525"/>
    <mergeCell ref="E1524:E1525"/>
    <mergeCell ref="F1524:F1525"/>
    <mergeCell ref="T1522:T1523"/>
    <mergeCell ref="V1522:X1523"/>
    <mergeCell ref="Y1522:Y1523"/>
    <mergeCell ref="G1523:H1523"/>
    <mergeCell ref="O1522:O1523"/>
    <mergeCell ref="Q1522:Q1523"/>
    <mergeCell ref="R1522:R1523"/>
    <mergeCell ref="S1522:S1523"/>
    <mergeCell ref="F1522:F1523"/>
    <mergeCell ref="G1522:H1522"/>
    <mergeCell ref="I1522:K1523"/>
    <mergeCell ref="M1522:M1523"/>
    <mergeCell ref="V1520:X1521"/>
    <mergeCell ref="Y1520:Y1521"/>
    <mergeCell ref="G1521:H1521"/>
    <mergeCell ref="A1522:A1523"/>
    <mergeCell ref="B1522:B1523"/>
    <mergeCell ref="C1522:C1523"/>
    <mergeCell ref="D1522:D1523"/>
    <mergeCell ref="E1522:E1523"/>
    <mergeCell ref="Q1520:Q1521"/>
    <mergeCell ref="R1520:R1521"/>
    <mergeCell ref="S1520:S1521"/>
    <mergeCell ref="T1520:T1521"/>
    <mergeCell ref="G1520:H1520"/>
    <mergeCell ref="I1520:K1521"/>
    <mergeCell ref="M1520:M1521"/>
    <mergeCell ref="O1520:O1521"/>
    <mergeCell ref="A1520:A1521"/>
    <mergeCell ref="B1520:B1521"/>
    <mergeCell ref="C1520:C1521"/>
    <mergeCell ref="D1520:D1521"/>
    <mergeCell ref="E1520:E1521"/>
    <mergeCell ref="F1520:F1521"/>
    <mergeCell ref="T1518:T1519"/>
    <mergeCell ref="V1518:X1519"/>
    <mergeCell ref="Y1518:Y1519"/>
    <mergeCell ref="G1519:H1519"/>
    <mergeCell ref="O1518:O1519"/>
    <mergeCell ref="Q1518:Q1519"/>
    <mergeCell ref="R1518:R1519"/>
    <mergeCell ref="S1518:S1519"/>
    <mergeCell ref="F1518:F1519"/>
    <mergeCell ref="G1518:H1518"/>
    <mergeCell ref="I1518:K1519"/>
    <mergeCell ref="M1518:M1519"/>
    <mergeCell ref="V1516:X1517"/>
    <mergeCell ref="Y1516:Y1517"/>
    <mergeCell ref="G1517:H1517"/>
    <mergeCell ref="A1518:A1519"/>
    <mergeCell ref="B1518:B1519"/>
    <mergeCell ref="C1518:C1519"/>
    <mergeCell ref="D1518:D1519"/>
    <mergeCell ref="E1518:E1519"/>
    <mergeCell ref="Q1516:Q1517"/>
    <mergeCell ref="R1516:R1517"/>
    <mergeCell ref="S1516:S1517"/>
    <mergeCell ref="T1516:T1517"/>
    <mergeCell ref="G1516:H1516"/>
    <mergeCell ref="I1516:K1517"/>
    <mergeCell ref="M1516:M1517"/>
    <mergeCell ref="O1516:O1517"/>
    <mergeCell ref="A1516:A1517"/>
    <mergeCell ref="B1516:B1517"/>
    <mergeCell ref="C1516:C1517"/>
    <mergeCell ref="D1516:D1517"/>
    <mergeCell ref="E1516:E1517"/>
    <mergeCell ref="F1516:F1517"/>
    <mergeCell ref="T1514:T1515"/>
    <mergeCell ref="V1514:X1515"/>
    <mergeCell ref="Y1514:Y1515"/>
    <mergeCell ref="G1515:H1515"/>
    <mergeCell ref="O1514:O1515"/>
    <mergeCell ref="Q1514:Q1515"/>
    <mergeCell ref="R1514:R1515"/>
    <mergeCell ref="S1514:S1515"/>
    <mergeCell ref="F1514:F1515"/>
    <mergeCell ref="G1514:H1514"/>
    <mergeCell ref="I1514:K1515"/>
    <mergeCell ref="M1514:M1515"/>
    <mergeCell ref="V1512:X1513"/>
    <mergeCell ref="Y1512:Y1513"/>
    <mergeCell ref="G1513:H1513"/>
    <mergeCell ref="A1514:A1515"/>
    <mergeCell ref="B1514:B1515"/>
    <mergeCell ref="C1514:C1515"/>
    <mergeCell ref="D1514:D1515"/>
    <mergeCell ref="E1514:E1515"/>
    <mergeCell ref="Q1512:Q1513"/>
    <mergeCell ref="R1512:R1513"/>
    <mergeCell ref="S1512:S1513"/>
    <mergeCell ref="T1512:T1513"/>
    <mergeCell ref="G1512:H1512"/>
    <mergeCell ref="I1512:K1513"/>
    <mergeCell ref="M1512:M1513"/>
    <mergeCell ref="O1512:O1513"/>
    <mergeCell ref="A1512:A1513"/>
    <mergeCell ref="B1512:B1513"/>
    <mergeCell ref="C1512:C1513"/>
    <mergeCell ref="D1512:D1513"/>
    <mergeCell ref="E1512:E1513"/>
    <mergeCell ref="F1512:F1513"/>
    <mergeCell ref="T1510:T1511"/>
    <mergeCell ref="V1510:X1511"/>
    <mergeCell ref="Y1510:Y1511"/>
    <mergeCell ref="G1511:H1511"/>
    <mergeCell ref="O1510:O1511"/>
    <mergeCell ref="Q1510:Q1511"/>
    <mergeCell ref="R1510:R1511"/>
    <mergeCell ref="S1510:S1511"/>
    <mergeCell ref="F1510:F1511"/>
    <mergeCell ref="G1510:H1510"/>
    <mergeCell ref="I1510:K1511"/>
    <mergeCell ref="M1510:M1511"/>
    <mergeCell ref="V1508:X1509"/>
    <mergeCell ref="Y1508:Y1509"/>
    <mergeCell ref="G1509:H1509"/>
    <mergeCell ref="A1510:A1511"/>
    <mergeCell ref="B1510:B1511"/>
    <mergeCell ref="C1510:C1511"/>
    <mergeCell ref="D1510:D1511"/>
    <mergeCell ref="E1510:E1511"/>
    <mergeCell ref="Q1508:Q1509"/>
    <mergeCell ref="R1508:R1509"/>
    <mergeCell ref="S1508:S1509"/>
    <mergeCell ref="T1508:T1509"/>
    <mergeCell ref="G1508:H1508"/>
    <mergeCell ref="I1508:K1509"/>
    <mergeCell ref="M1508:M1509"/>
    <mergeCell ref="O1508:O1509"/>
    <mergeCell ref="A1508:A1509"/>
    <mergeCell ref="B1508:B1509"/>
    <mergeCell ref="C1508:C1509"/>
    <mergeCell ref="D1508:D1509"/>
    <mergeCell ref="E1508:E1509"/>
    <mergeCell ref="F1508:F1509"/>
    <mergeCell ref="T1506:T1507"/>
    <mergeCell ref="V1506:X1507"/>
    <mergeCell ref="Y1506:Y1507"/>
    <mergeCell ref="G1507:H1507"/>
    <mergeCell ref="O1506:O1507"/>
    <mergeCell ref="Q1506:Q1507"/>
    <mergeCell ref="R1506:R1507"/>
    <mergeCell ref="S1506:S1507"/>
    <mergeCell ref="F1506:F1507"/>
    <mergeCell ref="G1506:H1506"/>
    <mergeCell ref="I1506:K1507"/>
    <mergeCell ref="M1506:M1507"/>
    <mergeCell ref="V1504:X1505"/>
    <mergeCell ref="Y1504:Y1505"/>
    <mergeCell ref="G1505:H1505"/>
    <mergeCell ref="A1506:A1507"/>
    <mergeCell ref="B1506:B1507"/>
    <mergeCell ref="C1506:C1507"/>
    <mergeCell ref="D1506:D1507"/>
    <mergeCell ref="E1506:E1507"/>
    <mergeCell ref="Q1504:Q1505"/>
    <mergeCell ref="R1504:R1505"/>
    <mergeCell ref="S1504:S1505"/>
    <mergeCell ref="T1504:T1505"/>
    <mergeCell ref="G1504:H1504"/>
    <mergeCell ref="I1504:K1505"/>
    <mergeCell ref="M1504:M1505"/>
    <mergeCell ref="O1504:O1505"/>
    <mergeCell ref="A1504:A1505"/>
    <mergeCell ref="B1504:B1505"/>
    <mergeCell ref="C1504:C1505"/>
    <mergeCell ref="D1504:D1505"/>
    <mergeCell ref="E1504:E1505"/>
    <mergeCell ref="F1504:F1505"/>
    <mergeCell ref="T1502:T1503"/>
    <mergeCell ref="V1502:X1503"/>
    <mergeCell ref="Y1502:Y1503"/>
    <mergeCell ref="G1503:H1503"/>
    <mergeCell ref="O1502:O1503"/>
    <mergeCell ref="Q1502:Q1503"/>
    <mergeCell ref="R1502:R1503"/>
    <mergeCell ref="S1502:S1503"/>
    <mergeCell ref="F1502:F1503"/>
    <mergeCell ref="G1502:H1502"/>
    <mergeCell ref="I1502:K1503"/>
    <mergeCell ref="M1502:M1503"/>
    <mergeCell ref="V1500:X1501"/>
    <mergeCell ref="Y1500:Y1501"/>
    <mergeCell ref="G1501:H1501"/>
    <mergeCell ref="A1502:A1503"/>
    <mergeCell ref="B1502:B1503"/>
    <mergeCell ref="C1502:C1503"/>
    <mergeCell ref="D1502:D1503"/>
    <mergeCell ref="E1502:E1503"/>
    <mergeCell ref="Q1500:Q1501"/>
    <mergeCell ref="R1500:R1501"/>
    <mergeCell ref="S1500:S1501"/>
    <mergeCell ref="T1500:T1501"/>
    <mergeCell ref="G1500:H1500"/>
    <mergeCell ref="I1500:K1501"/>
    <mergeCell ref="M1500:M1501"/>
    <mergeCell ref="O1500:O1501"/>
    <mergeCell ref="A1500:A1501"/>
    <mergeCell ref="B1500:B1501"/>
    <mergeCell ref="C1500:C1501"/>
    <mergeCell ref="D1500:D1501"/>
    <mergeCell ref="E1500:E1501"/>
    <mergeCell ref="F1500:F1501"/>
    <mergeCell ref="T1498:T1499"/>
    <mergeCell ref="V1498:X1499"/>
    <mergeCell ref="Y1498:Y1499"/>
    <mergeCell ref="G1499:H1499"/>
    <mergeCell ref="O1498:O1499"/>
    <mergeCell ref="Q1498:Q1499"/>
    <mergeCell ref="R1498:R1499"/>
    <mergeCell ref="S1498:S1499"/>
    <mergeCell ref="F1498:F1499"/>
    <mergeCell ref="G1498:H1498"/>
    <mergeCell ref="I1498:K1499"/>
    <mergeCell ref="M1498:M1499"/>
    <mergeCell ref="V1496:X1497"/>
    <mergeCell ref="Y1496:Y1497"/>
    <mergeCell ref="G1497:H1497"/>
    <mergeCell ref="A1498:A1499"/>
    <mergeCell ref="B1498:B1499"/>
    <mergeCell ref="C1498:C1499"/>
    <mergeCell ref="D1498:D1499"/>
    <mergeCell ref="E1498:E1499"/>
    <mergeCell ref="Q1496:Q1497"/>
    <mergeCell ref="R1496:R1497"/>
    <mergeCell ref="S1496:S1497"/>
    <mergeCell ref="T1496:T1497"/>
    <mergeCell ref="G1496:H1496"/>
    <mergeCell ref="I1496:K1497"/>
    <mergeCell ref="M1496:M1497"/>
    <mergeCell ref="O1496:O1497"/>
    <mergeCell ref="A1496:A1497"/>
    <mergeCell ref="B1496:B1497"/>
    <mergeCell ref="C1496:C1497"/>
    <mergeCell ref="D1496:D1497"/>
    <mergeCell ref="E1496:E1497"/>
    <mergeCell ref="F1496:F1497"/>
    <mergeCell ref="T1494:T1495"/>
    <mergeCell ref="V1494:X1495"/>
    <mergeCell ref="Y1494:Y1495"/>
    <mergeCell ref="G1495:H1495"/>
    <mergeCell ref="O1494:O1495"/>
    <mergeCell ref="Q1494:Q1495"/>
    <mergeCell ref="R1494:R1495"/>
    <mergeCell ref="S1494:S1495"/>
    <mergeCell ref="F1494:F1495"/>
    <mergeCell ref="G1494:H1494"/>
    <mergeCell ref="I1494:K1495"/>
    <mergeCell ref="M1494:M1495"/>
    <mergeCell ref="V1492:X1493"/>
    <mergeCell ref="Y1492:Y1493"/>
    <mergeCell ref="G1493:H1493"/>
    <mergeCell ref="A1494:A1495"/>
    <mergeCell ref="B1494:B1495"/>
    <mergeCell ref="C1494:C1495"/>
    <mergeCell ref="D1494:D1495"/>
    <mergeCell ref="E1494:E1495"/>
    <mergeCell ref="Q1492:Q1493"/>
    <mergeCell ref="R1492:R1493"/>
    <mergeCell ref="S1492:S1493"/>
    <mergeCell ref="T1492:T1493"/>
    <mergeCell ref="G1492:H1492"/>
    <mergeCell ref="I1492:K1493"/>
    <mergeCell ref="M1492:M1493"/>
    <mergeCell ref="O1492:O1493"/>
    <mergeCell ref="A1492:A1493"/>
    <mergeCell ref="B1492:B1493"/>
    <mergeCell ref="C1492:C1493"/>
    <mergeCell ref="D1492:D1493"/>
    <mergeCell ref="E1492:E1493"/>
    <mergeCell ref="F1492:F1493"/>
    <mergeCell ref="T1490:T1491"/>
    <mergeCell ref="V1490:X1491"/>
    <mergeCell ref="Y1490:Y1491"/>
    <mergeCell ref="G1491:H1491"/>
    <mergeCell ref="O1490:O1491"/>
    <mergeCell ref="Q1490:Q1491"/>
    <mergeCell ref="R1490:R1491"/>
    <mergeCell ref="S1490:S1491"/>
    <mergeCell ref="F1490:F1491"/>
    <mergeCell ref="G1490:H1490"/>
    <mergeCell ref="I1490:K1491"/>
    <mergeCell ref="M1490:M1491"/>
    <mergeCell ref="V1488:X1489"/>
    <mergeCell ref="Y1488:Y1489"/>
    <mergeCell ref="G1489:H1489"/>
    <mergeCell ref="A1490:A1491"/>
    <mergeCell ref="B1490:B1491"/>
    <mergeCell ref="C1490:C1491"/>
    <mergeCell ref="D1490:D1491"/>
    <mergeCell ref="E1490:E1491"/>
    <mergeCell ref="Q1488:Q1489"/>
    <mergeCell ref="R1488:R1489"/>
    <mergeCell ref="S1488:S1489"/>
    <mergeCell ref="T1488:T1489"/>
    <mergeCell ref="G1488:H1488"/>
    <mergeCell ref="I1488:K1489"/>
    <mergeCell ref="M1488:M1489"/>
    <mergeCell ref="O1488:O1489"/>
    <mergeCell ref="A1488:A1489"/>
    <mergeCell ref="B1488:B1489"/>
    <mergeCell ref="C1488:C1489"/>
    <mergeCell ref="D1488:D1489"/>
    <mergeCell ref="E1488:E1489"/>
    <mergeCell ref="F1488:F1489"/>
    <mergeCell ref="T1486:T1487"/>
    <mergeCell ref="V1486:X1487"/>
    <mergeCell ref="Y1486:Y1487"/>
    <mergeCell ref="G1487:H1487"/>
    <mergeCell ref="O1486:O1487"/>
    <mergeCell ref="Q1486:Q1487"/>
    <mergeCell ref="R1486:R1487"/>
    <mergeCell ref="S1486:S1487"/>
    <mergeCell ref="F1486:F1487"/>
    <mergeCell ref="G1486:H1486"/>
    <mergeCell ref="I1486:K1487"/>
    <mergeCell ref="M1486:M1487"/>
    <mergeCell ref="V1484:X1485"/>
    <mergeCell ref="Y1484:Y1485"/>
    <mergeCell ref="G1485:H1485"/>
    <mergeCell ref="A1486:A1487"/>
    <mergeCell ref="B1486:B1487"/>
    <mergeCell ref="C1486:C1487"/>
    <mergeCell ref="D1486:D1487"/>
    <mergeCell ref="E1486:E1487"/>
    <mergeCell ref="Q1484:Q1485"/>
    <mergeCell ref="R1484:R1485"/>
    <mergeCell ref="S1484:S1485"/>
    <mergeCell ref="T1484:T1485"/>
    <mergeCell ref="G1484:H1484"/>
    <mergeCell ref="I1484:K1485"/>
    <mergeCell ref="M1484:M1485"/>
    <mergeCell ref="O1484:O1485"/>
    <mergeCell ref="A1484:A1485"/>
    <mergeCell ref="B1484:B1485"/>
    <mergeCell ref="C1484:C1485"/>
    <mergeCell ref="D1484:D1485"/>
    <mergeCell ref="E1484:E1485"/>
    <mergeCell ref="F1484:F1485"/>
    <mergeCell ref="T1482:T1483"/>
    <mergeCell ref="V1482:X1483"/>
    <mergeCell ref="Y1482:Y1483"/>
    <mergeCell ref="G1483:H1483"/>
    <mergeCell ref="O1482:O1483"/>
    <mergeCell ref="Q1482:Q1483"/>
    <mergeCell ref="R1482:R1483"/>
    <mergeCell ref="S1482:S1483"/>
    <mergeCell ref="F1482:F1483"/>
    <mergeCell ref="G1482:H1482"/>
    <mergeCell ref="I1482:K1483"/>
    <mergeCell ref="M1482:M1483"/>
    <mergeCell ref="V1480:X1481"/>
    <mergeCell ref="Y1480:Y1481"/>
    <mergeCell ref="G1481:H1481"/>
    <mergeCell ref="A1482:A1483"/>
    <mergeCell ref="B1482:B1483"/>
    <mergeCell ref="C1482:C1483"/>
    <mergeCell ref="D1482:D1483"/>
    <mergeCell ref="E1482:E1483"/>
    <mergeCell ref="Q1480:Q1481"/>
    <mergeCell ref="R1480:R1481"/>
    <mergeCell ref="S1480:S1481"/>
    <mergeCell ref="T1480:T1481"/>
    <mergeCell ref="G1480:H1480"/>
    <mergeCell ref="I1480:K1481"/>
    <mergeCell ref="M1480:M1481"/>
    <mergeCell ref="O1480:O1481"/>
    <mergeCell ref="A1480:A1481"/>
    <mergeCell ref="B1480:B1481"/>
    <mergeCell ref="C1480:C1481"/>
    <mergeCell ref="D1480:D1481"/>
    <mergeCell ref="E1480:E1481"/>
    <mergeCell ref="F1480:F1481"/>
    <mergeCell ref="T1478:T1479"/>
    <mergeCell ref="V1478:X1479"/>
    <mergeCell ref="Y1478:Y1479"/>
    <mergeCell ref="G1479:H1479"/>
    <mergeCell ref="O1478:O1479"/>
    <mergeCell ref="Q1478:Q1479"/>
    <mergeCell ref="R1478:R1479"/>
    <mergeCell ref="S1478:S1479"/>
    <mergeCell ref="F1478:F1479"/>
    <mergeCell ref="G1478:H1478"/>
    <mergeCell ref="I1478:K1479"/>
    <mergeCell ref="M1478:M1479"/>
    <mergeCell ref="V1476:X1477"/>
    <mergeCell ref="Y1476:Y1477"/>
    <mergeCell ref="G1477:H1477"/>
    <mergeCell ref="A1478:A1479"/>
    <mergeCell ref="B1478:B1479"/>
    <mergeCell ref="C1478:C1479"/>
    <mergeCell ref="D1478:D1479"/>
    <mergeCell ref="E1478:E1479"/>
    <mergeCell ref="Q1476:Q1477"/>
    <mergeCell ref="R1476:R1477"/>
    <mergeCell ref="S1476:S1477"/>
    <mergeCell ref="T1476:T1477"/>
    <mergeCell ref="G1476:H1476"/>
    <mergeCell ref="I1476:K1477"/>
    <mergeCell ref="M1476:M1477"/>
    <mergeCell ref="O1476:O1477"/>
    <mergeCell ref="A1476:A1477"/>
    <mergeCell ref="B1476:B1477"/>
    <mergeCell ref="C1476:C1477"/>
    <mergeCell ref="D1476:D1477"/>
    <mergeCell ref="E1476:E1477"/>
    <mergeCell ref="F1476:F1477"/>
    <mergeCell ref="T1474:T1475"/>
    <mergeCell ref="V1474:X1475"/>
    <mergeCell ref="Y1474:Y1475"/>
    <mergeCell ref="G1475:H1475"/>
    <mergeCell ref="O1474:O1475"/>
    <mergeCell ref="Q1474:Q1475"/>
    <mergeCell ref="R1474:R1475"/>
    <mergeCell ref="S1474:S1475"/>
    <mergeCell ref="F1474:F1475"/>
    <mergeCell ref="G1474:H1474"/>
    <mergeCell ref="I1474:K1475"/>
    <mergeCell ref="M1474:M1475"/>
    <mergeCell ref="V1472:X1473"/>
    <mergeCell ref="Y1472:Y1473"/>
    <mergeCell ref="G1473:H1473"/>
    <mergeCell ref="A1474:A1475"/>
    <mergeCell ref="B1474:B1475"/>
    <mergeCell ref="C1474:C1475"/>
    <mergeCell ref="D1474:D1475"/>
    <mergeCell ref="E1474:E1475"/>
    <mergeCell ref="Q1472:Q1473"/>
    <mergeCell ref="R1472:R1473"/>
    <mergeCell ref="S1472:S1473"/>
    <mergeCell ref="T1472:T1473"/>
    <mergeCell ref="G1472:H1472"/>
    <mergeCell ref="I1472:K1473"/>
    <mergeCell ref="M1472:M1473"/>
    <mergeCell ref="O1472:O1473"/>
    <mergeCell ref="A1472:A1473"/>
    <mergeCell ref="B1472:B1473"/>
    <mergeCell ref="C1472:C1473"/>
    <mergeCell ref="D1472:D1473"/>
    <mergeCell ref="E1472:E1473"/>
    <mergeCell ref="F1472:F1473"/>
    <mergeCell ref="T1470:T1471"/>
    <mergeCell ref="V1470:X1471"/>
    <mergeCell ref="Y1470:Y1471"/>
    <mergeCell ref="G1471:H1471"/>
    <mergeCell ref="O1470:O1471"/>
    <mergeCell ref="Q1470:Q1471"/>
    <mergeCell ref="R1470:R1471"/>
    <mergeCell ref="S1470:S1471"/>
    <mergeCell ref="F1470:F1471"/>
    <mergeCell ref="G1470:H1470"/>
    <mergeCell ref="I1470:K1471"/>
    <mergeCell ref="M1470:M1471"/>
    <mergeCell ref="V1468:X1469"/>
    <mergeCell ref="Y1468:Y1469"/>
    <mergeCell ref="G1469:H1469"/>
    <mergeCell ref="A1470:A1471"/>
    <mergeCell ref="B1470:B1471"/>
    <mergeCell ref="C1470:C1471"/>
    <mergeCell ref="D1470:D1471"/>
    <mergeCell ref="E1470:E1471"/>
    <mergeCell ref="Q1468:Q1469"/>
    <mergeCell ref="R1468:R1469"/>
    <mergeCell ref="S1468:S1469"/>
    <mergeCell ref="T1468:T1469"/>
    <mergeCell ref="G1468:H1468"/>
    <mergeCell ref="I1468:K1469"/>
    <mergeCell ref="M1468:M1469"/>
    <mergeCell ref="O1468:O1469"/>
    <mergeCell ref="A1468:A1469"/>
    <mergeCell ref="B1468:B1469"/>
    <mergeCell ref="C1468:C1469"/>
    <mergeCell ref="D1468:D1469"/>
    <mergeCell ref="E1468:E1469"/>
    <mergeCell ref="F1468:F1469"/>
    <mergeCell ref="T1466:T1467"/>
    <mergeCell ref="V1466:X1467"/>
    <mergeCell ref="Y1466:Y1467"/>
    <mergeCell ref="G1467:H1467"/>
    <mergeCell ref="O1466:O1467"/>
    <mergeCell ref="Q1466:Q1467"/>
    <mergeCell ref="R1466:R1467"/>
    <mergeCell ref="S1466:S1467"/>
    <mergeCell ref="F1466:F1467"/>
    <mergeCell ref="G1466:H1466"/>
    <mergeCell ref="I1466:K1467"/>
    <mergeCell ref="M1466:M1467"/>
    <mergeCell ref="V1464:X1465"/>
    <mergeCell ref="Y1464:Y1465"/>
    <mergeCell ref="G1465:H1465"/>
    <mergeCell ref="A1466:A1467"/>
    <mergeCell ref="B1466:B1467"/>
    <mergeCell ref="C1466:C1467"/>
    <mergeCell ref="D1466:D1467"/>
    <mergeCell ref="E1466:E1467"/>
    <mergeCell ref="Q1464:Q1465"/>
    <mergeCell ref="R1464:R1465"/>
    <mergeCell ref="S1464:S1465"/>
    <mergeCell ref="T1464:T1465"/>
    <mergeCell ref="G1464:H1464"/>
    <mergeCell ref="I1464:K1465"/>
    <mergeCell ref="M1464:M1465"/>
    <mergeCell ref="O1464:O1465"/>
    <mergeCell ref="A1464:A1465"/>
    <mergeCell ref="B1464:B1465"/>
    <mergeCell ref="C1464:C1465"/>
    <mergeCell ref="D1464:D1465"/>
    <mergeCell ref="E1464:E1465"/>
    <mergeCell ref="F1464:F1465"/>
    <mergeCell ref="T1462:T1463"/>
    <mergeCell ref="V1462:X1463"/>
    <mergeCell ref="Y1462:Y1463"/>
    <mergeCell ref="G1463:H1463"/>
    <mergeCell ref="O1462:O1463"/>
    <mergeCell ref="Q1462:Q1463"/>
    <mergeCell ref="R1462:R1463"/>
    <mergeCell ref="S1462:S1463"/>
    <mergeCell ref="F1462:F1463"/>
    <mergeCell ref="G1462:H1462"/>
    <mergeCell ref="I1462:K1463"/>
    <mergeCell ref="M1462:M1463"/>
    <mergeCell ref="V1460:X1461"/>
    <mergeCell ref="Y1460:Y1461"/>
    <mergeCell ref="G1461:H1461"/>
    <mergeCell ref="A1462:A1463"/>
    <mergeCell ref="B1462:B1463"/>
    <mergeCell ref="C1462:C1463"/>
    <mergeCell ref="D1462:D1463"/>
    <mergeCell ref="E1462:E1463"/>
    <mergeCell ref="Q1460:Q1461"/>
    <mergeCell ref="R1460:R1461"/>
    <mergeCell ref="S1460:S1461"/>
    <mergeCell ref="T1460:T1461"/>
    <mergeCell ref="G1460:H1460"/>
    <mergeCell ref="I1460:K1461"/>
    <mergeCell ref="M1460:M1461"/>
    <mergeCell ref="O1460:O1461"/>
    <mergeCell ref="A1460:A1461"/>
    <mergeCell ref="B1460:B1461"/>
    <mergeCell ref="C1460:C1461"/>
    <mergeCell ref="D1460:D1461"/>
    <mergeCell ref="E1460:E1461"/>
    <mergeCell ref="F1460:F1461"/>
    <mergeCell ref="T1458:T1459"/>
    <mergeCell ref="V1458:X1459"/>
    <mergeCell ref="Y1458:Y1459"/>
    <mergeCell ref="G1459:H1459"/>
    <mergeCell ref="O1458:O1459"/>
    <mergeCell ref="Q1458:Q1459"/>
    <mergeCell ref="R1458:R1459"/>
    <mergeCell ref="S1458:S1459"/>
    <mergeCell ref="F1458:F1459"/>
    <mergeCell ref="G1458:H1458"/>
    <mergeCell ref="I1458:K1459"/>
    <mergeCell ref="M1458:M1459"/>
    <mergeCell ref="V1456:X1457"/>
    <mergeCell ref="Y1456:Y1457"/>
    <mergeCell ref="G1457:H1457"/>
    <mergeCell ref="A1458:A1459"/>
    <mergeCell ref="B1458:B1459"/>
    <mergeCell ref="C1458:C1459"/>
    <mergeCell ref="D1458:D1459"/>
    <mergeCell ref="E1458:E1459"/>
    <mergeCell ref="Q1456:Q1457"/>
    <mergeCell ref="R1456:R1457"/>
    <mergeCell ref="S1456:S1457"/>
    <mergeCell ref="T1456:T1457"/>
    <mergeCell ref="G1456:H1456"/>
    <mergeCell ref="I1456:K1457"/>
    <mergeCell ref="M1456:M1457"/>
    <mergeCell ref="O1456:O1457"/>
    <mergeCell ref="A1456:A1457"/>
    <mergeCell ref="B1456:B1457"/>
    <mergeCell ref="C1456:C1457"/>
    <mergeCell ref="D1456:D1457"/>
    <mergeCell ref="E1456:E1457"/>
    <mergeCell ref="F1456:F1457"/>
    <mergeCell ref="T1454:T1455"/>
    <mergeCell ref="V1454:X1455"/>
    <mergeCell ref="Y1454:Y1455"/>
    <mergeCell ref="G1455:H1455"/>
    <mergeCell ref="O1454:O1455"/>
    <mergeCell ref="Q1454:Q1455"/>
    <mergeCell ref="R1454:R1455"/>
    <mergeCell ref="S1454:S1455"/>
    <mergeCell ref="F1454:F1455"/>
    <mergeCell ref="G1454:H1454"/>
    <mergeCell ref="I1454:K1455"/>
    <mergeCell ref="M1454:M1455"/>
    <mergeCell ref="V1452:X1453"/>
    <mergeCell ref="Y1452:Y1453"/>
    <mergeCell ref="G1453:H1453"/>
    <mergeCell ref="A1454:A1455"/>
    <mergeCell ref="B1454:B1455"/>
    <mergeCell ref="C1454:C1455"/>
    <mergeCell ref="D1454:D1455"/>
    <mergeCell ref="E1454:E1455"/>
    <mergeCell ref="Q1452:Q1453"/>
    <mergeCell ref="R1452:R1453"/>
    <mergeCell ref="S1452:S1453"/>
    <mergeCell ref="T1452:T1453"/>
    <mergeCell ref="G1452:H1452"/>
    <mergeCell ref="I1452:K1453"/>
    <mergeCell ref="M1452:M1453"/>
    <mergeCell ref="O1452:O1453"/>
    <mergeCell ref="A1452:A1453"/>
    <mergeCell ref="B1452:B1453"/>
    <mergeCell ref="C1452:C1453"/>
    <mergeCell ref="D1452:D1453"/>
    <mergeCell ref="E1452:E1453"/>
    <mergeCell ref="F1452:F1453"/>
    <mergeCell ref="T1450:T1451"/>
    <mergeCell ref="V1450:X1451"/>
    <mergeCell ref="Y1450:Y1451"/>
    <mergeCell ref="G1451:H1451"/>
    <mergeCell ref="O1450:O1451"/>
    <mergeCell ref="Q1450:Q1451"/>
    <mergeCell ref="R1450:R1451"/>
    <mergeCell ref="S1450:S1451"/>
    <mergeCell ref="F1450:F1451"/>
    <mergeCell ref="G1450:H1450"/>
    <mergeCell ref="I1450:K1451"/>
    <mergeCell ref="M1450:M1451"/>
    <mergeCell ref="V1448:X1449"/>
    <mergeCell ref="Y1448:Y1449"/>
    <mergeCell ref="G1449:H1449"/>
    <mergeCell ref="A1450:A1451"/>
    <mergeCell ref="B1450:B1451"/>
    <mergeCell ref="C1450:C1451"/>
    <mergeCell ref="D1450:D1451"/>
    <mergeCell ref="E1450:E1451"/>
    <mergeCell ref="Q1448:Q1449"/>
    <mergeCell ref="R1448:R1449"/>
    <mergeCell ref="S1448:S1449"/>
    <mergeCell ref="T1448:T1449"/>
    <mergeCell ref="G1448:H1448"/>
    <mergeCell ref="I1448:K1449"/>
    <mergeCell ref="M1448:M1449"/>
    <mergeCell ref="O1448:O1449"/>
    <mergeCell ref="A1448:A1449"/>
    <mergeCell ref="B1448:B1449"/>
    <mergeCell ref="C1448:C1449"/>
    <mergeCell ref="D1448:D1449"/>
    <mergeCell ref="E1448:E1449"/>
    <mergeCell ref="F1448:F1449"/>
    <mergeCell ref="T1446:T1447"/>
    <mergeCell ref="V1446:X1447"/>
    <mergeCell ref="Y1446:Y1447"/>
    <mergeCell ref="G1447:H1447"/>
    <mergeCell ref="O1446:O1447"/>
    <mergeCell ref="Q1446:Q1447"/>
    <mergeCell ref="R1446:R1447"/>
    <mergeCell ref="S1446:S1447"/>
    <mergeCell ref="F1446:F1447"/>
    <mergeCell ref="G1446:H1446"/>
    <mergeCell ref="I1446:K1447"/>
    <mergeCell ref="M1446:M1447"/>
    <mergeCell ref="V1444:X1445"/>
    <mergeCell ref="Y1444:Y1445"/>
    <mergeCell ref="G1445:H1445"/>
    <mergeCell ref="A1446:A1447"/>
    <mergeCell ref="B1446:B1447"/>
    <mergeCell ref="C1446:C1447"/>
    <mergeCell ref="D1446:D1447"/>
    <mergeCell ref="E1446:E1447"/>
    <mergeCell ref="Q1444:Q1445"/>
    <mergeCell ref="R1444:R1445"/>
    <mergeCell ref="S1444:S1445"/>
    <mergeCell ref="T1444:T1445"/>
    <mergeCell ref="G1444:H1444"/>
    <mergeCell ref="I1444:K1445"/>
    <mergeCell ref="M1444:M1445"/>
    <mergeCell ref="O1444:O1445"/>
    <mergeCell ref="A1444:A1445"/>
    <mergeCell ref="B1444:B1445"/>
    <mergeCell ref="C1444:C1445"/>
    <mergeCell ref="D1444:D1445"/>
    <mergeCell ref="E1444:E1445"/>
    <mergeCell ref="F1444:F1445"/>
    <mergeCell ref="T1442:T1443"/>
    <mergeCell ref="V1442:X1443"/>
    <mergeCell ref="Y1442:Y1443"/>
    <mergeCell ref="G1443:H1443"/>
    <mergeCell ref="O1442:O1443"/>
    <mergeCell ref="Q1442:Q1443"/>
    <mergeCell ref="R1442:R1443"/>
    <mergeCell ref="S1442:S1443"/>
    <mergeCell ref="F1442:F1443"/>
    <mergeCell ref="G1442:H1442"/>
    <mergeCell ref="I1442:K1443"/>
    <mergeCell ref="M1442:M1443"/>
    <mergeCell ref="V1440:X1441"/>
    <mergeCell ref="Y1440:Y1441"/>
    <mergeCell ref="G1441:H1441"/>
    <mergeCell ref="A1442:A1443"/>
    <mergeCell ref="B1442:B1443"/>
    <mergeCell ref="C1442:C1443"/>
    <mergeCell ref="D1442:D1443"/>
    <mergeCell ref="E1442:E1443"/>
    <mergeCell ref="Q1440:Q1441"/>
    <mergeCell ref="R1440:R1441"/>
    <mergeCell ref="S1440:S1441"/>
    <mergeCell ref="T1440:T1441"/>
    <mergeCell ref="G1440:H1440"/>
    <mergeCell ref="I1440:K1441"/>
    <mergeCell ref="M1440:M1441"/>
    <mergeCell ref="O1440:O1441"/>
    <mergeCell ref="A1440:A1441"/>
    <mergeCell ref="B1440:B1441"/>
    <mergeCell ref="C1440:C1441"/>
    <mergeCell ref="D1440:D1441"/>
    <mergeCell ref="E1440:E1441"/>
    <mergeCell ref="F1440:F1441"/>
    <mergeCell ref="T1438:T1439"/>
    <mergeCell ref="V1438:X1439"/>
    <mergeCell ref="Y1438:Y1439"/>
    <mergeCell ref="G1439:H1439"/>
    <mergeCell ref="O1438:O1439"/>
    <mergeCell ref="Q1438:Q1439"/>
    <mergeCell ref="R1438:R1439"/>
    <mergeCell ref="S1438:S1439"/>
    <mergeCell ref="F1438:F1439"/>
    <mergeCell ref="G1438:H1438"/>
    <mergeCell ref="I1438:K1439"/>
    <mergeCell ref="M1438:M1439"/>
    <mergeCell ref="V1436:X1437"/>
    <mergeCell ref="Y1436:Y1437"/>
    <mergeCell ref="G1437:H1437"/>
    <mergeCell ref="A1438:A1439"/>
    <mergeCell ref="B1438:B1439"/>
    <mergeCell ref="C1438:C1439"/>
    <mergeCell ref="D1438:D1439"/>
    <mergeCell ref="E1438:E1439"/>
    <mergeCell ref="Q1436:Q1437"/>
    <mergeCell ref="R1436:R1437"/>
    <mergeCell ref="S1436:S1437"/>
    <mergeCell ref="T1436:T1437"/>
    <mergeCell ref="G1436:H1436"/>
    <mergeCell ref="I1436:K1437"/>
    <mergeCell ref="M1436:M1437"/>
    <mergeCell ref="O1436:O1437"/>
    <mergeCell ref="A1436:A1437"/>
    <mergeCell ref="B1436:B1437"/>
    <mergeCell ref="C1436:C1437"/>
    <mergeCell ref="D1436:D1437"/>
    <mergeCell ref="E1436:E1437"/>
    <mergeCell ref="F1436:F1437"/>
    <mergeCell ref="T1434:T1435"/>
    <mergeCell ref="V1434:X1435"/>
    <mergeCell ref="Y1434:Y1435"/>
    <mergeCell ref="G1435:H1435"/>
    <mergeCell ref="O1434:O1435"/>
    <mergeCell ref="Q1434:Q1435"/>
    <mergeCell ref="R1434:R1435"/>
    <mergeCell ref="S1434:S1435"/>
    <mergeCell ref="F1434:F1435"/>
    <mergeCell ref="G1434:H1434"/>
    <mergeCell ref="I1434:K1435"/>
    <mergeCell ref="M1434:M1435"/>
    <mergeCell ref="V1432:X1433"/>
    <mergeCell ref="Y1432:Y1433"/>
    <mergeCell ref="G1433:H1433"/>
    <mergeCell ref="A1434:A1435"/>
    <mergeCell ref="B1434:B1435"/>
    <mergeCell ref="C1434:C1435"/>
    <mergeCell ref="D1434:D1435"/>
    <mergeCell ref="E1434:E1435"/>
    <mergeCell ref="Q1432:Q1433"/>
    <mergeCell ref="R1432:R1433"/>
    <mergeCell ref="S1432:S1433"/>
    <mergeCell ref="T1432:T1433"/>
    <mergeCell ref="G1432:H1432"/>
    <mergeCell ref="I1432:K1433"/>
    <mergeCell ref="M1432:M1433"/>
    <mergeCell ref="O1432:O1433"/>
    <mergeCell ref="A1432:A1433"/>
    <mergeCell ref="B1432:B1433"/>
    <mergeCell ref="C1432:C1433"/>
    <mergeCell ref="D1432:D1433"/>
    <mergeCell ref="E1432:E1433"/>
    <mergeCell ref="F1432:F1433"/>
    <mergeCell ref="T1430:T1431"/>
    <mergeCell ref="V1430:X1431"/>
    <mergeCell ref="Y1430:Y1431"/>
    <mergeCell ref="G1431:H1431"/>
    <mergeCell ref="O1430:O1431"/>
    <mergeCell ref="Q1430:Q1431"/>
    <mergeCell ref="R1430:R1431"/>
    <mergeCell ref="S1430:S1431"/>
    <mergeCell ref="F1430:F1431"/>
    <mergeCell ref="G1430:H1430"/>
    <mergeCell ref="I1430:K1431"/>
    <mergeCell ref="M1430:M1431"/>
    <mergeCell ref="V1428:X1429"/>
    <mergeCell ref="Y1428:Y1429"/>
    <mergeCell ref="G1429:H1429"/>
    <mergeCell ref="A1430:A1431"/>
    <mergeCell ref="B1430:B1431"/>
    <mergeCell ref="C1430:C1431"/>
    <mergeCell ref="D1430:D1431"/>
    <mergeCell ref="E1430:E1431"/>
    <mergeCell ref="Q1428:Q1429"/>
    <mergeCell ref="R1428:R1429"/>
    <mergeCell ref="S1428:S1429"/>
    <mergeCell ref="T1428:T1429"/>
    <mergeCell ref="G1428:H1428"/>
    <mergeCell ref="I1428:K1429"/>
    <mergeCell ref="M1428:M1429"/>
    <mergeCell ref="O1428:O1429"/>
    <mergeCell ref="A1428:A1429"/>
    <mergeCell ref="B1428:B1429"/>
    <mergeCell ref="C1428:C1429"/>
    <mergeCell ref="D1428:D1429"/>
    <mergeCell ref="E1428:E1429"/>
    <mergeCell ref="F1428:F1429"/>
    <mergeCell ref="T1426:T1427"/>
    <mergeCell ref="V1426:X1427"/>
    <mergeCell ref="Y1426:Y1427"/>
    <mergeCell ref="G1427:H1427"/>
    <mergeCell ref="O1426:O1427"/>
    <mergeCell ref="Q1426:Q1427"/>
    <mergeCell ref="R1426:R1427"/>
    <mergeCell ref="S1426:S1427"/>
    <mergeCell ref="F1426:F1427"/>
    <mergeCell ref="G1426:H1426"/>
    <mergeCell ref="I1426:K1427"/>
    <mergeCell ref="M1426:M1427"/>
    <mergeCell ref="V1424:X1425"/>
    <mergeCell ref="Y1424:Y1425"/>
    <mergeCell ref="G1425:H1425"/>
    <mergeCell ref="A1426:A1427"/>
    <mergeCell ref="B1426:B1427"/>
    <mergeCell ref="C1426:C1427"/>
    <mergeCell ref="D1426:D1427"/>
    <mergeCell ref="E1426:E1427"/>
    <mergeCell ref="Q1424:Q1425"/>
    <mergeCell ref="R1424:R1425"/>
    <mergeCell ref="S1424:S1425"/>
    <mergeCell ref="T1424:T1425"/>
    <mergeCell ref="G1424:H1424"/>
    <mergeCell ref="I1424:K1425"/>
    <mergeCell ref="M1424:M1425"/>
    <mergeCell ref="O1424:O1425"/>
    <mergeCell ref="A1424:A1425"/>
    <mergeCell ref="B1424:B1425"/>
    <mergeCell ref="C1424:C1425"/>
    <mergeCell ref="D1424:D1425"/>
    <mergeCell ref="E1424:E1425"/>
    <mergeCell ref="F1424:F1425"/>
    <mergeCell ref="T1422:T1423"/>
    <mergeCell ref="V1422:X1423"/>
    <mergeCell ref="Y1422:Y1423"/>
    <mergeCell ref="G1423:H1423"/>
    <mergeCell ref="O1422:O1423"/>
    <mergeCell ref="Q1422:Q1423"/>
    <mergeCell ref="R1422:R1423"/>
    <mergeCell ref="S1422:S1423"/>
    <mergeCell ref="F1422:F1423"/>
    <mergeCell ref="G1422:H1422"/>
    <mergeCell ref="I1422:K1423"/>
    <mergeCell ref="M1422:M1423"/>
    <mergeCell ref="V1420:X1421"/>
    <mergeCell ref="Y1420:Y1421"/>
    <mergeCell ref="G1421:H1421"/>
    <mergeCell ref="A1422:A1423"/>
    <mergeCell ref="B1422:B1423"/>
    <mergeCell ref="C1422:C1423"/>
    <mergeCell ref="D1422:D1423"/>
    <mergeCell ref="E1422:E1423"/>
    <mergeCell ref="Q1420:Q1421"/>
    <mergeCell ref="R1420:R1421"/>
    <mergeCell ref="S1420:S1421"/>
    <mergeCell ref="T1420:T1421"/>
    <mergeCell ref="G1420:H1420"/>
    <mergeCell ref="I1420:K1421"/>
    <mergeCell ref="M1420:M1421"/>
    <mergeCell ref="O1420:O1421"/>
    <mergeCell ref="A1420:A1421"/>
    <mergeCell ref="B1420:B1421"/>
    <mergeCell ref="C1420:C1421"/>
    <mergeCell ref="D1420:D1421"/>
    <mergeCell ref="E1420:E1421"/>
    <mergeCell ref="F1420:F1421"/>
    <mergeCell ref="T1418:T1419"/>
    <mergeCell ref="V1418:X1419"/>
    <mergeCell ref="Y1418:Y1419"/>
    <mergeCell ref="G1419:H1419"/>
    <mergeCell ref="O1418:O1419"/>
    <mergeCell ref="Q1418:Q1419"/>
    <mergeCell ref="R1418:R1419"/>
    <mergeCell ref="S1418:S1419"/>
    <mergeCell ref="F1418:F1419"/>
    <mergeCell ref="G1418:H1418"/>
    <mergeCell ref="I1418:K1419"/>
    <mergeCell ref="M1418:M1419"/>
    <mergeCell ref="V1416:X1417"/>
    <mergeCell ref="Y1416:Y1417"/>
    <mergeCell ref="G1417:H1417"/>
    <mergeCell ref="A1418:A1419"/>
    <mergeCell ref="B1418:B1419"/>
    <mergeCell ref="C1418:C1419"/>
    <mergeCell ref="D1418:D1419"/>
    <mergeCell ref="E1418:E1419"/>
    <mergeCell ref="Q1416:Q1417"/>
    <mergeCell ref="R1416:R1417"/>
    <mergeCell ref="S1416:S1417"/>
    <mergeCell ref="T1416:T1417"/>
    <mergeCell ref="G1416:H1416"/>
    <mergeCell ref="I1416:K1417"/>
    <mergeCell ref="M1416:M1417"/>
    <mergeCell ref="O1416:O1417"/>
    <mergeCell ref="A1416:A1417"/>
    <mergeCell ref="B1416:B1417"/>
    <mergeCell ref="C1416:C1417"/>
    <mergeCell ref="D1416:D1417"/>
    <mergeCell ref="E1416:E1417"/>
    <mergeCell ref="F1416:F1417"/>
    <mergeCell ref="T1414:T1415"/>
    <mergeCell ref="V1414:X1415"/>
    <mergeCell ref="Y1414:Y1415"/>
    <mergeCell ref="G1415:H1415"/>
    <mergeCell ref="O1414:O1415"/>
    <mergeCell ref="Q1414:Q1415"/>
    <mergeCell ref="R1414:R1415"/>
    <mergeCell ref="S1414:S1415"/>
    <mergeCell ref="F1414:F1415"/>
    <mergeCell ref="G1414:H1414"/>
    <mergeCell ref="I1414:K1415"/>
    <mergeCell ref="M1414:M1415"/>
    <mergeCell ref="V1412:X1413"/>
    <mergeCell ref="Y1412:Y1413"/>
    <mergeCell ref="G1413:H1413"/>
    <mergeCell ref="A1414:A1415"/>
    <mergeCell ref="B1414:B1415"/>
    <mergeCell ref="C1414:C1415"/>
    <mergeCell ref="D1414:D1415"/>
    <mergeCell ref="E1414:E1415"/>
    <mergeCell ref="Q1412:Q1413"/>
    <mergeCell ref="R1412:R1413"/>
    <mergeCell ref="S1412:S1413"/>
    <mergeCell ref="T1412:T1413"/>
    <mergeCell ref="G1412:H1412"/>
    <mergeCell ref="I1412:K1413"/>
    <mergeCell ref="M1412:M1413"/>
    <mergeCell ref="O1412:O1413"/>
    <mergeCell ref="A1412:A1413"/>
    <mergeCell ref="B1412:B1413"/>
    <mergeCell ref="C1412:C1413"/>
    <mergeCell ref="D1412:D1413"/>
    <mergeCell ref="E1412:E1413"/>
    <mergeCell ref="F1412:F1413"/>
    <mergeCell ref="T1410:T1411"/>
    <mergeCell ref="V1410:X1411"/>
    <mergeCell ref="Y1410:Y1411"/>
    <mergeCell ref="G1411:H1411"/>
    <mergeCell ref="O1410:O1411"/>
    <mergeCell ref="Q1410:Q1411"/>
    <mergeCell ref="R1410:R1411"/>
    <mergeCell ref="S1410:S1411"/>
    <mergeCell ref="F1410:F1411"/>
    <mergeCell ref="G1410:H1410"/>
    <mergeCell ref="I1410:K1411"/>
    <mergeCell ref="M1410:M1411"/>
    <mergeCell ref="V1408:X1409"/>
    <mergeCell ref="Y1408:Y1409"/>
    <mergeCell ref="G1409:H1409"/>
    <mergeCell ref="A1410:A1411"/>
    <mergeCell ref="B1410:B1411"/>
    <mergeCell ref="C1410:C1411"/>
    <mergeCell ref="D1410:D1411"/>
    <mergeCell ref="E1410:E1411"/>
    <mergeCell ref="Q1408:Q1409"/>
    <mergeCell ref="R1408:R1409"/>
    <mergeCell ref="S1408:S1409"/>
    <mergeCell ref="T1408:T1409"/>
    <mergeCell ref="G1408:H1408"/>
    <mergeCell ref="I1408:K1409"/>
    <mergeCell ref="M1408:M1409"/>
    <mergeCell ref="O1408:O1409"/>
    <mergeCell ref="A1408:A1409"/>
    <mergeCell ref="B1408:B1409"/>
    <mergeCell ref="C1408:C1409"/>
    <mergeCell ref="D1408:D1409"/>
    <mergeCell ref="E1408:E1409"/>
    <mergeCell ref="F1408:F1409"/>
    <mergeCell ref="T1406:T1407"/>
    <mergeCell ref="V1406:X1407"/>
    <mergeCell ref="Y1406:Y1407"/>
    <mergeCell ref="G1407:H1407"/>
    <mergeCell ref="O1406:O1407"/>
    <mergeCell ref="Q1406:Q1407"/>
    <mergeCell ref="R1406:R1407"/>
    <mergeCell ref="S1406:S1407"/>
    <mergeCell ref="F1406:F1407"/>
    <mergeCell ref="G1406:H1406"/>
    <mergeCell ref="I1406:K1407"/>
    <mergeCell ref="M1406:M1407"/>
    <mergeCell ref="V1404:X1405"/>
    <mergeCell ref="Y1404:Y1405"/>
    <mergeCell ref="G1405:H1405"/>
    <mergeCell ref="A1406:A1407"/>
    <mergeCell ref="B1406:B1407"/>
    <mergeCell ref="C1406:C1407"/>
    <mergeCell ref="D1406:D1407"/>
    <mergeCell ref="E1406:E1407"/>
    <mergeCell ref="Q1404:Q1405"/>
    <mergeCell ref="R1404:R1405"/>
    <mergeCell ref="S1404:S1405"/>
    <mergeCell ref="T1404:T1405"/>
    <mergeCell ref="G1404:H1404"/>
    <mergeCell ref="I1404:K1405"/>
    <mergeCell ref="M1404:M1405"/>
    <mergeCell ref="O1404:O1405"/>
    <mergeCell ref="A1404:A1405"/>
    <mergeCell ref="B1404:B1405"/>
    <mergeCell ref="C1404:C1405"/>
    <mergeCell ref="D1404:D1405"/>
    <mergeCell ref="E1404:E1405"/>
    <mergeCell ref="F1404:F1405"/>
    <mergeCell ref="T1402:T1403"/>
    <mergeCell ref="V1402:X1403"/>
    <mergeCell ref="Y1402:Y1403"/>
    <mergeCell ref="G1403:H1403"/>
    <mergeCell ref="O1402:O1403"/>
    <mergeCell ref="Q1402:Q1403"/>
    <mergeCell ref="R1402:R1403"/>
    <mergeCell ref="S1402:S1403"/>
    <mergeCell ref="F1402:F1403"/>
    <mergeCell ref="G1402:H1402"/>
    <mergeCell ref="I1402:K1403"/>
    <mergeCell ref="M1402:M1403"/>
    <mergeCell ref="V1400:X1401"/>
    <mergeCell ref="Y1400:Y1401"/>
    <mergeCell ref="G1401:H1401"/>
    <mergeCell ref="A1402:A1403"/>
    <mergeCell ref="B1402:B1403"/>
    <mergeCell ref="C1402:C1403"/>
    <mergeCell ref="D1402:D1403"/>
    <mergeCell ref="E1402:E1403"/>
    <mergeCell ref="Q1400:Q1401"/>
    <mergeCell ref="R1400:R1401"/>
    <mergeCell ref="S1400:S1401"/>
    <mergeCell ref="T1400:T1401"/>
    <mergeCell ref="G1400:H1400"/>
    <mergeCell ref="I1400:K1401"/>
    <mergeCell ref="M1400:M1401"/>
    <mergeCell ref="O1400:O1401"/>
    <mergeCell ref="A1400:A1401"/>
    <mergeCell ref="B1400:B1401"/>
    <mergeCell ref="C1400:C1401"/>
    <mergeCell ref="D1400:D1401"/>
    <mergeCell ref="E1400:E1401"/>
    <mergeCell ref="F1400:F1401"/>
    <mergeCell ref="T1398:T1399"/>
    <mergeCell ref="V1398:X1399"/>
    <mergeCell ref="Y1398:Y1399"/>
    <mergeCell ref="G1399:H1399"/>
    <mergeCell ref="O1398:O1399"/>
    <mergeCell ref="Q1398:Q1399"/>
    <mergeCell ref="R1398:R1399"/>
    <mergeCell ref="S1398:S1399"/>
    <mergeCell ref="F1398:F1399"/>
    <mergeCell ref="G1398:H1398"/>
    <mergeCell ref="I1398:K1399"/>
    <mergeCell ref="M1398:M1399"/>
    <mergeCell ref="V1396:X1397"/>
    <mergeCell ref="Y1396:Y1397"/>
    <mergeCell ref="G1397:H1397"/>
    <mergeCell ref="A1398:A1399"/>
    <mergeCell ref="B1398:B1399"/>
    <mergeCell ref="C1398:C1399"/>
    <mergeCell ref="D1398:D1399"/>
    <mergeCell ref="E1398:E1399"/>
    <mergeCell ref="Q1396:Q1397"/>
    <mergeCell ref="R1396:R1397"/>
    <mergeCell ref="S1396:S1397"/>
    <mergeCell ref="T1396:T1397"/>
    <mergeCell ref="G1396:H1396"/>
    <mergeCell ref="I1396:K1397"/>
    <mergeCell ref="M1396:M1397"/>
    <mergeCell ref="O1396:O1397"/>
    <mergeCell ref="A1396:A1397"/>
    <mergeCell ref="B1396:B1397"/>
    <mergeCell ref="C1396:C1397"/>
    <mergeCell ref="D1396:D1397"/>
    <mergeCell ref="E1396:E1397"/>
    <mergeCell ref="F1396:F1397"/>
    <mergeCell ref="T1394:T1395"/>
    <mergeCell ref="V1394:X1395"/>
    <mergeCell ref="Y1394:Y1395"/>
    <mergeCell ref="G1395:H1395"/>
    <mergeCell ref="O1394:O1395"/>
    <mergeCell ref="Q1394:Q1395"/>
    <mergeCell ref="R1394:R1395"/>
    <mergeCell ref="S1394:S1395"/>
    <mergeCell ref="F1394:F1395"/>
    <mergeCell ref="G1394:H1394"/>
    <mergeCell ref="I1394:K1395"/>
    <mergeCell ref="M1394:M1395"/>
    <mergeCell ref="V1392:X1393"/>
    <mergeCell ref="Y1392:Y1393"/>
    <mergeCell ref="G1393:H1393"/>
    <mergeCell ref="A1394:A1395"/>
    <mergeCell ref="B1394:B1395"/>
    <mergeCell ref="C1394:C1395"/>
    <mergeCell ref="D1394:D1395"/>
    <mergeCell ref="E1394:E1395"/>
    <mergeCell ref="Q1392:Q1393"/>
    <mergeCell ref="R1392:R1393"/>
    <mergeCell ref="S1392:S1393"/>
    <mergeCell ref="T1392:T1393"/>
    <mergeCell ref="G1392:H1392"/>
    <mergeCell ref="I1392:K1393"/>
    <mergeCell ref="M1392:M1393"/>
    <mergeCell ref="O1392:O1393"/>
    <mergeCell ref="A1392:A1393"/>
    <mergeCell ref="B1392:B1393"/>
    <mergeCell ref="C1392:C1393"/>
    <mergeCell ref="D1392:D1393"/>
    <mergeCell ref="E1392:E1393"/>
    <mergeCell ref="F1392:F1393"/>
    <mergeCell ref="T1390:T1391"/>
    <mergeCell ref="V1390:X1391"/>
    <mergeCell ref="Y1390:Y1391"/>
    <mergeCell ref="G1391:H1391"/>
    <mergeCell ref="O1390:O1391"/>
    <mergeCell ref="Q1390:Q1391"/>
    <mergeCell ref="R1390:R1391"/>
    <mergeCell ref="S1390:S1391"/>
    <mergeCell ref="F1390:F1391"/>
    <mergeCell ref="G1390:H1390"/>
    <mergeCell ref="I1390:K1391"/>
    <mergeCell ref="M1390:M1391"/>
    <mergeCell ref="V1388:X1389"/>
    <mergeCell ref="Y1388:Y1389"/>
    <mergeCell ref="G1389:H1389"/>
    <mergeCell ref="A1390:A1391"/>
    <mergeCell ref="B1390:B1391"/>
    <mergeCell ref="C1390:C1391"/>
    <mergeCell ref="D1390:D1391"/>
    <mergeCell ref="E1390:E1391"/>
    <mergeCell ref="Q1388:Q1389"/>
    <mergeCell ref="R1388:R1389"/>
    <mergeCell ref="S1388:S1389"/>
    <mergeCell ref="T1388:T1389"/>
    <mergeCell ref="G1388:H1388"/>
    <mergeCell ref="I1388:K1389"/>
    <mergeCell ref="M1388:M1389"/>
    <mergeCell ref="O1388:O1389"/>
    <mergeCell ref="A1388:A1389"/>
    <mergeCell ref="B1388:B1389"/>
    <mergeCell ref="C1388:C1389"/>
    <mergeCell ref="D1388:D1389"/>
    <mergeCell ref="E1388:E1389"/>
    <mergeCell ref="F1388:F1389"/>
    <mergeCell ref="T1386:T1387"/>
    <mergeCell ref="V1386:X1387"/>
    <mergeCell ref="Y1386:Y1387"/>
    <mergeCell ref="G1387:H1387"/>
    <mergeCell ref="O1386:O1387"/>
    <mergeCell ref="Q1386:Q1387"/>
    <mergeCell ref="R1386:R1387"/>
    <mergeCell ref="S1386:S1387"/>
    <mergeCell ref="F1386:F1387"/>
    <mergeCell ref="G1386:H1386"/>
    <mergeCell ref="I1386:K1387"/>
    <mergeCell ref="M1386:M1387"/>
    <mergeCell ref="V1384:X1385"/>
    <mergeCell ref="Y1384:Y1385"/>
    <mergeCell ref="G1385:H1385"/>
    <mergeCell ref="A1386:A1387"/>
    <mergeCell ref="B1386:B1387"/>
    <mergeCell ref="C1386:C1387"/>
    <mergeCell ref="D1386:D1387"/>
    <mergeCell ref="E1386:E1387"/>
    <mergeCell ref="Q1384:Q1385"/>
    <mergeCell ref="R1384:R1385"/>
    <mergeCell ref="S1384:S1385"/>
    <mergeCell ref="T1384:T1385"/>
    <mergeCell ref="G1384:H1384"/>
    <mergeCell ref="I1384:K1385"/>
    <mergeCell ref="M1384:M1385"/>
    <mergeCell ref="O1384:O1385"/>
    <mergeCell ref="A1384:A1385"/>
    <mergeCell ref="B1384:B1385"/>
    <mergeCell ref="C1384:C1385"/>
    <mergeCell ref="D1384:D1385"/>
    <mergeCell ref="E1384:E1385"/>
    <mergeCell ref="F1384:F1385"/>
    <mergeCell ref="T1382:T1383"/>
    <mergeCell ref="V1382:X1383"/>
    <mergeCell ref="Y1382:Y1383"/>
    <mergeCell ref="G1383:H1383"/>
    <mergeCell ref="O1382:O1383"/>
    <mergeCell ref="Q1382:Q1383"/>
    <mergeCell ref="R1382:R1383"/>
    <mergeCell ref="S1382:S1383"/>
    <mergeCell ref="F1382:F1383"/>
    <mergeCell ref="G1382:H1382"/>
    <mergeCell ref="I1382:K1383"/>
    <mergeCell ref="M1382:M1383"/>
    <mergeCell ref="V1380:X1381"/>
    <mergeCell ref="Y1380:Y1381"/>
    <mergeCell ref="G1381:H1381"/>
    <mergeCell ref="A1382:A1383"/>
    <mergeCell ref="B1382:B1383"/>
    <mergeCell ref="C1382:C1383"/>
    <mergeCell ref="D1382:D1383"/>
    <mergeCell ref="E1382:E1383"/>
    <mergeCell ref="Q1380:Q1381"/>
    <mergeCell ref="R1380:R1381"/>
    <mergeCell ref="S1380:S1381"/>
    <mergeCell ref="T1380:T1381"/>
    <mergeCell ref="G1380:H1380"/>
    <mergeCell ref="I1380:K1381"/>
    <mergeCell ref="M1380:M1381"/>
    <mergeCell ref="O1380:O1381"/>
    <mergeCell ref="A1380:A1381"/>
    <mergeCell ref="B1380:B1381"/>
    <mergeCell ref="C1380:C1381"/>
    <mergeCell ref="D1380:D1381"/>
    <mergeCell ref="E1380:E1381"/>
    <mergeCell ref="F1380:F1381"/>
    <mergeCell ref="T1378:T1379"/>
    <mergeCell ref="V1378:X1379"/>
    <mergeCell ref="Y1378:Y1379"/>
    <mergeCell ref="G1379:H1379"/>
    <mergeCell ref="O1378:O1379"/>
    <mergeCell ref="Q1378:Q1379"/>
    <mergeCell ref="R1378:R1379"/>
    <mergeCell ref="S1378:S1379"/>
    <mergeCell ref="F1378:F1379"/>
    <mergeCell ref="G1378:H1378"/>
    <mergeCell ref="I1378:K1379"/>
    <mergeCell ref="M1378:M1379"/>
    <mergeCell ref="V1376:X1377"/>
    <mergeCell ref="Y1376:Y1377"/>
    <mergeCell ref="G1377:H1377"/>
    <mergeCell ref="A1378:A1379"/>
    <mergeCell ref="B1378:B1379"/>
    <mergeCell ref="C1378:C1379"/>
    <mergeCell ref="D1378:D1379"/>
    <mergeCell ref="E1378:E1379"/>
    <mergeCell ref="Q1376:Q1377"/>
    <mergeCell ref="R1376:R1377"/>
    <mergeCell ref="S1376:S1377"/>
    <mergeCell ref="T1376:T1377"/>
    <mergeCell ref="G1376:H1376"/>
    <mergeCell ref="I1376:K1377"/>
    <mergeCell ref="M1376:M1377"/>
    <mergeCell ref="O1376:O1377"/>
    <mergeCell ref="A1376:A1377"/>
    <mergeCell ref="B1376:B1377"/>
    <mergeCell ref="C1376:C1377"/>
    <mergeCell ref="D1376:D1377"/>
    <mergeCell ref="E1376:E1377"/>
    <mergeCell ref="F1376:F1377"/>
    <mergeCell ref="T1374:T1375"/>
    <mergeCell ref="V1374:X1375"/>
    <mergeCell ref="Y1374:Y1375"/>
    <mergeCell ref="G1375:H1375"/>
    <mergeCell ref="O1374:O1375"/>
    <mergeCell ref="Q1374:Q1375"/>
    <mergeCell ref="R1374:R1375"/>
    <mergeCell ref="S1374:S1375"/>
    <mergeCell ref="F1374:F1375"/>
    <mergeCell ref="G1374:H1374"/>
    <mergeCell ref="I1374:K1375"/>
    <mergeCell ref="M1374:M1375"/>
    <mergeCell ref="V1372:X1373"/>
    <mergeCell ref="Y1372:Y1373"/>
    <mergeCell ref="G1373:H1373"/>
    <mergeCell ref="A1374:A1375"/>
    <mergeCell ref="B1374:B1375"/>
    <mergeCell ref="C1374:C1375"/>
    <mergeCell ref="D1374:D1375"/>
    <mergeCell ref="E1374:E1375"/>
    <mergeCell ref="Q1372:Q1373"/>
    <mergeCell ref="R1372:R1373"/>
    <mergeCell ref="S1372:S1373"/>
    <mergeCell ref="T1372:T1373"/>
    <mergeCell ref="G1372:H1372"/>
    <mergeCell ref="I1372:K1373"/>
    <mergeCell ref="M1372:M1373"/>
    <mergeCell ref="O1372:O1373"/>
    <mergeCell ref="A1372:A1373"/>
    <mergeCell ref="B1372:B1373"/>
    <mergeCell ref="C1372:C1373"/>
    <mergeCell ref="D1372:D1373"/>
    <mergeCell ref="E1372:E1373"/>
    <mergeCell ref="F1372:F1373"/>
    <mergeCell ref="T1370:T1371"/>
    <mergeCell ref="V1370:X1371"/>
    <mergeCell ref="Y1370:Y1371"/>
    <mergeCell ref="G1371:H1371"/>
    <mergeCell ref="O1370:O1371"/>
    <mergeCell ref="Q1370:Q1371"/>
    <mergeCell ref="R1370:R1371"/>
    <mergeCell ref="S1370:S1371"/>
    <mergeCell ref="F1370:F1371"/>
    <mergeCell ref="G1370:H1370"/>
    <mergeCell ref="I1370:K1371"/>
    <mergeCell ref="M1370:M1371"/>
    <mergeCell ref="V1368:X1369"/>
    <mergeCell ref="Y1368:Y1369"/>
    <mergeCell ref="G1369:H1369"/>
    <mergeCell ref="A1370:A1371"/>
    <mergeCell ref="B1370:B1371"/>
    <mergeCell ref="C1370:C1371"/>
    <mergeCell ref="D1370:D1371"/>
    <mergeCell ref="E1370:E1371"/>
    <mergeCell ref="Q1368:Q1369"/>
    <mergeCell ref="R1368:R1369"/>
    <mergeCell ref="S1368:S1369"/>
    <mergeCell ref="T1368:T1369"/>
    <mergeCell ref="G1368:H1368"/>
    <mergeCell ref="I1368:K1369"/>
    <mergeCell ref="M1368:M1369"/>
    <mergeCell ref="O1368:O1369"/>
    <mergeCell ref="A1368:A1369"/>
    <mergeCell ref="B1368:B1369"/>
    <mergeCell ref="C1368:C1369"/>
    <mergeCell ref="D1368:D1369"/>
    <mergeCell ref="E1368:E1369"/>
    <mergeCell ref="F1368:F1369"/>
    <mergeCell ref="T1366:T1367"/>
    <mergeCell ref="V1366:X1367"/>
    <mergeCell ref="Y1366:Y1367"/>
    <mergeCell ref="G1367:H1367"/>
    <mergeCell ref="O1366:O1367"/>
    <mergeCell ref="Q1366:Q1367"/>
    <mergeCell ref="R1366:R1367"/>
    <mergeCell ref="S1366:S1367"/>
    <mergeCell ref="F1366:F1367"/>
    <mergeCell ref="G1366:H1366"/>
    <mergeCell ref="I1366:K1367"/>
    <mergeCell ref="M1366:M1367"/>
    <mergeCell ref="V1364:X1365"/>
    <mergeCell ref="Y1364:Y1365"/>
    <mergeCell ref="G1365:H1365"/>
    <mergeCell ref="A1366:A1367"/>
    <mergeCell ref="B1366:B1367"/>
    <mergeCell ref="C1366:C1367"/>
    <mergeCell ref="D1366:D1367"/>
    <mergeCell ref="E1366:E1367"/>
    <mergeCell ref="Q1364:Q1365"/>
    <mergeCell ref="R1364:R1365"/>
    <mergeCell ref="S1364:S1365"/>
    <mergeCell ref="T1364:T1365"/>
    <mergeCell ref="G1364:H1364"/>
    <mergeCell ref="I1364:K1365"/>
    <mergeCell ref="M1364:M1365"/>
    <mergeCell ref="O1364:O1365"/>
    <mergeCell ref="A1364:A1365"/>
    <mergeCell ref="B1364:B1365"/>
    <mergeCell ref="C1364:C1365"/>
    <mergeCell ref="D1364:D1365"/>
    <mergeCell ref="E1364:E1365"/>
    <mergeCell ref="F1364:F1365"/>
    <mergeCell ref="T1362:T1363"/>
    <mergeCell ref="V1362:X1363"/>
    <mergeCell ref="Y1362:Y1363"/>
    <mergeCell ref="G1363:H1363"/>
    <mergeCell ref="O1362:O1363"/>
    <mergeCell ref="Q1362:Q1363"/>
    <mergeCell ref="R1362:R1363"/>
    <mergeCell ref="S1362:S1363"/>
    <mergeCell ref="F1362:F1363"/>
    <mergeCell ref="G1362:H1362"/>
    <mergeCell ref="I1362:K1363"/>
    <mergeCell ref="M1362:M1363"/>
    <mergeCell ref="V1360:X1361"/>
    <mergeCell ref="Y1360:Y1361"/>
    <mergeCell ref="G1361:H1361"/>
    <mergeCell ref="A1362:A1363"/>
    <mergeCell ref="B1362:B1363"/>
    <mergeCell ref="C1362:C1363"/>
    <mergeCell ref="D1362:D1363"/>
    <mergeCell ref="E1362:E1363"/>
    <mergeCell ref="Q1360:Q1361"/>
    <mergeCell ref="R1360:R1361"/>
    <mergeCell ref="S1360:S1361"/>
    <mergeCell ref="T1360:T1361"/>
    <mergeCell ref="G1360:H1360"/>
    <mergeCell ref="I1360:K1361"/>
    <mergeCell ref="M1360:M1361"/>
    <mergeCell ref="O1360:O1361"/>
    <mergeCell ref="A1360:A1361"/>
    <mergeCell ref="B1360:B1361"/>
    <mergeCell ref="C1360:C1361"/>
    <mergeCell ref="D1360:D1361"/>
    <mergeCell ref="E1360:E1361"/>
    <mergeCell ref="F1360:F1361"/>
    <mergeCell ref="T1358:T1359"/>
    <mergeCell ref="V1358:X1359"/>
    <mergeCell ref="Y1358:Y1359"/>
    <mergeCell ref="G1359:H1359"/>
    <mergeCell ref="O1358:O1359"/>
    <mergeCell ref="Q1358:Q1359"/>
    <mergeCell ref="R1358:R1359"/>
    <mergeCell ref="S1358:S1359"/>
    <mergeCell ref="F1358:F1359"/>
    <mergeCell ref="G1358:H1358"/>
    <mergeCell ref="I1358:K1359"/>
    <mergeCell ref="M1358:M1359"/>
    <mergeCell ref="V1356:X1357"/>
    <mergeCell ref="Y1356:Y1357"/>
    <mergeCell ref="G1357:H1357"/>
    <mergeCell ref="A1358:A1359"/>
    <mergeCell ref="B1358:B1359"/>
    <mergeCell ref="C1358:C1359"/>
    <mergeCell ref="D1358:D1359"/>
    <mergeCell ref="E1358:E1359"/>
    <mergeCell ref="Q1356:Q1357"/>
    <mergeCell ref="R1356:R1357"/>
    <mergeCell ref="S1356:S1357"/>
    <mergeCell ref="T1356:T1357"/>
    <mergeCell ref="G1356:H1356"/>
    <mergeCell ref="I1356:K1357"/>
    <mergeCell ref="M1356:M1357"/>
    <mergeCell ref="O1356:O1357"/>
    <mergeCell ref="A1356:A1357"/>
    <mergeCell ref="B1356:B1357"/>
    <mergeCell ref="C1356:C1357"/>
    <mergeCell ref="D1356:D1357"/>
    <mergeCell ref="E1356:E1357"/>
    <mergeCell ref="F1356:F1357"/>
    <mergeCell ref="T1354:T1355"/>
    <mergeCell ref="V1354:X1355"/>
    <mergeCell ref="Y1354:Y1355"/>
    <mergeCell ref="G1355:H1355"/>
    <mergeCell ref="O1354:O1355"/>
    <mergeCell ref="Q1354:Q1355"/>
    <mergeCell ref="R1354:R1355"/>
    <mergeCell ref="S1354:S1355"/>
    <mergeCell ref="F1354:F1355"/>
    <mergeCell ref="G1354:H1354"/>
    <mergeCell ref="I1354:K1355"/>
    <mergeCell ref="M1354:M1355"/>
    <mergeCell ref="V1352:X1353"/>
    <mergeCell ref="Y1352:Y1353"/>
    <mergeCell ref="G1353:H1353"/>
    <mergeCell ref="A1354:A1355"/>
    <mergeCell ref="B1354:B1355"/>
    <mergeCell ref="C1354:C1355"/>
    <mergeCell ref="D1354:D1355"/>
    <mergeCell ref="E1354:E1355"/>
    <mergeCell ref="Q1352:Q1353"/>
    <mergeCell ref="R1352:R1353"/>
    <mergeCell ref="S1352:S1353"/>
    <mergeCell ref="T1352:T1353"/>
    <mergeCell ref="G1352:H1352"/>
    <mergeCell ref="I1352:K1353"/>
    <mergeCell ref="M1352:M1353"/>
    <mergeCell ref="O1352:O1353"/>
    <mergeCell ref="A1352:A1353"/>
    <mergeCell ref="B1352:B1353"/>
    <mergeCell ref="C1352:C1353"/>
    <mergeCell ref="D1352:D1353"/>
    <mergeCell ref="E1352:E1353"/>
    <mergeCell ref="F1352:F1353"/>
    <mergeCell ref="T1350:T1351"/>
    <mergeCell ref="V1350:X1351"/>
    <mergeCell ref="Y1350:Y1351"/>
    <mergeCell ref="G1351:H1351"/>
    <mergeCell ref="O1350:O1351"/>
    <mergeCell ref="Q1350:Q1351"/>
    <mergeCell ref="R1350:R1351"/>
    <mergeCell ref="S1350:S1351"/>
    <mergeCell ref="F1350:F1351"/>
    <mergeCell ref="G1350:H1350"/>
    <mergeCell ref="I1350:K1351"/>
    <mergeCell ref="M1350:M1351"/>
    <mergeCell ref="V1348:X1349"/>
    <mergeCell ref="Y1348:Y1349"/>
    <mergeCell ref="G1349:H1349"/>
    <mergeCell ref="A1350:A1351"/>
    <mergeCell ref="B1350:B1351"/>
    <mergeCell ref="C1350:C1351"/>
    <mergeCell ref="D1350:D1351"/>
    <mergeCell ref="E1350:E1351"/>
    <mergeCell ref="Q1348:Q1349"/>
    <mergeCell ref="R1348:R1349"/>
    <mergeCell ref="S1348:S1349"/>
    <mergeCell ref="T1348:T1349"/>
    <mergeCell ref="G1348:H1348"/>
    <mergeCell ref="I1348:K1349"/>
    <mergeCell ref="M1348:M1349"/>
    <mergeCell ref="O1348:O1349"/>
    <mergeCell ref="A1348:A1349"/>
    <mergeCell ref="B1348:B1349"/>
    <mergeCell ref="C1348:C1349"/>
    <mergeCell ref="D1348:D1349"/>
    <mergeCell ref="E1348:E1349"/>
    <mergeCell ref="F1348:F1349"/>
    <mergeCell ref="T1346:T1347"/>
    <mergeCell ref="V1346:X1347"/>
    <mergeCell ref="Y1346:Y1347"/>
    <mergeCell ref="G1347:H1347"/>
    <mergeCell ref="O1346:O1347"/>
    <mergeCell ref="Q1346:Q1347"/>
    <mergeCell ref="R1346:R1347"/>
    <mergeCell ref="S1346:S1347"/>
    <mergeCell ref="F1346:F1347"/>
    <mergeCell ref="G1346:H1346"/>
    <mergeCell ref="I1346:K1347"/>
    <mergeCell ref="M1346:M1347"/>
    <mergeCell ref="V1344:X1345"/>
    <mergeCell ref="Y1344:Y1345"/>
    <mergeCell ref="G1345:H1345"/>
    <mergeCell ref="A1346:A1347"/>
    <mergeCell ref="B1346:B1347"/>
    <mergeCell ref="C1346:C1347"/>
    <mergeCell ref="D1346:D1347"/>
    <mergeCell ref="E1346:E1347"/>
    <mergeCell ref="Q1344:Q1345"/>
    <mergeCell ref="R1344:R1345"/>
    <mergeCell ref="S1344:S1345"/>
    <mergeCell ref="T1344:T1345"/>
    <mergeCell ref="G1344:H1344"/>
    <mergeCell ref="I1344:K1345"/>
    <mergeCell ref="M1344:M1345"/>
    <mergeCell ref="O1344:O1345"/>
    <mergeCell ref="A1344:A1345"/>
    <mergeCell ref="B1344:B1345"/>
    <mergeCell ref="C1344:C1345"/>
    <mergeCell ref="D1344:D1345"/>
    <mergeCell ref="E1344:E1345"/>
    <mergeCell ref="F1344:F1345"/>
    <mergeCell ref="T1342:T1343"/>
    <mergeCell ref="V1342:X1343"/>
    <mergeCell ref="Y1342:Y1343"/>
    <mergeCell ref="G1343:H1343"/>
    <mergeCell ref="O1342:O1343"/>
    <mergeCell ref="Q1342:Q1343"/>
    <mergeCell ref="R1342:R1343"/>
    <mergeCell ref="S1342:S1343"/>
    <mergeCell ref="F1342:F1343"/>
    <mergeCell ref="G1342:H1342"/>
    <mergeCell ref="I1342:K1343"/>
    <mergeCell ref="M1342:M1343"/>
    <mergeCell ref="V1340:X1341"/>
    <mergeCell ref="Y1340:Y1341"/>
    <mergeCell ref="G1341:H1341"/>
    <mergeCell ref="A1342:A1343"/>
    <mergeCell ref="B1342:B1343"/>
    <mergeCell ref="C1342:C1343"/>
    <mergeCell ref="D1342:D1343"/>
    <mergeCell ref="E1342:E1343"/>
    <mergeCell ref="Q1340:Q1341"/>
    <mergeCell ref="R1340:R1341"/>
    <mergeCell ref="S1340:S1341"/>
    <mergeCell ref="T1340:T1341"/>
    <mergeCell ref="G1340:H1340"/>
    <mergeCell ref="I1340:K1341"/>
    <mergeCell ref="M1340:M1341"/>
    <mergeCell ref="O1340:O1341"/>
    <mergeCell ref="A1340:A1341"/>
    <mergeCell ref="B1340:B1341"/>
    <mergeCell ref="C1340:C1341"/>
    <mergeCell ref="D1340:D1341"/>
    <mergeCell ref="E1340:E1341"/>
    <mergeCell ref="F1340:F1341"/>
    <mergeCell ref="T1338:T1339"/>
    <mergeCell ref="V1338:X1339"/>
    <mergeCell ref="Y1338:Y1339"/>
    <mergeCell ref="G1339:H1339"/>
    <mergeCell ref="O1338:O1339"/>
    <mergeCell ref="Q1338:Q1339"/>
    <mergeCell ref="R1338:R1339"/>
    <mergeCell ref="S1338:S1339"/>
    <mergeCell ref="F1338:F1339"/>
    <mergeCell ref="G1338:H1338"/>
    <mergeCell ref="I1338:K1339"/>
    <mergeCell ref="M1338:M1339"/>
    <mergeCell ref="V1336:X1337"/>
    <mergeCell ref="Y1336:Y1337"/>
    <mergeCell ref="G1337:H1337"/>
    <mergeCell ref="A1338:A1339"/>
    <mergeCell ref="B1338:B1339"/>
    <mergeCell ref="C1338:C1339"/>
    <mergeCell ref="D1338:D1339"/>
    <mergeCell ref="E1338:E1339"/>
    <mergeCell ref="Q1336:Q1337"/>
    <mergeCell ref="R1336:R1337"/>
    <mergeCell ref="S1336:S1337"/>
    <mergeCell ref="T1336:T1337"/>
    <mergeCell ref="G1336:H1336"/>
    <mergeCell ref="I1336:K1337"/>
    <mergeCell ref="M1336:M1337"/>
    <mergeCell ref="O1336:O1337"/>
    <mergeCell ref="A1336:A1337"/>
    <mergeCell ref="B1336:B1337"/>
    <mergeCell ref="C1336:C1337"/>
    <mergeCell ref="D1336:D1337"/>
    <mergeCell ref="E1336:E1337"/>
    <mergeCell ref="F1336:F1337"/>
    <mergeCell ref="T1334:T1335"/>
    <mergeCell ref="V1334:X1335"/>
    <mergeCell ref="Y1334:Y1335"/>
    <mergeCell ref="G1335:H1335"/>
    <mergeCell ref="O1334:O1335"/>
    <mergeCell ref="Q1334:Q1335"/>
    <mergeCell ref="R1334:R1335"/>
    <mergeCell ref="S1334:S1335"/>
    <mergeCell ref="F1334:F1335"/>
    <mergeCell ref="G1334:H1334"/>
    <mergeCell ref="I1334:K1335"/>
    <mergeCell ref="M1334:M1335"/>
    <mergeCell ref="V1332:X1333"/>
    <mergeCell ref="Y1332:Y1333"/>
    <mergeCell ref="G1333:H1333"/>
    <mergeCell ref="A1334:A1335"/>
    <mergeCell ref="B1334:B1335"/>
    <mergeCell ref="C1334:C1335"/>
    <mergeCell ref="D1334:D1335"/>
    <mergeCell ref="E1334:E1335"/>
    <mergeCell ref="Q1332:Q1333"/>
    <mergeCell ref="R1332:R1333"/>
    <mergeCell ref="S1332:S1333"/>
    <mergeCell ref="T1332:T1333"/>
    <mergeCell ref="G1332:H1332"/>
    <mergeCell ref="I1332:K1333"/>
    <mergeCell ref="M1332:M1333"/>
    <mergeCell ref="O1332:O1333"/>
    <mergeCell ref="A1332:A1333"/>
    <mergeCell ref="B1332:B1333"/>
    <mergeCell ref="C1332:C1333"/>
    <mergeCell ref="D1332:D1333"/>
    <mergeCell ref="E1332:E1333"/>
    <mergeCell ref="F1332:F1333"/>
    <mergeCell ref="T1330:T1331"/>
    <mergeCell ref="V1330:X1331"/>
    <mergeCell ref="Y1330:Y1331"/>
    <mergeCell ref="G1331:H1331"/>
    <mergeCell ref="O1330:O1331"/>
    <mergeCell ref="Q1330:Q1331"/>
    <mergeCell ref="R1330:R1331"/>
    <mergeCell ref="S1330:S1331"/>
    <mergeCell ref="F1330:F1331"/>
    <mergeCell ref="G1330:H1330"/>
    <mergeCell ref="I1330:K1331"/>
    <mergeCell ref="M1330:M1331"/>
    <mergeCell ref="V1328:X1329"/>
    <mergeCell ref="Y1328:Y1329"/>
    <mergeCell ref="G1329:H1329"/>
    <mergeCell ref="A1330:A1331"/>
    <mergeCell ref="B1330:B1331"/>
    <mergeCell ref="C1330:C1331"/>
    <mergeCell ref="D1330:D1331"/>
    <mergeCell ref="E1330:E1331"/>
    <mergeCell ref="Q1328:Q1329"/>
    <mergeCell ref="R1328:R1329"/>
    <mergeCell ref="S1328:S1329"/>
    <mergeCell ref="T1328:T1329"/>
    <mergeCell ref="G1328:H1328"/>
    <mergeCell ref="I1328:K1329"/>
    <mergeCell ref="M1328:M1329"/>
    <mergeCell ref="O1328:O1329"/>
    <mergeCell ref="A1328:A1329"/>
    <mergeCell ref="B1328:B1329"/>
    <mergeCell ref="C1328:C1329"/>
    <mergeCell ref="D1328:D1329"/>
    <mergeCell ref="E1328:E1329"/>
    <mergeCell ref="F1328:F1329"/>
    <mergeCell ref="T1326:T1327"/>
    <mergeCell ref="V1326:X1327"/>
    <mergeCell ref="Y1326:Y1327"/>
    <mergeCell ref="G1327:H1327"/>
    <mergeCell ref="O1326:O1327"/>
    <mergeCell ref="Q1326:Q1327"/>
    <mergeCell ref="R1326:R1327"/>
    <mergeCell ref="S1326:S1327"/>
    <mergeCell ref="F1326:F1327"/>
    <mergeCell ref="G1326:H1326"/>
    <mergeCell ref="I1326:K1327"/>
    <mergeCell ref="M1326:M1327"/>
    <mergeCell ref="V1324:X1325"/>
    <mergeCell ref="Y1324:Y1325"/>
    <mergeCell ref="G1325:H1325"/>
    <mergeCell ref="A1326:A1327"/>
    <mergeCell ref="B1326:B1327"/>
    <mergeCell ref="C1326:C1327"/>
    <mergeCell ref="D1326:D1327"/>
    <mergeCell ref="E1326:E1327"/>
    <mergeCell ref="Q1324:Q1325"/>
    <mergeCell ref="R1324:R1325"/>
    <mergeCell ref="S1324:S1325"/>
    <mergeCell ref="T1324:T1325"/>
    <mergeCell ref="G1324:H1324"/>
    <mergeCell ref="I1324:K1325"/>
    <mergeCell ref="M1324:M1325"/>
    <mergeCell ref="O1324:O1325"/>
    <mergeCell ref="A1324:A1325"/>
    <mergeCell ref="B1324:B1325"/>
    <mergeCell ref="C1324:C1325"/>
    <mergeCell ref="D1324:D1325"/>
    <mergeCell ref="E1324:E1325"/>
    <mergeCell ref="F1324:F1325"/>
    <mergeCell ref="T1322:T1323"/>
    <mergeCell ref="V1322:X1323"/>
    <mergeCell ref="Y1322:Y1323"/>
    <mergeCell ref="G1323:H1323"/>
    <mergeCell ref="O1322:O1323"/>
    <mergeCell ref="Q1322:Q1323"/>
    <mergeCell ref="R1322:R1323"/>
    <mergeCell ref="S1322:S1323"/>
    <mergeCell ref="F1322:F1323"/>
    <mergeCell ref="G1322:H1322"/>
    <mergeCell ref="I1322:K1323"/>
    <mergeCell ref="M1322:M1323"/>
    <mergeCell ref="V1320:X1321"/>
    <mergeCell ref="Y1320:Y1321"/>
    <mergeCell ref="G1321:H1321"/>
    <mergeCell ref="A1322:A1323"/>
    <mergeCell ref="B1322:B1323"/>
    <mergeCell ref="C1322:C1323"/>
    <mergeCell ref="D1322:D1323"/>
    <mergeCell ref="E1322:E1323"/>
    <mergeCell ref="Q1320:Q1321"/>
    <mergeCell ref="R1320:R1321"/>
    <mergeCell ref="S1320:S1321"/>
    <mergeCell ref="T1320:T1321"/>
    <mergeCell ref="G1320:H1320"/>
    <mergeCell ref="I1320:K1321"/>
    <mergeCell ref="M1320:M1321"/>
    <mergeCell ref="O1320:O1321"/>
    <mergeCell ref="A1320:A1321"/>
    <mergeCell ref="B1320:B1321"/>
    <mergeCell ref="C1320:C1321"/>
    <mergeCell ref="D1320:D1321"/>
    <mergeCell ref="E1320:E1321"/>
    <mergeCell ref="F1320:F1321"/>
    <mergeCell ref="T1318:T1319"/>
    <mergeCell ref="V1318:X1319"/>
    <mergeCell ref="Y1318:Y1319"/>
    <mergeCell ref="G1319:H1319"/>
    <mergeCell ref="O1318:O1319"/>
    <mergeCell ref="Q1318:Q1319"/>
    <mergeCell ref="R1318:R1319"/>
    <mergeCell ref="S1318:S1319"/>
    <mergeCell ref="F1318:F1319"/>
    <mergeCell ref="G1318:H1318"/>
    <mergeCell ref="I1318:K1319"/>
    <mergeCell ref="M1318:M1319"/>
    <mergeCell ref="V1316:X1317"/>
    <mergeCell ref="Y1316:Y1317"/>
    <mergeCell ref="G1317:H1317"/>
    <mergeCell ref="A1318:A1319"/>
    <mergeCell ref="B1318:B1319"/>
    <mergeCell ref="C1318:C1319"/>
    <mergeCell ref="D1318:D1319"/>
    <mergeCell ref="E1318:E1319"/>
    <mergeCell ref="Q1316:Q1317"/>
    <mergeCell ref="R1316:R1317"/>
    <mergeCell ref="S1316:S1317"/>
    <mergeCell ref="T1316:T1317"/>
    <mergeCell ref="G1316:H1316"/>
    <mergeCell ref="I1316:K1317"/>
    <mergeCell ref="M1316:M1317"/>
    <mergeCell ref="O1316:O1317"/>
    <mergeCell ref="A1316:A1317"/>
    <mergeCell ref="B1316:B1317"/>
    <mergeCell ref="C1316:C1317"/>
    <mergeCell ref="D1316:D1317"/>
    <mergeCell ref="E1316:E1317"/>
    <mergeCell ref="F1316:F1317"/>
    <mergeCell ref="T1314:T1315"/>
    <mergeCell ref="V1314:X1315"/>
    <mergeCell ref="Y1314:Y1315"/>
    <mergeCell ref="G1315:H1315"/>
    <mergeCell ref="O1314:O1315"/>
    <mergeCell ref="Q1314:Q1315"/>
    <mergeCell ref="R1314:R1315"/>
    <mergeCell ref="S1314:S1315"/>
    <mergeCell ref="F1314:F1315"/>
    <mergeCell ref="G1314:H1314"/>
    <mergeCell ref="I1314:K1315"/>
    <mergeCell ref="M1314:M1315"/>
    <mergeCell ref="V1312:X1313"/>
    <mergeCell ref="Y1312:Y1313"/>
    <mergeCell ref="G1313:H1313"/>
    <mergeCell ref="A1314:A1315"/>
    <mergeCell ref="B1314:B1315"/>
    <mergeCell ref="C1314:C1315"/>
    <mergeCell ref="D1314:D1315"/>
    <mergeCell ref="E1314:E1315"/>
    <mergeCell ref="Q1312:Q1313"/>
    <mergeCell ref="R1312:R1313"/>
    <mergeCell ref="S1312:S1313"/>
    <mergeCell ref="T1312:T1313"/>
    <mergeCell ref="G1312:H1312"/>
    <mergeCell ref="I1312:K1313"/>
    <mergeCell ref="M1312:M1313"/>
    <mergeCell ref="O1312:O1313"/>
    <mergeCell ref="A1312:A1313"/>
    <mergeCell ref="B1312:B1313"/>
    <mergeCell ref="C1312:C1313"/>
    <mergeCell ref="D1312:D1313"/>
    <mergeCell ref="E1312:E1313"/>
    <mergeCell ref="F1312:F1313"/>
    <mergeCell ref="T1310:T1311"/>
    <mergeCell ref="V1310:X1311"/>
    <mergeCell ref="Y1310:Y1311"/>
    <mergeCell ref="G1311:H1311"/>
    <mergeCell ref="O1310:O1311"/>
    <mergeCell ref="Q1310:Q1311"/>
    <mergeCell ref="R1310:R1311"/>
    <mergeCell ref="S1310:S1311"/>
    <mergeCell ref="F1310:F1311"/>
    <mergeCell ref="G1310:H1310"/>
    <mergeCell ref="I1310:K1311"/>
    <mergeCell ref="M1310:M1311"/>
    <mergeCell ref="V1308:X1309"/>
    <mergeCell ref="Y1308:Y1309"/>
    <mergeCell ref="G1309:H1309"/>
    <mergeCell ref="A1310:A1311"/>
    <mergeCell ref="B1310:B1311"/>
    <mergeCell ref="C1310:C1311"/>
    <mergeCell ref="D1310:D1311"/>
    <mergeCell ref="E1310:E1311"/>
    <mergeCell ref="Q1308:Q1309"/>
    <mergeCell ref="R1308:R1309"/>
    <mergeCell ref="S1308:S1309"/>
    <mergeCell ref="T1308:T1309"/>
    <mergeCell ref="G1308:H1308"/>
    <mergeCell ref="I1308:K1309"/>
    <mergeCell ref="M1308:M1309"/>
    <mergeCell ref="O1308:O1309"/>
    <mergeCell ref="A1308:A1309"/>
    <mergeCell ref="B1308:B1309"/>
    <mergeCell ref="C1308:C1309"/>
    <mergeCell ref="D1308:D1309"/>
    <mergeCell ref="E1308:E1309"/>
    <mergeCell ref="F1308:F1309"/>
    <mergeCell ref="T1306:T1307"/>
    <mergeCell ref="V1306:X1307"/>
    <mergeCell ref="Y1306:Y1307"/>
    <mergeCell ref="G1307:H1307"/>
    <mergeCell ref="O1306:O1307"/>
    <mergeCell ref="Q1306:Q1307"/>
    <mergeCell ref="R1306:R1307"/>
    <mergeCell ref="S1306:S1307"/>
    <mergeCell ref="F1306:F1307"/>
    <mergeCell ref="G1306:H1306"/>
    <mergeCell ref="I1306:K1307"/>
    <mergeCell ref="M1306:M1307"/>
    <mergeCell ref="V1304:X1305"/>
    <mergeCell ref="Y1304:Y1305"/>
    <mergeCell ref="G1305:H1305"/>
    <mergeCell ref="A1306:A1307"/>
    <mergeCell ref="B1306:B1307"/>
    <mergeCell ref="C1306:C1307"/>
    <mergeCell ref="D1306:D1307"/>
    <mergeCell ref="E1306:E1307"/>
    <mergeCell ref="Q1304:Q1305"/>
    <mergeCell ref="R1304:R1305"/>
    <mergeCell ref="S1304:S1305"/>
    <mergeCell ref="T1304:T1305"/>
    <mergeCell ref="G1304:H1304"/>
    <mergeCell ref="I1304:K1305"/>
    <mergeCell ref="M1304:M1305"/>
    <mergeCell ref="O1304:O1305"/>
    <mergeCell ref="A1304:A1305"/>
    <mergeCell ref="B1304:B1305"/>
    <mergeCell ref="C1304:C1305"/>
    <mergeCell ref="D1304:D1305"/>
    <mergeCell ref="E1304:E1305"/>
    <mergeCell ref="F1304:F1305"/>
    <mergeCell ref="T1302:T1303"/>
    <mergeCell ref="V1302:X1303"/>
    <mergeCell ref="Y1302:Y1303"/>
    <mergeCell ref="G1303:H1303"/>
    <mergeCell ref="O1302:O1303"/>
    <mergeCell ref="Q1302:Q1303"/>
    <mergeCell ref="R1302:R1303"/>
    <mergeCell ref="S1302:S1303"/>
    <mergeCell ref="F1302:F1303"/>
    <mergeCell ref="G1302:H1302"/>
    <mergeCell ref="I1302:K1303"/>
    <mergeCell ref="M1302:M1303"/>
    <mergeCell ref="V1300:X1301"/>
    <mergeCell ref="Y1300:Y1301"/>
    <mergeCell ref="G1301:H1301"/>
    <mergeCell ref="A1302:A1303"/>
    <mergeCell ref="B1302:B1303"/>
    <mergeCell ref="C1302:C1303"/>
    <mergeCell ref="D1302:D1303"/>
    <mergeCell ref="E1302:E1303"/>
    <mergeCell ref="Q1300:Q1301"/>
    <mergeCell ref="R1300:R1301"/>
    <mergeCell ref="S1300:S1301"/>
    <mergeCell ref="T1300:T1301"/>
    <mergeCell ref="G1300:H1300"/>
    <mergeCell ref="I1300:K1301"/>
    <mergeCell ref="M1300:M1301"/>
    <mergeCell ref="O1300:O1301"/>
    <mergeCell ref="A1300:A1301"/>
    <mergeCell ref="B1300:B1301"/>
    <mergeCell ref="C1300:C1301"/>
    <mergeCell ref="D1300:D1301"/>
    <mergeCell ref="E1300:E1301"/>
    <mergeCell ref="F1300:F1301"/>
    <mergeCell ref="T1298:T1299"/>
    <mergeCell ref="V1298:X1299"/>
    <mergeCell ref="Y1298:Y1299"/>
    <mergeCell ref="G1299:H1299"/>
    <mergeCell ref="O1298:O1299"/>
    <mergeCell ref="Q1298:Q1299"/>
    <mergeCell ref="R1298:R1299"/>
    <mergeCell ref="S1298:S1299"/>
    <mergeCell ref="F1298:F1299"/>
    <mergeCell ref="G1298:H1298"/>
    <mergeCell ref="I1298:K1299"/>
    <mergeCell ref="M1298:M1299"/>
    <mergeCell ref="V1296:X1297"/>
    <mergeCell ref="Y1296:Y1297"/>
    <mergeCell ref="G1297:H1297"/>
    <mergeCell ref="A1298:A1299"/>
    <mergeCell ref="B1298:B1299"/>
    <mergeCell ref="C1298:C1299"/>
    <mergeCell ref="D1298:D1299"/>
    <mergeCell ref="E1298:E1299"/>
    <mergeCell ref="Q1296:Q1297"/>
    <mergeCell ref="R1296:R1297"/>
    <mergeCell ref="S1296:S1297"/>
    <mergeCell ref="T1296:T1297"/>
    <mergeCell ref="G1296:H1296"/>
    <mergeCell ref="I1296:K1297"/>
    <mergeCell ref="M1296:M1297"/>
    <mergeCell ref="O1296:O1297"/>
    <mergeCell ref="A1296:A1297"/>
    <mergeCell ref="B1296:B1297"/>
    <mergeCell ref="C1296:C1297"/>
    <mergeCell ref="D1296:D1297"/>
    <mergeCell ref="E1296:E1297"/>
    <mergeCell ref="F1296:F1297"/>
    <mergeCell ref="T1294:T1295"/>
    <mergeCell ref="V1294:X1295"/>
    <mergeCell ref="Y1294:Y1295"/>
    <mergeCell ref="G1295:H1295"/>
    <mergeCell ref="O1294:O1295"/>
    <mergeCell ref="Q1294:Q1295"/>
    <mergeCell ref="R1294:R1295"/>
    <mergeCell ref="S1294:S1295"/>
    <mergeCell ref="F1294:F1295"/>
    <mergeCell ref="G1294:H1294"/>
    <mergeCell ref="I1294:K1295"/>
    <mergeCell ref="M1294:M1295"/>
    <mergeCell ref="V1292:X1293"/>
    <mergeCell ref="Y1292:Y1293"/>
    <mergeCell ref="G1293:H1293"/>
    <mergeCell ref="A1294:A1295"/>
    <mergeCell ref="B1294:B1295"/>
    <mergeCell ref="C1294:C1295"/>
    <mergeCell ref="D1294:D1295"/>
    <mergeCell ref="E1294:E1295"/>
    <mergeCell ref="Q1292:Q1293"/>
    <mergeCell ref="R1292:R1293"/>
    <mergeCell ref="S1292:S1293"/>
    <mergeCell ref="T1292:T1293"/>
    <mergeCell ref="G1292:H1292"/>
    <mergeCell ref="I1292:K1293"/>
    <mergeCell ref="M1292:M1293"/>
    <mergeCell ref="O1292:O1293"/>
    <mergeCell ref="A1292:A1293"/>
    <mergeCell ref="B1292:B1293"/>
    <mergeCell ref="C1292:C1293"/>
    <mergeCell ref="D1292:D1293"/>
    <mergeCell ref="E1292:E1293"/>
    <mergeCell ref="F1292:F1293"/>
    <mergeCell ref="T1290:T1291"/>
    <mergeCell ref="V1290:X1291"/>
    <mergeCell ref="Y1290:Y1291"/>
    <mergeCell ref="G1291:H1291"/>
    <mergeCell ref="O1290:O1291"/>
    <mergeCell ref="Q1290:Q1291"/>
    <mergeCell ref="R1290:R1291"/>
    <mergeCell ref="S1290:S1291"/>
    <mergeCell ref="F1290:F1291"/>
    <mergeCell ref="G1290:H1290"/>
    <mergeCell ref="I1290:K1291"/>
    <mergeCell ref="M1290:M1291"/>
    <mergeCell ref="V1288:X1289"/>
    <mergeCell ref="Y1288:Y1289"/>
    <mergeCell ref="G1289:H1289"/>
    <mergeCell ref="A1290:A1291"/>
    <mergeCell ref="B1290:B1291"/>
    <mergeCell ref="C1290:C1291"/>
    <mergeCell ref="D1290:D1291"/>
    <mergeCell ref="E1290:E1291"/>
    <mergeCell ref="Q1288:Q1289"/>
    <mergeCell ref="R1288:R1289"/>
    <mergeCell ref="S1288:S1289"/>
    <mergeCell ref="T1288:T1289"/>
    <mergeCell ref="G1288:H1288"/>
    <mergeCell ref="I1288:K1289"/>
    <mergeCell ref="M1288:M1289"/>
    <mergeCell ref="O1288:O1289"/>
    <mergeCell ref="A1288:A1289"/>
    <mergeCell ref="B1288:B1289"/>
    <mergeCell ref="C1288:C1289"/>
    <mergeCell ref="D1288:D1289"/>
    <mergeCell ref="E1288:E1289"/>
    <mergeCell ref="F1288:F1289"/>
    <mergeCell ref="T1286:T1287"/>
    <mergeCell ref="V1286:X1287"/>
    <mergeCell ref="Y1286:Y1287"/>
    <mergeCell ref="G1287:H1287"/>
    <mergeCell ref="O1286:O1287"/>
    <mergeCell ref="Q1286:Q1287"/>
    <mergeCell ref="R1286:R1287"/>
    <mergeCell ref="S1286:S1287"/>
    <mergeCell ref="F1286:F1287"/>
    <mergeCell ref="G1286:H1286"/>
    <mergeCell ref="I1286:K1287"/>
    <mergeCell ref="M1286:M1287"/>
    <mergeCell ref="V1284:X1285"/>
    <mergeCell ref="Y1284:Y1285"/>
    <mergeCell ref="G1285:H1285"/>
    <mergeCell ref="A1286:A1287"/>
    <mergeCell ref="B1286:B1287"/>
    <mergeCell ref="C1286:C1287"/>
    <mergeCell ref="D1286:D1287"/>
    <mergeCell ref="E1286:E1287"/>
    <mergeCell ref="Q1284:Q1285"/>
    <mergeCell ref="R1284:R1285"/>
    <mergeCell ref="S1284:S1285"/>
    <mergeCell ref="T1284:T1285"/>
    <mergeCell ref="G1284:H1284"/>
    <mergeCell ref="I1284:K1285"/>
    <mergeCell ref="M1284:M1285"/>
    <mergeCell ref="O1284:O1285"/>
    <mergeCell ref="A1284:A1285"/>
    <mergeCell ref="B1284:B1285"/>
    <mergeCell ref="C1284:C1285"/>
    <mergeCell ref="D1284:D1285"/>
    <mergeCell ref="E1284:E1285"/>
    <mergeCell ref="F1284:F1285"/>
    <mergeCell ref="T1282:T1283"/>
    <mergeCell ref="V1282:X1283"/>
    <mergeCell ref="Y1282:Y1283"/>
    <mergeCell ref="G1283:H1283"/>
    <mergeCell ref="O1282:O1283"/>
    <mergeCell ref="Q1282:Q1283"/>
    <mergeCell ref="R1282:R1283"/>
    <mergeCell ref="S1282:S1283"/>
    <mergeCell ref="F1282:F1283"/>
    <mergeCell ref="G1282:H1282"/>
    <mergeCell ref="I1282:K1283"/>
    <mergeCell ref="M1282:M1283"/>
    <mergeCell ref="V1280:X1281"/>
    <mergeCell ref="Y1280:Y1281"/>
    <mergeCell ref="G1281:H1281"/>
    <mergeCell ref="A1282:A1283"/>
    <mergeCell ref="B1282:B1283"/>
    <mergeCell ref="C1282:C1283"/>
    <mergeCell ref="D1282:D1283"/>
    <mergeCell ref="E1282:E1283"/>
    <mergeCell ref="Q1280:Q1281"/>
    <mergeCell ref="R1280:R1281"/>
    <mergeCell ref="S1280:S1281"/>
    <mergeCell ref="T1280:T1281"/>
    <mergeCell ref="G1280:H1280"/>
    <mergeCell ref="I1280:K1281"/>
    <mergeCell ref="M1280:M1281"/>
    <mergeCell ref="O1280:O1281"/>
    <mergeCell ref="A1280:A1281"/>
    <mergeCell ref="B1280:B1281"/>
    <mergeCell ref="C1280:C1281"/>
    <mergeCell ref="D1280:D1281"/>
    <mergeCell ref="E1280:E1281"/>
    <mergeCell ref="F1280:F1281"/>
    <mergeCell ref="T1278:T1279"/>
    <mergeCell ref="V1278:X1279"/>
    <mergeCell ref="Y1278:Y1279"/>
    <mergeCell ref="G1279:H1279"/>
    <mergeCell ref="O1278:O1279"/>
    <mergeCell ref="Q1278:Q1279"/>
    <mergeCell ref="R1278:R1279"/>
    <mergeCell ref="S1278:S1279"/>
    <mergeCell ref="F1278:F1279"/>
    <mergeCell ref="G1278:H1278"/>
    <mergeCell ref="I1278:K1279"/>
    <mergeCell ref="M1278:M1279"/>
    <mergeCell ref="V1276:X1277"/>
    <mergeCell ref="Y1276:Y1277"/>
    <mergeCell ref="G1277:H1277"/>
    <mergeCell ref="A1278:A1279"/>
    <mergeCell ref="B1278:B1279"/>
    <mergeCell ref="C1278:C1279"/>
    <mergeCell ref="D1278:D1279"/>
    <mergeCell ref="E1278:E1279"/>
    <mergeCell ref="Q1276:Q1277"/>
    <mergeCell ref="R1276:R1277"/>
    <mergeCell ref="S1276:S1277"/>
    <mergeCell ref="T1276:T1277"/>
    <mergeCell ref="G1276:H1276"/>
    <mergeCell ref="I1276:K1277"/>
    <mergeCell ref="M1276:M1277"/>
    <mergeCell ref="O1276:O1277"/>
    <mergeCell ref="A1276:A1277"/>
    <mergeCell ref="B1276:B1277"/>
    <mergeCell ref="C1276:C1277"/>
    <mergeCell ref="D1276:D1277"/>
    <mergeCell ref="E1276:E1277"/>
    <mergeCell ref="F1276:F1277"/>
    <mergeCell ref="T1274:T1275"/>
    <mergeCell ref="V1274:X1275"/>
    <mergeCell ref="Y1274:Y1275"/>
    <mergeCell ref="G1275:H1275"/>
    <mergeCell ref="O1274:O1275"/>
    <mergeCell ref="Q1274:Q1275"/>
    <mergeCell ref="R1274:R1275"/>
    <mergeCell ref="S1274:S1275"/>
    <mergeCell ref="F1274:F1275"/>
    <mergeCell ref="G1274:H1274"/>
    <mergeCell ref="I1274:K1275"/>
    <mergeCell ref="M1274:M1275"/>
    <mergeCell ref="V1272:X1273"/>
    <mergeCell ref="Y1272:Y1273"/>
    <mergeCell ref="G1273:H1273"/>
    <mergeCell ref="A1274:A1275"/>
    <mergeCell ref="B1274:B1275"/>
    <mergeCell ref="C1274:C1275"/>
    <mergeCell ref="D1274:D1275"/>
    <mergeCell ref="E1274:E1275"/>
    <mergeCell ref="Q1272:Q1273"/>
    <mergeCell ref="R1272:R1273"/>
    <mergeCell ref="S1272:S1273"/>
    <mergeCell ref="T1272:T1273"/>
    <mergeCell ref="G1272:H1272"/>
    <mergeCell ref="I1272:K1273"/>
    <mergeCell ref="M1272:M1273"/>
    <mergeCell ref="O1272:O1273"/>
    <mergeCell ref="A1272:A1273"/>
    <mergeCell ref="B1272:B1273"/>
    <mergeCell ref="C1272:C1273"/>
    <mergeCell ref="D1272:D1273"/>
    <mergeCell ref="E1272:E1273"/>
    <mergeCell ref="F1272:F1273"/>
    <mergeCell ref="T1270:T1271"/>
    <mergeCell ref="V1270:X1271"/>
    <mergeCell ref="Y1270:Y1271"/>
    <mergeCell ref="G1271:H1271"/>
    <mergeCell ref="O1270:O1271"/>
    <mergeCell ref="Q1270:Q1271"/>
    <mergeCell ref="R1270:R1271"/>
    <mergeCell ref="S1270:S1271"/>
    <mergeCell ref="F1270:F1271"/>
    <mergeCell ref="G1270:H1270"/>
    <mergeCell ref="I1270:K1271"/>
    <mergeCell ref="M1270:M1271"/>
    <mergeCell ref="V1268:X1269"/>
    <mergeCell ref="Y1268:Y1269"/>
    <mergeCell ref="G1269:H1269"/>
    <mergeCell ref="A1270:A1271"/>
    <mergeCell ref="B1270:B1271"/>
    <mergeCell ref="C1270:C1271"/>
    <mergeCell ref="D1270:D1271"/>
    <mergeCell ref="E1270:E1271"/>
    <mergeCell ref="Q1268:Q1269"/>
    <mergeCell ref="R1268:R1269"/>
    <mergeCell ref="S1268:S1269"/>
    <mergeCell ref="T1268:T1269"/>
    <mergeCell ref="G1268:H1268"/>
    <mergeCell ref="I1268:K1269"/>
    <mergeCell ref="M1268:M1269"/>
    <mergeCell ref="O1268:O1269"/>
    <mergeCell ref="A1268:A1269"/>
    <mergeCell ref="B1268:B1269"/>
    <mergeCell ref="C1268:C1269"/>
    <mergeCell ref="D1268:D1269"/>
    <mergeCell ref="E1268:E1269"/>
    <mergeCell ref="F1268:F1269"/>
    <mergeCell ref="T1266:T1267"/>
    <mergeCell ref="V1266:X1267"/>
    <mergeCell ref="Y1266:Y1267"/>
    <mergeCell ref="G1267:H1267"/>
    <mergeCell ref="O1266:O1267"/>
    <mergeCell ref="Q1266:Q1267"/>
    <mergeCell ref="R1266:R1267"/>
    <mergeCell ref="S1266:S1267"/>
    <mergeCell ref="F1266:F1267"/>
    <mergeCell ref="G1266:H1266"/>
    <mergeCell ref="I1266:K1267"/>
    <mergeCell ref="M1266:M1267"/>
    <mergeCell ref="V1264:X1265"/>
    <mergeCell ref="Y1264:Y1265"/>
    <mergeCell ref="G1265:H1265"/>
    <mergeCell ref="A1266:A1267"/>
    <mergeCell ref="B1266:B1267"/>
    <mergeCell ref="C1266:C1267"/>
    <mergeCell ref="D1266:D1267"/>
    <mergeCell ref="E1266:E1267"/>
    <mergeCell ref="Q1264:Q1265"/>
    <mergeCell ref="R1264:R1265"/>
    <mergeCell ref="S1264:S1265"/>
    <mergeCell ref="T1264:T1265"/>
    <mergeCell ref="G1264:H1264"/>
    <mergeCell ref="I1264:K1265"/>
    <mergeCell ref="M1264:M1265"/>
    <mergeCell ref="O1264:O1265"/>
    <mergeCell ref="A1264:A1265"/>
    <mergeCell ref="B1264:B1265"/>
    <mergeCell ref="C1264:C1265"/>
    <mergeCell ref="D1264:D1265"/>
    <mergeCell ref="E1264:E1265"/>
    <mergeCell ref="F1264:F1265"/>
    <mergeCell ref="T1262:T1263"/>
    <mergeCell ref="V1262:X1263"/>
    <mergeCell ref="Y1262:Y1263"/>
    <mergeCell ref="G1263:H1263"/>
    <mergeCell ref="O1262:O1263"/>
    <mergeCell ref="Q1262:Q1263"/>
    <mergeCell ref="R1262:R1263"/>
    <mergeCell ref="S1262:S1263"/>
    <mergeCell ref="F1262:F1263"/>
    <mergeCell ref="G1262:H1262"/>
    <mergeCell ref="I1262:K1263"/>
    <mergeCell ref="M1262:M1263"/>
    <mergeCell ref="V1260:X1261"/>
    <mergeCell ref="Y1260:Y1261"/>
    <mergeCell ref="G1261:H1261"/>
    <mergeCell ref="A1262:A1263"/>
    <mergeCell ref="B1262:B1263"/>
    <mergeCell ref="C1262:C1263"/>
    <mergeCell ref="D1262:D1263"/>
    <mergeCell ref="E1262:E1263"/>
    <mergeCell ref="Q1260:Q1261"/>
    <mergeCell ref="R1260:R1261"/>
    <mergeCell ref="S1260:S1261"/>
    <mergeCell ref="T1260:T1261"/>
    <mergeCell ref="G1260:H1260"/>
    <mergeCell ref="I1260:K1261"/>
    <mergeCell ref="M1260:M1261"/>
    <mergeCell ref="O1260:O1261"/>
    <mergeCell ref="A1260:A1261"/>
    <mergeCell ref="B1260:B1261"/>
    <mergeCell ref="C1260:C1261"/>
    <mergeCell ref="D1260:D1261"/>
    <mergeCell ref="E1260:E1261"/>
    <mergeCell ref="F1260:F1261"/>
    <mergeCell ref="T1258:T1259"/>
    <mergeCell ref="V1258:X1259"/>
    <mergeCell ref="Y1258:Y1259"/>
    <mergeCell ref="G1259:H1259"/>
    <mergeCell ref="O1258:O1259"/>
    <mergeCell ref="Q1258:Q1259"/>
    <mergeCell ref="R1258:R1259"/>
    <mergeCell ref="S1258:S1259"/>
    <mergeCell ref="F1258:F1259"/>
    <mergeCell ref="G1258:H1258"/>
    <mergeCell ref="I1258:K1259"/>
    <mergeCell ref="M1258:M1259"/>
    <mergeCell ref="V1256:X1257"/>
    <mergeCell ref="Y1256:Y1257"/>
    <mergeCell ref="G1257:H1257"/>
    <mergeCell ref="A1258:A1259"/>
    <mergeCell ref="B1258:B1259"/>
    <mergeCell ref="C1258:C1259"/>
    <mergeCell ref="D1258:D1259"/>
    <mergeCell ref="E1258:E1259"/>
    <mergeCell ref="Q1256:Q1257"/>
    <mergeCell ref="R1256:R1257"/>
    <mergeCell ref="S1256:S1257"/>
    <mergeCell ref="T1256:T1257"/>
    <mergeCell ref="G1256:H1256"/>
    <mergeCell ref="I1256:K1257"/>
    <mergeCell ref="M1256:M1257"/>
    <mergeCell ref="O1256:O1257"/>
    <mergeCell ref="A1256:A1257"/>
    <mergeCell ref="B1256:B1257"/>
    <mergeCell ref="C1256:C1257"/>
    <mergeCell ref="D1256:D1257"/>
    <mergeCell ref="E1256:E1257"/>
    <mergeCell ref="F1256:F1257"/>
    <mergeCell ref="T1254:T1255"/>
    <mergeCell ref="V1254:X1255"/>
    <mergeCell ref="Y1254:Y1255"/>
    <mergeCell ref="G1255:H1255"/>
    <mergeCell ref="O1254:O1255"/>
    <mergeCell ref="Q1254:Q1255"/>
    <mergeCell ref="R1254:R1255"/>
    <mergeCell ref="S1254:S1255"/>
    <mergeCell ref="F1254:F1255"/>
    <mergeCell ref="G1254:H1254"/>
    <mergeCell ref="I1254:K1255"/>
    <mergeCell ref="M1254:M1255"/>
    <mergeCell ref="V1252:X1253"/>
    <mergeCell ref="Y1252:Y1253"/>
    <mergeCell ref="G1253:H1253"/>
    <mergeCell ref="A1254:A1255"/>
    <mergeCell ref="B1254:B1255"/>
    <mergeCell ref="C1254:C1255"/>
    <mergeCell ref="D1254:D1255"/>
    <mergeCell ref="E1254:E1255"/>
    <mergeCell ref="Q1252:Q1253"/>
    <mergeCell ref="R1252:R1253"/>
    <mergeCell ref="S1252:S1253"/>
    <mergeCell ref="T1252:T1253"/>
    <mergeCell ref="G1252:H1252"/>
    <mergeCell ref="I1252:K1253"/>
    <mergeCell ref="M1252:M1253"/>
    <mergeCell ref="O1252:O1253"/>
    <mergeCell ref="A1252:A1253"/>
    <mergeCell ref="B1252:B1253"/>
    <mergeCell ref="C1252:C1253"/>
    <mergeCell ref="D1252:D1253"/>
    <mergeCell ref="E1252:E1253"/>
    <mergeCell ref="F1252:F1253"/>
    <mergeCell ref="T1250:T1251"/>
    <mergeCell ref="V1250:X1251"/>
    <mergeCell ref="Y1250:Y1251"/>
    <mergeCell ref="G1251:H1251"/>
    <mergeCell ref="O1250:O1251"/>
    <mergeCell ref="Q1250:Q1251"/>
    <mergeCell ref="R1250:R1251"/>
    <mergeCell ref="S1250:S1251"/>
    <mergeCell ref="F1250:F1251"/>
    <mergeCell ref="G1250:H1250"/>
    <mergeCell ref="I1250:K1251"/>
    <mergeCell ref="M1250:M1251"/>
    <mergeCell ref="V1248:X1249"/>
    <mergeCell ref="Y1248:Y1249"/>
    <mergeCell ref="G1249:H1249"/>
    <mergeCell ref="A1250:A1251"/>
    <mergeCell ref="B1250:B1251"/>
    <mergeCell ref="C1250:C1251"/>
    <mergeCell ref="D1250:D1251"/>
    <mergeCell ref="E1250:E1251"/>
    <mergeCell ref="Q1248:Q1249"/>
    <mergeCell ref="R1248:R1249"/>
    <mergeCell ref="S1248:S1249"/>
    <mergeCell ref="T1248:T1249"/>
    <mergeCell ref="G1248:H1248"/>
    <mergeCell ref="I1248:K1249"/>
    <mergeCell ref="M1248:M1249"/>
    <mergeCell ref="O1248:O1249"/>
    <mergeCell ref="A1248:A1249"/>
    <mergeCell ref="B1248:B1249"/>
    <mergeCell ref="C1248:C1249"/>
    <mergeCell ref="D1248:D1249"/>
    <mergeCell ref="E1248:E1249"/>
    <mergeCell ref="F1248:F1249"/>
    <mergeCell ref="T1246:T1247"/>
    <mergeCell ref="V1246:X1247"/>
    <mergeCell ref="Y1246:Y1247"/>
    <mergeCell ref="G1247:H1247"/>
    <mergeCell ref="O1246:O1247"/>
    <mergeCell ref="Q1246:Q1247"/>
    <mergeCell ref="R1246:R1247"/>
    <mergeCell ref="S1246:S1247"/>
    <mergeCell ref="F1246:F1247"/>
    <mergeCell ref="G1246:H1246"/>
    <mergeCell ref="I1246:K1247"/>
    <mergeCell ref="M1246:M1247"/>
    <mergeCell ref="V1244:X1245"/>
    <mergeCell ref="Y1244:Y1245"/>
    <mergeCell ref="G1245:H1245"/>
    <mergeCell ref="A1246:A1247"/>
    <mergeCell ref="B1246:B1247"/>
    <mergeCell ref="C1246:C1247"/>
    <mergeCell ref="D1246:D1247"/>
    <mergeCell ref="E1246:E1247"/>
    <mergeCell ref="Q1244:Q1245"/>
    <mergeCell ref="R1244:R1245"/>
    <mergeCell ref="S1244:S1245"/>
    <mergeCell ref="T1244:T1245"/>
    <mergeCell ref="G1244:H1244"/>
    <mergeCell ref="I1244:K1245"/>
    <mergeCell ref="M1244:M1245"/>
    <mergeCell ref="O1244:O1245"/>
    <mergeCell ref="A1244:A1245"/>
    <mergeCell ref="B1244:B1245"/>
    <mergeCell ref="C1244:C1245"/>
    <mergeCell ref="D1244:D1245"/>
    <mergeCell ref="E1244:E1245"/>
    <mergeCell ref="F1244:F1245"/>
    <mergeCell ref="T1242:T1243"/>
    <mergeCell ref="V1242:X1243"/>
    <mergeCell ref="Y1242:Y1243"/>
    <mergeCell ref="G1243:H1243"/>
    <mergeCell ref="O1242:O1243"/>
    <mergeCell ref="Q1242:Q1243"/>
    <mergeCell ref="R1242:R1243"/>
    <mergeCell ref="S1242:S1243"/>
    <mergeCell ref="F1242:F1243"/>
    <mergeCell ref="G1242:H1242"/>
    <mergeCell ref="I1242:K1243"/>
    <mergeCell ref="M1242:M1243"/>
    <mergeCell ref="V1240:X1241"/>
    <mergeCell ref="Y1240:Y1241"/>
    <mergeCell ref="G1241:H1241"/>
    <mergeCell ref="A1242:A1243"/>
    <mergeCell ref="B1242:B1243"/>
    <mergeCell ref="C1242:C1243"/>
    <mergeCell ref="D1242:D1243"/>
    <mergeCell ref="E1242:E1243"/>
    <mergeCell ref="Q1240:Q1241"/>
    <mergeCell ref="R1240:R1241"/>
    <mergeCell ref="S1240:S1241"/>
    <mergeCell ref="T1240:T1241"/>
    <mergeCell ref="G1240:H1240"/>
    <mergeCell ref="I1240:K1241"/>
    <mergeCell ref="M1240:M1241"/>
    <mergeCell ref="O1240:O1241"/>
    <mergeCell ref="A1240:A1241"/>
    <mergeCell ref="B1240:B1241"/>
    <mergeCell ref="C1240:C1241"/>
    <mergeCell ref="D1240:D1241"/>
    <mergeCell ref="E1240:E1241"/>
    <mergeCell ref="F1240:F1241"/>
    <mergeCell ref="T1238:T1239"/>
    <mergeCell ref="V1238:X1239"/>
    <mergeCell ref="Y1238:Y1239"/>
    <mergeCell ref="G1239:H1239"/>
    <mergeCell ref="O1238:O1239"/>
    <mergeCell ref="Q1238:Q1239"/>
    <mergeCell ref="R1238:R1239"/>
    <mergeCell ref="S1238:S1239"/>
    <mergeCell ref="F1238:F1239"/>
    <mergeCell ref="G1238:H1238"/>
    <mergeCell ref="I1238:K1239"/>
    <mergeCell ref="M1238:M1239"/>
    <mergeCell ref="V1236:X1237"/>
    <mergeCell ref="Y1236:Y1237"/>
    <mergeCell ref="G1237:H1237"/>
    <mergeCell ref="A1238:A1239"/>
    <mergeCell ref="B1238:B1239"/>
    <mergeCell ref="C1238:C1239"/>
    <mergeCell ref="D1238:D1239"/>
    <mergeCell ref="E1238:E1239"/>
    <mergeCell ref="Q1236:Q1237"/>
    <mergeCell ref="R1236:R1237"/>
    <mergeCell ref="S1236:S1237"/>
    <mergeCell ref="T1236:T1237"/>
    <mergeCell ref="G1236:H1236"/>
    <mergeCell ref="I1236:K1237"/>
    <mergeCell ref="M1236:M1237"/>
    <mergeCell ref="O1236:O1237"/>
    <mergeCell ref="A1236:A1237"/>
    <mergeCell ref="B1236:B1237"/>
    <mergeCell ref="C1236:C1237"/>
    <mergeCell ref="D1236:D1237"/>
    <mergeCell ref="E1236:E1237"/>
    <mergeCell ref="F1236:F1237"/>
    <mergeCell ref="T1234:T1235"/>
    <mergeCell ref="V1234:X1235"/>
    <mergeCell ref="Y1234:Y1235"/>
    <mergeCell ref="G1235:H1235"/>
    <mergeCell ref="O1234:O1235"/>
    <mergeCell ref="Q1234:Q1235"/>
    <mergeCell ref="R1234:R1235"/>
    <mergeCell ref="S1234:S1235"/>
    <mergeCell ref="F1234:F1235"/>
    <mergeCell ref="G1234:H1234"/>
    <mergeCell ref="I1234:K1235"/>
    <mergeCell ref="M1234:M1235"/>
    <mergeCell ref="V1232:X1233"/>
    <mergeCell ref="Y1232:Y1233"/>
    <mergeCell ref="G1233:H1233"/>
    <mergeCell ref="A1234:A1235"/>
    <mergeCell ref="B1234:B1235"/>
    <mergeCell ref="C1234:C1235"/>
    <mergeCell ref="D1234:D1235"/>
    <mergeCell ref="E1234:E1235"/>
    <mergeCell ref="Q1232:Q1233"/>
    <mergeCell ref="R1232:R1233"/>
    <mergeCell ref="S1232:S1233"/>
    <mergeCell ref="T1232:T1233"/>
    <mergeCell ref="G1232:H1232"/>
    <mergeCell ref="I1232:K1233"/>
    <mergeCell ref="M1232:M1233"/>
    <mergeCell ref="O1232:O1233"/>
    <mergeCell ref="A1232:A1233"/>
    <mergeCell ref="B1232:B1233"/>
    <mergeCell ref="C1232:C1233"/>
    <mergeCell ref="D1232:D1233"/>
    <mergeCell ref="E1232:E1233"/>
    <mergeCell ref="F1232:F1233"/>
    <mergeCell ref="T1230:T1231"/>
    <mergeCell ref="V1230:X1231"/>
    <mergeCell ref="Y1230:Y1231"/>
    <mergeCell ref="G1231:H1231"/>
    <mergeCell ref="O1230:O1231"/>
    <mergeCell ref="Q1230:Q1231"/>
    <mergeCell ref="R1230:R1231"/>
    <mergeCell ref="S1230:S1231"/>
    <mergeCell ref="F1230:F1231"/>
    <mergeCell ref="G1230:H1230"/>
    <mergeCell ref="I1230:K1231"/>
    <mergeCell ref="M1230:M1231"/>
    <mergeCell ref="V1228:X1229"/>
    <mergeCell ref="Y1228:Y1229"/>
    <mergeCell ref="G1229:H1229"/>
    <mergeCell ref="A1230:A1231"/>
    <mergeCell ref="B1230:B1231"/>
    <mergeCell ref="C1230:C1231"/>
    <mergeCell ref="D1230:D1231"/>
    <mergeCell ref="E1230:E1231"/>
    <mergeCell ref="Q1228:Q1229"/>
    <mergeCell ref="R1228:R1229"/>
    <mergeCell ref="S1228:S1229"/>
    <mergeCell ref="T1228:T1229"/>
    <mergeCell ref="G1228:H1228"/>
    <mergeCell ref="I1228:K1229"/>
    <mergeCell ref="M1228:M1229"/>
    <mergeCell ref="O1228:O1229"/>
    <mergeCell ref="A1228:A1229"/>
    <mergeCell ref="B1228:B1229"/>
    <mergeCell ref="C1228:C1229"/>
    <mergeCell ref="D1228:D1229"/>
    <mergeCell ref="E1228:E1229"/>
    <mergeCell ref="F1228:F1229"/>
    <mergeCell ref="T1226:T1227"/>
    <mergeCell ref="V1226:X1227"/>
    <mergeCell ref="Y1226:Y1227"/>
    <mergeCell ref="G1227:H1227"/>
    <mergeCell ref="O1226:O1227"/>
    <mergeCell ref="Q1226:Q1227"/>
    <mergeCell ref="R1226:R1227"/>
    <mergeCell ref="S1226:S1227"/>
    <mergeCell ref="F1226:F1227"/>
    <mergeCell ref="G1226:H1226"/>
    <mergeCell ref="I1226:K1227"/>
    <mergeCell ref="M1226:M1227"/>
    <mergeCell ref="V1224:X1225"/>
    <mergeCell ref="Y1224:Y1225"/>
    <mergeCell ref="G1225:H1225"/>
    <mergeCell ref="A1226:A1227"/>
    <mergeCell ref="B1226:B1227"/>
    <mergeCell ref="C1226:C1227"/>
    <mergeCell ref="D1226:D1227"/>
    <mergeCell ref="E1226:E1227"/>
    <mergeCell ref="Q1224:Q1225"/>
    <mergeCell ref="R1224:R1225"/>
    <mergeCell ref="S1224:S1225"/>
    <mergeCell ref="T1224:T1225"/>
    <mergeCell ref="G1224:H1224"/>
    <mergeCell ref="I1224:K1225"/>
    <mergeCell ref="M1224:M1225"/>
    <mergeCell ref="O1224:O1225"/>
    <mergeCell ref="A1224:A1225"/>
    <mergeCell ref="B1224:B1225"/>
    <mergeCell ref="C1224:C1225"/>
    <mergeCell ref="D1224:D1225"/>
    <mergeCell ref="E1224:E1225"/>
    <mergeCell ref="F1224:F1225"/>
    <mergeCell ref="T1222:T1223"/>
    <mergeCell ref="V1222:X1223"/>
    <mergeCell ref="Y1222:Y1223"/>
    <mergeCell ref="G1223:H1223"/>
    <mergeCell ref="O1222:O1223"/>
    <mergeCell ref="Q1222:Q1223"/>
    <mergeCell ref="R1222:R1223"/>
    <mergeCell ref="S1222:S1223"/>
    <mergeCell ref="F1222:F1223"/>
    <mergeCell ref="G1222:H1222"/>
    <mergeCell ref="I1222:K1223"/>
    <mergeCell ref="M1222:M1223"/>
    <mergeCell ref="V1220:X1221"/>
    <mergeCell ref="Y1220:Y1221"/>
    <mergeCell ref="G1221:H1221"/>
    <mergeCell ref="A1222:A1223"/>
    <mergeCell ref="B1222:B1223"/>
    <mergeCell ref="C1222:C1223"/>
    <mergeCell ref="D1222:D1223"/>
    <mergeCell ref="E1222:E1223"/>
    <mergeCell ref="Q1220:Q1221"/>
    <mergeCell ref="R1220:R1221"/>
    <mergeCell ref="S1220:S1221"/>
    <mergeCell ref="T1220:T1221"/>
    <mergeCell ref="G1220:H1220"/>
    <mergeCell ref="I1220:K1221"/>
    <mergeCell ref="M1220:M1221"/>
    <mergeCell ref="O1220:O1221"/>
    <mergeCell ref="A1220:A1221"/>
    <mergeCell ref="B1220:B1221"/>
    <mergeCell ref="C1220:C1221"/>
    <mergeCell ref="D1220:D1221"/>
    <mergeCell ref="E1220:E1221"/>
    <mergeCell ref="F1220:F1221"/>
    <mergeCell ref="T1218:T1219"/>
    <mergeCell ref="V1218:X1219"/>
    <mergeCell ref="Y1218:Y1219"/>
    <mergeCell ref="G1219:H1219"/>
    <mergeCell ref="O1218:O1219"/>
    <mergeCell ref="Q1218:Q1219"/>
    <mergeCell ref="R1218:R1219"/>
    <mergeCell ref="S1218:S1219"/>
    <mergeCell ref="F1218:F1219"/>
    <mergeCell ref="G1218:H1218"/>
    <mergeCell ref="I1218:K1219"/>
    <mergeCell ref="M1218:M1219"/>
    <mergeCell ref="V1216:X1217"/>
    <mergeCell ref="Y1216:Y1217"/>
    <mergeCell ref="G1217:H1217"/>
    <mergeCell ref="A1218:A1219"/>
    <mergeCell ref="B1218:B1219"/>
    <mergeCell ref="C1218:C1219"/>
    <mergeCell ref="D1218:D1219"/>
    <mergeCell ref="E1218:E1219"/>
    <mergeCell ref="Q1216:Q1217"/>
    <mergeCell ref="R1216:R1217"/>
    <mergeCell ref="S1216:S1217"/>
    <mergeCell ref="T1216:T1217"/>
    <mergeCell ref="G1216:H1216"/>
    <mergeCell ref="I1216:K1217"/>
    <mergeCell ref="M1216:M1217"/>
    <mergeCell ref="O1216:O1217"/>
    <mergeCell ref="A1216:A1217"/>
    <mergeCell ref="B1216:B1217"/>
    <mergeCell ref="C1216:C1217"/>
    <mergeCell ref="D1216:D1217"/>
    <mergeCell ref="E1216:E1217"/>
    <mergeCell ref="F1216:F1217"/>
    <mergeCell ref="T1214:T1215"/>
    <mergeCell ref="V1214:X1215"/>
    <mergeCell ref="Y1214:Y1215"/>
    <mergeCell ref="G1215:H1215"/>
    <mergeCell ref="O1214:O1215"/>
    <mergeCell ref="Q1214:Q1215"/>
    <mergeCell ref="R1214:R1215"/>
    <mergeCell ref="S1214:S1215"/>
    <mergeCell ref="F1214:F1215"/>
    <mergeCell ref="G1214:H1214"/>
    <mergeCell ref="I1214:K1215"/>
    <mergeCell ref="M1214:M1215"/>
    <mergeCell ref="V1212:X1213"/>
    <mergeCell ref="Y1212:Y1213"/>
    <mergeCell ref="G1213:H1213"/>
    <mergeCell ref="A1214:A1215"/>
    <mergeCell ref="B1214:B1215"/>
    <mergeCell ref="C1214:C1215"/>
    <mergeCell ref="D1214:D1215"/>
    <mergeCell ref="E1214:E1215"/>
    <mergeCell ref="Q1212:Q1213"/>
    <mergeCell ref="R1212:R1213"/>
    <mergeCell ref="S1212:S1213"/>
    <mergeCell ref="T1212:T1213"/>
    <mergeCell ref="G1212:H1212"/>
    <mergeCell ref="I1212:K1213"/>
    <mergeCell ref="M1212:M1213"/>
    <mergeCell ref="O1212:O1213"/>
    <mergeCell ref="A1212:A1213"/>
    <mergeCell ref="B1212:B1213"/>
    <mergeCell ref="C1212:C1213"/>
    <mergeCell ref="D1212:D1213"/>
    <mergeCell ref="E1212:E1213"/>
    <mergeCell ref="F1212:F1213"/>
    <mergeCell ref="T1210:T1211"/>
    <mergeCell ref="V1210:X1211"/>
    <mergeCell ref="Y1210:Y1211"/>
    <mergeCell ref="G1211:H1211"/>
    <mergeCell ref="O1210:O1211"/>
    <mergeCell ref="Q1210:Q1211"/>
    <mergeCell ref="R1210:R1211"/>
    <mergeCell ref="S1210:S1211"/>
    <mergeCell ref="F1210:F1211"/>
    <mergeCell ref="G1210:H1210"/>
    <mergeCell ref="I1210:K1211"/>
    <mergeCell ref="M1210:M1211"/>
    <mergeCell ref="V1208:X1209"/>
    <mergeCell ref="Y1208:Y1209"/>
    <mergeCell ref="G1209:H1209"/>
    <mergeCell ref="A1210:A1211"/>
    <mergeCell ref="B1210:B1211"/>
    <mergeCell ref="C1210:C1211"/>
    <mergeCell ref="D1210:D1211"/>
    <mergeCell ref="E1210:E1211"/>
    <mergeCell ref="Q1208:Q1209"/>
    <mergeCell ref="R1208:R1209"/>
    <mergeCell ref="S1208:S1209"/>
    <mergeCell ref="T1208:T1209"/>
    <mergeCell ref="G1208:H1208"/>
    <mergeCell ref="I1208:K1209"/>
    <mergeCell ref="M1208:M1209"/>
    <mergeCell ref="O1208:O1209"/>
    <mergeCell ref="A1208:A1209"/>
    <mergeCell ref="B1208:B1209"/>
    <mergeCell ref="C1208:C1209"/>
    <mergeCell ref="D1208:D1209"/>
    <mergeCell ref="E1208:E1209"/>
    <mergeCell ref="F1208:F1209"/>
    <mergeCell ref="T1206:T1207"/>
    <mergeCell ref="V1206:X1207"/>
    <mergeCell ref="Y1206:Y1207"/>
    <mergeCell ref="G1207:H1207"/>
    <mergeCell ref="O1206:O1207"/>
    <mergeCell ref="Q1206:Q1207"/>
    <mergeCell ref="R1206:R1207"/>
    <mergeCell ref="S1206:S1207"/>
    <mergeCell ref="F1206:F1207"/>
    <mergeCell ref="G1206:H1206"/>
    <mergeCell ref="I1206:K1207"/>
    <mergeCell ref="M1206:M1207"/>
    <mergeCell ref="V1204:X1205"/>
    <mergeCell ref="Y1204:Y1205"/>
    <mergeCell ref="G1205:H1205"/>
    <mergeCell ref="A1206:A1207"/>
    <mergeCell ref="B1206:B1207"/>
    <mergeCell ref="C1206:C1207"/>
    <mergeCell ref="D1206:D1207"/>
    <mergeCell ref="E1206:E1207"/>
    <mergeCell ref="Q1204:Q1205"/>
    <mergeCell ref="R1204:R1205"/>
    <mergeCell ref="S1204:S1205"/>
    <mergeCell ref="T1204:T1205"/>
    <mergeCell ref="G1204:H1204"/>
    <mergeCell ref="I1204:K1205"/>
    <mergeCell ref="M1204:M1205"/>
    <mergeCell ref="O1204:O1205"/>
    <mergeCell ref="A1204:A1205"/>
    <mergeCell ref="B1204:B1205"/>
    <mergeCell ref="C1204:C1205"/>
    <mergeCell ref="D1204:D1205"/>
    <mergeCell ref="E1204:E1205"/>
    <mergeCell ref="F1204:F1205"/>
    <mergeCell ref="T1202:T1203"/>
    <mergeCell ref="V1202:X1203"/>
    <mergeCell ref="Y1202:Y1203"/>
    <mergeCell ref="G1203:H1203"/>
    <mergeCell ref="O1202:O1203"/>
    <mergeCell ref="Q1202:Q1203"/>
    <mergeCell ref="R1202:R1203"/>
    <mergeCell ref="S1202:S1203"/>
    <mergeCell ref="F1202:F1203"/>
    <mergeCell ref="G1202:H1202"/>
    <mergeCell ref="I1202:K1203"/>
    <mergeCell ref="M1202:M1203"/>
    <mergeCell ref="V1200:X1201"/>
    <mergeCell ref="Y1200:Y1201"/>
    <mergeCell ref="G1201:H1201"/>
    <mergeCell ref="A1202:A1203"/>
    <mergeCell ref="B1202:B1203"/>
    <mergeCell ref="C1202:C1203"/>
    <mergeCell ref="D1202:D1203"/>
    <mergeCell ref="E1202:E1203"/>
    <mergeCell ref="Q1200:Q1201"/>
    <mergeCell ref="R1200:R1201"/>
    <mergeCell ref="S1200:S1201"/>
    <mergeCell ref="T1200:T1201"/>
    <mergeCell ref="G1200:H1200"/>
    <mergeCell ref="I1200:K1201"/>
    <mergeCell ref="M1200:M1201"/>
    <mergeCell ref="O1200:O1201"/>
    <mergeCell ref="A1200:A1201"/>
    <mergeCell ref="B1200:B1201"/>
    <mergeCell ref="C1200:C1201"/>
    <mergeCell ref="D1200:D1201"/>
    <mergeCell ref="E1200:E1201"/>
    <mergeCell ref="F1200:F1201"/>
    <mergeCell ref="T1198:T1199"/>
    <mergeCell ref="V1198:X1199"/>
    <mergeCell ref="Y1198:Y1199"/>
    <mergeCell ref="G1199:H1199"/>
    <mergeCell ref="O1198:O1199"/>
    <mergeCell ref="Q1198:Q1199"/>
    <mergeCell ref="R1198:R1199"/>
    <mergeCell ref="S1198:S1199"/>
    <mergeCell ref="F1198:F1199"/>
    <mergeCell ref="G1198:H1198"/>
    <mergeCell ref="I1198:K1199"/>
    <mergeCell ref="M1198:M1199"/>
    <mergeCell ref="V1196:X1197"/>
    <mergeCell ref="Y1196:Y1197"/>
    <mergeCell ref="G1197:H1197"/>
    <mergeCell ref="A1198:A1199"/>
    <mergeCell ref="B1198:B1199"/>
    <mergeCell ref="C1198:C1199"/>
    <mergeCell ref="D1198:D1199"/>
    <mergeCell ref="E1198:E1199"/>
    <mergeCell ref="Q1196:Q1197"/>
    <mergeCell ref="R1196:R1197"/>
    <mergeCell ref="S1196:S1197"/>
    <mergeCell ref="T1196:T1197"/>
    <mergeCell ref="G1196:H1196"/>
    <mergeCell ref="I1196:K1197"/>
    <mergeCell ref="M1196:M1197"/>
    <mergeCell ref="O1196:O1197"/>
    <mergeCell ref="A1196:A1197"/>
    <mergeCell ref="B1196:B1197"/>
    <mergeCell ref="C1196:C1197"/>
    <mergeCell ref="D1196:D1197"/>
    <mergeCell ref="E1196:E1197"/>
    <mergeCell ref="F1196:F1197"/>
    <mergeCell ref="T1194:T1195"/>
    <mergeCell ref="V1194:X1195"/>
    <mergeCell ref="Y1194:Y1195"/>
    <mergeCell ref="G1195:H1195"/>
    <mergeCell ref="O1194:O1195"/>
    <mergeCell ref="Q1194:Q1195"/>
    <mergeCell ref="R1194:R1195"/>
    <mergeCell ref="S1194:S1195"/>
    <mergeCell ref="F1194:F1195"/>
    <mergeCell ref="G1194:H1194"/>
    <mergeCell ref="I1194:K1195"/>
    <mergeCell ref="M1194:M1195"/>
    <mergeCell ref="V1192:X1193"/>
    <mergeCell ref="Y1192:Y1193"/>
    <mergeCell ref="G1193:H1193"/>
    <mergeCell ref="A1194:A1195"/>
    <mergeCell ref="B1194:B1195"/>
    <mergeCell ref="C1194:C1195"/>
    <mergeCell ref="D1194:D1195"/>
    <mergeCell ref="E1194:E1195"/>
    <mergeCell ref="Q1192:Q1193"/>
    <mergeCell ref="R1192:R1193"/>
    <mergeCell ref="S1192:S1193"/>
    <mergeCell ref="T1192:T1193"/>
    <mergeCell ref="G1192:H1192"/>
    <mergeCell ref="I1192:K1193"/>
    <mergeCell ref="M1192:M1193"/>
    <mergeCell ref="O1192:O1193"/>
    <mergeCell ref="A1192:A1193"/>
    <mergeCell ref="B1192:B1193"/>
    <mergeCell ref="C1192:C1193"/>
    <mergeCell ref="D1192:D1193"/>
    <mergeCell ref="E1192:E1193"/>
    <mergeCell ref="F1192:F1193"/>
    <mergeCell ref="T1190:T1191"/>
    <mergeCell ref="V1190:X1191"/>
    <mergeCell ref="Y1190:Y1191"/>
    <mergeCell ref="G1191:H1191"/>
    <mergeCell ref="O1190:O1191"/>
    <mergeCell ref="Q1190:Q1191"/>
    <mergeCell ref="R1190:R1191"/>
    <mergeCell ref="S1190:S1191"/>
    <mergeCell ref="F1190:F1191"/>
    <mergeCell ref="G1190:H1190"/>
    <mergeCell ref="I1190:K1191"/>
    <mergeCell ref="M1190:M1191"/>
    <mergeCell ref="V1188:X1189"/>
    <mergeCell ref="Y1188:Y1189"/>
    <mergeCell ref="G1189:H1189"/>
    <mergeCell ref="A1190:A1191"/>
    <mergeCell ref="B1190:B1191"/>
    <mergeCell ref="C1190:C1191"/>
    <mergeCell ref="D1190:D1191"/>
    <mergeCell ref="E1190:E1191"/>
    <mergeCell ref="Q1188:Q1189"/>
    <mergeCell ref="R1188:R1189"/>
    <mergeCell ref="S1188:S1189"/>
    <mergeCell ref="T1188:T1189"/>
    <mergeCell ref="G1188:H1188"/>
    <mergeCell ref="I1188:K1189"/>
    <mergeCell ref="M1188:M1189"/>
    <mergeCell ref="O1188:O1189"/>
    <mergeCell ref="A1188:A1189"/>
    <mergeCell ref="B1188:B1189"/>
    <mergeCell ref="C1188:C1189"/>
    <mergeCell ref="D1188:D1189"/>
    <mergeCell ref="E1188:E1189"/>
    <mergeCell ref="F1188:F1189"/>
    <mergeCell ref="T1186:T1187"/>
    <mergeCell ref="V1186:X1187"/>
    <mergeCell ref="Y1186:Y1187"/>
    <mergeCell ref="G1187:H1187"/>
    <mergeCell ref="O1186:O1187"/>
    <mergeCell ref="Q1186:Q1187"/>
    <mergeCell ref="R1186:R1187"/>
    <mergeCell ref="S1186:S1187"/>
    <mergeCell ref="F1186:F1187"/>
    <mergeCell ref="G1186:H1186"/>
    <mergeCell ref="I1186:K1187"/>
    <mergeCell ref="M1186:M1187"/>
    <mergeCell ref="V1184:X1185"/>
    <mergeCell ref="Y1184:Y1185"/>
    <mergeCell ref="G1185:H1185"/>
    <mergeCell ref="A1186:A1187"/>
    <mergeCell ref="B1186:B1187"/>
    <mergeCell ref="C1186:C1187"/>
    <mergeCell ref="D1186:D1187"/>
    <mergeCell ref="E1186:E1187"/>
    <mergeCell ref="Q1184:Q1185"/>
    <mergeCell ref="R1184:R1185"/>
    <mergeCell ref="S1184:S1185"/>
    <mergeCell ref="T1184:T1185"/>
    <mergeCell ref="G1184:H1184"/>
    <mergeCell ref="I1184:K1185"/>
    <mergeCell ref="M1184:M1185"/>
    <mergeCell ref="O1184:O1185"/>
    <mergeCell ref="A1184:A1185"/>
    <mergeCell ref="B1184:B1185"/>
    <mergeCell ref="C1184:C1185"/>
    <mergeCell ref="D1184:D1185"/>
    <mergeCell ref="E1184:E1185"/>
    <mergeCell ref="F1184:F1185"/>
    <mergeCell ref="T1182:T1183"/>
    <mergeCell ref="V1182:X1183"/>
    <mergeCell ref="Y1182:Y1183"/>
    <mergeCell ref="G1183:H1183"/>
    <mergeCell ref="O1182:O1183"/>
    <mergeCell ref="Q1182:Q1183"/>
    <mergeCell ref="R1182:R1183"/>
    <mergeCell ref="S1182:S1183"/>
    <mergeCell ref="F1182:F1183"/>
    <mergeCell ref="G1182:H1182"/>
    <mergeCell ref="I1182:K1183"/>
    <mergeCell ref="M1182:M1183"/>
    <mergeCell ref="V1180:X1181"/>
    <mergeCell ref="Y1180:Y1181"/>
    <mergeCell ref="G1181:H1181"/>
    <mergeCell ref="A1182:A1183"/>
    <mergeCell ref="B1182:B1183"/>
    <mergeCell ref="C1182:C1183"/>
    <mergeCell ref="D1182:D1183"/>
    <mergeCell ref="E1182:E1183"/>
    <mergeCell ref="Q1180:Q1181"/>
    <mergeCell ref="R1180:R1181"/>
    <mergeCell ref="S1180:S1181"/>
    <mergeCell ref="T1180:T1181"/>
    <mergeCell ref="G1180:H1180"/>
    <mergeCell ref="I1180:K1181"/>
    <mergeCell ref="M1180:M1181"/>
    <mergeCell ref="O1180:O1181"/>
    <mergeCell ref="A1180:A1181"/>
    <mergeCell ref="B1180:B1181"/>
    <mergeCell ref="C1180:C1181"/>
    <mergeCell ref="D1180:D1181"/>
    <mergeCell ref="E1180:E1181"/>
    <mergeCell ref="F1180:F1181"/>
    <mergeCell ref="T1178:T1179"/>
    <mergeCell ref="V1178:X1179"/>
    <mergeCell ref="Y1178:Y1179"/>
    <mergeCell ref="G1179:H1179"/>
    <mergeCell ref="O1178:O1179"/>
    <mergeCell ref="Q1178:Q1179"/>
    <mergeCell ref="R1178:R1179"/>
    <mergeCell ref="S1178:S1179"/>
    <mergeCell ref="F1178:F1179"/>
    <mergeCell ref="G1178:H1178"/>
    <mergeCell ref="I1178:K1179"/>
    <mergeCell ref="M1178:M1179"/>
    <mergeCell ref="V1176:X1177"/>
    <mergeCell ref="Y1176:Y1177"/>
    <mergeCell ref="G1177:H1177"/>
    <mergeCell ref="A1178:A1179"/>
    <mergeCell ref="B1178:B1179"/>
    <mergeCell ref="C1178:C1179"/>
    <mergeCell ref="D1178:D1179"/>
    <mergeCell ref="E1178:E1179"/>
    <mergeCell ref="Q1176:Q1177"/>
    <mergeCell ref="R1176:R1177"/>
    <mergeCell ref="S1176:S1177"/>
    <mergeCell ref="T1176:T1177"/>
    <mergeCell ref="G1176:H1176"/>
    <mergeCell ref="I1176:K1177"/>
    <mergeCell ref="M1176:M1177"/>
    <mergeCell ref="O1176:O1177"/>
    <mergeCell ref="A1176:A1177"/>
    <mergeCell ref="B1176:B1177"/>
    <mergeCell ref="C1176:C1177"/>
    <mergeCell ref="D1176:D1177"/>
    <mergeCell ref="E1176:E1177"/>
    <mergeCell ref="F1176:F1177"/>
    <mergeCell ref="T1174:T1175"/>
    <mergeCell ref="V1174:X1175"/>
    <mergeCell ref="Y1174:Y1175"/>
    <mergeCell ref="G1175:H1175"/>
    <mergeCell ref="O1174:O1175"/>
    <mergeCell ref="Q1174:Q1175"/>
    <mergeCell ref="R1174:R1175"/>
    <mergeCell ref="S1174:S1175"/>
    <mergeCell ref="F1174:F1175"/>
    <mergeCell ref="G1174:H1174"/>
    <mergeCell ref="I1174:K1175"/>
    <mergeCell ref="M1174:M1175"/>
    <mergeCell ref="V1172:X1173"/>
    <mergeCell ref="Y1172:Y1173"/>
    <mergeCell ref="G1173:H1173"/>
    <mergeCell ref="A1174:A1175"/>
    <mergeCell ref="B1174:B1175"/>
    <mergeCell ref="C1174:C1175"/>
    <mergeCell ref="D1174:D1175"/>
    <mergeCell ref="E1174:E1175"/>
    <mergeCell ref="Q1172:Q1173"/>
    <mergeCell ref="R1172:R1173"/>
    <mergeCell ref="S1172:S1173"/>
    <mergeCell ref="T1172:T1173"/>
    <mergeCell ref="G1172:H1172"/>
    <mergeCell ref="I1172:K1173"/>
    <mergeCell ref="M1172:M1173"/>
    <mergeCell ref="O1172:O1173"/>
    <mergeCell ref="A1172:A1173"/>
    <mergeCell ref="B1172:B1173"/>
    <mergeCell ref="C1172:C1173"/>
    <mergeCell ref="D1172:D1173"/>
    <mergeCell ref="E1172:E1173"/>
    <mergeCell ref="F1172:F1173"/>
    <mergeCell ref="T1170:T1171"/>
    <mergeCell ref="V1170:X1171"/>
    <mergeCell ref="Y1170:Y1171"/>
    <mergeCell ref="G1171:H1171"/>
    <mergeCell ref="O1170:O1171"/>
    <mergeCell ref="Q1170:Q1171"/>
    <mergeCell ref="R1170:R1171"/>
    <mergeCell ref="S1170:S1171"/>
    <mergeCell ref="F1170:F1171"/>
    <mergeCell ref="G1170:H1170"/>
    <mergeCell ref="I1170:K1171"/>
    <mergeCell ref="M1170:M1171"/>
    <mergeCell ref="V1168:X1169"/>
    <mergeCell ref="Y1168:Y1169"/>
    <mergeCell ref="G1169:H1169"/>
    <mergeCell ref="A1170:A1171"/>
    <mergeCell ref="B1170:B1171"/>
    <mergeCell ref="C1170:C1171"/>
    <mergeCell ref="D1170:D1171"/>
    <mergeCell ref="E1170:E1171"/>
    <mergeCell ref="Q1168:Q1169"/>
    <mergeCell ref="R1168:R1169"/>
    <mergeCell ref="S1168:S1169"/>
    <mergeCell ref="T1168:T1169"/>
    <mergeCell ref="G1168:H1168"/>
    <mergeCell ref="I1168:K1169"/>
    <mergeCell ref="M1168:M1169"/>
    <mergeCell ref="O1168:O1169"/>
    <mergeCell ref="A1168:A1169"/>
    <mergeCell ref="B1168:B1169"/>
    <mergeCell ref="C1168:C1169"/>
    <mergeCell ref="D1168:D1169"/>
    <mergeCell ref="E1168:E1169"/>
    <mergeCell ref="F1168:F1169"/>
    <mergeCell ref="T1166:T1167"/>
    <mergeCell ref="V1166:X1167"/>
    <mergeCell ref="Y1166:Y1167"/>
    <mergeCell ref="G1167:H1167"/>
    <mergeCell ref="O1166:O1167"/>
    <mergeCell ref="Q1166:Q1167"/>
    <mergeCell ref="R1166:R1167"/>
    <mergeCell ref="S1166:S1167"/>
    <mergeCell ref="F1166:F1167"/>
    <mergeCell ref="G1166:H1166"/>
    <mergeCell ref="I1166:K1167"/>
    <mergeCell ref="M1166:M1167"/>
    <mergeCell ref="V1164:X1165"/>
    <mergeCell ref="Y1164:Y1165"/>
    <mergeCell ref="G1165:H1165"/>
    <mergeCell ref="A1166:A1167"/>
    <mergeCell ref="B1166:B1167"/>
    <mergeCell ref="C1166:C1167"/>
    <mergeCell ref="D1166:D1167"/>
    <mergeCell ref="E1166:E1167"/>
    <mergeCell ref="Q1164:Q1165"/>
    <mergeCell ref="R1164:R1165"/>
    <mergeCell ref="S1164:S1165"/>
    <mergeCell ref="T1164:T1165"/>
    <mergeCell ref="G1164:H1164"/>
    <mergeCell ref="I1164:K1165"/>
    <mergeCell ref="M1164:M1165"/>
    <mergeCell ref="O1164:O1165"/>
    <mergeCell ref="A1164:A1165"/>
    <mergeCell ref="B1164:B1165"/>
    <mergeCell ref="C1164:C1165"/>
    <mergeCell ref="D1164:D1165"/>
    <mergeCell ref="E1164:E1165"/>
    <mergeCell ref="F1164:F1165"/>
    <mergeCell ref="T1162:T1163"/>
    <mergeCell ref="V1162:X1163"/>
    <mergeCell ref="Y1162:Y1163"/>
    <mergeCell ref="G1163:H1163"/>
    <mergeCell ref="O1162:O1163"/>
    <mergeCell ref="Q1162:Q1163"/>
    <mergeCell ref="R1162:R1163"/>
    <mergeCell ref="S1162:S1163"/>
    <mergeCell ref="F1162:F1163"/>
    <mergeCell ref="G1162:H1162"/>
    <mergeCell ref="I1162:K1163"/>
    <mergeCell ref="M1162:M1163"/>
    <mergeCell ref="V1160:X1161"/>
    <mergeCell ref="Y1160:Y1161"/>
    <mergeCell ref="G1161:H1161"/>
    <mergeCell ref="A1162:A1163"/>
    <mergeCell ref="B1162:B1163"/>
    <mergeCell ref="C1162:C1163"/>
    <mergeCell ref="D1162:D1163"/>
    <mergeCell ref="E1162:E1163"/>
    <mergeCell ref="Q1160:Q1161"/>
    <mergeCell ref="R1160:R1161"/>
    <mergeCell ref="S1160:S1161"/>
    <mergeCell ref="T1160:T1161"/>
    <mergeCell ref="G1160:H1160"/>
    <mergeCell ref="I1160:K1161"/>
    <mergeCell ref="M1160:M1161"/>
    <mergeCell ref="O1160:O1161"/>
    <mergeCell ref="A1160:A1161"/>
    <mergeCell ref="B1160:B1161"/>
    <mergeCell ref="C1160:C1161"/>
    <mergeCell ref="D1160:D1161"/>
    <mergeCell ref="E1160:E1161"/>
    <mergeCell ref="F1160:F1161"/>
    <mergeCell ref="T1158:T1159"/>
    <mergeCell ref="V1158:X1159"/>
    <mergeCell ref="Y1158:Y1159"/>
    <mergeCell ref="G1159:H1159"/>
    <mergeCell ref="O1158:O1159"/>
    <mergeCell ref="Q1158:Q1159"/>
    <mergeCell ref="R1158:R1159"/>
    <mergeCell ref="S1158:S1159"/>
    <mergeCell ref="F1158:F1159"/>
    <mergeCell ref="G1158:H1158"/>
    <mergeCell ref="I1158:K1159"/>
    <mergeCell ref="M1158:M1159"/>
    <mergeCell ref="V1156:X1157"/>
    <mergeCell ref="Y1156:Y1157"/>
    <mergeCell ref="G1157:H1157"/>
    <mergeCell ref="A1158:A1159"/>
    <mergeCell ref="B1158:B1159"/>
    <mergeCell ref="C1158:C1159"/>
    <mergeCell ref="D1158:D1159"/>
    <mergeCell ref="E1158:E1159"/>
    <mergeCell ref="Q1156:Q1157"/>
    <mergeCell ref="R1156:R1157"/>
    <mergeCell ref="S1156:S1157"/>
    <mergeCell ref="T1156:T1157"/>
    <mergeCell ref="G1156:H1156"/>
    <mergeCell ref="I1156:K1157"/>
    <mergeCell ref="M1156:M1157"/>
    <mergeCell ref="O1156:O1157"/>
    <mergeCell ref="A1156:A1157"/>
    <mergeCell ref="B1156:B1157"/>
    <mergeCell ref="C1156:C1157"/>
    <mergeCell ref="D1156:D1157"/>
    <mergeCell ref="E1156:E1157"/>
    <mergeCell ref="F1156:F1157"/>
    <mergeCell ref="T1154:T1155"/>
    <mergeCell ref="V1154:X1155"/>
    <mergeCell ref="Y1154:Y1155"/>
    <mergeCell ref="G1155:H1155"/>
    <mergeCell ref="O1154:O1155"/>
    <mergeCell ref="Q1154:Q1155"/>
    <mergeCell ref="R1154:R1155"/>
    <mergeCell ref="S1154:S1155"/>
    <mergeCell ref="F1154:F1155"/>
    <mergeCell ref="G1154:H1154"/>
    <mergeCell ref="I1154:K1155"/>
    <mergeCell ref="M1154:M1155"/>
    <mergeCell ref="V1152:X1153"/>
    <mergeCell ref="Y1152:Y1153"/>
    <mergeCell ref="G1153:H1153"/>
    <mergeCell ref="A1154:A1155"/>
    <mergeCell ref="B1154:B1155"/>
    <mergeCell ref="C1154:C1155"/>
    <mergeCell ref="D1154:D1155"/>
    <mergeCell ref="E1154:E1155"/>
    <mergeCell ref="Q1152:Q1153"/>
    <mergeCell ref="R1152:R1153"/>
    <mergeCell ref="S1152:S1153"/>
    <mergeCell ref="T1152:T1153"/>
    <mergeCell ref="G1152:H1152"/>
    <mergeCell ref="I1152:K1153"/>
    <mergeCell ref="M1152:M1153"/>
    <mergeCell ref="O1152:O1153"/>
    <mergeCell ref="A1152:A1153"/>
    <mergeCell ref="B1152:B1153"/>
    <mergeCell ref="C1152:C1153"/>
    <mergeCell ref="D1152:D1153"/>
    <mergeCell ref="E1152:E1153"/>
    <mergeCell ref="F1152:F1153"/>
    <mergeCell ref="T1150:T1151"/>
    <mergeCell ref="V1150:X1151"/>
    <mergeCell ref="Y1150:Y1151"/>
    <mergeCell ref="G1151:H1151"/>
    <mergeCell ref="O1150:O1151"/>
    <mergeCell ref="Q1150:Q1151"/>
    <mergeCell ref="R1150:R1151"/>
    <mergeCell ref="S1150:S1151"/>
    <mergeCell ref="F1150:F1151"/>
    <mergeCell ref="G1150:H1150"/>
    <mergeCell ref="I1150:K1151"/>
    <mergeCell ref="M1150:M1151"/>
    <mergeCell ref="V1148:X1149"/>
    <mergeCell ref="Y1148:Y1149"/>
    <mergeCell ref="G1149:H1149"/>
    <mergeCell ref="A1150:A1151"/>
    <mergeCell ref="B1150:B1151"/>
    <mergeCell ref="C1150:C1151"/>
    <mergeCell ref="D1150:D1151"/>
    <mergeCell ref="E1150:E1151"/>
    <mergeCell ref="Q1148:Q1149"/>
    <mergeCell ref="R1148:R1149"/>
    <mergeCell ref="S1148:S1149"/>
    <mergeCell ref="T1148:T1149"/>
    <mergeCell ref="G1148:H1148"/>
    <mergeCell ref="I1148:K1149"/>
    <mergeCell ref="M1148:M1149"/>
    <mergeCell ref="O1148:O1149"/>
    <mergeCell ref="A1148:A1149"/>
    <mergeCell ref="B1148:B1149"/>
    <mergeCell ref="C1148:C1149"/>
    <mergeCell ref="D1148:D1149"/>
    <mergeCell ref="E1148:E1149"/>
    <mergeCell ref="F1148:F1149"/>
    <mergeCell ref="T1146:T1147"/>
    <mergeCell ref="V1146:X1147"/>
    <mergeCell ref="Y1146:Y1147"/>
    <mergeCell ref="G1147:H1147"/>
    <mergeCell ref="O1146:O1147"/>
    <mergeCell ref="Q1146:Q1147"/>
    <mergeCell ref="R1146:R1147"/>
    <mergeCell ref="S1146:S1147"/>
    <mergeCell ref="F1146:F1147"/>
    <mergeCell ref="G1146:H1146"/>
    <mergeCell ref="I1146:K1147"/>
    <mergeCell ref="M1146:M1147"/>
    <mergeCell ref="V1144:X1145"/>
    <mergeCell ref="Y1144:Y1145"/>
    <mergeCell ref="G1145:H1145"/>
    <mergeCell ref="A1146:A1147"/>
    <mergeCell ref="B1146:B1147"/>
    <mergeCell ref="C1146:C1147"/>
    <mergeCell ref="D1146:D1147"/>
    <mergeCell ref="E1146:E1147"/>
    <mergeCell ref="Q1144:Q1145"/>
    <mergeCell ref="R1144:R1145"/>
    <mergeCell ref="S1144:S1145"/>
    <mergeCell ref="T1144:T1145"/>
    <mergeCell ref="G1144:H1144"/>
    <mergeCell ref="I1144:K1145"/>
    <mergeCell ref="M1144:M1145"/>
    <mergeCell ref="O1144:O1145"/>
    <mergeCell ref="A1144:A1145"/>
    <mergeCell ref="B1144:B1145"/>
    <mergeCell ref="C1144:C1145"/>
    <mergeCell ref="D1144:D1145"/>
    <mergeCell ref="E1144:E1145"/>
    <mergeCell ref="F1144:F1145"/>
    <mergeCell ref="T1142:T1143"/>
    <mergeCell ref="V1142:X1143"/>
    <mergeCell ref="Y1142:Y1143"/>
    <mergeCell ref="G1143:H1143"/>
    <mergeCell ref="O1142:O1143"/>
    <mergeCell ref="Q1142:Q1143"/>
    <mergeCell ref="R1142:R1143"/>
    <mergeCell ref="S1142:S1143"/>
    <mergeCell ref="F1142:F1143"/>
    <mergeCell ref="G1142:H1142"/>
    <mergeCell ref="I1142:K1143"/>
    <mergeCell ref="M1142:M1143"/>
    <mergeCell ref="V1140:X1141"/>
    <mergeCell ref="Y1140:Y1141"/>
    <mergeCell ref="G1141:H1141"/>
    <mergeCell ref="A1142:A1143"/>
    <mergeCell ref="B1142:B1143"/>
    <mergeCell ref="C1142:C1143"/>
    <mergeCell ref="D1142:D1143"/>
    <mergeCell ref="E1142:E1143"/>
    <mergeCell ref="Q1140:Q1141"/>
    <mergeCell ref="R1140:R1141"/>
    <mergeCell ref="S1140:S1141"/>
    <mergeCell ref="T1140:T1141"/>
    <mergeCell ref="G1140:H1140"/>
    <mergeCell ref="I1140:K1141"/>
    <mergeCell ref="M1140:M1141"/>
    <mergeCell ref="O1140:O1141"/>
    <mergeCell ref="A1140:A1141"/>
    <mergeCell ref="B1140:B1141"/>
    <mergeCell ref="C1140:C1141"/>
    <mergeCell ref="D1140:D1141"/>
    <mergeCell ref="E1140:E1141"/>
    <mergeCell ref="F1140:F1141"/>
    <mergeCell ref="T1138:T1139"/>
    <mergeCell ref="V1138:X1139"/>
    <mergeCell ref="Y1138:Y1139"/>
    <mergeCell ref="G1139:H1139"/>
    <mergeCell ref="O1138:O1139"/>
    <mergeCell ref="Q1138:Q1139"/>
    <mergeCell ref="R1138:R1139"/>
    <mergeCell ref="S1138:S1139"/>
    <mergeCell ref="F1138:F1139"/>
    <mergeCell ref="G1138:H1138"/>
    <mergeCell ref="I1138:K1139"/>
    <mergeCell ref="M1138:M1139"/>
    <mergeCell ref="V1136:X1137"/>
    <mergeCell ref="Y1136:Y1137"/>
    <mergeCell ref="G1137:H1137"/>
    <mergeCell ref="A1138:A1139"/>
    <mergeCell ref="B1138:B1139"/>
    <mergeCell ref="C1138:C1139"/>
    <mergeCell ref="D1138:D1139"/>
    <mergeCell ref="E1138:E1139"/>
    <mergeCell ref="Q1136:Q1137"/>
    <mergeCell ref="R1136:R1137"/>
    <mergeCell ref="S1136:S1137"/>
    <mergeCell ref="T1136:T1137"/>
    <mergeCell ref="G1136:H1136"/>
    <mergeCell ref="I1136:K1137"/>
    <mergeCell ref="M1136:M1137"/>
    <mergeCell ref="O1136:O1137"/>
    <mergeCell ref="A1136:A1137"/>
    <mergeCell ref="B1136:B1137"/>
    <mergeCell ref="C1136:C1137"/>
    <mergeCell ref="D1136:D1137"/>
    <mergeCell ref="E1136:E1137"/>
    <mergeCell ref="F1136:F1137"/>
    <mergeCell ref="T1134:T1135"/>
    <mergeCell ref="V1134:X1135"/>
    <mergeCell ref="Y1134:Y1135"/>
    <mergeCell ref="G1135:H1135"/>
    <mergeCell ref="O1134:O1135"/>
    <mergeCell ref="Q1134:Q1135"/>
    <mergeCell ref="R1134:R1135"/>
    <mergeCell ref="S1134:S1135"/>
    <mergeCell ref="F1134:F1135"/>
    <mergeCell ref="G1134:H1134"/>
    <mergeCell ref="I1134:K1135"/>
    <mergeCell ref="M1134:M1135"/>
    <mergeCell ref="V1132:X1133"/>
    <mergeCell ref="Y1132:Y1133"/>
    <mergeCell ref="G1133:H1133"/>
    <mergeCell ref="A1134:A1135"/>
    <mergeCell ref="B1134:B1135"/>
    <mergeCell ref="C1134:C1135"/>
    <mergeCell ref="D1134:D1135"/>
    <mergeCell ref="E1134:E1135"/>
    <mergeCell ref="Q1132:Q1133"/>
    <mergeCell ref="R1132:R1133"/>
    <mergeCell ref="S1132:S1133"/>
    <mergeCell ref="T1132:T1133"/>
    <mergeCell ref="G1132:H1132"/>
    <mergeCell ref="I1132:K1133"/>
    <mergeCell ref="M1132:M1133"/>
    <mergeCell ref="O1132:O1133"/>
    <mergeCell ref="A1132:A1133"/>
    <mergeCell ref="B1132:B1133"/>
    <mergeCell ref="C1132:C1133"/>
    <mergeCell ref="D1132:D1133"/>
    <mergeCell ref="E1132:E1133"/>
    <mergeCell ref="F1132:F1133"/>
    <mergeCell ref="T1130:T1131"/>
    <mergeCell ref="V1130:X1131"/>
    <mergeCell ref="Y1130:Y1131"/>
    <mergeCell ref="G1131:H1131"/>
    <mergeCell ref="O1130:O1131"/>
    <mergeCell ref="Q1130:Q1131"/>
    <mergeCell ref="R1130:R1131"/>
    <mergeCell ref="S1130:S1131"/>
    <mergeCell ref="F1130:F1131"/>
    <mergeCell ref="G1130:H1130"/>
    <mergeCell ref="I1130:K1131"/>
    <mergeCell ref="M1130:M1131"/>
    <mergeCell ref="V1128:X1129"/>
    <mergeCell ref="Y1128:Y1129"/>
    <mergeCell ref="G1129:H1129"/>
    <mergeCell ref="A1130:A1131"/>
    <mergeCell ref="B1130:B1131"/>
    <mergeCell ref="C1130:C1131"/>
    <mergeCell ref="D1130:D1131"/>
    <mergeCell ref="E1130:E1131"/>
    <mergeCell ref="Q1128:Q1129"/>
    <mergeCell ref="R1128:R1129"/>
    <mergeCell ref="S1128:S1129"/>
    <mergeCell ref="T1128:T1129"/>
    <mergeCell ref="G1128:H1128"/>
    <mergeCell ref="I1128:K1129"/>
    <mergeCell ref="M1128:M1129"/>
    <mergeCell ref="O1128:O1129"/>
    <mergeCell ref="A1128:A1129"/>
    <mergeCell ref="B1128:B1129"/>
    <mergeCell ref="C1128:C1129"/>
    <mergeCell ref="D1128:D1129"/>
    <mergeCell ref="E1128:E1129"/>
    <mergeCell ref="F1128:F1129"/>
    <mergeCell ref="T1126:T1127"/>
    <mergeCell ref="V1126:X1127"/>
    <mergeCell ref="Y1126:Y1127"/>
    <mergeCell ref="G1127:H1127"/>
    <mergeCell ref="O1126:O1127"/>
    <mergeCell ref="Q1126:Q1127"/>
    <mergeCell ref="R1126:R1127"/>
    <mergeCell ref="S1126:S1127"/>
    <mergeCell ref="F1126:F1127"/>
    <mergeCell ref="G1126:H1126"/>
    <mergeCell ref="I1126:K1127"/>
    <mergeCell ref="M1126:M1127"/>
    <mergeCell ref="V1124:X1125"/>
    <mergeCell ref="Y1124:Y1125"/>
    <mergeCell ref="G1125:H1125"/>
    <mergeCell ref="A1126:A1127"/>
    <mergeCell ref="B1126:B1127"/>
    <mergeCell ref="C1126:C1127"/>
    <mergeCell ref="D1126:D1127"/>
    <mergeCell ref="E1126:E1127"/>
    <mergeCell ref="Q1124:Q1125"/>
    <mergeCell ref="R1124:R1125"/>
    <mergeCell ref="S1124:S1125"/>
    <mergeCell ref="T1124:T1125"/>
    <mergeCell ref="G1124:H1124"/>
    <mergeCell ref="I1124:K1125"/>
    <mergeCell ref="M1124:M1125"/>
    <mergeCell ref="O1124:O1125"/>
    <mergeCell ref="A1124:A1125"/>
    <mergeCell ref="B1124:B1125"/>
    <mergeCell ref="C1124:C1125"/>
    <mergeCell ref="D1124:D1125"/>
    <mergeCell ref="E1124:E1125"/>
    <mergeCell ref="F1124:F1125"/>
    <mergeCell ref="T1122:T1123"/>
    <mergeCell ref="V1122:X1123"/>
    <mergeCell ref="Y1122:Y1123"/>
    <mergeCell ref="G1123:H1123"/>
    <mergeCell ref="O1122:O1123"/>
    <mergeCell ref="Q1122:Q1123"/>
    <mergeCell ref="R1122:R1123"/>
    <mergeCell ref="S1122:S1123"/>
    <mergeCell ref="F1122:F1123"/>
    <mergeCell ref="G1122:H1122"/>
    <mergeCell ref="I1122:K1123"/>
    <mergeCell ref="M1122:M1123"/>
    <mergeCell ref="V1120:X1121"/>
    <mergeCell ref="Y1120:Y1121"/>
    <mergeCell ref="G1121:H1121"/>
    <mergeCell ref="A1122:A1123"/>
    <mergeCell ref="B1122:B1123"/>
    <mergeCell ref="C1122:C1123"/>
    <mergeCell ref="D1122:D1123"/>
    <mergeCell ref="E1122:E1123"/>
    <mergeCell ref="Q1120:Q1121"/>
    <mergeCell ref="R1120:R1121"/>
    <mergeCell ref="S1120:S1121"/>
    <mergeCell ref="T1120:T1121"/>
    <mergeCell ref="G1120:H1120"/>
    <mergeCell ref="I1120:K1121"/>
    <mergeCell ref="M1120:M1121"/>
    <mergeCell ref="O1120:O1121"/>
    <mergeCell ref="A1120:A1121"/>
    <mergeCell ref="B1120:B1121"/>
    <mergeCell ref="C1120:C1121"/>
    <mergeCell ref="D1120:D1121"/>
    <mergeCell ref="E1120:E1121"/>
    <mergeCell ref="F1120:F1121"/>
    <mergeCell ref="T1118:T1119"/>
    <mergeCell ref="V1118:X1119"/>
    <mergeCell ref="Y1118:Y1119"/>
    <mergeCell ref="G1119:H1119"/>
    <mergeCell ref="O1118:O1119"/>
    <mergeCell ref="Q1118:Q1119"/>
    <mergeCell ref="R1118:R1119"/>
    <mergeCell ref="S1118:S1119"/>
    <mergeCell ref="F1118:F1119"/>
    <mergeCell ref="G1118:H1118"/>
    <mergeCell ref="I1118:K1119"/>
    <mergeCell ref="M1118:M1119"/>
    <mergeCell ref="V1116:X1117"/>
    <mergeCell ref="Y1116:Y1117"/>
    <mergeCell ref="G1117:H1117"/>
    <mergeCell ref="A1118:A1119"/>
    <mergeCell ref="B1118:B1119"/>
    <mergeCell ref="C1118:C1119"/>
    <mergeCell ref="D1118:D1119"/>
    <mergeCell ref="E1118:E1119"/>
    <mergeCell ref="Q1116:Q1117"/>
    <mergeCell ref="R1116:R1117"/>
    <mergeCell ref="S1116:S1117"/>
    <mergeCell ref="T1116:T1117"/>
    <mergeCell ref="G1116:H1116"/>
    <mergeCell ref="I1116:K1117"/>
    <mergeCell ref="M1116:M1117"/>
    <mergeCell ref="O1116:O1117"/>
    <mergeCell ref="A1116:A1117"/>
    <mergeCell ref="B1116:B1117"/>
    <mergeCell ref="C1116:C1117"/>
    <mergeCell ref="D1116:D1117"/>
    <mergeCell ref="E1116:E1117"/>
    <mergeCell ref="F1116:F1117"/>
    <mergeCell ref="T1114:T1115"/>
    <mergeCell ref="V1114:X1115"/>
    <mergeCell ref="Y1114:Y1115"/>
    <mergeCell ref="G1115:H1115"/>
    <mergeCell ref="O1114:O1115"/>
    <mergeCell ref="Q1114:Q1115"/>
    <mergeCell ref="R1114:R1115"/>
    <mergeCell ref="S1114:S1115"/>
    <mergeCell ref="F1114:F1115"/>
    <mergeCell ref="G1114:H1114"/>
    <mergeCell ref="I1114:K1115"/>
    <mergeCell ref="M1114:M1115"/>
    <mergeCell ref="V1112:X1113"/>
    <mergeCell ref="Y1112:Y1113"/>
    <mergeCell ref="G1113:H1113"/>
    <mergeCell ref="A1114:A1115"/>
    <mergeCell ref="B1114:B1115"/>
    <mergeCell ref="C1114:C1115"/>
    <mergeCell ref="D1114:D1115"/>
    <mergeCell ref="E1114:E1115"/>
    <mergeCell ref="Q1112:Q1113"/>
    <mergeCell ref="R1112:R1113"/>
    <mergeCell ref="S1112:S1113"/>
    <mergeCell ref="T1112:T1113"/>
    <mergeCell ref="G1112:H1112"/>
    <mergeCell ref="I1112:K1113"/>
    <mergeCell ref="M1112:M1113"/>
    <mergeCell ref="O1112:O1113"/>
    <mergeCell ref="A1112:A1113"/>
    <mergeCell ref="B1112:B1113"/>
    <mergeCell ref="C1112:C1113"/>
    <mergeCell ref="D1112:D1113"/>
    <mergeCell ref="E1112:E1113"/>
    <mergeCell ref="F1112:F1113"/>
    <mergeCell ref="T1110:T1111"/>
    <mergeCell ref="V1110:X1111"/>
    <mergeCell ref="Y1110:Y1111"/>
    <mergeCell ref="G1111:H1111"/>
    <mergeCell ref="O1110:O1111"/>
    <mergeCell ref="Q1110:Q1111"/>
    <mergeCell ref="R1110:R1111"/>
    <mergeCell ref="S1110:S1111"/>
    <mergeCell ref="F1110:F1111"/>
    <mergeCell ref="G1110:H1110"/>
    <mergeCell ref="I1110:K1111"/>
    <mergeCell ref="M1110:M1111"/>
    <mergeCell ref="V1108:X1109"/>
    <mergeCell ref="Y1108:Y1109"/>
    <mergeCell ref="G1109:H1109"/>
    <mergeCell ref="A1110:A1111"/>
    <mergeCell ref="B1110:B1111"/>
    <mergeCell ref="C1110:C1111"/>
    <mergeCell ref="D1110:D1111"/>
    <mergeCell ref="E1110:E1111"/>
    <mergeCell ref="Q1108:Q1109"/>
    <mergeCell ref="R1108:R1109"/>
    <mergeCell ref="S1108:S1109"/>
    <mergeCell ref="T1108:T1109"/>
    <mergeCell ref="G1108:H1108"/>
    <mergeCell ref="I1108:K1109"/>
    <mergeCell ref="M1108:M1109"/>
    <mergeCell ref="O1108:O1109"/>
    <mergeCell ref="A1108:A1109"/>
    <mergeCell ref="B1108:B1109"/>
    <mergeCell ref="C1108:C1109"/>
    <mergeCell ref="D1108:D1109"/>
    <mergeCell ref="E1108:E1109"/>
    <mergeCell ref="F1108:F1109"/>
    <mergeCell ref="T1106:T1107"/>
    <mergeCell ref="V1106:X1107"/>
    <mergeCell ref="Y1106:Y1107"/>
    <mergeCell ref="G1107:H1107"/>
    <mergeCell ref="O1106:O1107"/>
    <mergeCell ref="Q1106:Q1107"/>
    <mergeCell ref="R1106:R1107"/>
    <mergeCell ref="S1106:S1107"/>
    <mergeCell ref="F1106:F1107"/>
    <mergeCell ref="G1106:H1106"/>
    <mergeCell ref="I1106:K1107"/>
    <mergeCell ref="M1106:M1107"/>
    <mergeCell ref="V1104:X1105"/>
    <mergeCell ref="Y1104:Y1105"/>
    <mergeCell ref="G1105:H1105"/>
    <mergeCell ref="A1106:A1107"/>
    <mergeCell ref="B1106:B1107"/>
    <mergeCell ref="C1106:C1107"/>
    <mergeCell ref="D1106:D1107"/>
    <mergeCell ref="E1106:E1107"/>
    <mergeCell ref="Q1104:Q1105"/>
    <mergeCell ref="R1104:R1105"/>
    <mergeCell ref="S1104:S1105"/>
    <mergeCell ref="T1104:T1105"/>
    <mergeCell ref="G1104:H1104"/>
    <mergeCell ref="I1104:K1105"/>
    <mergeCell ref="M1104:M1105"/>
    <mergeCell ref="O1104:O1105"/>
    <mergeCell ref="A1104:A1105"/>
    <mergeCell ref="B1104:B1105"/>
    <mergeCell ref="C1104:C1105"/>
    <mergeCell ref="D1104:D1105"/>
    <mergeCell ref="E1104:E1105"/>
    <mergeCell ref="F1104:F1105"/>
    <mergeCell ref="T1102:T1103"/>
    <mergeCell ref="V1102:X1103"/>
    <mergeCell ref="Y1102:Y1103"/>
    <mergeCell ref="G1103:H1103"/>
    <mergeCell ref="O1102:O1103"/>
    <mergeCell ref="Q1102:Q1103"/>
    <mergeCell ref="R1102:R1103"/>
    <mergeCell ref="S1102:S1103"/>
    <mergeCell ref="F1102:F1103"/>
    <mergeCell ref="G1102:H1102"/>
    <mergeCell ref="I1102:K1103"/>
    <mergeCell ref="M1102:M1103"/>
    <mergeCell ref="V1100:X1101"/>
    <mergeCell ref="Y1100:Y1101"/>
    <mergeCell ref="G1101:H1101"/>
    <mergeCell ref="A1102:A1103"/>
    <mergeCell ref="B1102:B1103"/>
    <mergeCell ref="C1102:C1103"/>
    <mergeCell ref="D1102:D1103"/>
    <mergeCell ref="E1102:E1103"/>
    <mergeCell ref="Q1100:Q1101"/>
    <mergeCell ref="R1100:R1101"/>
    <mergeCell ref="S1100:S1101"/>
    <mergeCell ref="T1100:T1101"/>
    <mergeCell ref="G1100:H1100"/>
    <mergeCell ref="I1100:K1101"/>
    <mergeCell ref="M1100:M1101"/>
    <mergeCell ref="O1100:O1101"/>
    <mergeCell ref="A1100:A1101"/>
    <mergeCell ref="B1100:B1101"/>
    <mergeCell ref="C1100:C1101"/>
    <mergeCell ref="D1100:D1101"/>
    <mergeCell ref="E1100:E1101"/>
    <mergeCell ref="F1100:F1101"/>
    <mergeCell ref="T1098:T1099"/>
    <mergeCell ref="V1098:X1099"/>
    <mergeCell ref="Y1098:Y1099"/>
    <mergeCell ref="G1099:H1099"/>
    <mergeCell ref="O1098:O1099"/>
    <mergeCell ref="Q1098:Q1099"/>
    <mergeCell ref="R1098:R1099"/>
    <mergeCell ref="S1098:S1099"/>
    <mergeCell ref="F1098:F1099"/>
    <mergeCell ref="G1098:H1098"/>
    <mergeCell ref="I1098:K1099"/>
    <mergeCell ref="M1098:M1099"/>
    <mergeCell ref="V1096:X1097"/>
    <mergeCell ref="Y1096:Y1097"/>
    <mergeCell ref="G1097:H1097"/>
    <mergeCell ref="A1098:A1099"/>
    <mergeCell ref="B1098:B1099"/>
    <mergeCell ref="C1098:C1099"/>
    <mergeCell ref="D1098:D1099"/>
    <mergeCell ref="E1098:E1099"/>
    <mergeCell ref="Q1096:Q1097"/>
    <mergeCell ref="R1096:R1097"/>
    <mergeCell ref="S1096:S1097"/>
    <mergeCell ref="T1096:T1097"/>
    <mergeCell ref="G1096:H1096"/>
    <mergeCell ref="I1096:K1097"/>
    <mergeCell ref="M1096:M1097"/>
    <mergeCell ref="O1096:O1097"/>
    <mergeCell ref="A1096:A1097"/>
    <mergeCell ref="B1096:B1097"/>
    <mergeCell ref="C1096:C1097"/>
    <mergeCell ref="D1096:D1097"/>
    <mergeCell ref="E1096:E1097"/>
    <mergeCell ref="F1096:F1097"/>
    <mergeCell ref="T1094:T1095"/>
    <mergeCell ref="V1094:X1095"/>
    <mergeCell ref="Y1094:Y1095"/>
    <mergeCell ref="G1095:H1095"/>
    <mergeCell ref="O1094:O1095"/>
    <mergeCell ref="Q1094:Q1095"/>
    <mergeCell ref="R1094:R1095"/>
    <mergeCell ref="S1094:S1095"/>
    <mergeCell ref="F1094:F1095"/>
    <mergeCell ref="G1094:H1094"/>
    <mergeCell ref="I1094:K1095"/>
    <mergeCell ref="M1094:M1095"/>
    <mergeCell ref="V1092:X1093"/>
    <mergeCell ref="Y1092:Y1093"/>
    <mergeCell ref="G1093:H1093"/>
    <mergeCell ref="A1094:A1095"/>
    <mergeCell ref="B1094:B1095"/>
    <mergeCell ref="C1094:C1095"/>
    <mergeCell ref="D1094:D1095"/>
    <mergeCell ref="E1094:E1095"/>
    <mergeCell ref="Q1092:Q1093"/>
    <mergeCell ref="R1092:R1093"/>
    <mergeCell ref="S1092:S1093"/>
    <mergeCell ref="T1092:T1093"/>
    <mergeCell ref="G1092:H1092"/>
    <mergeCell ref="I1092:K1093"/>
    <mergeCell ref="M1092:M1093"/>
    <mergeCell ref="O1092:O1093"/>
    <mergeCell ref="A1092:A1093"/>
    <mergeCell ref="B1092:B1093"/>
    <mergeCell ref="C1092:C1093"/>
    <mergeCell ref="D1092:D1093"/>
    <mergeCell ref="E1092:E1093"/>
    <mergeCell ref="F1092:F1093"/>
    <mergeCell ref="T1090:T1091"/>
    <mergeCell ref="V1090:X1091"/>
    <mergeCell ref="Y1090:Y1091"/>
    <mergeCell ref="G1091:H1091"/>
    <mergeCell ref="O1090:O1091"/>
    <mergeCell ref="Q1090:Q1091"/>
    <mergeCell ref="R1090:R1091"/>
    <mergeCell ref="S1090:S1091"/>
    <mergeCell ref="F1090:F1091"/>
    <mergeCell ref="G1090:H1090"/>
    <mergeCell ref="I1090:K1091"/>
    <mergeCell ref="M1090:M1091"/>
    <mergeCell ref="V1088:X1089"/>
    <mergeCell ref="Y1088:Y1089"/>
    <mergeCell ref="G1089:H1089"/>
    <mergeCell ref="A1090:A1091"/>
    <mergeCell ref="B1090:B1091"/>
    <mergeCell ref="C1090:C1091"/>
    <mergeCell ref="D1090:D1091"/>
    <mergeCell ref="E1090:E1091"/>
    <mergeCell ref="Q1088:Q1089"/>
    <mergeCell ref="R1088:R1089"/>
    <mergeCell ref="S1088:S1089"/>
    <mergeCell ref="T1088:T1089"/>
    <mergeCell ref="G1088:H1088"/>
    <mergeCell ref="I1088:K1089"/>
    <mergeCell ref="M1088:M1089"/>
    <mergeCell ref="O1088:O1089"/>
    <mergeCell ref="A1088:A1089"/>
    <mergeCell ref="B1088:B1089"/>
    <mergeCell ref="C1088:C1089"/>
    <mergeCell ref="D1088:D1089"/>
    <mergeCell ref="E1088:E1089"/>
    <mergeCell ref="F1088:F1089"/>
    <mergeCell ref="T1086:T1087"/>
    <mergeCell ref="V1086:X1087"/>
    <mergeCell ref="Y1086:Y1087"/>
    <mergeCell ref="G1087:H1087"/>
    <mergeCell ref="O1086:O1087"/>
    <mergeCell ref="Q1086:Q1087"/>
    <mergeCell ref="R1086:R1087"/>
    <mergeCell ref="S1086:S1087"/>
    <mergeCell ref="F1086:F1087"/>
    <mergeCell ref="G1086:H1086"/>
    <mergeCell ref="I1086:K1087"/>
    <mergeCell ref="M1086:M1087"/>
    <mergeCell ref="V1084:X1085"/>
    <mergeCell ref="Y1084:Y1085"/>
    <mergeCell ref="G1085:H1085"/>
    <mergeCell ref="A1086:A1087"/>
    <mergeCell ref="B1086:B1087"/>
    <mergeCell ref="C1086:C1087"/>
    <mergeCell ref="D1086:D1087"/>
    <mergeCell ref="E1086:E1087"/>
    <mergeCell ref="Q1084:Q1085"/>
    <mergeCell ref="R1084:R1085"/>
    <mergeCell ref="S1084:S1085"/>
    <mergeCell ref="T1084:T1085"/>
    <mergeCell ref="G1084:H1084"/>
    <mergeCell ref="I1084:K1085"/>
    <mergeCell ref="M1084:M1085"/>
    <mergeCell ref="O1084:O1085"/>
    <mergeCell ref="A1084:A1085"/>
    <mergeCell ref="B1084:B1085"/>
    <mergeCell ref="C1084:C1085"/>
    <mergeCell ref="D1084:D1085"/>
    <mergeCell ref="E1084:E1085"/>
    <mergeCell ref="F1084:F1085"/>
    <mergeCell ref="T1082:T1083"/>
    <mergeCell ref="V1082:X1083"/>
    <mergeCell ref="Y1082:Y1083"/>
    <mergeCell ref="G1083:H1083"/>
    <mergeCell ref="O1082:O1083"/>
    <mergeCell ref="Q1082:Q1083"/>
    <mergeCell ref="R1082:R1083"/>
    <mergeCell ref="S1082:S1083"/>
    <mergeCell ref="F1082:F1083"/>
    <mergeCell ref="G1082:H1082"/>
    <mergeCell ref="I1082:K1083"/>
    <mergeCell ref="M1082:M1083"/>
    <mergeCell ref="V1080:X1081"/>
    <mergeCell ref="Y1080:Y1081"/>
    <mergeCell ref="G1081:H1081"/>
    <mergeCell ref="A1082:A1083"/>
    <mergeCell ref="B1082:B1083"/>
    <mergeCell ref="C1082:C1083"/>
    <mergeCell ref="D1082:D1083"/>
    <mergeCell ref="E1082:E1083"/>
    <mergeCell ref="Q1080:Q1081"/>
    <mergeCell ref="R1080:R1081"/>
    <mergeCell ref="S1080:S1081"/>
    <mergeCell ref="T1080:T1081"/>
    <mergeCell ref="G1080:H1080"/>
    <mergeCell ref="I1080:K1081"/>
    <mergeCell ref="M1080:M1081"/>
    <mergeCell ref="O1080:O1081"/>
    <mergeCell ref="A1080:A1081"/>
    <mergeCell ref="B1080:B1081"/>
    <mergeCell ref="C1080:C1081"/>
    <mergeCell ref="D1080:D1081"/>
    <mergeCell ref="E1080:E1081"/>
    <mergeCell ref="F1080:F1081"/>
    <mergeCell ref="T1078:T1079"/>
    <mergeCell ref="V1078:X1079"/>
    <mergeCell ref="Y1078:Y1079"/>
    <mergeCell ref="G1079:H1079"/>
    <mergeCell ref="O1078:O1079"/>
    <mergeCell ref="Q1078:Q1079"/>
    <mergeCell ref="R1078:R1079"/>
    <mergeCell ref="S1078:S1079"/>
    <mergeCell ref="F1078:F1079"/>
    <mergeCell ref="G1078:H1078"/>
    <mergeCell ref="I1078:K1079"/>
    <mergeCell ref="M1078:M1079"/>
    <mergeCell ref="V1076:X1077"/>
    <mergeCell ref="Y1076:Y1077"/>
    <mergeCell ref="G1077:H1077"/>
    <mergeCell ref="A1078:A1079"/>
    <mergeCell ref="B1078:B1079"/>
    <mergeCell ref="C1078:C1079"/>
    <mergeCell ref="D1078:D1079"/>
    <mergeCell ref="E1078:E1079"/>
    <mergeCell ref="Q1076:Q1077"/>
    <mergeCell ref="R1076:R1077"/>
    <mergeCell ref="S1076:S1077"/>
    <mergeCell ref="T1076:T1077"/>
    <mergeCell ref="G1076:H1076"/>
    <mergeCell ref="I1076:K1077"/>
    <mergeCell ref="M1076:M1077"/>
    <mergeCell ref="O1076:O1077"/>
    <mergeCell ref="A1076:A1077"/>
    <mergeCell ref="B1076:B1077"/>
    <mergeCell ref="C1076:C1077"/>
    <mergeCell ref="D1076:D1077"/>
    <mergeCell ref="E1076:E1077"/>
    <mergeCell ref="F1076:F1077"/>
    <mergeCell ref="T1074:T1075"/>
    <mergeCell ref="V1074:X1075"/>
    <mergeCell ref="Y1074:Y1075"/>
    <mergeCell ref="G1075:H1075"/>
    <mergeCell ref="O1074:O1075"/>
    <mergeCell ref="Q1074:Q1075"/>
    <mergeCell ref="R1074:R1075"/>
    <mergeCell ref="S1074:S1075"/>
    <mergeCell ref="F1074:F1075"/>
    <mergeCell ref="G1074:H1074"/>
    <mergeCell ref="I1074:K1075"/>
    <mergeCell ref="M1074:M1075"/>
    <mergeCell ref="V1072:X1073"/>
    <mergeCell ref="Y1072:Y1073"/>
    <mergeCell ref="G1073:H1073"/>
    <mergeCell ref="A1074:A1075"/>
    <mergeCell ref="B1074:B1075"/>
    <mergeCell ref="C1074:C1075"/>
    <mergeCell ref="D1074:D1075"/>
    <mergeCell ref="E1074:E1075"/>
    <mergeCell ref="Q1072:Q1073"/>
    <mergeCell ref="R1072:R1073"/>
    <mergeCell ref="S1072:S1073"/>
    <mergeCell ref="T1072:T1073"/>
    <mergeCell ref="G1072:H1072"/>
    <mergeCell ref="I1072:K1073"/>
    <mergeCell ref="M1072:M1073"/>
    <mergeCell ref="O1072:O1073"/>
    <mergeCell ref="A1072:A1073"/>
    <mergeCell ref="B1072:B1073"/>
    <mergeCell ref="C1072:C1073"/>
    <mergeCell ref="D1072:D1073"/>
    <mergeCell ref="E1072:E1073"/>
    <mergeCell ref="F1072:F1073"/>
    <mergeCell ref="T1070:T1071"/>
    <mergeCell ref="V1070:X1071"/>
    <mergeCell ref="Y1070:Y1071"/>
    <mergeCell ref="G1071:H1071"/>
    <mergeCell ref="O1070:O1071"/>
    <mergeCell ref="Q1070:Q1071"/>
    <mergeCell ref="R1070:R1071"/>
    <mergeCell ref="S1070:S1071"/>
    <mergeCell ref="F1070:F1071"/>
    <mergeCell ref="G1070:H1070"/>
    <mergeCell ref="I1070:K1071"/>
    <mergeCell ref="M1070:M1071"/>
    <mergeCell ref="V1068:X1069"/>
    <mergeCell ref="Y1068:Y1069"/>
    <mergeCell ref="G1069:H1069"/>
    <mergeCell ref="A1070:A1071"/>
    <mergeCell ref="B1070:B1071"/>
    <mergeCell ref="C1070:C1071"/>
    <mergeCell ref="D1070:D1071"/>
    <mergeCell ref="E1070:E1071"/>
    <mergeCell ref="Q1068:Q1069"/>
    <mergeCell ref="R1068:R1069"/>
    <mergeCell ref="S1068:S1069"/>
    <mergeCell ref="T1068:T1069"/>
    <mergeCell ref="G1068:H1068"/>
    <mergeCell ref="I1068:K1069"/>
    <mergeCell ref="M1068:M1069"/>
    <mergeCell ref="O1068:O1069"/>
    <mergeCell ref="A1068:A1069"/>
    <mergeCell ref="B1068:B1069"/>
    <mergeCell ref="C1068:C1069"/>
    <mergeCell ref="D1068:D1069"/>
    <mergeCell ref="E1068:E1069"/>
    <mergeCell ref="F1068:F1069"/>
    <mergeCell ref="T1066:T1067"/>
    <mergeCell ref="V1066:X1067"/>
    <mergeCell ref="Y1066:Y1067"/>
    <mergeCell ref="G1067:H1067"/>
    <mergeCell ref="O1066:O1067"/>
    <mergeCell ref="Q1066:Q1067"/>
    <mergeCell ref="R1066:R1067"/>
    <mergeCell ref="S1066:S1067"/>
    <mergeCell ref="F1066:F1067"/>
    <mergeCell ref="G1066:H1066"/>
    <mergeCell ref="I1066:K1067"/>
    <mergeCell ref="M1066:M1067"/>
    <mergeCell ref="V1064:X1065"/>
    <mergeCell ref="Y1064:Y1065"/>
    <mergeCell ref="G1065:H1065"/>
    <mergeCell ref="A1066:A1067"/>
    <mergeCell ref="B1066:B1067"/>
    <mergeCell ref="C1066:C1067"/>
    <mergeCell ref="D1066:D1067"/>
    <mergeCell ref="E1066:E1067"/>
    <mergeCell ref="Q1064:Q1065"/>
    <mergeCell ref="R1064:R1065"/>
    <mergeCell ref="S1064:S1065"/>
    <mergeCell ref="T1064:T1065"/>
    <mergeCell ref="G1064:H1064"/>
    <mergeCell ref="I1064:K1065"/>
    <mergeCell ref="M1064:M1065"/>
    <mergeCell ref="O1064:O1065"/>
    <mergeCell ref="A1064:A1065"/>
    <mergeCell ref="B1064:B1065"/>
    <mergeCell ref="C1064:C1065"/>
    <mergeCell ref="D1064:D1065"/>
    <mergeCell ref="E1064:E1065"/>
    <mergeCell ref="F1064:F1065"/>
    <mergeCell ref="T1062:T1063"/>
    <mergeCell ref="V1062:X1063"/>
    <mergeCell ref="Y1062:Y1063"/>
    <mergeCell ref="G1063:H1063"/>
    <mergeCell ref="O1062:O1063"/>
    <mergeCell ref="Q1062:Q1063"/>
    <mergeCell ref="R1062:R1063"/>
    <mergeCell ref="S1062:S1063"/>
    <mergeCell ref="F1062:F1063"/>
    <mergeCell ref="G1062:H1062"/>
    <mergeCell ref="I1062:K1063"/>
    <mergeCell ref="M1062:M1063"/>
    <mergeCell ref="V1060:X1061"/>
    <mergeCell ref="Y1060:Y1061"/>
    <mergeCell ref="G1061:H1061"/>
    <mergeCell ref="A1062:A1063"/>
    <mergeCell ref="B1062:B1063"/>
    <mergeCell ref="C1062:C1063"/>
    <mergeCell ref="D1062:D1063"/>
    <mergeCell ref="E1062:E1063"/>
    <mergeCell ref="Q1060:Q1061"/>
    <mergeCell ref="R1060:R1061"/>
    <mergeCell ref="S1060:S1061"/>
    <mergeCell ref="T1060:T1061"/>
    <mergeCell ref="G1060:H1060"/>
    <mergeCell ref="I1060:K1061"/>
    <mergeCell ref="M1060:M1061"/>
    <mergeCell ref="O1060:O1061"/>
    <mergeCell ref="A1060:A1061"/>
    <mergeCell ref="B1060:B1061"/>
    <mergeCell ref="C1060:C1061"/>
    <mergeCell ref="D1060:D1061"/>
    <mergeCell ref="E1060:E1061"/>
    <mergeCell ref="F1060:F1061"/>
    <mergeCell ref="T1058:T1059"/>
    <mergeCell ref="V1058:X1059"/>
    <mergeCell ref="Y1058:Y1059"/>
    <mergeCell ref="G1059:H1059"/>
    <mergeCell ref="O1058:O1059"/>
    <mergeCell ref="Q1058:Q1059"/>
    <mergeCell ref="R1058:R1059"/>
    <mergeCell ref="S1058:S1059"/>
    <mergeCell ref="F1058:F1059"/>
    <mergeCell ref="G1058:H1058"/>
    <mergeCell ref="I1058:K1059"/>
    <mergeCell ref="M1058:M1059"/>
    <mergeCell ref="V1056:X1057"/>
    <mergeCell ref="Y1056:Y1057"/>
    <mergeCell ref="G1057:H1057"/>
    <mergeCell ref="A1058:A1059"/>
    <mergeCell ref="B1058:B1059"/>
    <mergeCell ref="C1058:C1059"/>
    <mergeCell ref="D1058:D1059"/>
    <mergeCell ref="E1058:E1059"/>
    <mergeCell ref="Q1056:Q1057"/>
    <mergeCell ref="R1056:R1057"/>
    <mergeCell ref="S1056:S1057"/>
    <mergeCell ref="T1056:T1057"/>
    <mergeCell ref="G1056:H1056"/>
    <mergeCell ref="I1056:K1057"/>
    <mergeCell ref="M1056:M1057"/>
    <mergeCell ref="O1056:O1057"/>
    <mergeCell ref="A1056:A1057"/>
    <mergeCell ref="B1056:B1057"/>
    <mergeCell ref="C1056:C1057"/>
    <mergeCell ref="D1056:D1057"/>
    <mergeCell ref="E1056:E1057"/>
    <mergeCell ref="F1056:F1057"/>
    <mergeCell ref="T1054:T1055"/>
    <mergeCell ref="V1054:X1055"/>
    <mergeCell ref="Y1054:Y1055"/>
    <mergeCell ref="G1055:H1055"/>
    <mergeCell ref="O1054:O1055"/>
    <mergeCell ref="Q1054:Q1055"/>
    <mergeCell ref="R1054:R1055"/>
    <mergeCell ref="S1054:S1055"/>
    <mergeCell ref="F1054:F1055"/>
    <mergeCell ref="G1054:H1054"/>
    <mergeCell ref="I1054:K1055"/>
    <mergeCell ref="M1054:M1055"/>
    <mergeCell ref="V1052:X1053"/>
    <mergeCell ref="Y1052:Y1053"/>
    <mergeCell ref="G1053:H1053"/>
    <mergeCell ref="A1054:A1055"/>
    <mergeCell ref="B1054:B1055"/>
    <mergeCell ref="C1054:C1055"/>
    <mergeCell ref="D1054:D1055"/>
    <mergeCell ref="E1054:E1055"/>
    <mergeCell ref="Q1052:Q1053"/>
    <mergeCell ref="R1052:R1053"/>
    <mergeCell ref="S1052:S1053"/>
    <mergeCell ref="T1052:T1053"/>
    <mergeCell ref="G1052:H1052"/>
    <mergeCell ref="I1052:K1053"/>
    <mergeCell ref="M1052:M1053"/>
    <mergeCell ref="O1052:O1053"/>
    <mergeCell ref="A1052:A1053"/>
    <mergeCell ref="B1052:B1053"/>
    <mergeCell ref="C1052:C1053"/>
    <mergeCell ref="D1052:D1053"/>
    <mergeCell ref="E1052:E1053"/>
    <mergeCell ref="F1052:F1053"/>
    <mergeCell ref="T1050:T1051"/>
    <mergeCell ref="V1050:X1051"/>
    <mergeCell ref="Y1050:Y1051"/>
    <mergeCell ref="G1051:H1051"/>
    <mergeCell ref="O1050:O1051"/>
    <mergeCell ref="Q1050:Q1051"/>
    <mergeCell ref="R1050:R1051"/>
    <mergeCell ref="S1050:S1051"/>
    <mergeCell ref="F1050:F1051"/>
    <mergeCell ref="G1050:H1050"/>
    <mergeCell ref="I1050:K1051"/>
    <mergeCell ref="M1050:M1051"/>
    <mergeCell ref="V1048:X1049"/>
    <mergeCell ref="Y1048:Y1049"/>
    <mergeCell ref="G1049:H1049"/>
    <mergeCell ref="A1050:A1051"/>
    <mergeCell ref="B1050:B1051"/>
    <mergeCell ref="C1050:C1051"/>
    <mergeCell ref="D1050:D1051"/>
    <mergeCell ref="E1050:E1051"/>
    <mergeCell ref="Q1048:Q1049"/>
    <mergeCell ref="R1048:R1049"/>
    <mergeCell ref="S1048:S1049"/>
    <mergeCell ref="T1048:T1049"/>
    <mergeCell ref="G1048:H1048"/>
    <mergeCell ref="I1048:K1049"/>
    <mergeCell ref="M1048:M1049"/>
    <mergeCell ref="O1048:O1049"/>
    <mergeCell ref="A1048:A1049"/>
    <mergeCell ref="B1048:B1049"/>
    <mergeCell ref="C1048:C1049"/>
    <mergeCell ref="D1048:D1049"/>
    <mergeCell ref="E1048:E1049"/>
    <mergeCell ref="F1048:F1049"/>
    <mergeCell ref="T1046:T1047"/>
    <mergeCell ref="V1046:X1047"/>
    <mergeCell ref="Y1046:Y1047"/>
    <mergeCell ref="G1047:H1047"/>
    <mergeCell ref="O1046:O1047"/>
    <mergeCell ref="Q1046:Q1047"/>
    <mergeCell ref="R1046:R1047"/>
    <mergeCell ref="S1046:S1047"/>
    <mergeCell ref="F1046:F1047"/>
    <mergeCell ref="G1046:H1046"/>
    <mergeCell ref="I1046:K1047"/>
    <mergeCell ref="M1046:M1047"/>
    <mergeCell ref="V1044:X1045"/>
    <mergeCell ref="Y1044:Y1045"/>
    <mergeCell ref="G1045:H1045"/>
    <mergeCell ref="A1046:A1047"/>
    <mergeCell ref="B1046:B1047"/>
    <mergeCell ref="C1046:C1047"/>
    <mergeCell ref="D1046:D1047"/>
    <mergeCell ref="E1046:E1047"/>
    <mergeCell ref="Q1044:Q1045"/>
    <mergeCell ref="R1044:R1045"/>
    <mergeCell ref="S1044:S1045"/>
    <mergeCell ref="T1044:T1045"/>
    <mergeCell ref="G1044:H1044"/>
    <mergeCell ref="I1044:K1045"/>
    <mergeCell ref="M1044:M1045"/>
    <mergeCell ref="O1044:O1045"/>
    <mergeCell ref="A1044:A1045"/>
    <mergeCell ref="B1044:B1045"/>
    <mergeCell ref="C1044:C1045"/>
    <mergeCell ref="D1044:D1045"/>
    <mergeCell ref="E1044:E1045"/>
    <mergeCell ref="F1044:F1045"/>
    <mergeCell ref="T1042:T1043"/>
    <mergeCell ref="V1042:X1043"/>
    <mergeCell ref="Y1042:Y1043"/>
    <mergeCell ref="G1043:H1043"/>
    <mergeCell ref="O1042:O1043"/>
    <mergeCell ref="Q1042:Q1043"/>
    <mergeCell ref="R1042:R1043"/>
    <mergeCell ref="S1042:S1043"/>
    <mergeCell ref="F1042:F1043"/>
    <mergeCell ref="G1042:H1042"/>
    <mergeCell ref="I1042:K1043"/>
    <mergeCell ref="M1042:M1043"/>
    <mergeCell ref="V1040:X1041"/>
    <mergeCell ref="Y1040:Y1041"/>
    <mergeCell ref="G1041:H1041"/>
    <mergeCell ref="A1042:A1043"/>
    <mergeCell ref="B1042:B1043"/>
    <mergeCell ref="C1042:C1043"/>
    <mergeCell ref="D1042:D1043"/>
    <mergeCell ref="E1042:E1043"/>
    <mergeCell ref="Q1040:Q1041"/>
    <mergeCell ref="R1040:R1041"/>
    <mergeCell ref="S1040:S1041"/>
    <mergeCell ref="T1040:T1041"/>
    <mergeCell ref="G1040:H1040"/>
    <mergeCell ref="I1040:K1041"/>
    <mergeCell ref="M1040:M1041"/>
    <mergeCell ref="O1040:O1041"/>
    <mergeCell ref="A1040:A1041"/>
    <mergeCell ref="B1040:B1041"/>
    <mergeCell ref="C1040:C1041"/>
    <mergeCell ref="D1040:D1041"/>
    <mergeCell ref="E1040:E1041"/>
    <mergeCell ref="F1040:F1041"/>
    <mergeCell ref="T1038:T1039"/>
    <mergeCell ref="V1038:X1039"/>
    <mergeCell ref="Y1038:Y1039"/>
    <mergeCell ref="G1039:H1039"/>
    <mergeCell ref="O1038:O1039"/>
    <mergeCell ref="Q1038:Q1039"/>
    <mergeCell ref="R1038:R1039"/>
    <mergeCell ref="S1038:S1039"/>
    <mergeCell ref="F1038:F1039"/>
    <mergeCell ref="G1038:H1038"/>
    <mergeCell ref="I1038:K1039"/>
    <mergeCell ref="M1038:M1039"/>
    <mergeCell ref="V1036:X1037"/>
    <mergeCell ref="Y1036:Y1037"/>
    <mergeCell ref="G1037:H1037"/>
    <mergeCell ref="A1038:A1039"/>
    <mergeCell ref="B1038:B1039"/>
    <mergeCell ref="C1038:C1039"/>
    <mergeCell ref="D1038:D1039"/>
    <mergeCell ref="E1038:E1039"/>
    <mergeCell ref="Q1036:Q1037"/>
    <mergeCell ref="R1036:R1037"/>
    <mergeCell ref="S1036:S1037"/>
    <mergeCell ref="T1036:T1037"/>
    <mergeCell ref="G1036:H1036"/>
    <mergeCell ref="I1036:K1037"/>
    <mergeCell ref="M1036:M1037"/>
    <mergeCell ref="O1036:O1037"/>
    <mergeCell ref="A1036:A1037"/>
    <mergeCell ref="B1036:B1037"/>
    <mergeCell ref="C1036:C1037"/>
    <mergeCell ref="D1036:D1037"/>
    <mergeCell ref="E1036:E1037"/>
    <mergeCell ref="F1036:F1037"/>
    <mergeCell ref="T1034:T1035"/>
    <mergeCell ref="V1034:X1035"/>
    <mergeCell ref="Y1034:Y1035"/>
    <mergeCell ref="G1035:H1035"/>
    <mergeCell ref="O1034:O1035"/>
    <mergeCell ref="Q1034:Q1035"/>
    <mergeCell ref="R1034:R1035"/>
    <mergeCell ref="S1034:S1035"/>
    <mergeCell ref="F1034:F1035"/>
    <mergeCell ref="G1034:H1034"/>
    <mergeCell ref="I1034:K1035"/>
    <mergeCell ref="M1034:M1035"/>
    <mergeCell ref="V1032:X1033"/>
    <mergeCell ref="Y1032:Y1033"/>
    <mergeCell ref="G1033:H1033"/>
    <mergeCell ref="A1034:A1035"/>
    <mergeCell ref="B1034:B1035"/>
    <mergeCell ref="C1034:C1035"/>
    <mergeCell ref="D1034:D1035"/>
    <mergeCell ref="E1034:E1035"/>
    <mergeCell ref="Q1032:Q1033"/>
    <mergeCell ref="R1032:R1033"/>
    <mergeCell ref="S1032:S1033"/>
    <mergeCell ref="T1032:T1033"/>
    <mergeCell ref="G1032:H1032"/>
    <mergeCell ref="I1032:K1033"/>
    <mergeCell ref="M1032:M1033"/>
    <mergeCell ref="O1032:O1033"/>
    <mergeCell ref="A1032:A1033"/>
    <mergeCell ref="B1032:B1033"/>
    <mergeCell ref="C1032:C1033"/>
    <mergeCell ref="D1032:D1033"/>
    <mergeCell ref="E1032:E1033"/>
    <mergeCell ref="F1032:F1033"/>
    <mergeCell ref="T1030:T1031"/>
    <mergeCell ref="V1030:X1031"/>
    <mergeCell ref="Y1030:Y1031"/>
    <mergeCell ref="G1031:H1031"/>
    <mergeCell ref="O1030:O1031"/>
    <mergeCell ref="Q1030:Q1031"/>
    <mergeCell ref="R1030:R1031"/>
    <mergeCell ref="S1030:S1031"/>
    <mergeCell ref="F1030:F1031"/>
    <mergeCell ref="G1030:H1030"/>
    <mergeCell ref="I1030:K1031"/>
    <mergeCell ref="M1030:M1031"/>
    <mergeCell ref="V1028:X1029"/>
    <mergeCell ref="Y1028:Y1029"/>
    <mergeCell ref="G1029:H1029"/>
    <mergeCell ref="A1030:A1031"/>
    <mergeCell ref="B1030:B1031"/>
    <mergeCell ref="C1030:C1031"/>
    <mergeCell ref="D1030:D1031"/>
    <mergeCell ref="E1030:E1031"/>
    <mergeCell ref="Q1028:Q1029"/>
    <mergeCell ref="R1028:R1029"/>
    <mergeCell ref="S1028:S1029"/>
    <mergeCell ref="T1028:T1029"/>
    <mergeCell ref="G1028:H1028"/>
    <mergeCell ref="I1028:K1029"/>
    <mergeCell ref="M1028:M1029"/>
    <mergeCell ref="O1028:O1029"/>
    <mergeCell ref="A1028:A1029"/>
    <mergeCell ref="B1028:B1029"/>
    <mergeCell ref="C1028:C1029"/>
    <mergeCell ref="D1028:D1029"/>
    <mergeCell ref="E1028:E1029"/>
    <mergeCell ref="F1028:F1029"/>
    <mergeCell ref="T1026:T1027"/>
    <mergeCell ref="V1026:X1027"/>
    <mergeCell ref="Y1026:Y1027"/>
    <mergeCell ref="G1027:H1027"/>
    <mergeCell ref="O1026:O1027"/>
    <mergeCell ref="Q1026:Q1027"/>
    <mergeCell ref="R1026:R1027"/>
    <mergeCell ref="S1026:S1027"/>
    <mergeCell ref="F1026:F1027"/>
    <mergeCell ref="G1026:H1026"/>
    <mergeCell ref="I1026:K1027"/>
    <mergeCell ref="M1026:M1027"/>
    <mergeCell ref="V1024:X1025"/>
    <mergeCell ref="Y1024:Y1025"/>
    <mergeCell ref="G1025:H1025"/>
    <mergeCell ref="A1026:A1027"/>
    <mergeCell ref="B1026:B1027"/>
    <mergeCell ref="C1026:C1027"/>
    <mergeCell ref="D1026:D1027"/>
    <mergeCell ref="E1026:E1027"/>
    <mergeCell ref="Q1024:Q1025"/>
    <mergeCell ref="R1024:R1025"/>
    <mergeCell ref="S1024:S1025"/>
    <mergeCell ref="T1024:T1025"/>
    <mergeCell ref="G1024:H1024"/>
    <mergeCell ref="I1024:K1025"/>
    <mergeCell ref="M1024:M1025"/>
    <mergeCell ref="O1024:O1025"/>
    <mergeCell ref="A1024:A1025"/>
    <mergeCell ref="B1024:B1025"/>
    <mergeCell ref="C1024:C1025"/>
    <mergeCell ref="D1024:D1025"/>
    <mergeCell ref="E1024:E1025"/>
    <mergeCell ref="F1024:F1025"/>
    <mergeCell ref="T1022:T1023"/>
    <mergeCell ref="V1022:X1023"/>
    <mergeCell ref="Y1022:Y1023"/>
    <mergeCell ref="G1023:H1023"/>
    <mergeCell ref="O1022:O1023"/>
    <mergeCell ref="Q1022:Q1023"/>
    <mergeCell ref="R1022:R1023"/>
    <mergeCell ref="S1022:S1023"/>
    <mergeCell ref="F1022:F1023"/>
    <mergeCell ref="G1022:H1022"/>
    <mergeCell ref="I1022:K1023"/>
    <mergeCell ref="M1022:M1023"/>
    <mergeCell ref="V1020:X1021"/>
    <mergeCell ref="Y1020:Y1021"/>
    <mergeCell ref="G1021:H1021"/>
    <mergeCell ref="A1022:A1023"/>
    <mergeCell ref="B1022:B1023"/>
    <mergeCell ref="C1022:C1023"/>
    <mergeCell ref="D1022:D1023"/>
    <mergeCell ref="E1022:E1023"/>
    <mergeCell ref="Q1020:Q1021"/>
    <mergeCell ref="R1020:R1021"/>
    <mergeCell ref="S1020:S1021"/>
    <mergeCell ref="T1020:T1021"/>
    <mergeCell ref="G1020:H1020"/>
    <mergeCell ref="I1020:K1021"/>
    <mergeCell ref="M1020:M1021"/>
    <mergeCell ref="O1020:O1021"/>
    <mergeCell ref="A1020:A1021"/>
    <mergeCell ref="B1020:B1021"/>
    <mergeCell ref="C1020:C1021"/>
    <mergeCell ref="D1020:D1021"/>
    <mergeCell ref="E1020:E1021"/>
    <mergeCell ref="F1020:F1021"/>
    <mergeCell ref="T1018:T1019"/>
    <mergeCell ref="V1018:X1019"/>
    <mergeCell ref="Y1018:Y1019"/>
    <mergeCell ref="G1019:H1019"/>
    <mergeCell ref="O1018:O1019"/>
    <mergeCell ref="Q1018:Q1019"/>
    <mergeCell ref="R1018:R1019"/>
    <mergeCell ref="S1018:S1019"/>
    <mergeCell ref="F1018:F1019"/>
    <mergeCell ref="G1018:H1018"/>
    <mergeCell ref="I1018:K1019"/>
    <mergeCell ref="M1018:M1019"/>
    <mergeCell ref="V1016:X1017"/>
    <mergeCell ref="Y1016:Y1017"/>
    <mergeCell ref="G1017:H1017"/>
    <mergeCell ref="A1018:A1019"/>
    <mergeCell ref="B1018:B1019"/>
    <mergeCell ref="C1018:C1019"/>
    <mergeCell ref="D1018:D1019"/>
    <mergeCell ref="E1018:E1019"/>
    <mergeCell ref="Q1016:Q1017"/>
    <mergeCell ref="R1016:R1017"/>
    <mergeCell ref="S1016:S1017"/>
    <mergeCell ref="T1016:T1017"/>
    <mergeCell ref="G1016:H1016"/>
    <mergeCell ref="I1016:K1017"/>
    <mergeCell ref="M1016:M1017"/>
    <mergeCell ref="O1016:O1017"/>
    <mergeCell ref="A1016:A1017"/>
    <mergeCell ref="B1016:B1017"/>
    <mergeCell ref="C1016:C1017"/>
    <mergeCell ref="D1016:D1017"/>
    <mergeCell ref="E1016:E1017"/>
    <mergeCell ref="F1016:F1017"/>
    <mergeCell ref="T1014:T1015"/>
    <mergeCell ref="V1014:X1015"/>
    <mergeCell ref="Y1014:Y1015"/>
    <mergeCell ref="G1015:H1015"/>
    <mergeCell ref="O1014:O1015"/>
    <mergeCell ref="Q1014:Q1015"/>
    <mergeCell ref="R1014:R1015"/>
    <mergeCell ref="S1014:S1015"/>
    <mergeCell ref="F1014:F1015"/>
    <mergeCell ref="G1014:H1014"/>
    <mergeCell ref="I1014:K1015"/>
    <mergeCell ref="M1014:M1015"/>
    <mergeCell ref="V1012:X1013"/>
    <mergeCell ref="Y1012:Y1013"/>
    <mergeCell ref="G1013:H1013"/>
    <mergeCell ref="A1014:A1015"/>
    <mergeCell ref="B1014:B1015"/>
    <mergeCell ref="C1014:C1015"/>
    <mergeCell ref="D1014:D1015"/>
    <mergeCell ref="E1014:E1015"/>
    <mergeCell ref="Q1012:Q1013"/>
    <mergeCell ref="R1012:R1013"/>
    <mergeCell ref="S1012:S1013"/>
    <mergeCell ref="T1012:T1013"/>
    <mergeCell ref="G1012:H1012"/>
    <mergeCell ref="I1012:K1013"/>
    <mergeCell ref="M1012:M1013"/>
    <mergeCell ref="O1012:O1013"/>
    <mergeCell ref="A1012:A1013"/>
    <mergeCell ref="B1012:B1013"/>
    <mergeCell ref="C1012:C1013"/>
    <mergeCell ref="D1012:D1013"/>
    <mergeCell ref="E1012:E1013"/>
    <mergeCell ref="F1012:F1013"/>
    <mergeCell ref="T1010:T1011"/>
    <mergeCell ref="V1010:X1011"/>
    <mergeCell ref="Y1010:Y1011"/>
    <mergeCell ref="G1011:H1011"/>
    <mergeCell ref="O1010:O1011"/>
    <mergeCell ref="Q1010:Q1011"/>
    <mergeCell ref="R1010:R1011"/>
    <mergeCell ref="S1010:S1011"/>
    <mergeCell ref="F1010:F1011"/>
    <mergeCell ref="G1010:H1010"/>
    <mergeCell ref="I1010:K1011"/>
    <mergeCell ref="M1010:M1011"/>
    <mergeCell ref="V1008:X1009"/>
    <mergeCell ref="Y1008:Y1009"/>
    <mergeCell ref="G1009:H1009"/>
    <mergeCell ref="A1010:A1011"/>
    <mergeCell ref="B1010:B1011"/>
    <mergeCell ref="C1010:C1011"/>
    <mergeCell ref="D1010:D1011"/>
    <mergeCell ref="E1010:E1011"/>
    <mergeCell ref="Q1008:Q1009"/>
    <mergeCell ref="R1008:R1009"/>
    <mergeCell ref="S1008:S1009"/>
    <mergeCell ref="T1008:T1009"/>
    <mergeCell ref="G1008:H1008"/>
    <mergeCell ref="I1008:K1009"/>
    <mergeCell ref="M1008:M1009"/>
    <mergeCell ref="O1008:O1009"/>
    <mergeCell ref="A1008:A1009"/>
    <mergeCell ref="B1008:B1009"/>
    <mergeCell ref="C1008:C1009"/>
    <mergeCell ref="D1008:D1009"/>
    <mergeCell ref="E1008:E1009"/>
    <mergeCell ref="F1008:F1009"/>
    <mergeCell ref="T1006:T1007"/>
    <mergeCell ref="V1006:X1007"/>
    <mergeCell ref="Y1006:Y1007"/>
    <mergeCell ref="G1007:H1007"/>
    <mergeCell ref="O1006:O1007"/>
    <mergeCell ref="Q1006:Q1007"/>
    <mergeCell ref="R1006:R1007"/>
    <mergeCell ref="S1006:S1007"/>
    <mergeCell ref="F1006:F1007"/>
    <mergeCell ref="G1006:H1006"/>
    <mergeCell ref="I1006:K1007"/>
    <mergeCell ref="M1006:M1007"/>
    <mergeCell ref="V1004:X1005"/>
    <mergeCell ref="Y1004:Y1005"/>
    <mergeCell ref="G1005:H1005"/>
    <mergeCell ref="A1006:A1007"/>
    <mergeCell ref="B1006:B1007"/>
    <mergeCell ref="C1006:C1007"/>
    <mergeCell ref="D1006:D1007"/>
    <mergeCell ref="E1006:E1007"/>
    <mergeCell ref="Q1004:Q1005"/>
    <mergeCell ref="R1004:R1005"/>
    <mergeCell ref="S1004:S1005"/>
    <mergeCell ref="T1004:T1005"/>
    <mergeCell ref="G1004:H1004"/>
    <mergeCell ref="I1004:K1005"/>
    <mergeCell ref="M1004:M1005"/>
    <mergeCell ref="O1004:O1005"/>
    <mergeCell ref="A1004:A1005"/>
    <mergeCell ref="B1004:B1005"/>
    <mergeCell ref="C1004:C1005"/>
    <mergeCell ref="D1004:D1005"/>
    <mergeCell ref="E1004:E1005"/>
    <mergeCell ref="F1004:F1005"/>
    <mergeCell ref="T1002:T1003"/>
    <mergeCell ref="V1002:X1003"/>
    <mergeCell ref="Y1002:Y1003"/>
    <mergeCell ref="G1003:H1003"/>
    <mergeCell ref="O1002:O1003"/>
    <mergeCell ref="Q1002:Q1003"/>
    <mergeCell ref="R1002:R1003"/>
    <mergeCell ref="S1002:S1003"/>
    <mergeCell ref="F1002:F1003"/>
    <mergeCell ref="G1002:H1002"/>
    <mergeCell ref="I1002:K1003"/>
    <mergeCell ref="M1002:M1003"/>
    <mergeCell ref="V1000:X1001"/>
    <mergeCell ref="Y1000:Y1001"/>
    <mergeCell ref="G1001:H1001"/>
    <mergeCell ref="A1002:A1003"/>
    <mergeCell ref="B1002:B1003"/>
    <mergeCell ref="C1002:C1003"/>
    <mergeCell ref="D1002:D1003"/>
    <mergeCell ref="E1002:E1003"/>
    <mergeCell ref="Q1000:Q1001"/>
    <mergeCell ref="R1000:R1001"/>
    <mergeCell ref="S1000:S1001"/>
    <mergeCell ref="T1000:T1001"/>
    <mergeCell ref="G1000:H1000"/>
    <mergeCell ref="I1000:K1001"/>
    <mergeCell ref="M1000:M1001"/>
    <mergeCell ref="O1000:O1001"/>
    <mergeCell ref="A1000:A1001"/>
    <mergeCell ref="B1000:B1001"/>
    <mergeCell ref="C1000:C1001"/>
    <mergeCell ref="D1000:D1001"/>
    <mergeCell ref="E1000:E1001"/>
    <mergeCell ref="F1000:F1001"/>
    <mergeCell ref="T998:T999"/>
    <mergeCell ref="V998:X999"/>
    <mergeCell ref="Y998:Y999"/>
    <mergeCell ref="G999:H999"/>
    <mergeCell ref="O998:O999"/>
    <mergeCell ref="Q998:Q999"/>
    <mergeCell ref="R998:R999"/>
    <mergeCell ref="S998:S999"/>
    <mergeCell ref="F998:F999"/>
    <mergeCell ref="G998:H998"/>
    <mergeCell ref="I998:K999"/>
    <mergeCell ref="M998:M999"/>
    <mergeCell ref="V996:X997"/>
    <mergeCell ref="Y996:Y997"/>
    <mergeCell ref="G997:H997"/>
    <mergeCell ref="A998:A999"/>
    <mergeCell ref="B998:B999"/>
    <mergeCell ref="C998:C999"/>
    <mergeCell ref="D998:D999"/>
    <mergeCell ref="E998:E999"/>
    <mergeCell ref="Q996:Q997"/>
    <mergeCell ref="R996:R997"/>
    <mergeCell ref="S996:S997"/>
    <mergeCell ref="T996:T997"/>
    <mergeCell ref="G996:H996"/>
    <mergeCell ref="I996:K997"/>
    <mergeCell ref="M996:M997"/>
    <mergeCell ref="O996:O997"/>
    <mergeCell ref="A996:A997"/>
    <mergeCell ref="B996:B997"/>
    <mergeCell ref="C996:C997"/>
    <mergeCell ref="D996:D997"/>
    <mergeCell ref="E996:E997"/>
    <mergeCell ref="F996:F997"/>
    <mergeCell ref="T994:T995"/>
    <mergeCell ref="V994:X995"/>
    <mergeCell ref="Y994:Y995"/>
    <mergeCell ref="G995:H995"/>
    <mergeCell ref="O994:O995"/>
    <mergeCell ref="Q994:Q995"/>
    <mergeCell ref="R994:R995"/>
    <mergeCell ref="S994:S995"/>
    <mergeCell ref="F994:F995"/>
    <mergeCell ref="G994:H994"/>
    <mergeCell ref="I994:K995"/>
    <mergeCell ref="M994:M995"/>
    <mergeCell ref="V992:X993"/>
    <mergeCell ref="Y992:Y993"/>
    <mergeCell ref="G993:H993"/>
    <mergeCell ref="A994:A995"/>
    <mergeCell ref="B994:B995"/>
    <mergeCell ref="C994:C995"/>
    <mergeCell ref="D994:D995"/>
    <mergeCell ref="E994:E995"/>
    <mergeCell ref="Q992:Q993"/>
    <mergeCell ref="R992:R993"/>
    <mergeCell ref="S992:S993"/>
    <mergeCell ref="T992:T993"/>
    <mergeCell ref="G992:H992"/>
    <mergeCell ref="I992:K993"/>
    <mergeCell ref="M992:M993"/>
    <mergeCell ref="O992:O993"/>
    <mergeCell ref="A992:A993"/>
    <mergeCell ref="B992:B993"/>
    <mergeCell ref="C992:C993"/>
    <mergeCell ref="D992:D993"/>
    <mergeCell ref="E992:E993"/>
    <mergeCell ref="F992:F993"/>
    <mergeCell ref="T990:T991"/>
    <mergeCell ref="V990:X991"/>
    <mergeCell ref="Y990:Y991"/>
    <mergeCell ref="G991:H991"/>
    <mergeCell ref="O990:O991"/>
    <mergeCell ref="Q990:Q991"/>
    <mergeCell ref="R990:R991"/>
    <mergeCell ref="S990:S991"/>
    <mergeCell ref="F990:F991"/>
    <mergeCell ref="G990:H990"/>
    <mergeCell ref="I990:K991"/>
    <mergeCell ref="M990:M991"/>
    <mergeCell ref="V988:X989"/>
    <mergeCell ref="Y988:Y989"/>
    <mergeCell ref="G989:H989"/>
    <mergeCell ref="A990:A991"/>
    <mergeCell ref="B990:B991"/>
    <mergeCell ref="C990:C991"/>
    <mergeCell ref="D990:D991"/>
    <mergeCell ref="E990:E991"/>
    <mergeCell ref="Q988:Q989"/>
    <mergeCell ref="R988:R989"/>
    <mergeCell ref="S988:S989"/>
    <mergeCell ref="T988:T989"/>
    <mergeCell ref="G988:H988"/>
    <mergeCell ref="I988:K989"/>
    <mergeCell ref="M988:M989"/>
    <mergeCell ref="O988:O989"/>
    <mergeCell ref="A988:A989"/>
    <mergeCell ref="B988:B989"/>
    <mergeCell ref="C988:C989"/>
    <mergeCell ref="D988:D989"/>
    <mergeCell ref="E988:E989"/>
    <mergeCell ref="F988:F989"/>
    <mergeCell ref="T986:T987"/>
    <mergeCell ref="V986:X987"/>
    <mergeCell ref="Y986:Y987"/>
    <mergeCell ref="G987:H987"/>
    <mergeCell ref="O986:O987"/>
    <mergeCell ref="Q986:Q987"/>
    <mergeCell ref="R986:R987"/>
    <mergeCell ref="S986:S987"/>
    <mergeCell ref="F986:F987"/>
    <mergeCell ref="G986:H986"/>
    <mergeCell ref="I986:K987"/>
    <mergeCell ref="M986:M987"/>
    <mergeCell ref="V984:X985"/>
    <mergeCell ref="Y984:Y985"/>
    <mergeCell ref="G985:H985"/>
    <mergeCell ref="A986:A987"/>
    <mergeCell ref="B986:B987"/>
    <mergeCell ref="C986:C987"/>
    <mergeCell ref="D986:D987"/>
    <mergeCell ref="E986:E987"/>
    <mergeCell ref="Q984:Q985"/>
    <mergeCell ref="R984:R985"/>
    <mergeCell ref="S984:S985"/>
    <mergeCell ref="T984:T985"/>
    <mergeCell ref="G984:H984"/>
    <mergeCell ref="I984:K985"/>
    <mergeCell ref="M984:M985"/>
    <mergeCell ref="O984:O985"/>
    <mergeCell ref="A984:A985"/>
    <mergeCell ref="B984:B985"/>
    <mergeCell ref="C984:C985"/>
    <mergeCell ref="D984:D985"/>
    <mergeCell ref="E984:E985"/>
    <mergeCell ref="F984:F985"/>
    <mergeCell ref="T982:T983"/>
    <mergeCell ref="V982:X983"/>
    <mergeCell ref="Y982:Y983"/>
    <mergeCell ref="G983:H983"/>
    <mergeCell ref="O982:O983"/>
    <mergeCell ref="Q982:Q983"/>
    <mergeCell ref="R982:R983"/>
    <mergeCell ref="S982:S983"/>
    <mergeCell ref="F982:F983"/>
    <mergeCell ref="G982:H982"/>
    <mergeCell ref="I982:K983"/>
    <mergeCell ref="M982:M983"/>
    <mergeCell ref="V980:X981"/>
    <mergeCell ref="Y980:Y981"/>
    <mergeCell ref="G981:H981"/>
    <mergeCell ref="A982:A983"/>
    <mergeCell ref="B982:B983"/>
    <mergeCell ref="C982:C983"/>
    <mergeCell ref="D982:D983"/>
    <mergeCell ref="E982:E983"/>
    <mergeCell ref="Q980:Q981"/>
    <mergeCell ref="R980:R981"/>
    <mergeCell ref="S980:S981"/>
    <mergeCell ref="T980:T981"/>
    <mergeCell ref="G980:H980"/>
    <mergeCell ref="I980:K981"/>
    <mergeCell ref="M980:M981"/>
    <mergeCell ref="O980:O981"/>
    <mergeCell ref="A980:A981"/>
    <mergeCell ref="B980:B981"/>
    <mergeCell ref="C980:C981"/>
    <mergeCell ref="D980:D981"/>
    <mergeCell ref="E980:E981"/>
    <mergeCell ref="F980:F981"/>
    <mergeCell ref="T978:T979"/>
    <mergeCell ref="V978:X979"/>
    <mergeCell ref="Y978:Y979"/>
    <mergeCell ref="G979:H979"/>
    <mergeCell ref="O978:O979"/>
    <mergeCell ref="Q978:Q979"/>
    <mergeCell ref="R978:R979"/>
    <mergeCell ref="S978:S979"/>
    <mergeCell ref="F978:F979"/>
    <mergeCell ref="G978:H978"/>
    <mergeCell ref="I978:K979"/>
    <mergeCell ref="M978:M979"/>
    <mergeCell ref="V976:X977"/>
    <mergeCell ref="Y976:Y977"/>
    <mergeCell ref="G977:H977"/>
    <mergeCell ref="A978:A979"/>
    <mergeCell ref="B978:B979"/>
    <mergeCell ref="C978:C979"/>
    <mergeCell ref="D978:D979"/>
    <mergeCell ref="E978:E979"/>
    <mergeCell ref="Q976:Q977"/>
    <mergeCell ref="R976:R977"/>
    <mergeCell ref="S976:S977"/>
    <mergeCell ref="T976:T977"/>
    <mergeCell ref="G976:H976"/>
    <mergeCell ref="I976:K977"/>
    <mergeCell ref="M976:M977"/>
    <mergeCell ref="O976:O977"/>
    <mergeCell ref="A976:A977"/>
    <mergeCell ref="B976:B977"/>
    <mergeCell ref="C976:C977"/>
    <mergeCell ref="D976:D977"/>
    <mergeCell ref="E976:E977"/>
    <mergeCell ref="F976:F977"/>
    <mergeCell ref="T974:T975"/>
    <mergeCell ref="V974:X975"/>
    <mergeCell ref="Y974:Y975"/>
    <mergeCell ref="G975:H975"/>
    <mergeCell ref="O974:O975"/>
    <mergeCell ref="Q974:Q975"/>
    <mergeCell ref="R974:R975"/>
    <mergeCell ref="S974:S975"/>
    <mergeCell ref="F974:F975"/>
    <mergeCell ref="G974:H974"/>
    <mergeCell ref="I974:K975"/>
    <mergeCell ref="M974:M975"/>
    <mergeCell ref="V972:X973"/>
    <mergeCell ref="Y972:Y973"/>
    <mergeCell ref="G973:H973"/>
    <mergeCell ref="A974:A975"/>
    <mergeCell ref="B974:B975"/>
    <mergeCell ref="C974:C975"/>
    <mergeCell ref="D974:D975"/>
    <mergeCell ref="E974:E975"/>
    <mergeCell ref="Q972:Q973"/>
    <mergeCell ref="R972:R973"/>
    <mergeCell ref="S972:S973"/>
    <mergeCell ref="T972:T973"/>
    <mergeCell ref="G972:H972"/>
    <mergeCell ref="I972:K973"/>
    <mergeCell ref="M972:M973"/>
    <mergeCell ref="O972:O973"/>
    <mergeCell ref="A972:A973"/>
    <mergeCell ref="B972:B973"/>
    <mergeCell ref="C972:C973"/>
    <mergeCell ref="D972:D973"/>
    <mergeCell ref="E972:E973"/>
    <mergeCell ref="F972:F973"/>
    <mergeCell ref="T970:T971"/>
    <mergeCell ref="V970:X971"/>
    <mergeCell ref="Y970:Y971"/>
    <mergeCell ref="G971:H971"/>
    <mergeCell ref="O970:O971"/>
    <mergeCell ref="Q970:Q971"/>
    <mergeCell ref="R970:R971"/>
    <mergeCell ref="S970:S971"/>
    <mergeCell ref="F970:F971"/>
    <mergeCell ref="G970:H970"/>
    <mergeCell ref="I970:K971"/>
    <mergeCell ref="M970:M971"/>
    <mergeCell ref="V968:X969"/>
    <mergeCell ref="Y968:Y969"/>
    <mergeCell ref="G969:H969"/>
    <mergeCell ref="A970:A971"/>
    <mergeCell ref="B970:B971"/>
    <mergeCell ref="C970:C971"/>
    <mergeCell ref="D970:D971"/>
    <mergeCell ref="E970:E971"/>
    <mergeCell ref="Q968:Q969"/>
    <mergeCell ref="R968:R969"/>
    <mergeCell ref="S968:S969"/>
    <mergeCell ref="T968:T969"/>
    <mergeCell ref="G968:H968"/>
    <mergeCell ref="I968:K969"/>
    <mergeCell ref="M968:M969"/>
    <mergeCell ref="O968:O969"/>
    <mergeCell ref="A968:A969"/>
    <mergeCell ref="B968:B969"/>
    <mergeCell ref="C968:C969"/>
    <mergeCell ref="D968:D969"/>
    <mergeCell ref="E968:E969"/>
    <mergeCell ref="F968:F969"/>
    <mergeCell ref="T966:T967"/>
    <mergeCell ref="V966:X967"/>
    <mergeCell ref="Y966:Y967"/>
    <mergeCell ref="G967:H967"/>
    <mergeCell ref="O966:O967"/>
    <mergeCell ref="Q966:Q967"/>
    <mergeCell ref="R966:R967"/>
    <mergeCell ref="S966:S967"/>
    <mergeCell ref="F966:F967"/>
    <mergeCell ref="G966:H966"/>
    <mergeCell ref="I966:K967"/>
    <mergeCell ref="M966:M967"/>
    <mergeCell ref="V964:X965"/>
    <mergeCell ref="Y964:Y965"/>
    <mergeCell ref="G965:H965"/>
    <mergeCell ref="A966:A967"/>
    <mergeCell ref="B966:B967"/>
    <mergeCell ref="C966:C967"/>
    <mergeCell ref="D966:D967"/>
    <mergeCell ref="E966:E967"/>
    <mergeCell ref="Q964:Q965"/>
    <mergeCell ref="R964:R965"/>
    <mergeCell ref="S964:S965"/>
    <mergeCell ref="T964:T965"/>
    <mergeCell ref="G964:H964"/>
    <mergeCell ref="I964:K965"/>
    <mergeCell ref="M964:M965"/>
    <mergeCell ref="O964:O965"/>
    <mergeCell ref="A964:A965"/>
    <mergeCell ref="B964:B965"/>
    <mergeCell ref="C964:C965"/>
    <mergeCell ref="D964:D965"/>
    <mergeCell ref="E964:E965"/>
    <mergeCell ref="F964:F965"/>
    <mergeCell ref="T962:T963"/>
    <mergeCell ref="V962:X963"/>
    <mergeCell ref="Y962:Y963"/>
    <mergeCell ref="G963:H963"/>
    <mergeCell ref="O962:O963"/>
    <mergeCell ref="Q962:Q963"/>
    <mergeCell ref="R962:R963"/>
    <mergeCell ref="S962:S963"/>
    <mergeCell ref="F962:F963"/>
    <mergeCell ref="G962:H962"/>
    <mergeCell ref="I962:K963"/>
    <mergeCell ref="M962:M963"/>
    <mergeCell ref="V960:X961"/>
    <mergeCell ref="Y960:Y961"/>
    <mergeCell ref="G961:H961"/>
    <mergeCell ref="A962:A963"/>
    <mergeCell ref="B962:B963"/>
    <mergeCell ref="C962:C963"/>
    <mergeCell ref="D962:D963"/>
    <mergeCell ref="E962:E963"/>
    <mergeCell ref="Q960:Q961"/>
    <mergeCell ref="R960:R961"/>
    <mergeCell ref="S960:S961"/>
    <mergeCell ref="T960:T961"/>
    <mergeCell ref="G960:H960"/>
    <mergeCell ref="I960:K961"/>
    <mergeCell ref="M960:M961"/>
    <mergeCell ref="O960:O961"/>
    <mergeCell ref="A960:A961"/>
    <mergeCell ref="B960:B961"/>
    <mergeCell ref="C960:C961"/>
    <mergeCell ref="D960:D961"/>
    <mergeCell ref="E960:E961"/>
    <mergeCell ref="F960:F961"/>
    <mergeCell ref="T958:T959"/>
    <mergeCell ref="V958:X959"/>
    <mergeCell ref="Y958:Y959"/>
    <mergeCell ref="G959:H959"/>
    <mergeCell ref="O958:O959"/>
    <mergeCell ref="Q958:Q959"/>
    <mergeCell ref="R958:R959"/>
    <mergeCell ref="S958:S959"/>
    <mergeCell ref="F958:F959"/>
    <mergeCell ref="G958:H958"/>
    <mergeCell ref="I958:K959"/>
    <mergeCell ref="M958:M959"/>
    <mergeCell ref="V956:X957"/>
    <mergeCell ref="Y956:Y957"/>
    <mergeCell ref="G957:H957"/>
    <mergeCell ref="A958:A959"/>
    <mergeCell ref="B958:B959"/>
    <mergeCell ref="C958:C959"/>
    <mergeCell ref="D958:D959"/>
    <mergeCell ref="E958:E959"/>
    <mergeCell ref="Q956:Q957"/>
    <mergeCell ref="R956:R957"/>
    <mergeCell ref="S956:S957"/>
    <mergeCell ref="T956:T957"/>
    <mergeCell ref="G956:H956"/>
    <mergeCell ref="I956:K957"/>
    <mergeCell ref="M956:M957"/>
    <mergeCell ref="O956:O957"/>
    <mergeCell ref="A956:A957"/>
    <mergeCell ref="B956:B957"/>
    <mergeCell ref="C956:C957"/>
    <mergeCell ref="D956:D957"/>
    <mergeCell ref="E956:E957"/>
    <mergeCell ref="F956:F957"/>
    <mergeCell ref="T954:T955"/>
    <mergeCell ref="V954:X955"/>
    <mergeCell ref="Y954:Y955"/>
    <mergeCell ref="G955:H955"/>
    <mergeCell ref="O954:O955"/>
    <mergeCell ref="Q954:Q955"/>
    <mergeCell ref="R954:R955"/>
    <mergeCell ref="S954:S955"/>
    <mergeCell ref="F954:F955"/>
    <mergeCell ref="G954:H954"/>
    <mergeCell ref="I954:K955"/>
    <mergeCell ref="M954:M955"/>
    <mergeCell ref="V952:X953"/>
    <mergeCell ref="Y952:Y953"/>
    <mergeCell ref="G953:H953"/>
    <mergeCell ref="A954:A955"/>
    <mergeCell ref="B954:B955"/>
    <mergeCell ref="C954:C955"/>
    <mergeCell ref="D954:D955"/>
    <mergeCell ref="E954:E955"/>
    <mergeCell ref="Q952:Q953"/>
    <mergeCell ref="R952:R953"/>
    <mergeCell ref="S952:S953"/>
    <mergeCell ref="T952:T953"/>
    <mergeCell ref="G952:H952"/>
    <mergeCell ref="I952:K953"/>
    <mergeCell ref="M952:M953"/>
    <mergeCell ref="O952:O953"/>
    <mergeCell ref="A952:A953"/>
    <mergeCell ref="B952:B953"/>
    <mergeCell ref="C952:C953"/>
    <mergeCell ref="D952:D953"/>
    <mergeCell ref="E952:E953"/>
    <mergeCell ref="F952:F953"/>
    <mergeCell ref="T950:T951"/>
    <mergeCell ref="V950:X951"/>
    <mergeCell ref="Y950:Y951"/>
    <mergeCell ref="G951:H951"/>
    <mergeCell ref="O950:O951"/>
    <mergeCell ref="Q950:Q951"/>
    <mergeCell ref="R950:R951"/>
    <mergeCell ref="S950:S951"/>
    <mergeCell ref="F950:F951"/>
    <mergeCell ref="G950:H950"/>
    <mergeCell ref="I950:K951"/>
    <mergeCell ref="M950:M951"/>
    <mergeCell ref="V948:X949"/>
    <mergeCell ref="Y948:Y949"/>
    <mergeCell ref="G949:H949"/>
    <mergeCell ref="A950:A951"/>
    <mergeCell ref="B950:B951"/>
    <mergeCell ref="C950:C951"/>
    <mergeCell ref="D950:D951"/>
    <mergeCell ref="E950:E951"/>
    <mergeCell ref="Q948:Q949"/>
    <mergeCell ref="R948:R949"/>
    <mergeCell ref="S948:S949"/>
    <mergeCell ref="T948:T949"/>
    <mergeCell ref="G948:H948"/>
    <mergeCell ref="I948:K949"/>
    <mergeCell ref="M948:M949"/>
    <mergeCell ref="O948:O949"/>
    <mergeCell ref="A948:A949"/>
    <mergeCell ref="B948:B949"/>
    <mergeCell ref="C948:C949"/>
    <mergeCell ref="D948:D949"/>
    <mergeCell ref="E948:E949"/>
    <mergeCell ref="F948:F949"/>
    <mergeCell ref="T946:T947"/>
    <mergeCell ref="V946:X947"/>
    <mergeCell ref="Y946:Y947"/>
    <mergeCell ref="G947:H947"/>
    <mergeCell ref="O946:O947"/>
    <mergeCell ref="Q946:Q947"/>
    <mergeCell ref="R946:R947"/>
    <mergeCell ref="S946:S947"/>
    <mergeCell ref="F946:F947"/>
    <mergeCell ref="G946:H946"/>
    <mergeCell ref="I946:K947"/>
    <mergeCell ref="M946:M947"/>
    <mergeCell ref="V944:X945"/>
    <mergeCell ref="Y944:Y945"/>
    <mergeCell ref="G945:H945"/>
    <mergeCell ref="A946:A947"/>
    <mergeCell ref="B946:B947"/>
    <mergeCell ref="C946:C947"/>
    <mergeCell ref="D946:D947"/>
    <mergeCell ref="E946:E947"/>
    <mergeCell ref="Q944:Q945"/>
    <mergeCell ref="R944:R945"/>
    <mergeCell ref="S944:S945"/>
    <mergeCell ref="T944:T945"/>
    <mergeCell ref="G944:H944"/>
    <mergeCell ref="I944:K945"/>
    <mergeCell ref="M944:M945"/>
    <mergeCell ref="O944:O945"/>
    <mergeCell ref="A944:A945"/>
    <mergeCell ref="B944:B945"/>
    <mergeCell ref="C944:C945"/>
    <mergeCell ref="D944:D945"/>
    <mergeCell ref="E944:E945"/>
    <mergeCell ref="F944:F945"/>
    <mergeCell ref="T942:T943"/>
    <mergeCell ref="V942:X943"/>
    <mergeCell ref="Y942:Y943"/>
    <mergeCell ref="G943:H943"/>
    <mergeCell ref="O942:O943"/>
    <mergeCell ref="Q942:Q943"/>
    <mergeCell ref="R942:R943"/>
    <mergeCell ref="S942:S943"/>
    <mergeCell ref="F942:F943"/>
    <mergeCell ref="G942:H942"/>
    <mergeCell ref="I942:K943"/>
    <mergeCell ref="M942:M943"/>
    <mergeCell ref="V940:X941"/>
    <mergeCell ref="Y940:Y941"/>
    <mergeCell ref="G941:H941"/>
    <mergeCell ref="A942:A943"/>
    <mergeCell ref="B942:B943"/>
    <mergeCell ref="C942:C943"/>
    <mergeCell ref="D942:D943"/>
    <mergeCell ref="E942:E943"/>
    <mergeCell ref="Q940:Q941"/>
    <mergeCell ref="R940:R941"/>
    <mergeCell ref="S940:S941"/>
    <mergeCell ref="T940:T941"/>
    <mergeCell ref="G940:H940"/>
    <mergeCell ref="I940:K941"/>
    <mergeCell ref="M940:M941"/>
    <mergeCell ref="O940:O941"/>
    <mergeCell ref="A940:A941"/>
    <mergeCell ref="B940:B941"/>
    <mergeCell ref="C940:C941"/>
    <mergeCell ref="D940:D941"/>
    <mergeCell ref="E940:E941"/>
    <mergeCell ref="F940:F941"/>
    <mergeCell ref="T938:T939"/>
    <mergeCell ref="V938:X939"/>
    <mergeCell ref="Y938:Y939"/>
    <mergeCell ref="G939:H939"/>
    <mergeCell ref="O938:O939"/>
    <mergeCell ref="Q938:Q939"/>
    <mergeCell ref="R938:R939"/>
    <mergeCell ref="S938:S939"/>
    <mergeCell ref="F938:F939"/>
    <mergeCell ref="G938:H938"/>
    <mergeCell ref="I938:K939"/>
    <mergeCell ref="M938:M939"/>
    <mergeCell ref="V936:X937"/>
    <mergeCell ref="Y936:Y937"/>
    <mergeCell ref="G937:H937"/>
    <mergeCell ref="A938:A939"/>
    <mergeCell ref="B938:B939"/>
    <mergeCell ref="C938:C939"/>
    <mergeCell ref="D938:D939"/>
    <mergeCell ref="E938:E939"/>
    <mergeCell ref="Q936:Q937"/>
    <mergeCell ref="R936:R937"/>
    <mergeCell ref="S936:S937"/>
    <mergeCell ref="T936:T937"/>
    <mergeCell ref="G936:H936"/>
    <mergeCell ref="I936:K937"/>
    <mergeCell ref="M936:M937"/>
    <mergeCell ref="O936:O937"/>
    <mergeCell ref="A936:A937"/>
    <mergeCell ref="B936:B937"/>
    <mergeCell ref="C936:C937"/>
    <mergeCell ref="D936:D937"/>
    <mergeCell ref="E936:E937"/>
    <mergeCell ref="F936:F937"/>
    <mergeCell ref="T934:T935"/>
    <mergeCell ref="V934:X935"/>
    <mergeCell ref="Y934:Y935"/>
    <mergeCell ref="G935:H935"/>
    <mergeCell ref="O934:O935"/>
    <mergeCell ref="Q934:Q935"/>
    <mergeCell ref="R934:R935"/>
    <mergeCell ref="S934:S935"/>
    <mergeCell ref="F934:F935"/>
    <mergeCell ref="G934:H934"/>
    <mergeCell ref="I934:K935"/>
    <mergeCell ref="M934:M935"/>
    <mergeCell ref="V932:X933"/>
    <mergeCell ref="Y932:Y933"/>
    <mergeCell ref="G933:H933"/>
    <mergeCell ref="A934:A935"/>
    <mergeCell ref="B934:B935"/>
    <mergeCell ref="C934:C935"/>
    <mergeCell ref="D934:D935"/>
    <mergeCell ref="E934:E935"/>
    <mergeCell ref="Q932:Q933"/>
    <mergeCell ref="R932:R933"/>
    <mergeCell ref="S932:S933"/>
    <mergeCell ref="T932:T933"/>
    <mergeCell ref="G932:H932"/>
    <mergeCell ref="I932:K933"/>
    <mergeCell ref="M932:M933"/>
    <mergeCell ref="O932:O933"/>
    <mergeCell ref="A932:A933"/>
    <mergeCell ref="B932:B933"/>
    <mergeCell ref="C932:C933"/>
    <mergeCell ref="D932:D933"/>
    <mergeCell ref="E932:E933"/>
    <mergeCell ref="F932:F933"/>
    <mergeCell ref="T930:T931"/>
    <mergeCell ref="V930:X931"/>
    <mergeCell ref="Y930:Y931"/>
    <mergeCell ref="G931:H931"/>
    <mergeCell ref="O930:O931"/>
    <mergeCell ref="Q930:Q931"/>
    <mergeCell ref="R930:R931"/>
    <mergeCell ref="S930:S931"/>
    <mergeCell ref="F930:F931"/>
    <mergeCell ref="G930:H930"/>
    <mergeCell ref="I930:K931"/>
    <mergeCell ref="M930:M931"/>
    <mergeCell ref="V928:X929"/>
    <mergeCell ref="Y928:Y929"/>
    <mergeCell ref="G929:H929"/>
    <mergeCell ref="A930:A931"/>
    <mergeCell ref="B930:B931"/>
    <mergeCell ref="C930:C931"/>
    <mergeCell ref="D930:D931"/>
    <mergeCell ref="E930:E931"/>
    <mergeCell ref="Q928:Q929"/>
    <mergeCell ref="R928:R929"/>
    <mergeCell ref="S928:S929"/>
    <mergeCell ref="T928:T929"/>
    <mergeCell ref="G928:H928"/>
    <mergeCell ref="I928:K929"/>
    <mergeCell ref="M928:M929"/>
    <mergeCell ref="O928:O929"/>
    <mergeCell ref="A928:A929"/>
    <mergeCell ref="B928:B929"/>
    <mergeCell ref="C928:C929"/>
    <mergeCell ref="D928:D929"/>
    <mergeCell ref="E928:E929"/>
    <mergeCell ref="F928:F929"/>
    <mergeCell ref="T926:T927"/>
    <mergeCell ref="V926:X927"/>
    <mergeCell ref="Y926:Y927"/>
    <mergeCell ref="G927:H927"/>
    <mergeCell ref="O926:O927"/>
    <mergeCell ref="Q926:Q927"/>
    <mergeCell ref="R926:R927"/>
    <mergeCell ref="S926:S927"/>
    <mergeCell ref="F926:F927"/>
    <mergeCell ref="G926:H926"/>
    <mergeCell ref="I926:K927"/>
    <mergeCell ref="M926:M927"/>
    <mergeCell ref="V924:X925"/>
    <mergeCell ref="Y924:Y925"/>
    <mergeCell ref="G925:H925"/>
    <mergeCell ref="A926:A927"/>
    <mergeCell ref="B926:B927"/>
    <mergeCell ref="C926:C927"/>
    <mergeCell ref="D926:D927"/>
    <mergeCell ref="E926:E927"/>
    <mergeCell ref="Q924:Q925"/>
    <mergeCell ref="R924:R925"/>
    <mergeCell ref="S924:S925"/>
    <mergeCell ref="T924:T925"/>
    <mergeCell ref="G924:H924"/>
    <mergeCell ref="I924:K925"/>
    <mergeCell ref="M924:M925"/>
    <mergeCell ref="O924:O925"/>
    <mergeCell ref="A924:A925"/>
    <mergeCell ref="B924:B925"/>
    <mergeCell ref="C924:C925"/>
    <mergeCell ref="D924:D925"/>
    <mergeCell ref="E924:E925"/>
    <mergeCell ref="F924:F925"/>
    <mergeCell ref="T922:T923"/>
    <mergeCell ref="V922:X923"/>
    <mergeCell ref="Y922:Y923"/>
    <mergeCell ref="G923:H923"/>
    <mergeCell ref="O922:O923"/>
    <mergeCell ref="Q922:Q923"/>
    <mergeCell ref="R922:R923"/>
    <mergeCell ref="S922:S923"/>
    <mergeCell ref="F922:F923"/>
    <mergeCell ref="G922:H922"/>
    <mergeCell ref="I922:K923"/>
    <mergeCell ref="M922:M923"/>
    <mergeCell ref="V920:X921"/>
    <mergeCell ref="Y920:Y921"/>
    <mergeCell ref="G921:H921"/>
    <mergeCell ref="A922:A923"/>
    <mergeCell ref="B922:B923"/>
    <mergeCell ref="C922:C923"/>
    <mergeCell ref="D922:D923"/>
    <mergeCell ref="E922:E923"/>
    <mergeCell ref="Q920:Q921"/>
    <mergeCell ref="R920:R921"/>
    <mergeCell ref="S920:S921"/>
    <mergeCell ref="T920:T921"/>
    <mergeCell ref="G920:H920"/>
    <mergeCell ref="I920:K921"/>
    <mergeCell ref="M920:M921"/>
    <mergeCell ref="O920:O921"/>
    <mergeCell ref="A920:A921"/>
    <mergeCell ref="B920:B921"/>
    <mergeCell ref="C920:C921"/>
    <mergeCell ref="D920:D921"/>
    <mergeCell ref="E920:E921"/>
    <mergeCell ref="F920:F921"/>
    <mergeCell ref="T918:T919"/>
    <mergeCell ref="V918:X919"/>
    <mergeCell ref="Y918:Y919"/>
    <mergeCell ref="G919:H919"/>
    <mergeCell ref="O918:O919"/>
    <mergeCell ref="Q918:Q919"/>
    <mergeCell ref="R918:R919"/>
    <mergeCell ref="S918:S919"/>
    <mergeCell ref="F918:F919"/>
    <mergeCell ref="G918:H918"/>
    <mergeCell ref="I918:K919"/>
    <mergeCell ref="M918:M919"/>
    <mergeCell ref="V916:X917"/>
    <mergeCell ref="Y916:Y917"/>
    <mergeCell ref="G917:H917"/>
    <mergeCell ref="A918:A919"/>
    <mergeCell ref="B918:B919"/>
    <mergeCell ref="C918:C919"/>
    <mergeCell ref="D918:D919"/>
    <mergeCell ref="E918:E919"/>
    <mergeCell ref="Q916:Q917"/>
    <mergeCell ref="R916:R917"/>
    <mergeCell ref="S916:S917"/>
    <mergeCell ref="T916:T917"/>
    <mergeCell ref="G916:H916"/>
    <mergeCell ref="I916:K917"/>
    <mergeCell ref="M916:M917"/>
    <mergeCell ref="O916:O917"/>
    <mergeCell ref="A916:A917"/>
    <mergeCell ref="B916:B917"/>
    <mergeCell ref="C916:C917"/>
    <mergeCell ref="D916:D917"/>
    <mergeCell ref="E916:E917"/>
    <mergeCell ref="F916:F917"/>
    <mergeCell ref="T914:T915"/>
    <mergeCell ref="V914:X915"/>
    <mergeCell ref="Y914:Y915"/>
    <mergeCell ref="G915:H915"/>
    <mergeCell ref="O914:O915"/>
    <mergeCell ref="Q914:Q915"/>
    <mergeCell ref="R914:R915"/>
    <mergeCell ref="S914:S915"/>
    <mergeCell ref="F914:F915"/>
    <mergeCell ref="G914:H914"/>
    <mergeCell ref="I914:K915"/>
    <mergeCell ref="M914:M915"/>
    <mergeCell ref="V912:X913"/>
    <mergeCell ref="Y912:Y913"/>
    <mergeCell ref="G913:H913"/>
    <mergeCell ref="A914:A915"/>
    <mergeCell ref="B914:B915"/>
    <mergeCell ref="C914:C915"/>
    <mergeCell ref="D914:D915"/>
    <mergeCell ref="E914:E915"/>
    <mergeCell ref="Q912:Q913"/>
    <mergeCell ref="R912:R913"/>
    <mergeCell ref="S912:S913"/>
    <mergeCell ref="T912:T913"/>
    <mergeCell ref="G912:H912"/>
    <mergeCell ref="I912:K913"/>
    <mergeCell ref="M912:M913"/>
    <mergeCell ref="O912:O913"/>
    <mergeCell ref="A912:A913"/>
    <mergeCell ref="B912:B913"/>
    <mergeCell ref="C912:C913"/>
    <mergeCell ref="D912:D913"/>
    <mergeCell ref="E912:E913"/>
    <mergeCell ref="F912:F913"/>
    <mergeCell ref="T910:T911"/>
    <mergeCell ref="V910:X911"/>
    <mergeCell ref="Y910:Y911"/>
    <mergeCell ref="G911:H911"/>
    <mergeCell ref="O910:O911"/>
    <mergeCell ref="Q910:Q911"/>
    <mergeCell ref="R910:R911"/>
    <mergeCell ref="S910:S911"/>
    <mergeCell ref="F910:F911"/>
    <mergeCell ref="G910:H910"/>
    <mergeCell ref="I910:K911"/>
    <mergeCell ref="M910:M911"/>
    <mergeCell ref="V908:X909"/>
    <mergeCell ref="Y908:Y909"/>
    <mergeCell ref="G909:H909"/>
    <mergeCell ref="A910:A911"/>
    <mergeCell ref="B910:B911"/>
    <mergeCell ref="C910:C911"/>
    <mergeCell ref="D910:D911"/>
    <mergeCell ref="E910:E911"/>
    <mergeCell ref="Q908:Q909"/>
    <mergeCell ref="R908:R909"/>
    <mergeCell ref="S908:S909"/>
    <mergeCell ref="T908:T909"/>
    <mergeCell ref="G908:H908"/>
    <mergeCell ref="I908:K909"/>
    <mergeCell ref="M908:M909"/>
    <mergeCell ref="O908:O909"/>
    <mergeCell ref="A908:A909"/>
    <mergeCell ref="B908:B909"/>
    <mergeCell ref="C908:C909"/>
    <mergeCell ref="D908:D909"/>
    <mergeCell ref="E908:E909"/>
    <mergeCell ref="F908:F909"/>
    <mergeCell ref="T906:T907"/>
    <mergeCell ref="V906:X907"/>
    <mergeCell ref="Y906:Y907"/>
    <mergeCell ref="G907:H907"/>
    <mergeCell ref="O906:O907"/>
    <mergeCell ref="Q906:Q907"/>
    <mergeCell ref="R906:R907"/>
    <mergeCell ref="S906:S907"/>
    <mergeCell ref="F906:F907"/>
    <mergeCell ref="G906:H906"/>
    <mergeCell ref="I906:K907"/>
    <mergeCell ref="M906:M907"/>
    <mergeCell ref="V904:X905"/>
    <mergeCell ref="Y904:Y905"/>
    <mergeCell ref="G905:H905"/>
    <mergeCell ref="A906:A907"/>
    <mergeCell ref="B906:B907"/>
    <mergeCell ref="C906:C907"/>
    <mergeCell ref="D906:D907"/>
    <mergeCell ref="E906:E907"/>
    <mergeCell ref="Q904:Q905"/>
    <mergeCell ref="R904:R905"/>
    <mergeCell ref="S904:S905"/>
    <mergeCell ref="T904:T905"/>
    <mergeCell ref="G904:H904"/>
    <mergeCell ref="I904:K905"/>
    <mergeCell ref="M904:M905"/>
    <mergeCell ref="O904:O905"/>
    <mergeCell ref="A904:A905"/>
    <mergeCell ref="B904:B905"/>
    <mergeCell ref="C904:C905"/>
    <mergeCell ref="D904:D905"/>
    <mergeCell ref="E904:E905"/>
    <mergeCell ref="F904:F905"/>
    <mergeCell ref="T902:T903"/>
    <mergeCell ref="V902:X903"/>
    <mergeCell ref="Y902:Y903"/>
    <mergeCell ref="G903:H903"/>
    <mergeCell ref="O902:O903"/>
    <mergeCell ref="Q902:Q903"/>
    <mergeCell ref="R902:R903"/>
    <mergeCell ref="S902:S903"/>
    <mergeCell ref="F902:F903"/>
    <mergeCell ref="G902:H902"/>
    <mergeCell ref="I902:K903"/>
    <mergeCell ref="M902:M903"/>
    <mergeCell ref="V900:X901"/>
    <mergeCell ref="Y900:Y901"/>
    <mergeCell ref="G901:H901"/>
    <mergeCell ref="A902:A903"/>
    <mergeCell ref="B902:B903"/>
    <mergeCell ref="C902:C903"/>
    <mergeCell ref="D902:D903"/>
    <mergeCell ref="E902:E903"/>
    <mergeCell ref="Q900:Q901"/>
    <mergeCell ref="R900:R901"/>
    <mergeCell ref="S900:S901"/>
    <mergeCell ref="T900:T901"/>
    <mergeCell ref="G900:H900"/>
    <mergeCell ref="I900:K901"/>
    <mergeCell ref="M900:M901"/>
    <mergeCell ref="O900:O901"/>
    <mergeCell ref="A900:A901"/>
    <mergeCell ref="B900:B901"/>
    <mergeCell ref="C900:C901"/>
    <mergeCell ref="D900:D901"/>
    <mergeCell ref="E900:E901"/>
    <mergeCell ref="F900:F901"/>
    <mergeCell ref="T898:T899"/>
    <mergeCell ref="V898:X899"/>
    <mergeCell ref="Y898:Y899"/>
    <mergeCell ref="G899:H899"/>
    <mergeCell ref="O898:O899"/>
    <mergeCell ref="Q898:Q899"/>
    <mergeCell ref="R898:R899"/>
    <mergeCell ref="S898:S899"/>
    <mergeCell ref="F898:F899"/>
    <mergeCell ref="G898:H898"/>
    <mergeCell ref="I898:K899"/>
    <mergeCell ref="M898:M899"/>
    <mergeCell ref="V896:X897"/>
    <mergeCell ref="Y896:Y897"/>
    <mergeCell ref="G897:H897"/>
    <mergeCell ref="A898:A899"/>
    <mergeCell ref="B898:B899"/>
    <mergeCell ref="C898:C899"/>
    <mergeCell ref="D898:D899"/>
    <mergeCell ref="E898:E899"/>
    <mergeCell ref="Q896:Q897"/>
    <mergeCell ref="R896:R897"/>
    <mergeCell ref="S896:S897"/>
    <mergeCell ref="T896:T897"/>
    <mergeCell ref="G896:H896"/>
    <mergeCell ref="I896:K897"/>
    <mergeCell ref="M896:M897"/>
    <mergeCell ref="O896:O897"/>
    <mergeCell ref="A896:A897"/>
    <mergeCell ref="B896:B897"/>
    <mergeCell ref="C896:C897"/>
    <mergeCell ref="D896:D897"/>
    <mergeCell ref="E896:E897"/>
    <mergeCell ref="F896:F897"/>
    <mergeCell ref="T894:T895"/>
    <mergeCell ref="V894:X895"/>
    <mergeCell ref="Y894:Y895"/>
    <mergeCell ref="G895:H895"/>
    <mergeCell ref="O894:O895"/>
    <mergeCell ref="Q894:Q895"/>
    <mergeCell ref="R894:R895"/>
    <mergeCell ref="S894:S895"/>
    <mergeCell ref="F894:F895"/>
    <mergeCell ref="G894:H894"/>
    <mergeCell ref="I894:K895"/>
    <mergeCell ref="M894:M895"/>
    <mergeCell ref="V892:X893"/>
    <mergeCell ref="Y892:Y893"/>
    <mergeCell ref="G893:H893"/>
    <mergeCell ref="A894:A895"/>
    <mergeCell ref="B894:B895"/>
    <mergeCell ref="C894:C895"/>
    <mergeCell ref="D894:D895"/>
    <mergeCell ref="E894:E895"/>
    <mergeCell ref="Q892:Q893"/>
    <mergeCell ref="R892:R893"/>
    <mergeCell ref="S892:S893"/>
    <mergeCell ref="T892:T893"/>
    <mergeCell ref="G892:H892"/>
    <mergeCell ref="I892:K893"/>
    <mergeCell ref="M892:M893"/>
    <mergeCell ref="O892:O893"/>
    <mergeCell ref="A892:A893"/>
    <mergeCell ref="B892:B893"/>
    <mergeCell ref="C892:C893"/>
    <mergeCell ref="D892:D893"/>
    <mergeCell ref="E892:E893"/>
    <mergeCell ref="F892:F893"/>
    <mergeCell ref="T890:T891"/>
    <mergeCell ref="V890:X891"/>
    <mergeCell ref="Y890:Y891"/>
    <mergeCell ref="G891:H891"/>
    <mergeCell ref="O890:O891"/>
    <mergeCell ref="Q890:Q891"/>
    <mergeCell ref="R890:R891"/>
    <mergeCell ref="S890:S891"/>
    <mergeCell ref="F890:F891"/>
    <mergeCell ref="G890:H890"/>
    <mergeCell ref="I890:K891"/>
    <mergeCell ref="M890:M891"/>
    <mergeCell ref="V888:X889"/>
    <mergeCell ref="Y888:Y889"/>
    <mergeCell ref="G889:H889"/>
    <mergeCell ref="A890:A891"/>
    <mergeCell ref="B890:B891"/>
    <mergeCell ref="C890:C891"/>
    <mergeCell ref="D890:D891"/>
    <mergeCell ref="E890:E891"/>
    <mergeCell ref="Q888:Q889"/>
    <mergeCell ref="R888:R889"/>
    <mergeCell ref="S888:S889"/>
    <mergeCell ref="T888:T889"/>
    <mergeCell ref="G888:H888"/>
    <mergeCell ref="I888:K889"/>
    <mergeCell ref="M888:M889"/>
    <mergeCell ref="O888:O889"/>
    <mergeCell ref="A888:A889"/>
    <mergeCell ref="B888:B889"/>
    <mergeCell ref="C888:C889"/>
    <mergeCell ref="D888:D889"/>
    <mergeCell ref="E888:E889"/>
    <mergeCell ref="F888:F889"/>
    <mergeCell ref="T886:T887"/>
    <mergeCell ref="V886:X887"/>
    <mergeCell ref="Y886:Y887"/>
    <mergeCell ref="G887:H887"/>
    <mergeCell ref="O886:O887"/>
    <mergeCell ref="Q886:Q887"/>
    <mergeCell ref="R886:R887"/>
    <mergeCell ref="S886:S887"/>
    <mergeCell ref="F886:F887"/>
    <mergeCell ref="G886:H886"/>
    <mergeCell ref="I886:K887"/>
    <mergeCell ref="M886:M887"/>
    <mergeCell ref="V884:X885"/>
    <mergeCell ref="Y884:Y885"/>
    <mergeCell ref="G885:H885"/>
    <mergeCell ref="A886:A887"/>
    <mergeCell ref="B886:B887"/>
    <mergeCell ref="C886:C887"/>
    <mergeCell ref="D886:D887"/>
    <mergeCell ref="E886:E887"/>
    <mergeCell ref="Q884:Q885"/>
    <mergeCell ref="R884:R885"/>
    <mergeCell ref="S884:S885"/>
    <mergeCell ref="T884:T885"/>
    <mergeCell ref="G884:H884"/>
    <mergeCell ref="I884:K885"/>
    <mergeCell ref="M884:M885"/>
    <mergeCell ref="O884:O885"/>
    <mergeCell ref="A884:A885"/>
    <mergeCell ref="B884:B885"/>
    <mergeCell ref="C884:C885"/>
    <mergeCell ref="D884:D885"/>
    <mergeCell ref="E884:E885"/>
    <mergeCell ref="F884:F885"/>
    <mergeCell ref="T882:T883"/>
    <mergeCell ref="V882:X883"/>
    <mergeCell ref="Y882:Y883"/>
    <mergeCell ref="G883:H883"/>
    <mergeCell ref="O882:O883"/>
    <mergeCell ref="Q882:Q883"/>
    <mergeCell ref="R882:R883"/>
    <mergeCell ref="S882:S883"/>
    <mergeCell ref="F882:F883"/>
    <mergeCell ref="G882:H882"/>
    <mergeCell ref="I882:K883"/>
    <mergeCell ref="M882:M883"/>
    <mergeCell ref="V880:X881"/>
    <mergeCell ref="Y880:Y881"/>
    <mergeCell ref="G881:H881"/>
    <mergeCell ref="A882:A883"/>
    <mergeCell ref="B882:B883"/>
    <mergeCell ref="C882:C883"/>
    <mergeCell ref="D882:D883"/>
    <mergeCell ref="E882:E883"/>
    <mergeCell ref="Q880:Q881"/>
    <mergeCell ref="R880:R881"/>
    <mergeCell ref="S880:S881"/>
    <mergeCell ref="T880:T881"/>
    <mergeCell ref="G880:H880"/>
    <mergeCell ref="I880:K881"/>
    <mergeCell ref="M880:M881"/>
    <mergeCell ref="O880:O881"/>
    <mergeCell ref="A880:A881"/>
    <mergeCell ref="B880:B881"/>
    <mergeCell ref="C880:C881"/>
    <mergeCell ref="D880:D881"/>
    <mergeCell ref="E880:E881"/>
    <mergeCell ref="F880:F881"/>
    <mergeCell ref="T878:T879"/>
    <mergeCell ref="V878:X879"/>
    <mergeCell ref="Y878:Y879"/>
    <mergeCell ref="G879:H879"/>
    <mergeCell ref="O878:O879"/>
    <mergeCell ref="Q878:Q879"/>
    <mergeCell ref="R878:R879"/>
    <mergeCell ref="S878:S879"/>
    <mergeCell ref="F878:F879"/>
    <mergeCell ref="G878:H878"/>
    <mergeCell ref="I878:K879"/>
    <mergeCell ref="M878:M879"/>
    <mergeCell ref="V876:X877"/>
    <mergeCell ref="Y876:Y877"/>
    <mergeCell ref="G877:H877"/>
    <mergeCell ref="A878:A879"/>
    <mergeCell ref="B878:B879"/>
    <mergeCell ref="C878:C879"/>
    <mergeCell ref="D878:D879"/>
    <mergeCell ref="E878:E879"/>
    <mergeCell ref="Q876:Q877"/>
    <mergeCell ref="R876:R877"/>
    <mergeCell ref="S876:S877"/>
    <mergeCell ref="T876:T877"/>
    <mergeCell ref="G876:H876"/>
    <mergeCell ref="I876:K877"/>
    <mergeCell ref="M876:M877"/>
    <mergeCell ref="O876:O877"/>
    <mergeCell ref="A876:A877"/>
    <mergeCell ref="B876:B877"/>
    <mergeCell ref="C876:C877"/>
    <mergeCell ref="D876:D877"/>
    <mergeCell ref="E876:E877"/>
    <mergeCell ref="F876:F877"/>
    <mergeCell ref="T874:T875"/>
    <mergeCell ref="V874:X875"/>
    <mergeCell ref="Y874:Y875"/>
    <mergeCell ref="G875:H875"/>
    <mergeCell ref="O874:O875"/>
    <mergeCell ref="Q874:Q875"/>
    <mergeCell ref="R874:R875"/>
    <mergeCell ref="S874:S875"/>
    <mergeCell ref="F874:F875"/>
    <mergeCell ref="G874:H874"/>
    <mergeCell ref="I874:K875"/>
    <mergeCell ref="M874:M875"/>
    <mergeCell ref="V872:X873"/>
    <mergeCell ref="Y872:Y873"/>
    <mergeCell ref="G873:H873"/>
    <mergeCell ref="A874:A875"/>
    <mergeCell ref="B874:B875"/>
    <mergeCell ref="C874:C875"/>
    <mergeCell ref="D874:D875"/>
    <mergeCell ref="E874:E875"/>
    <mergeCell ref="Q872:Q873"/>
    <mergeCell ref="R872:R873"/>
    <mergeCell ref="S872:S873"/>
    <mergeCell ref="T872:T873"/>
    <mergeCell ref="G872:H872"/>
    <mergeCell ref="I872:K873"/>
    <mergeCell ref="M872:M873"/>
    <mergeCell ref="O872:O873"/>
    <mergeCell ref="A872:A873"/>
    <mergeCell ref="B872:B873"/>
    <mergeCell ref="C872:C873"/>
    <mergeCell ref="D872:D873"/>
    <mergeCell ref="E872:E873"/>
    <mergeCell ref="F872:F873"/>
    <mergeCell ref="T870:T871"/>
    <mergeCell ref="V870:X871"/>
    <mergeCell ref="Y870:Y871"/>
    <mergeCell ref="G871:H871"/>
    <mergeCell ref="O870:O871"/>
    <mergeCell ref="Q870:Q871"/>
    <mergeCell ref="R870:R871"/>
    <mergeCell ref="S870:S871"/>
    <mergeCell ref="F870:F871"/>
    <mergeCell ref="G870:H870"/>
    <mergeCell ref="I870:K871"/>
    <mergeCell ref="M870:M871"/>
    <mergeCell ref="V868:X869"/>
    <mergeCell ref="Y868:Y869"/>
    <mergeCell ref="G869:H869"/>
    <mergeCell ref="A870:A871"/>
    <mergeCell ref="B870:B871"/>
    <mergeCell ref="C870:C871"/>
    <mergeCell ref="D870:D871"/>
    <mergeCell ref="E870:E871"/>
    <mergeCell ref="Q868:Q869"/>
    <mergeCell ref="R868:R869"/>
    <mergeCell ref="S868:S869"/>
    <mergeCell ref="T868:T869"/>
    <mergeCell ref="G868:H868"/>
    <mergeCell ref="I868:K869"/>
    <mergeCell ref="M868:M869"/>
    <mergeCell ref="O868:O869"/>
    <mergeCell ref="A868:A869"/>
    <mergeCell ref="B868:B869"/>
    <mergeCell ref="C868:C869"/>
    <mergeCell ref="D868:D869"/>
    <mergeCell ref="E868:E869"/>
    <mergeCell ref="F868:F869"/>
    <mergeCell ref="T866:T867"/>
    <mergeCell ref="V866:X867"/>
    <mergeCell ref="Y866:Y867"/>
    <mergeCell ref="G867:H867"/>
    <mergeCell ref="O866:O867"/>
    <mergeCell ref="Q866:Q867"/>
    <mergeCell ref="R866:R867"/>
    <mergeCell ref="S866:S867"/>
    <mergeCell ref="F866:F867"/>
    <mergeCell ref="G866:H866"/>
    <mergeCell ref="I866:K867"/>
    <mergeCell ref="M866:M867"/>
    <mergeCell ref="V864:X865"/>
    <mergeCell ref="Y864:Y865"/>
    <mergeCell ref="G865:H865"/>
    <mergeCell ref="A866:A867"/>
    <mergeCell ref="B866:B867"/>
    <mergeCell ref="C866:C867"/>
    <mergeCell ref="D866:D867"/>
    <mergeCell ref="E866:E867"/>
    <mergeCell ref="Q864:Q865"/>
    <mergeCell ref="R864:R865"/>
    <mergeCell ref="S864:S865"/>
    <mergeCell ref="T864:T865"/>
    <mergeCell ref="G864:H864"/>
    <mergeCell ref="I864:K865"/>
    <mergeCell ref="M864:M865"/>
    <mergeCell ref="O864:O865"/>
    <mergeCell ref="A864:A865"/>
    <mergeCell ref="B864:B865"/>
    <mergeCell ref="C864:C865"/>
    <mergeCell ref="D864:D865"/>
    <mergeCell ref="E864:E865"/>
    <mergeCell ref="F864:F865"/>
    <mergeCell ref="T862:T863"/>
    <mergeCell ref="V862:X863"/>
    <mergeCell ref="Y862:Y863"/>
    <mergeCell ref="G863:H863"/>
    <mergeCell ref="O862:O863"/>
    <mergeCell ref="Q862:Q863"/>
    <mergeCell ref="R862:R863"/>
    <mergeCell ref="S862:S863"/>
    <mergeCell ref="F862:F863"/>
    <mergeCell ref="G862:H862"/>
    <mergeCell ref="I862:K863"/>
    <mergeCell ref="M862:M863"/>
    <mergeCell ref="V860:X861"/>
    <mergeCell ref="Y860:Y861"/>
    <mergeCell ref="G861:H861"/>
    <mergeCell ref="A862:A863"/>
    <mergeCell ref="B862:B863"/>
    <mergeCell ref="C862:C863"/>
    <mergeCell ref="D862:D863"/>
    <mergeCell ref="E862:E863"/>
    <mergeCell ref="Q860:Q861"/>
    <mergeCell ref="R860:R861"/>
    <mergeCell ref="S860:S861"/>
    <mergeCell ref="T860:T861"/>
    <mergeCell ref="G860:H860"/>
    <mergeCell ref="I860:K861"/>
    <mergeCell ref="M860:M861"/>
    <mergeCell ref="O860:O861"/>
    <mergeCell ref="A860:A861"/>
    <mergeCell ref="B860:B861"/>
    <mergeCell ref="C860:C861"/>
    <mergeCell ref="D860:D861"/>
    <mergeCell ref="E860:E861"/>
    <mergeCell ref="F860:F861"/>
    <mergeCell ref="T858:T859"/>
    <mergeCell ref="V858:X859"/>
    <mergeCell ref="Y858:Y859"/>
    <mergeCell ref="G859:H859"/>
    <mergeCell ref="O858:O859"/>
    <mergeCell ref="Q858:Q859"/>
    <mergeCell ref="R858:R859"/>
    <mergeCell ref="S858:S859"/>
    <mergeCell ref="F858:F859"/>
    <mergeCell ref="G858:H858"/>
    <mergeCell ref="I858:K859"/>
    <mergeCell ref="M858:M859"/>
    <mergeCell ref="V856:X857"/>
    <mergeCell ref="Y856:Y857"/>
    <mergeCell ref="G857:H857"/>
    <mergeCell ref="A858:A859"/>
    <mergeCell ref="B858:B859"/>
    <mergeCell ref="C858:C859"/>
    <mergeCell ref="D858:D859"/>
    <mergeCell ref="E858:E859"/>
    <mergeCell ref="Q856:Q857"/>
    <mergeCell ref="R856:R857"/>
    <mergeCell ref="S856:S857"/>
    <mergeCell ref="T856:T857"/>
    <mergeCell ref="G856:H856"/>
    <mergeCell ref="I856:K857"/>
    <mergeCell ref="M856:M857"/>
    <mergeCell ref="O856:O857"/>
    <mergeCell ref="A856:A857"/>
    <mergeCell ref="B856:B857"/>
    <mergeCell ref="C856:C857"/>
    <mergeCell ref="D856:D857"/>
    <mergeCell ref="E856:E857"/>
    <mergeCell ref="F856:F857"/>
    <mergeCell ref="T854:T855"/>
    <mergeCell ref="V854:X855"/>
    <mergeCell ref="Y854:Y855"/>
    <mergeCell ref="G855:H855"/>
    <mergeCell ref="O854:O855"/>
    <mergeCell ref="Q854:Q855"/>
    <mergeCell ref="R854:R855"/>
    <mergeCell ref="S854:S855"/>
    <mergeCell ref="F854:F855"/>
    <mergeCell ref="G854:H854"/>
    <mergeCell ref="I854:K855"/>
    <mergeCell ref="M854:M855"/>
    <mergeCell ref="V852:X853"/>
    <mergeCell ref="Y852:Y853"/>
    <mergeCell ref="G853:H853"/>
    <mergeCell ref="A854:A855"/>
    <mergeCell ref="B854:B855"/>
    <mergeCell ref="C854:C855"/>
    <mergeCell ref="D854:D855"/>
    <mergeCell ref="E854:E855"/>
    <mergeCell ref="Q852:Q853"/>
    <mergeCell ref="R852:R853"/>
    <mergeCell ref="S852:S853"/>
    <mergeCell ref="T852:T853"/>
    <mergeCell ref="G852:H852"/>
    <mergeCell ref="I852:K853"/>
    <mergeCell ref="M852:M853"/>
    <mergeCell ref="O852:O853"/>
    <mergeCell ref="A852:A853"/>
    <mergeCell ref="B852:B853"/>
    <mergeCell ref="C852:C853"/>
    <mergeCell ref="D852:D853"/>
    <mergeCell ref="E852:E853"/>
    <mergeCell ref="F852:F853"/>
    <mergeCell ref="T850:T851"/>
    <mergeCell ref="V850:X851"/>
    <mergeCell ref="Y850:Y851"/>
    <mergeCell ref="G851:H851"/>
    <mergeCell ref="O850:O851"/>
    <mergeCell ref="Q850:Q851"/>
    <mergeCell ref="R850:R851"/>
    <mergeCell ref="S850:S851"/>
    <mergeCell ref="F850:F851"/>
    <mergeCell ref="G850:H850"/>
    <mergeCell ref="I850:K851"/>
    <mergeCell ref="M850:M851"/>
    <mergeCell ref="V848:X849"/>
    <mergeCell ref="Y848:Y849"/>
    <mergeCell ref="G849:H849"/>
    <mergeCell ref="A850:A851"/>
    <mergeCell ref="B850:B851"/>
    <mergeCell ref="C850:C851"/>
    <mergeCell ref="D850:D851"/>
    <mergeCell ref="E850:E851"/>
    <mergeCell ref="Q848:Q849"/>
    <mergeCell ref="R848:R849"/>
    <mergeCell ref="S848:S849"/>
    <mergeCell ref="T848:T849"/>
    <mergeCell ref="G848:H848"/>
    <mergeCell ref="I848:K849"/>
    <mergeCell ref="M848:M849"/>
    <mergeCell ref="O848:O849"/>
    <mergeCell ref="A848:A849"/>
    <mergeCell ref="B848:B849"/>
    <mergeCell ref="C848:C849"/>
    <mergeCell ref="D848:D849"/>
    <mergeCell ref="E848:E849"/>
    <mergeCell ref="F848:F849"/>
    <mergeCell ref="T846:T847"/>
    <mergeCell ref="V846:X847"/>
    <mergeCell ref="Y846:Y847"/>
    <mergeCell ref="G847:H847"/>
    <mergeCell ref="O846:O847"/>
    <mergeCell ref="Q846:Q847"/>
    <mergeCell ref="R846:R847"/>
    <mergeCell ref="S846:S847"/>
    <mergeCell ref="F846:F847"/>
    <mergeCell ref="G846:H846"/>
    <mergeCell ref="I846:K847"/>
    <mergeCell ref="M846:M847"/>
    <mergeCell ref="V844:X845"/>
    <mergeCell ref="Y844:Y845"/>
    <mergeCell ref="G845:H845"/>
    <mergeCell ref="A846:A847"/>
    <mergeCell ref="B846:B847"/>
    <mergeCell ref="C846:C847"/>
    <mergeCell ref="D846:D847"/>
    <mergeCell ref="E846:E847"/>
    <mergeCell ref="Q844:Q845"/>
    <mergeCell ref="R844:R845"/>
    <mergeCell ref="S844:S845"/>
    <mergeCell ref="T844:T845"/>
    <mergeCell ref="G844:H844"/>
    <mergeCell ref="I844:K845"/>
    <mergeCell ref="M844:M845"/>
    <mergeCell ref="O844:O845"/>
    <mergeCell ref="A844:A845"/>
    <mergeCell ref="B844:B845"/>
    <mergeCell ref="C844:C845"/>
    <mergeCell ref="D844:D845"/>
    <mergeCell ref="E844:E845"/>
    <mergeCell ref="F844:F845"/>
    <mergeCell ref="T842:T843"/>
    <mergeCell ref="V842:X843"/>
    <mergeCell ref="Y842:Y843"/>
    <mergeCell ref="G843:H843"/>
    <mergeCell ref="O842:O843"/>
    <mergeCell ref="Q842:Q843"/>
    <mergeCell ref="R842:R843"/>
    <mergeCell ref="S842:S843"/>
    <mergeCell ref="F842:F843"/>
    <mergeCell ref="G842:H842"/>
    <mergeCell ref="I842:K843"/>
    <mergeCell ref="M842:M843"/>
    <mergeCell ref="V840:X841"/>
    <mergeCell ref="Y840:Y841"/>
    <mergeCell ref="G841:H841"/>
    <mergeCell ref="A842:A843"/>
    <mergeCell ref="B842:B843"/>
    <mergeCell ref="C842:C843"/>
    <mergeCell ref="D842:D843"/>
    <mergeCell ref="E842:E843"/>
    <mergeCell ref="Q840:Q841"/>
    <mergeCell ref="R840:R841"/>
    <mergeCell ref="S840:S841"/>
    <mergeCell ref="T840:T841"/>
    <mergeCell ref="G840:H840"/>
    <mergeCell ref="I840:K841"/>
    <mergeCell ref="M840:M841"/>
    <mergeCell ref="O840:O841"/>
    <mergeCell ref="A840:A841"/>
    <mergeCell ref="B840:B841"/>
    <mergeCell ref="C840:C841"/>
    <mergeCell ref="D840:D841"/>
    <mergeCell ref="E840:E841"/>
    <mergeCell ref="F840:F841"/>
    <mergeCell ref="T838:T839"/>
    <mergeCell ref="V838:X839"/>
    <mergeCell ref="Y838:Y839"/>
    <mergeCell ref="G839:H839"/>
    <mergeCell ref="O838:O839"/>
    <mergeCell ref="Q838:Q839"/>
    <mergeCell ref="R838:R839"/>
    <mergeCell ref="S838:S839"/>
    <mergeCell ref="F838:F839"/>
    <mergeCell ref="G838:H838"/>
    <mergeCell ref="I838:K839"/>
    <mergeCell ref="M838:M839"/>
    <mergeCell ref="V836:X837"/>
    <mergeCell ref="Y836:Y837"/>
    <mergeCell ref="G837:H837"/>
    <mergeCell ref="A838:A839"/>
    <mergeCell ref="B838:B839"/>
    <mergeCell ref="C838:C839"/>
    <mergeCell ref="D838:D839"/>
    <mergeCell ref="E838:E839"/>
    <mergeCell ref="Q836:Q837"/>
    <mergeCell ref="R836:R837"/>
    <mergeCell ref="S836:S837"/>
    <mergeCell ref="T836:T837"/>
    <mergeCell ref="G836:H836"/>
    <mergeCell ref="I836:K837"/>
    <mergeCell ref="M836:M837"/>
    <mergeCell ref="O836:O837"/>
    <mergeCell ref="A836:A837"/>
    <mergeCell ref="B836:B837"/>
    <mergeCell ref="C836:C837"/>
    <mergeCell ref="D836:D837"/>
    <mergeCell ref="E836:E837"/>
    <mergeCell ref="F836:F837"/>
    <mergeCell ref="T834:T835"/>
    <mergeCell ref="V834:X835"/>
    <mergeCell ref="Y834:Y835"/>
    <mergeCell ref="G835:H835"/>
    <mergeCell ref="O834:O835"/>
    <mergeCell ref="Q834:Q835"/>
    <mergeCell ref="R834:R835"/>
    <mergeCell ref="S834:S835"/>
    <mergeCell ref="F834:F835"/>
    <mergeCell ref="G834:H834"/>
    <mergeCell ref="I834:K835"/>
    <mergeCell ref="M834:M835"/>
    <mergeCell ref="V832:X833"/>
    <mergeCell ref="Y832:Y833"/>
    <mergeCell ref="G833:H833"/>
    <mergeCell ref="A834:A835"/>
    <mergeCell ref="B834:B835"/>
    <mergeCell ref="C834:C835"/>
    <mergeCell ref="D834:D835"/>
    <mergeCell ref="E834:E835"/>
    <mergeCell ref="Q832:Q833"/>
    <mergeCell ref="R832:R833"/>
    <mergeCell ref="S832:S833"/>
    <mergeCell ref="T832:T833"/>
    <mergeCell ref="G832:H832"/>
    <mergeCell ref="I832:K833"/>
    <mergeCell ref="M832:M833"/>
    <mergeCell ref="O832:O833"/>
    <mergeCell ref="A832:A833"/>
    <mergeCell ref="B832:B833"/>
    <mergeCell ref="C832:C833"/>
    <mergeCell ref="D832:D833"/>
    <mergeCell ref="E832:E833"/>
    <mergeCell ref="F832:F833"/>
    <mergeCell ref="T830:T831"/>
    <mergeCell ref="V830:X831"/>
    <mergeCell ref="Y830:Y831"/>
    <mergeCell ref="G831:H831"/>
    <mergeCell ref="O830:O831"/>
    <mergeCell ref="Q830:Q831"/>
    <mergeCell ref="R830:R831"/>
    <mergeCell ref="S830:S831"/>
    <mergeCell ref="F830:F831"/>
    <mergeCell ref="G830:H830"/>
    <mergeCell ref="I830:K831"/>
    <mergeCell ref="M830:M831"/>
    <mergeCell ref="V828:X829"/>
    <mergeCell ref="Y828:Y829"/>
    <mergeCell ref="G829:H829"/>
    <mergeCell ref="A830:A831"/>
    <mergeCell ref="B830:B831"/>
    <mergeCell ref="C830:C831"/>
    <mergeCell ref="D830:D831"/>
    <mergeCell ref="E830:E831"/>
    <mergeCell ref="Q828:Q829"/>
    <mergeCell ref="R828:R829"/>
    <mergeCell ref="S828:S829"/>
    <mergeCell ref="T828:T829"/>
    <mergeCell ref="G828:H828"/>
    <mergeCell ref="I828:K829"/>
    <mergeCell ref="M828:M829"/>
    <mergeCell ref="O828:O829"/>
    <mergeCell ref="A828:A829"/>
    <mergeCell ref="B828:B829"/>
    <mergeCell ref="C828:C829"/>
    <mergeCell ref="D828:D829"/>
    <mergeCell ref="E828:E829"/>
    <mergeCell ref="F828:F829"/>
    <mergeCell ref="T826:T827"/>
    <mergeCell ref="V826:X827"/>
    <mergeCell ref="Y826:Y827"/>
    <mergeCell ref="G827:H827"/>
    <mergeCell ref="O826:O827"/>
    <mergeCell ref="Q826:Q827"/>
    <mergeCell ref="R826:R827"/>
    <mergeCell ref="S826:S827"/>
    <mergeCell ref="F826:F827"/>
    <mergeCell ref="G826:H826"/>
    <mergeCell ref="I826:K827"/>
    <mergeCell ref="M826:M827"/>
    <mergeCell ref="V824:X825"/>
    <mergeCell ref="Y824:Y825"/>
    <mergeCell ref="G825:H825"/>
    <mergeCell ref="A826:A827"/>
    <mergeCell ref="B826:B827"/>
    <mergeCell ref="C826:C827"/>
    <mergeCell ref="D826:D827"/>
    <mergeCell ref="E826:E827"/>
    <mergeCell ref="Q824:Q825"/>
    <mergeCell ref="R824:R825"/>
    <mergeCell ref="S824:S825"/>
    <mergeCell ref="T824:T825"/>
    <mergeCell ref="G824:H824"/>
    <mergeCell ref="I824:K825"/>
    <mergeCell ref="M824:M825"/>
    <mergeCell ref="O824:O825"/>
    <mergeCell ref="A824:A825"/>
    <mergeCell ref="B824:B825"/>
    <mergeCell ref="C824:C825"/>
    <mergeCell ref="D824:D825"/>
    <mergeCell ref="E824:E825"/>
    <mergeCell ref="F824:F825"/>
    <mergeCell ref="T822:T823"/>
    <mergeCell ref="V822:X823"/>
    <mergeCell ref="Y822:Y823"/>
    <mergeCell ref="G823:H823"/>
    <mergeCell ref="O822:O823"/>
    <mergeCell ref="Q822:Q823"/>
    <mergeCell ref="R822:R823"/>
    <mergeCell ref="S822:S823"/>
    <mergeCell ref="F822:F823"/>
    <mergeCell ref="G822:H822"/>
    <mergeCell ref="I822:K823"/>
    <mergeCell ref="M822:M823"/>
    <mergeCell ref="V820:X821"/>
    <mergeCell ref="Y820:Y821"/>
    <mergeCell ref="G821:H821"/>
    <mergeCell ref="A822:A823"/>
    <mergeCell ref="B822:B823"/>
    <mergeCell ref="C822:C823"/>
    <mergeCell ref="D822:D823"/>
    <mergeCell ref="E822:E823"/>
    <mergeCell ref="Q820:Q821"/>
    <mergeCell ref="R820:R821"/>
    <mergeCell ref="S820:S821"/>
    <mergeCell ref="T820:T821"/>
    <mergeCell ref="G820:H820"/>
    <mergeCell ref="I820:K821"/>
    <mergeCell ref="M820:M821"/>
    <mergeCell ref="O820:O821"/>
    <mergeCell ref="A820:A821"/>
    <mergeCell ref="B820:B821"/>
    <mergeCell ref="C820:C821"/>
    <mergeCell ref="D820:D821"/>
    <mergeCell ref="E820:E821"/>
    <mergeCell ref="F820:F821"/>
    <mergeCell ref="T818:T819"/>
    <mergeCell ref="V818:X819"/>
    <mergeCell ref="Y818:Y819"/>
    <mergeCell ref="G819:H819"/>
    <mergeCell ref="O818:O819"/>
    <mergeCell ref="Q818:Q819"/>
    <mergeCell ref="R818:R819"/>
    <mergeCell ref="S818:S819"/>
    <mergeCell ref="F818:F819"/>
    <mergeCell ref="G818:H818"/>
    <mergeCell ref="I818:K819"/>
    <mergeCell ref="M818:M819"/>
    <mergeCell ref="V816:X817"/>
    <mergeCell ref="Y816:Y817"/>
    <mergeCell ref="G817:H817"/>
    <mergeCell ref="A818:A819"/>
    <mergeCell ref="B818:B819"/>
    <mergeCell ref="C818:C819"/>
    <mergeCell ref="D818:D819"/>
    <mergeCell ref="E818:E819"/>
    <mergeCell ref="Q816:Q817"/>
    <mergeCell ref="R816:R817"/>
    <mergeCell ref="S816:S817"/>
    <mergeCell ref="T816:T817"/>
    <mergeCell ref="G816:H816"/>
    <mergeCell ref="I816:K817"/>
    <mergeCell ref="M816:M817"/>
    <mergeCell ref="O816:O817"/>
    <mergeCell ref="A816:A817"/>
    <mergeCell ref="B816:B817"/>
    <mergeCell ref="C816:C817"/>
    <mergeCell ref="D816:D817"/>
    <mergeCell ref="E816:E817"/>
    <mergeCell ref="F816:F817"/>
    <mergeCell ref="T814:T815"/>
    <mergeCell ref="V814:X815"/>
    <mergeCell ref="Y814:Y815"/>
    <mergeCell ref="G815:H815"/>
    <mergeCell ref="O814:O815"/>
    <mergeCell ref="Q814:Q815"/>
    <mergeCell ref="R814:R815"/>
    <mergeCell ref="S814:S815"/>
    <mergeCell ref="F814:F815"/>
    <mergeCell ref="G814:H814"/>
    <mergeCell ref="I814:K815"/>
    <mergeCell ref="M814:M815"/>
    <mergeCell ref="V812:X813"/>
    <mergeCell ref="Y812:Y813"/>
    <mergeCell ref="G813:H813"/>
    <mergeCell ref="A814:A815"/>
    <mergeCell ref="B814:B815"/>
    <mergeCell ref="C814:C815"/>
    <mergeCell ref="D814:D815"/>
    <mergeCell ref="E814:E815"/>
    <mergeCell ref="Q812:Q813"/>
    <mergeCell ref="R812:R813"/>
    <mergeCell ref="S812:S813"/>
    <mergeCell ref="T812:T813"/>
    <mergeCell ref="G812:H812"/>
    <mergeCell ref="I812:K813"/>
    <mergeCell ref="M812:M813"/>
    <mergeCell ref="O812:O813"/>
    <mergeCell ref="A812:A813"/>
    <mergeCell ref="B812:B813"/>
    <mergeCell ref="C812:C813"/>
    <mergeCell ref="D812:D813"/>
    <mergeCell ref="E812:E813"/>
    <mergeCell ref="F812:F813"/>
    <mergeCell ref="T810:T811"/>
    <mergeCell ref="V810:X811"/>
    <mergeCell ref="Y810:Y811"/>
    <mergeCell ref="G811:H811"/>
    <mergeCell ref="O810:O811"/>
    <mergeCell ref="Q810:Q811"/>
    <mergeCell ref="R810:R811"/>
    <mergeCell ref="S810:S811"/>
    <mergeCell ref="F810:F811"/>
    <mergeCell ref="G810:H810"/>
    <mergeCell ref="I810:K811"/>
    <mergeCell ref="M810:M811"/>
    <mergeCell ref="V808:X809"/>
    <mergeCell ref="Y808:Y809"/>
    <mergeCell ref="G809:H809"/>
    <mergeCell ref="A810:A811"/>
    <mergeCell ref="B810:B811"/>
    <mergeCell ref="C810:C811"/>
    <mergeCell ref="D810:D811"/>
    <mergeCell ref="E810:E811"/>
    <mergeCell ref="Q808:Q809"/>
    <mergeCell ref="R808:R809"/>
    <mergeCell ref="S808:S809"/>
    <mergeCell ref="T808:T809"/>
    <mergeCell ref="G808:H808"/>
    <mergeCell ref="I808:K809"/>
    <mergeCell ref="M808:M809"/>
    <mergeCell ref="O808:O809"/>
    <mergeCell ref="A808:A809"/>
    <mergeCell ref="B808:B809"/>
    <mergeCell ref="C808:C809"/>
    <mergeCell ref="D808:D809"/>
    <mergeCell ref="E808:E809"/>
    <mergeCell ref="F808:F809"/>
    <mergeCell ref="T806:T807"/>
    <mergeCell ref="V806:X807"/>
    <mergeCell ref="Y806:Y807"/>
    <mergeCell ref="G807:H807"/>
    <mergeCell ref="O806:O807"/>
    <mergeCell ref="Q806:Q807"/>
    <mergeCell ref="R806:R807"/>
    <mergeCell ref="S806:S807"/>
    <mergeCell ref="F806:F807"/>
    <mergeCell ref="G806:H806"/>
    <mergeCell ref="I806:K807"/>
    <mergeCell ref="M806:M807"/>
    <mergeCell ref="V804:X805"/>
    <mergeCell ref="Y804:Y805"/>
    <mergeCell ref="G805:H805"/>
    <mergeCell ref="A806:A807"/>
    <mergeCell ref="B806:B807"/>
    <mergeCell ref="C806:C807"/>
    <mergeCell ref="D806:D807"/>
    <mergeCell ref="E806:E807"/>
    <mergeCell ref="Q804:Q805"/>
    <mergeCell ref="R804:R805"/>
    <mergeCell ref="S804:S805"/>
    <mergeCell ref="T804:T805"/>
    <mergeCell ref="G804:H804"/>
    <mergeCell ref="I804:K805"/>
    <mergeCell ref="M804:M805"/>
    <mergeCell ref="O804:O805"/>
    <mergeCell ref="A804:A805"/>
    <mergeCell ref="B804:B805"/>
    <mergeCell ref="C804:C805"/>
    <mergeCell ref="D804:D805"/>
    <mergeCell ref="E804:E805"/>
    <mergeCell ref="F804:F805"/>
    <mergeCell ref="T802:T803"/>
    <mergeCell ref="V802:X803"/>
    <mergeCell ref="Y802:Y803"/>
    <mergeCell ref="G803:H803"/>
    <mergeCell ref="O802:O803"/>
    <mergeCell ref="Q802:Q803"/>
    <mergeCell ref="R802:R803"/>
    <mergeCell ref="S802:S803"/>
    <mergeCell ref="F802:F803"/>
    <mergeCell ref="G802:H802"/>
    <mergeCell ref="I802:K803"/>
    <mergeCell ref="M802:M803"/>
    <mergeCell ref="V800:X801"/>
    <mergeCell ref="Y800:Y801"/>
    <mergeCell ref="G801:H801"/>
    <mergeCell ref="A802:A803"/>
    <mergeCell ref="B802:B803"/>
    <mergeCell ref="C802:C803"/>
    <mergeCell ref="D802:D803"/>
    <mergeCell ref="E802:E803"/>
    <mergeCell ref="Q800:Q801"/>
    <mergeCell ref="R800:R801"/>
    <mergeCell ref="S800:S801"/>
    <mergeCell ref="T800:T801"/>
    <mergeCell ref="G800:H800"/>
    <mergeCell ref="I800:K801"/>
    <mergeCell ref="M800:M801"/>
    <mergeCell ref="O800:O801"/>
    <mergeCell ref="A800:A801"/>
    <mergeCell ref="B800:B801"/>
    <mergeCell ref="C800:C801"/>
    <mergeCell ref="D800:D801"/>
    <mergeCell ref="E800:E801"/>
    <mergeCell ref="F800:F801"/>
    <mergeCell ref="T798:T799"/>
    <mergeCell ref="V798:X799"/>
    <mergeCell ref="Y798:Y799"/>
    <mergeCell ref="G799:H799"/>
    <mergeCell ref="O798:O799"/>
    <mergeCell ref="Q798:Q799"/>
    <mergeCell ref="R798:R799"/>
    <mergeCell ref="S798:S799"/>
    <mergeCell ref="F798:F799"/>
    <mergeCell ref="G798:H798"/>
    <mergeCell ref="I798:K799"/>
    <mergeCell ref="M798:M799"/>
    <mergeCell ref="V796:X797"/>
    <mergeCell ref="Y796:Y797"/>
    <mergeCell ref="G797:H797"/>
    <mergeCell ref="A798:A799"/>
    <mergeCell ref="B798:B799"/>
    <mergeCell ref="C798:C799"/>
    <mergeCell ref="D798:D799"/>
    <mergeCell ref="E798:E799"/>
    <mergeCell ref="Q796:Q797"/>
    <mergeCell ref="R796:R797"/>
    <mergeCell ref="S796:S797"/>
    <mergeCell ref="T796:T797"/>
    <mergeCell ref="G796:H796"/>
    <mergeCell ref="I796:K797"/>
    <mergeCell ref="M796:M797"/>
    <mergeCell ref="O796:O797"/>
    <mergeCell ref="A796:A797"/>
    <mergeCell ref="B796:B797"/>
    <mergeCell ref="C796:C797"/>
    <mergeCell ref="D796:D797"/>
    <mergeCell ref="E796:E797"/>
    <mergeCell ref="F796:F797"/>
    <mergeCell ref="T794:T795"/>
    <mergeCell ref="V794:X795"/>
    <mergeCell ref="Y794:Y795"/>
    <mergeCell ref="G795:H795"/>
    <mergeCell ref="O794:O795"/>
    <mergeCell ref="Q794:Q795"/>
    <mergeCell ref="R794:R795"/>
    <mergeCell ref="S794:S795"/>
    <mergeCell ref="F794:F795"/>
    <mergeCell ref="G794:H794"/>
    <mergeCell ref="I794:K795"/>
    <mergeCell ref="M794:M795"/>
    <mergeCell ref="V792:X793"/>
    <mergeCell ref="Y792:Y793"/>
    <mergeCell ref="G793:H793"/>
    <mergeCell ref="A794:A795"/>
    <mergeCell ref="B794:B795"/>
    <mergeCell ref="C794:C795"/>
    <mergeCell ref="D794:D795"/>
    <mergeCell ref="E794:E795"/>
    <mergeCell ref="Q792:Q793"/>
    <mergeCell ref="R792:R793"/>
    <mergeCell ref="S792:S793"/>
    <mergeCell ref="T792:T793"/>
    <mergeCell ref="G792:H792"/>
    <mergeCell ref="I792:K793"/>
    <mergeCell ref="M792:M793"/>
    <mergeCell ref="O792:O793"/>
    <mergeCell ref="A792:A793"/>
    <mergeCell ref="B792:B793"/>
    <mergeCell ref="C792:C793"/>
    <mergeCell ref="D792:D793"/>
    <mergeCell ref="E792:E793"/>
    <mergeCell ref="F792:F793"/>
    <mergeCell ref="T790:T791"/>
    <mergeCell ref="V790:X791"/>
    <mergeCell ref="Y790:Y791"/>
    <mergeCell ref="G791:H791"/>
    <mergeCell ref="O790:O791"/>
    <mergeCell ref="Q790:Q791"/>
    <mergeCell ref="R790:R791"/>
    <mergeCell ref="S790:S791"/>
    <mergeCell ref="F790:F791"/>
    <mergeCell ref="G790:H790"/>
    <mergeCell ref="I790:K791"/>
    <mergeCell ref="M790:M791"/>
    <mergeCell ref="V788:X789"/>
    <mergeCell ref="Y788:Y789"/>
    <mergeCell ref="G789:H789"/>
    <mergeCell ref="A790:A791"/>
    <mergeCell ref="B790:B791"/>
    <mergeCell ref="C790:C791"/>
    <mergeCell ref="D790:D791"/>
    <mergeCell ref="E790:E791"/>
    <mergeCell ref="Q788:Q789"/>
    <mergeCell ref="R788:R789"/>
    <mergeCell ref="S788:S789"/>
    <mergeCell ref="T788:T789"/>
    <mergeCell ref="G788:H788"/>
    <mergeCell ref="I788:K789"/>
    <mergeCell ref="M788:M789"/>
    <mergeCell ref="O788:O789"/>
    <mergeCell ref="A788:A789"/>
    <mergeCell ref="B788:B789"/>
    <mergeCell ref="C788:C789"/>
    <mergeCell ref="D788:D789"/>
    <mergeCell ref="E788:E789"/>
    <mergeCell ref="F788:F789"/>
    <mergeCell ref="T786:T787"/>
    <mergeCell ref="V786:X787"/>
    <mergeCell ref="Y786:Y787"/>
    <mergeCell ref="G787:H787"/>
    <mergeCell ref="O786:O787"/>
    <mergeCell ref="Q786:Q787"/>
    <mergeCell ref="R786:R787"/>
    <mergeCell ref="S786:S787"/>
    <mergeCell ref="F786:F787"/>
    <mergeCell ref="G786:H786"/>
    <mergeCell ref="I786:K787"/>
    <mergeCell ref="M786:M787"/>
    <mergeCell ref="V784:X785"/>
    <mergeCell ref="Y784:Y785"/>
    <mergeCell ref="G785:H785"/>
    <mergeCell ref="A786:A787"/>
    <mergeCell ref="B786:B787"/>
    <mergeCell ref="C786:C787"/>
    <mergeCell ref="D786:D787"/>
    <mergeCell ref="E786:E787"/>
    <mergeCell ref="Q784:Q785"/>
    <mergeCell ref="R784:R785"/>
    <mergeCell ref="S784:S785"/>
    <mergeCell ref="T784:T785"/>
    <mergeCell ref="G784:H784"/>
    <mergeCell ref="I784:K785"/>
    <mergeCell ref="M784:M785"/>
    <mergeCell ref="O784:O785"/>
    <mergeCell ref="A784:A785"/>
    <mergeCell ref="B784:B785"/>
    <mergeCell ref="C784:C785"/>
    <mergeCell ref="D784:D785"/>
    <mergeCell ref="E784:E785"/>
    <mergeCell ref="F784:F785"/>
    <mergeCell ref="T782:T783"/>
    <mergeCell ref="V782:X783"/>
    <mergeCell ref="Y782:Y783"/>
    <mergeCell ref="G783:H783"/>
    <mergeCell ref="O782:O783"/>
    <mergeCell ref="Q782:Q783"/>
    <mergeCell ref="R782:R783"/>
    <mergeCell ref="S782:S783"/>
    <mergeCell ref="F782:F783"/>
    <mergeCell ref="G782:H782"/>
    <mergeCell ref="I782:K783"/>
    <mergeCell ref="M782:M783"/>
    <mergeCell ref="V780:X781"/>
    <mergeCell ref="Y780:Y781"/>
    <mergeCell ref="G781:H781"/>
    <mergeCell ref="A782:A783"/>
    <mergeCell ref="B782:B783"/>
    <mergeCell ref="C782:C783"/>
    <mergeCell ref="D782:D783"/>
    <mergeCell ref="E782:E783"/>
    <mergeCell ref="Q780:Q781"/>
    <mergeCell ref="R780:R781"/>
    <mergeCell ref="S780:S781"/>
    <mergeCell ref="T780:T781"/>
    <mergeCell ref="G780:H780"/>
    <mergeCell ref="I780:K781"/>
    <mergeCell ref="M780:M781"/>
    <mergeCell ref="O780:O781"/>
    <mergeCell ref="A780:A781"/>
    <mergeCell ref="B780:B781"/>
    <mergeCell ref="C780:C781"/>
    <mergeCell ref="D780:D781"/>
    <mergeCell ref="E780:E781"/>
    <mergeCell ref="F780:F781"/>
    <mergeCell ref="T778:T779"/>
    <mergeCell ref="V778:X779"/>
    <mergeCell ref="Y778:Y779"/>
    <mergeCell ref="G779:H779"/>
    <mergeCell ref="O778:O779"/>
    <mergeCell ref="Q778:Q779"/>
    <mergeCell ref="R778:R779"/>
    <mergeCell ref="S778:S779"/>
    <mergeCell ref="F778:F779"/>
    <mergeCell ref="G778:H778"/>
    <mergeCell ref="I778:K779"/>
    <mergeCell ref="M778:M779"/>
    <mergeCell ref="V776:X777"/>
    <mergeCell ref="Y776:Y777"/>
    <mergeCell ref="G777:H777"/>
    <mergeCell ref="A778:A779"/>
    <mergeCell ref="B778:B779"/>
    <mergeCell ref="C778:C779"/>
    <mergeCell ref="D778:D779"/>
    <mergeCell ref="E778:E779"/>
    <mergeCell ref="Q776:Q777"/>
    <mergeCell ref="R776:R777"/>
    <mergeCell ref="S776:S777"/>
    <mergeCell ref="T776:T777"/>
    <mergeCell ref="G776:H776"/>
    <mergeCell ref="I776:K777"/>
    <mergeCell ref="M776:M777"/>
    <mergeCell ref="O776:O777"/>
    <mergeCell ref="A776:A777"/>
    <mergeCell ref="B776:B777"/>
    <mergeCell ref="C776:C777"/>
    <mergeCell ref="D776:D777"/>
    <mergeCell ref="E776:E777"/>
    <mergeCell ref="F776:F777"/>
    <mergeCell ref="T774:T775"/>
    <mergeCell ref="V774:X775"/>
    <mergeCell ref="Y774:Y775"/>
    <mergeCell ref="G775:H775"/>
    <mergeCell ref="O774:O775"/>
    <mergeCell ref="Q774:Q775"/>
    <mergeCell ref="R774:R775"/>
    <mergeCell ref="S774:S775"/>
    <mergeCell ref="F774:F775"/>
    <mergeCell ref="G774:H774"/>
    <mergeCell ref="I774:K775"/>
    <mergeCell ref="M774:M775"/>
    <mergeCell ref="V772:X773"/>
    <mergeCell ref="Y772:Y773"/>
    <mergeCell ref="G773:H773"/>
    <mergeCell ref="A774:A775"/>
    <mergeCell ref="B774:B775"/>
    <mergeCell ref="C774:C775"/>
    <mergeCell ref="D774:D775"/>
    <mergeCell ref="E774:E775"/>
    <mergeCell ref="Q772:Q773"/>
    <mergeCell ref="R772:R773"/>
    <mergeCell ref="S772:S773"/>
    <mergeCell ref="T772:T773"/>
    <mergeCell ref="G772:H772"/>
    <mergeCell ref="I772:K773"/>
    <mergeCell ref="M772:M773"/>
    <mergeCell ref="O772:O773"/>
    <mergeCell ref="A772:A773"/>
    <mergeCell ref="B772:B773"/>
    <mergeCell ref="C772:C773"/>
    <mergeCell ref="D772:D773"/>
    <mergeCell ref="E772:E773"/>
    <mergeCell ref="F772:F773"/>
    <mergeCell ref="T770:T771"/>
    <mergeCell ref="V770:X771"/>
    <mergeCell ref="Y770:Y771"/>
    <mergeCell ref="G771:H771"/>
    <mergeCell ref="O770:O771"/>
    <mergeCell ref="Q770:Q771"/>
    <mergeCell ref="R770:R771"/>
    <mergeCell ref="S770:S771"/>
    <mergeCell ref="F770:F771"/>
    <mergeCell ref="G770:H770"/>
    <mergeCell ref="I770:K771"/>
    <mergeCell ref="M770:M771"/>
    <mergeCell ref="V768:X769"/>
    <mergeCell ref="Y768:Y769"/>
    <mergeCell ref="G769:H769"/>
    <mergeCell ref="A770:A771"/>
    <mergeCell ref="B770:B771"/>
    <mergeCell ref="C770:C771"/>
    <mergeCell ref="D770:D771"/>
    <mergeCell ref="E770:E771"/>
    <mergeCell ref="Q768:Q769"/>
    <mergeCell ref="R768:R769"/>
    <mergeCell ref="S768:S769"/>
    <mergeCell ref="T768:T769"/>
    <mergeCell ref="G768:H768"/>
    <mergeCell ref="I768:K769"/>
    <mergeCell ref="M768:M769"/>
    <mergeCell ref="O768:O769"/>
    <mergeCell ref="A768:A769"/>
    <mergeCell ref="B768:B769"/>
    <mergeCell ref="C768:C769"/>
    <mergeCell ref="D768:D769"/>
    <mergeCell ref="E768:E769"/>
    <mergeCell ref="F768:F769"/>
    <mergeCell ref="T766:T767"/>
    <mergeCell ref="V766:X767"/>
    <mergeCell ref="Y766:Y767"/>
    <mergeCell ref="G767:H767"/>
    <mergeCell ref="O766:O767"/>
    <mergeCell ref="Q766:Q767"/>
    <mergeCell ref="R766:R767"/>
    <mergeCell ref="S766:S767"/>
    <mergeCell ref="F766:F767"/>
    <mergeCell ref="G766:H766"/>
    <mergeCell ref="I766:K767"/>
    <mergeCell ref="M766:M767"/>
    <mergeCell ref="V764:X765"/>
    <mergeCell ref="Y764:Y765"/>
    <mergeCell ref="G765:H765"/>
    <mergeCell ref="A766:A767"/>
    <mergeCell ref="B766:B767"/>
    <mergeCell ref="C766:C767"/>
    <mergeCell ref="D766:D767"/>
    <mergeCell ref="E766:E767"/>
    <mergeCell ref="Q764:Q765"/>
    <mergeCell ref="R764:R765"/>
    <mergeCell ref="S764:S765"/>
    <mergeCell ref="T764:T765"/>
    <mergeCell ref="G764:H764"/>
    <mergeCell ref="I764:K765"/>
    <mergeCell ref="M764:M765"/>
    <mergeCell ref="O764:O765"/>
    <mergeCell ref="A764:A765"/>
    <mergeCell ref="B764:B765"/>
    <mergeCell ref="C764:C765"/>
    <mergeCell ref="D764:D765"/>
    <mergeCell ref="E764:E765"/>
    <mergeCell ref="F764:F765"/>
    <mergeCell ref="T762:T763"/>
    <mergeCell ref="V762:X763"/>
    <mergeCell ref="Y762:Y763"/>
    <mergeCell ref="G763:H763"/>
    <mergeCell ref="O762:O763"/>
    <mergeCell ref="Q762:Q763"/>
    <mergeCell ref="R762:R763"/>
    <mergeCell ref="S762:S763"/>
    <mergeCell ref="F762:F763"/>
    <mergeCell ref="G762:H762"/>
    <mergeCell ref="I762:K763"/>
    <mergeCell ref="M762:M763"/>
    <mergeCell ref="V760:X761"/>
    <mergeCell ref="Y760:Y761"/>
    <mergeCell ref="G761:H761"/>
    <mergeCell ref="A762:A763"/>
    <mergeCell ref="B762:B763"/>
    <mergeCell ref="C762:C763"/>
    <mergeCell ref="D762:D763"/>
    <mergeCell ref="E762:E763"/>
    <mergeCell ref="Q760:Q761"/>
    <mergeCell ref="R760:R761"/>
    <mergeCell ref="S760:S761"/>
    <mergeCell ref="T760:T761"/>
    <mergeCell ref="G760:H760"/>
    <mergeCell ref="I760:K761"/>
    <mergeCell ref="M760:M761"/>
    <mergeCell ref="O760:O761"/>
    <mergeCell ref="A760:A761"/>
    <mergeCell ref="B760:B761"/>
    <mergeCell ref="C760:C761"/>
    <mergeCell ref="D760:D761"/>
    <mergeCell ref="E760:E761"/>
    <mergeCell ref="F760:F761"/>
    <mergeCell ref="T758:T759"/>
    <mergeCell ref="V758:X759"/>
    <mergeCell ref="Y758:Y759"/>
    <mergeCell ref="G759:H759"/>
    <mergeCell ref="O758:O759"/>
    <mergeCell ref="Q758:Q759"/>
    <mergeCell ref="R758:R759"/>
    <mergeCell ref="S758:S759"/>
    <mergeCell ref="F758:F759"/>
    <mergeCell ref="G758:H758"/>
    <mergeCell ref="I758:K759"/>
    <mergeCell ref="M758:M759"/>
    <mergeCell ref="V756:X757"/>
    <mergeCell ref="Y756:Y757"/>
    <mergeCell ref="G757:H757"/>
    <mergeCell ref="A758:A759"/>
    <mergeCell ref="B758:B759"/>
    <mergeCell ref="C758:C759"/>
    <mergeCell ref="D758:D759"/>
    <mergeCell ref="E758:E759"/>
    <mergeCell ref="Q756:Q757"/>
    <mergeCell ref="R756:R757"/>
    <mergeCell ref="S756:S757"/>
    <mergeCell ref="T756:T757"/>
    <mergeCell ref="G756:H756"/>
    <mergeCell ref="I756:K757"/>
    <mergeCell ref="M756:M757"/>
    <mergeCell ref="O756:O757"/>
    <mergeCell ref="A756:A757"/>
    <mergeCell ref="B756:B757"/>
    <mergeCell ref="C756:C757"/>
    <mergeCell ref="D756:D757"/>
    <mergeCell ref="E756:E757"/>
    <mergeCell ref="F756:F757"/>
    <mergeCell ref="T754:T755"/>
    <mergeCell ref="V754:X755"/>
    <mergeCell ref="Y754:Y755"/>
    <mergeCell ref="G755:H755"/>
    <mergeCell ref="O754:O755"/>
    <mergeCell ref="Q754:Q755"/>
    <mergeCell ref="R754:R755"/>
    <mergeCell ref="S754:S755"/>
    <mergeCell ref="F754:F755"/>
    <mergeCell ref="G754:H754"/>
    <mergeCell ref="I754:K755"/>
    <mergeCell ref="M754:M755"/>
    <mergeCell ref="V752:X753"/>
    <mergeCell ref="Y752:Y753"/>
    <mergeCell ref="G753:H753"/>
    <mergeCell ref="A754:A755"/>
    <mergeCell ref="B754:B755"/>
    <mergeCell ref="C754:C755"/>
    <mergeCell ref="D754:D755"/>
    <mergeCell ref="E754:E755"/>
    <mergeCell ref="Q752:Q753"/>
    <mergeCell ref="R752:R753"/>
    <mergeCell ref="S752:S753"/>
    <mergeCell ref="T752:T753"/>
    <mergeCell ref="G752:H752"/>
    <mergeCell ref="I752:K753"/>
    <mergeCell ref="M752:M753"/>
    <mergeCell ref="O752:O753"/>
    <mergeCell ref="A752:A753"/>
    <mergeCell ref="B752:B753"/>
    <mergeCell ref="C752:C753"/>
    <mergeCell ref="D752:D753"/>
    <mergeCell ref="E752:E753"/>
    <mergeCell ref="F752:F753"/>
    <mergeCell ref="T750:T751"/>
    <mergeCell ref="V750:X751"/>
    <mergeCell ref="Y750:Y751"/>
    <mergeCell ref="G751:H751"/>
    <mergeCell ref="O750:O751"/>
    <mergeCell ref="Q750:Q751"/>
    <mergeCell ref="R750:R751"/>
    <mergeCell ref="S750:S751"/>
    <mergeCell ref="F750:F751"/>
    <mergeCell ref="G750:H750"/>
    <mergeCell ref="I750:K751"/>
    <mergeCell ref="M750:M751"/>
    <mergeCell ref="V748:X749"/>
    <mergeCell ref="Y748:Y749"/>
    <mergeCell ref="G749:H749"/>
    <mergeCell ref="A750:A751"/>
    <mergeCell ref="B750:B751"/>
    <mergeCell ref="C750:C751"/>
    <mergeCell ref="D750:D751"/>
    <mergeCell ref="E750:E751"/>
    <mergeCell ref="Q748:Q749"/>
    <mergeCell ref="R748:R749"/>
    <mergeCell ref="S748:S749"/>
    <mergeCell ref="T748:T749"/>
    <mergeCell ref="G748:H748"/>
    <mergeCell ref="I748:K749"/>
    <mergeCell ref="M748:M749"/>
    <mergeCell ref="O748:O749"/>
    <mergeCell ref="A748:A749"/>
    <mergeCell ref="B748:B749"/>
    <mergeCell ref="C748:C749"/>
    <mergeCell ref="D748:D749"/>
    <mergeCell ref="E748:E749"/>
    <mergeCell ref="F748:F749"/>
    <mergeCell ref="T746:T747"/>
    <mergeCell ref="V746:X747"/>
    <mergeCell ref="Y746:Y747"/>
    <mergeCell ref="G747:H747"/>
    <mergeCell ref="O746:O747"/>
    <mergeCell ref="Q746:Q747"/>
    <mergeCell ref="R746:R747"/>
    <mergeCell ref="S746:S747"/>
    <mergeCell ref="F746:F747"/>
    <mergeCell ref="G746:H746"/>
    <mergeCell ref="I746:K747"/>
    <mergeCell ref="M746:M747"/>
    <mergeCell ref="V744:X745"/>
    <mergeCell ref="Y744:Y745"/>
    <mergeCell ref="G745:H745"/>
    <mergeCell ref="A746:A747"/>
    <mergeCell ref="B746:B747"/>
    <mergeCell ref="C746:C747"/>
    <mergeCell ref="D746:D747"/>
    <mergeCell ref="E746:E747"/>
    <mergeCell ref="Q744:Q745"/>
    <mergeCell ref="R744:R745"/>
    <mergeCell ref="S744:S745"/>
    <mergeCell ref="T744:T745"/>
    <mergeCell ref="G744:H744"/>
    <mergeCell ref="I744:K745"/>
    <mergeCell ref="M744:M745"/>
    <mergeCell ref="O744:O745"/>
    <mergeCell ref="A744:A745"/>
    <mergeCell ref="B744:B745"/>
    <mergeCell ref="C744:C745"/>
    <mergeCell ref="D744:D745"/>
    <mergeCell ref="E744:E745"/>
    <mergeCell ref="F744:F745"/>
    <mergeCell ref="T742:T743"/>
    <mergeCell ref="V742:X743"/>
    <mergeCell ref="Y742:Y743"/>
    <mergeCell ref="G743:H743"/>
    <mergeCell ref="O742:O743"/>
    <mergeCell ref="Q742:Q743"/>
    <mergeCell ref="R742:R743"/>
    <mergeCell ref="S742:S743"/>
    <mergeCell ref="F742:F743"/>
    <mergeCell ref="G742:H742"/>
    <mergeCell ref="I742:K743"/>
    <mergeCell ref="M742:M743"/>
    <mergeCell ref="V740:X741"/>
    <mergeCell ref="Y740:Y741"/>
    <mergeCell ref="G741:H741"/>
    <mergeCell ref="A742:A743"/>
    <mergeCell ref="B742:B743"/>
    <mergeCell ref="C742:C743"/>
    <mergeCell ref="D742:D743"/>
    <mergeCell ref="E742:E743"/>
    <mergeCell ref="Q740:Q741"/>
    <mergeCell ref="R740:R741"/>
    <mergeCell ref="S740:S741"/>
    <mergeCell ref="T740:T741"/>
    <mergeCell ref="G740:H740"/>
    <mergeCell ref="I740:K741"/>
    <mergeCell ref="M740:M741"/>
    <mergeCell ref="O740:O741"/>
    <mergeCell ref="A740:A741"/>
    <mergeCell ref="B740:B741"/>
    <mergeCell ref="C740:C741"/>
    <mergeCell ref="D740:D741"/>
    <mergeCell ref="E740:E741"/>
    <mergeCell ref="F740:F741"/>
    <mergeCell ref="T738:T739"/>
    <mergeCell ref="V738:X739"/>
    <mergeCell ref="Y738:Y739"/>
    <mergeCell ref="G739:H739"/>
    <mergeCell ref="O738:O739"/>
    <mergeCell ref="Q738:Q739"/>
    <mergeCell ref="R738:R739"/>
    <mergeCell ref="S738:S739"/>
    <mergeCell ref="F738:F739"/>
    <mergeCell ref="G738:H738"/>
    <mergeCell ref="I738:K739"/>
    <mergeCell ref="M738:M739"/>
    <mergeCell ref="V736:X737"/>
    <mergeCell ref="Y736:Y737"/>
    <mergeCell ref="G737:H737"/>
    <mergeCell ref="A738:A739"/>
    <mergeCell ref="B738:B739"/>
    <mergeCell ref="C738:C739"/>
    <mergeCell ref="D738:D739"/>
    <mergeCell ref="E738:E739"/>
    <mergeCell ref="Q736:Q737"/>
    <mergeCell ref="R736:R737"/>
    <mergeCell ref="S736:S737"/>
    <mergeCell ref="T736:T737"/>
    <mergeCell ref="G736:H736"/>
    <mergeCell ref="I736:K737"/>
    <mergeCell ref="M736:M737"/>
    <mergeCell ref="O736:O737"/>
    <mergeCell ref="A736:A737"/>
    <mergeCell ref="B736:B737"/>
    <mergeCell ref="C736:C737"/>
    <mergeCell ref="D736:D737"/>
    <mergeCell ref="E736:E737"/>
    <mergeCell ref="F736:F737"/>
    <mergeCell ref="T734:T735"/>
    <mergeCell ref="V734:X735"/>
    <mergeCell ref="Y734:Y735"/>
    <mergeCell ref="G735:H735"/>
    <mergeCell ref="O734:O735"/>
    <mergeCell ref="Q734:Q735"/>
    <mergeCell ref="R734:R735"/>
    <mergeCell ref="S734:S735"/>
    <mergeCell ref="F734:F735"/>
    <mergeCell ref="G734:H734"/>
    <mergeCell ref="I734:K735"/>
    <mergeCell ref="M734:M735"/>
    <mergeCell ref="V732:X733"/>
    <mergeCell ref="Y732:Y733"/>
    <mergeCell ref="G733:H733"/>
    <mergeCell ref="A734:A735"/>
    <mergeCell ref="B734:B735"/>
    <mergeCell ref="C734:C735"/>
    <mergeCell ref="D734:D735"/>
    <mergeCell ref="E734:E735"/>
    <mergeCell ref="Q732:Q733"/>
    <mergeCell ref="R732:R733"/>
    <mergeCell ref="S732:S733"/>
    <mergeCell ref="T732:T733"/>
    <mergeCell ref="G732:H732"/>
    <mergeCell ref="I732:K733"/>
    <mergeCell ref="M732:M733"/>
    <mergeCell ref="O732:O733"/>
    <mergeCell ref="A732:A733"/>
    <mergeCell ref="B732:B733"/>
    <mergeCell ref="C732:C733"/>
    <mergeCell ref="D732:D733"/>
    <mergeCell ref="E732:E733"/>
    <mergeCell ref="F732:F733"/>
    <mergeCell ref="T730:T731"/>
    <mergeCell ref="V730:X731"/>
    <mergeCell ref="Y730:Y731"/>
    <mergeCell ref="G731:H731"/>
    <mergeCell ref="O730:O731"/>
    <mergeCell ref="Q730:Q731"/>
    <mergeCell ref="R730:R731"/>
    <mergeCell ref="S730:S731"/>
    <mergeCell ref="F730:F731"/>
    <mergeCell ref="G730:H730"/>
    <mergeCell ref="I730:K731"/>
    <mergeCell ref="M730:M731"/>
    <mergeCell ref="V728:X729"/>
    <mergeCell ref="Y728:Y729"/>
    <mergeCell ref="G729:H729"/>
    <mergeCell ref="A730:A731"/>
    <mergeCell ref="B730:B731"/>
    <mergeCell ref="C730:C731"/>
    <mergeCell ref="D730:D731"/>
    <mergeCell ref="E730:E731"/>
    <mergeCell ref="Q728:Q729"/>
    <mergeCell ref="R728:R729"/>
    <mergeCell ref="S728:S729"/>
    <mergeCell ref="T728:T729"/>
    <mergeCell ref="G728:H728"/>
    <mergeCell ref="I728:K729"/>
    <mergeCell ref="M728:M729"/>
    <mergeCell ref="O728:O729"/>
    <mergeCell ref="A728:A729"/>
    <mergeCell ref="B728:B729"/>
    <mergeCell ref="C728:C729"/>
    <mergeCell ref="D728:D729"/>
    <mergeCell ref="E728:E729"/>
    <mergeCell ref="F728:F729"/>
    <mergeCell ref="T726:T727"/>
    <mergeCell ref="V726:X727"/>
    <mergeCell ref="Y726:Y727"/>
    <mergeCell ref="G727:H727"/>
    <mergeCell ref="O726:O727"/>
    <mergeCell ref="Q726:Q727"/>
    <mergeCell ref="R726:R727"/>
    <mergeCell ref="S726:S727"/>
    <mergeCell ref="F726:F727"/>
    <mergeCell ref="G726:H726"/>
    <mergeCell ref="I726:K727"/>
    <mergeCell ref="M726:M727"/>
    <mergeCell ref="V724:X725"/>
    <mergeCell ref="Y724:Y725"/>
    <mergeCell ref="G725:H725"/>
    <mergeCell ref="A726:A727"/>
    <mergeCell ref="B726:B727"/>
    <mergeCell ref="C726:C727"/>
    <mergeCell ref="D726:D727"/>
    <mergeCell ref="E726:E727"/>
    <mergeCell ref="Q724:Q725"/>
    <mergeCell ref="R724:R725"/>
    <mergeCell ref="S724:S725"/>
    <mergeCell ref="T724:T725"/>
    <mergeCell ref="G724:H724"/>
    <mergeCell ref="I724:K725"/>
    <mergeCell ref="M724:M725"/>
    <mergeCell ref="O724:O725"/>
    <mergeCell ref="A724:A725"/>
    <mergeCell ref="B724:B725"/>
    <mergeCell ref="C724:C725"/>
    <mergeCell ref="D724:D725"/>
    <mergeCell ref="E724:E725"/>
    <mergeCell ref="F724:F725"/>
    <mergeCell ref="T722:T723"/>
    <mergeCell ref="V722:X723"/>
    <mergeCell ref="Y722:Y723"/>
    <mergeCell ref="G723:H723"/>
    <mergeCell ref="O722:O723"/>
    <mergeCell ref="Q722:Q723"/>
    <mergeCell ref="R722:R723"/>
    <mergeCell ref="S722:S723"/>
    <mergeCell ref="F722:F723"/>
    <mergeCell ref="G722:H722"/>
    <mergeCell ref="I722:K723"/>
    <mergeCell ref="M722:M723"/>
    <mergeCell ref="V720:X721"/>
    <mergeCell ref="Y720:Y721"/>
    <mergeCell ref="G721:H721"/>
    <mergeCell ref="A722:A723"/>
    <mergeCell ref="B722:B723"/>
    <mergeCell ref="C722:C723"/>
    <mergeCell ref="D722:D723"/>
    <mergeCell ref="E722:E723"/>
    <mergeCell ref="Q720:Q721"/>
    <mergeCell ref="R720:R721"/>
    <mergeCell ref="S720:S721"/>
    <mergeCell ref="T720:T721"/>
    <mergeCell ref="G720:H720"/>
    <mergeCell ref="I720:K721"/>
    <mergeCell ref="M720:M721"/>
    <mergeCell ref="O720:O721"/>
    <mergeCell ref="A720:A721"/>
    <mergeCell ref="B720:B721"/>
    <mergeCell ref="C720:C721"/>
    <mergeCell ref="D720:D721"/>
    <mergeCell ref="E720:E721"/>
    <mergeCell ref="F720:F721"/>
    <mergeCell ref="T718:T719"/>
    <mergeCell ref="V718:X719"/>
    <mergeCell ref="Y718:Y719"/>
    <mergeCell ref="G719:H719"/>
    <mergeCell ref="O718:O719"/>
    <mergeCell ref="Q718:Q719"/>
    <mergeCell ref="R718:R719"/>
    <mergeCell ref="S718:S719"/>
    <mergeCell ref="F718:F719"/>
    <mergeCell ref="G718:H718"/>
    <mergeCell ref="I718:K719"/>
    <mergeCell ref="M718:M719"/>
    <mergeCell ref="V716:X717"/>
    <mergeCell ref="Y716:Y717"/>
    <mergeCell ref="G717:H717"/>
    <mergeCell ref="A718:A719"/>
    <mergeCell ref="B718:B719"/>
    <mergeCell ref="C718:C719"/>
    <mergeCell ref="D718:D719"/>
    <mergeCell ref="E718:E719"/>
    <mergeCell ref="Q716:Q717"/>
    <mergeCell ref="R716:R717"/>
    <mergeCell ref="S716:S717"/>
    <mergeCell ref="T716:T717"/>
    <mergeCell ref="G716:H716"/>
    <mergeCell ref="I716:K717"/>
    <mergeCell ref="M716:M717"/>
    <mergeCell ref="O716:O717"/>
    <mergeCell ref="A716:A717"/>
    <mergeCell ref="B716:B717"/>
    <mergeCell ref="C716:C717"/>
    <mergeCell ref="D716:D717"/>
    <mergeCell ref="E716:E717"/>
    <mergeCell ref="F716:F717"/>
    <mergeCell ref="T714:T715"/>
    <mergeCell ref="V714:X715"/>
    <mergeCell ref="Y714:Y715"/>
    <mergeCell ref="G715:H715"/>
    <mergeCell ref="O714:O715"/>
    <mergeCell ref="Q714:Q715"/>
    <mergeCell ref="R714:R715"/>
    <mergeCell ref="S714:S715"/>
    <mergeCell ref="F714:F715"/>
    <mergeCell ref="G714:H714"/>
    <mergeCell ref="I714:K715"/>
    <mergeCell ref="M714:M715"/>
    <mergeCell ref="V712:X713"/>
    <mergeCell ref="Y712:Y713"/>
    <mergeCell ref="G713:H713"/>
    <mergeCell ref="A714:A715"/>
    <mergeCell ref="B714:B715"/>
    <mergeCell ref="C714:C715"/>
    <mergeCell ref="D714:D715"/>
    <mergeCell ref="E714:E715"/>
    <mergeCell ref="Q712:Q713"/>
    <mergeCell ref="R712:R713"/>
    <mergeCell ref="S712:S713"/>
    <mergeCell ref="T712:T713"/>
    <mergeCell ref="G712:H712"/>
    <mergeCell ref="I712:K713"/>
    <mergeCell ref="M712:M713"/>
    <mergeCell ref="O712:O713"/>
    <mergeCell ref="A712:A713"/>
    <mergeCell ref="B712:B713"/>
    <mergeCell ref="C712:C713"/>
    <mergeCell ref="D712:D713"/>
    <mergeCell ref="E712:E713"/>
    <mergeCell ref="F712:F713"/>
    <mergeCell ref="T710:T711"/>
    <mergeCell ref="V710:X711"/>
    <mergeCell ref="Y710:Y711"/>
    <mergeCell ref="G711:H711"/>
    <mergeCell ref="O710:O711"/>
    <mergeCell ref="Q710:Q711"/>
    <mergeCell ref="R710:R711"/>
    <mergeCell ref="S710:S711"/>
    <mergeCell ref="F710:F711"/>
    <mergeCell ref="G710:H710"/>
    <mergeCell ref="I710:K711"/>
    <mergeCell ref="M710:M711"/>
    <mergeCell ref="V708:X709"/>
    <mergeCell ref="Y708:Y709"/>
    <mergeCell ref="G709:H709"/>
    <mergeCell ref="A710:A711"/>
    <mergeCell ref="B710:B711"/>
    <mergeCell ref="C710:C711"/>
    <mergeCell ref="D710:D711"/>
    <mergeCell ref="E710:E711"/>
    <mergeCell ref="Q708:Q709"/>
    <mergeCell ref="R708:R709"/>
    <mergeCell ref="S708:S709"/>
    <mergeCell ref="T708:T709"/>
    <mergeCell ref="G708:H708"/>
    <mergeCell ref="I708:K709"/>
    <mergeCell ref="M708:M709"/>
    <mergeCell ref="O708:O709"/>
    <mergeCell ref="A708:A709"/>
    <mergeCell ref="B708:B709"/>
    <mergeCell ref="C708:C709"/>
    <mergeCell ref="D708:D709"/>
    <mergeCell ref="E708:E709"/>
    <mergeCell ref="F708:F709"/>
    <mergeCell ref="T706:T707"/>
    <mergeCell ref="V706:X707"/>
    <mergeCell ref="Y706:Y707"/>
    <mergeCell ref="G707:H707"/>
    <mergeCell ref="O706:O707"/>
    <mergeCell ref="Q706:Q707"/>
    <mergeCell ref="R706:R707"/>
    <mergeCell ref="S706:S707"/>
    <mergeCell ref="F706:F707"/>
    <mergeCell ref="G706:H706"/>
    <mergeCell ref="I706:K707"/>
    <mergeCell ref="M706:M707"/>
    <mergeCell ref="V704:X705"/>
    <mergeCell ref="Y704:Y705"/>
    <mergeCell ref="G705:H705"/>
    <mergeCell ref="A706:A707"/>
    <mergeCell ref="B706:B707"/>
    <mergeCell ref="C706:C707"/>
    <mergeCell ref="D706:D707"/>
    <mergeCell ref="E706:E707"/>
    <mergeCell ref="Q704:Q705"/>
    <mergeCell ref="R704:R705"/>
    <mergeCell ref="S704:S705"/>
    <mergeCell ref="T704:T705"/>
    <mergeCell ref="G704:H704"/>
    <mergeCell ref="I704:K705"/>
    <mergeCell ref="M704:M705"/>
    <mergeCell ref="O704:O705"/>
    <mergeCell ref="A704:A705"/>
    <mergeCell ref="B704:B705"/>
    <mergeCell ref="C704:C705"/>
    <mergeCell ref="D704:D705"/>
    <mergeCell ref="E704:E705"/>
    <mergeCell ref="F704:F705"/>
    <mergeCell ref="T702:T703"/>
    <mergeCell ref="V702:X703"/>
    <mergeCell ref="Y702:Y703"/>
    <mergeCell ref="G703:H703"/>
    <mergeCell ref="O702:O703"/>
    <mergeCell ref="Q702:Q703"/>
    <mergeCell ref="R702:R703"/>
    <mergeCell ref="S702:S703"/>
    <mergeCell ref="F702:F703"/>
    <mergeCell ref="G702:H702"/>
    <mergeCell ref="I702:K703"/>
    <mergeCell ref="M702:M703"/>
    <mergeCell ref="V700:X701"/>
    <mergeCell ref="Y700:Y701"/>
    <mergeCell ref="G701:H701"/>
    <mergeCell ref="A702:A703"/>
    <mergeCell ref="B702:B703"/>
    <mergeCell ref="C702:C703"/>
    <mergeCell ref="D702:D703"/>
    <mergeCell ref="E702:E703"/>
    <mergeCell ref="Q700:Q701"/>
    <mergeCell ref="R700:R701"/>
    <mergeCell ref="S700:S701"/>
    <mergeCell ref="T700:T701"/>
    <mergeCell ref="G700:H700"/>
    <mergeCell ref="I700:K701"/>
    <mergeCell ref="M700:M701"/>
    <mergeCell ref="O700:O701"/>
    <mergeCell ref="A700:A701"/>
    <mergeCell ref="B700:B701"/>
    <mergeCell ref="C700:C701"/>
    <mergeCell ref="D700:D701"/>
    <mergeCell ref="E700:E701"/>
    <mergeCell ref="F700:F701"/>
    <mergeCell ref="T698:T699"/>
    <mergeCell ref="V698:X699"/>
    <mergeCell ref="Y698:Y699"/>
    <mergeCell ref="G699:H699"/>
    <mergeCell ref="O698:O699"/>
    <mergeCell ref="Q698:Q699"/>
    <mergeCell ref="R698:R699"/>
    <mergeCell ref="S698:S699"/>
    <mergeCell ref="F698:F699"/>
    <mergeCell ref="G698:H698"/>
    <mergeCell ref="I698:K699"/>
    <mergeCell ref="M698:M699"/>
    <mergeCell ref="V696:X697"/>
    <mergeCell ref="Y696:Y697"/>
    <mergeCell ref="G697:H697"/>
    <mergeCell ref="A698:A699"/>
    <mergeCell ref="B698:B699"/>
    <mergeCell ref="C698:C699"/>
    <mergeCell ref="D698:D699"/>
    <mergeCell ref="E698:E699"/>
    <mergeCell ref="Q696:Q697"/>
    <mergeCell ref="R696:R697"/>
    <mergeCell ref="S696:S697"/>
    <mergeCell ref="T696:T697"/>
    <mergeCell ref="G696:H696"/>
    <mergeCell ref="I696:K697"/>
    <mergeCell ref="M696:M697"/>
    <mergeCell ref="O696:O697"/>
    <mergeCell ref="A696:A697"/>
    <mergeCell ref="B696:B697"/>
    <mergeCell ref="C696:C697"/>
    <mergeCell ref="D696:D697"/>
    <mergeCell ref="E696:E697"/>
    <mergeCell ref="F696:F697"/>
    <mergeCell ref="T694:T695"/>
    <mergeCell ref="V694:X695"/>
    <mergeCell ref="Y694:Y695"/>
    <mergeCell ref="G695:H695"/>
    <mergeCell ref="O694:O695"/>
    <mergeCell ref="Q694:Q695"/>
    <mergeCell ref="R694:R695"/>
    <mergeCell ref="S694:S695"/>
    <mergeCell ref="F694:F695"/>
    <mergeCell ref="G694:H694"/>
    <mergeCell ref="I694:K695"/>
    <mergeCell ref="M694:M695"/>
    <mergeCell ref="V692:X693"/>
    <mergeCell ref="Y692:Y693"/>
    <mergeCell ref="G693:H693"/>
    <mergeCell ref="A694:A695"/>
    <mergeCell ref="B694:B695"/>
    <mergeCell ref="C694:C695"/>
    <mergeCell ref="D694:D695"/>
    <mergeCell ref="E694:E695"/>
    <mergeCell ref="Q692:Q693"/>
    <mergeCell ref="R692:R693"/>
    <mergeCell ref="S692:S693"/>
    <mergeCell ref="T692:T693"/>
    <mergeCell ref="G692:H692"/>
    <mergeCell ref="I692:K693"/>
    <mergeCell ref="M692:M693"/>
    <mergeCell ref="O692:O693"/>
    <mergeCell ref="A692:A693"/>
    <mergeCell ref="B692:B693"/>
    <mergeCell ref="C692:C693"/>
    <mergeCell ref="D692:D693"/>
    <mergeCell ref="E692:E693"/>
    <mergeCell ref="F692:F693"/>
    <mergeCell ref="T690:T691"/>
    <mergeCell ref="V690:X691"/>
    <mergeCell ref="Y690:Y691"/>
    <mergeCell ref="G691:H691"/>
    <mergeCell ref="O690:O691"/>
    <mergeCell ref="Q690:Q691"/>
    <mergeCell ref="R690:R691"/>
    <mergeCell ref="S690:S691"/>
    <mergeCell ref="F690:F691"/>
    <mergeCell ref="G690:H690"/>
    <mergeCell ref="I690:K691"/>
    <mergeCell ref="M690:M691"/>
    <mergeCell ref="V688:X689"/>
    <mergeCell ref="Y688:Y689"/>
    <mergeCell ref="G689:H689"/>
    <mergeCell ref="A690:A691"/>
    <mergeCell ref="B690:B691"/>
    <mergeCell ref="C690:C691"/>
    <mergeCell ref="D690:D691"/>
    <mergeCell ref="E690:E691"/>
    <mergeCell ref="Q688:Q689"/>
    <mergeCell ref="R688:R689"/>
    <mergeCell ref="S688:S689"/>
    <mergeCell ref="T688:T689"/>
    <mergeCell ref="G688:H688"/>
    <mergeCell ref="I688:K689"/>
    <mergeCell ref="M688:M689"/>
    <mergeCell ref="O688:O689"/>
    <mergeCell ref="A688:A689"/>
    <mergeCell ref="B688:B689"/>
    <mergeCell ref="C688:C689"/>
    <mergeCell ref="D688:D689"/>
    <mergeCell ref="E688:E689"/>
    <mergeCell ref="F688:F689"/>
    <mergeCell ref="T686:T687"/>
    <mergeCell ref="V686:X687"/>
    <mergeCell ref="Y686:Y687"/>
    <mergeCell ref="G687:H687"/>
    <mergeCell ref="O686:O687"/>
    <mergeCell ref="Q686:Q687"/>
    <mergeCell ref="R686:R687"/>
    <mergeCell ref="S686:S687"/>
    <mergeCell ref="F686:F687"/>
    <mergeCell ref="G686:H686"/>
    <mergeCell ref="I686:K687"/>
    <mergeCell ref="M686:M687"/>
    <mergeCell ref="V684:X685"/>
    <mergeCell ref="Y684:Y685"/>
    <mergeCell ref="G685:H685"/>
    <mergeCell ref="A686:A687"/>
    <mergeCell ref="B686:B687"/>
    <mergeCell ref="C686:C687"/>
    <mergeCell ref="D686:D687"/>
    <mergeCell ref="E686:E687"/>
    <mergeCell ref="Q684:Q685"/>
    <mergeCell ref="R684:R685"/>
    <mergeCell ref="S684:S685"/>
    <mergeCell ref="T684:T685"/>
    <mergeCell ref="G684:H684"/>
    <mergeCell ref="I684:K685"/>
    <mergeCell ref="M684:M685"/>
    <mergeCell ref="O684:O685"/>
    <mergeCell ref="A684:A685"/>
    <mergeCell ref="B684:B685"/>
    <mergeCell ref="C684:C685"/>
    <mergeCell ref="D684:D685"/>
    <mergeCell ref="E684:E685"/>
    <mergeCell ref="F684:F685"/>
    <mergeCell ref="T682:T683"/>
    <mergeCell ref="V682:X683"/>
    <mergeCell ref="Y682:Y683"/>
    <mergeCell ref="G683:H683"/>
    <mergeCell ref="O682:O683"/>
    <mergeCell ref="Q682:Q683"/>
    <mergeCell ref="R682:R683"/>
    <mergeCell ref="S682:S683"/>
    <mergeCell ref="F682:F683"/>
    <mergeCell ref="G682:H682"/>
    <mergeCell ref="I682:K683"/>
    <mergeCell ref="M682:M683"/>
    <mergeCell ref="V680:X681"/>
    <mergeCell ref="Y680:Y681"/>
    <mergeCell ref="G681:H681"/>
    <mergeCell ref="A682:A683"/>
    <mergeCell ref="B682:B683"/>
    <mergeCell ref="C682:C683"/>
    <mergeCell ref="D682:D683"/>
    <mergeCell ref="E682:E683"/>
    <mergeCell ref="Q680:Q681"/>
    <mergeCell ref="R680:R681"/>
    <mergeCell ref="S680:S681"/>
    <mergeCell ref="T680:T681"/>
    <mergeCell ref="G680:H680"/>
    <mergeCell ref="I680:K681"/>
    <mergeCell ref="M680:M681"/>
    <mergeCell ref="O680:O681"/>
    <mergeCell ref="A680:A681"/>
    <mergeCell ref="B680:B681"/>
    <mergeCell ref="C680:C681"/>
    <mergeCell ref="D680:D681"/>
    <mergeCell ref="E680:E681"/>
    <mergeCell ref="F680:F681"/>
    <mergeCell ref="T678:T679"/>
    <mergeCell ref="V678:X679"/>
    <mergeCell ref="Y678:Y679"/>
    <mergeCell ref="G679:H679"/>
    <mergeCell ref="O678:O679"/>
    <mergeCell ref="Q678:Q679"/>
    <mergeCell ref="R678:R679"/>
    <mergeCell ref="S678:S679"/>
    <mergeCell ref="F678:F679"/>
    <mergeCell ref="G678:H678"/>
    <mergeCell ref="I678:K679"/>
    <mergeCell ref="M678:M679"/>
    <mergeCell ref="V676:X677"/>
    <mergeCell ref="Y676:Y677"/>
    <mergeCell ref="G677:H677"/>
    <mergeCell ref="A678:A679"/>
    <mergeCell ref="B678:B679"/>
    <mergeCell ref="C678:C679"/>
    <mergeCell ref="D678:D679"/>
    <mergeCell ref="E678:E679"/>
    <mergeCell ref="Q676:Q677"/>
    <mergeCell ref="R676:R677"/>
    <mergeCell ref="S676:S677"/>
    <mergeCell ref="T676:T677"/>
    <mergeCell ref="G676:H676"/>
    <mergeCell ref="I676:K677"/>
    <mergeCell ref="M676:M677"/>
    <mergeCell ref="O676:O677"/>
    <mergeCell ref="A676:A677"/>
    <mergeCell ref="B676:B677"/>
    <mergeCell ref="C676:C677"/>
    <mergeCell ref="D676:D677"/>
    <mergeCell ref="E676:E677"/>
    <mergeCell ref="F676:F677"/>
    <mergeCell ref="T674:T675"/>
    <mergeCell ref="V674:X675"/>
    <mergeCell ref="Y674:Y675"/>
    <mergeCell ref="G675:H675"/>
    <mergeCell ref="O674:O675"/>
    <mergeCell ref="Q674:Q675"/>
    <mergeCell ref="R674:R675"/>
    <mergeCell ref="S674:S675"/>
    <mergeCell ref="F674:F675"/>
    <mergeCell ref="G674:H674"/>
    <mergeCell ref="I674:K675"/>
    <mergeCell ref="M674:M675"/>
    <mergeCell ref="V672:X673"/>
    <mergeCell ref="Y672:Y673"/>
    <mergeCell ref="G673:H673"/>
    <mergeCell ref="A674:A675"/>
    <mergeCell ref="B674:B675"/>
    <mergeCell ref="C674:C675"/>
    <mergeCell ref="D674:D675"/>
    <mergeCell ref="E674:E675"/>
    <mergeCell ref="Q672:Q673"/>
    <mergeCell ref="R672:R673"/>
    <mergeCell ref="S672:S673"/>
    <mergeCell ref="T672:T673"/>
    <mergeCell ref="G672:H672"/>
    <mergeCell ref="I672:K673"/>
    <mergeCell ref="M672:M673"/>
    <mergeCell ref="O672:O673"/>
    <mergeCell ref="A672:A673"/>
    <mergeCell ref="B672:B673"/>
    <mergeCell ref="C672:C673"/>
    <mergeCell ref="D672:D673"/>
    <mergeCell ref="E672:E673"/>
    <mergeCell ref="F672:F673"/>
    <mergeCell ref="T670:T671"/>
    <mergeCell ref="V670:X671"/>
    <mergeCell ref="Y670:Y671"/>
    <mergeCell ref="G671:H671"/>
    <mergeCell ref="O670:O671"/>
    <mergeCell ref="Q670:Q671"/>
    <mergeCell ref="R670:R671"/>
    <mergeCell ref="S670:S671"/>
    <mergeCell ref="F670:F671"/>
    <mergeCell ref="G670:H670"/>
    <mergeCell ref="I670:K671"/>
    <mergeCell ref="M670:M671"/>
    <mergeCell ref="V668:X669"/>
    <mergeCell ref="Y668:Y669"/>
    <mergeCell ref="G669:H669"/>
    <mergeCell ref="A670:A671"/>
    <mergeCell ref="B670:B671"/>
    <mergeCell ref="C670:C671"/>
    <mergeCell ref="D670:D671"/>
    <mergeCell ref="E670:E671"/>
    <mergeCell ref="Q668:Q669"/>
    <mergeCell ref="R668:R669"/>
    <mergeCell ref="S668:S669"/>
    <mergeCell ref="T668:T669"/>
    <mergeCell ref="G668:H668"/>
    <mergeCell ref="I668:K669"/>
    <mergeCell ref="M668:M669"/>
    <mergeCell ref="O668:O669"/>
    <mergeCell ref="A668:A669"/>
    <mergeCell ref="B668:B669"/>
    <mergeCell ref="C668:C669"/>
    <mergeCell ref="D668:D669"/>
    <mergeCell ref="E668:E669"/>
    <mergeCell ref="F668:F669"/>
    <mergeCell ref="T666:T667"/>
    <mergeCell ref="V666:X667"/>
    <mergeCell ref="Y666:Y667"/>
    <mergeCell ref="G667:H667"/>
    <mergeCell ref="O666:O667"/>
    <mergeCell ref="Q666:Q667"/>
    <mergeCell ref="R666:R667"/>
    <mergeCell ref="S666:S667"/>
    <mergeCell ref="F666:F667"/>
    <mergeCell ref="G666:H666"/>
    <mergeCell ref="I666:K667"/>
    <mergeCell ref="M666:M667"/>
    <mergeCell ref="V664:X665"/>
    <mergeCell ref="Y664:Y665"/>
    <mergeCell ref="G665:H665"/>
    <mergeCell ref="A666:A667"/>
    <mergeCell ref="B666:B667"/>
    <mergeCell ref="C666:C667"/>
    <mergeCell ref="D666:D667"/>
    <mergeCell ref="E666:E667"/>
    <mergeCell ref="Q664:Q665"/>
    <mergeCell ref="R664:R665"/>
    <mergeCell ref="S664:S665"/>
    <mergeCell ref="T664:T665"/>
    <mergeCell ref="G664:H664"/>
    <mergeCell ref="I664:K665"/>
    <mergeCell ref="M664:M665"/>
    <mergeCell ref="O664:O665"/>
    <mergeCell ref="A664:A665"/>
    <mergeCell ref="B664:B665"/>
    <mergeCell ref="C664:C665"/>
    <mergeCell ref="D664:D665"/>
    <mergeCell ref="E664:E665"/>
    <mergeCell ref="F664:F665"/>
    <mergeCell ref="T662:T663"/>
    <mergeCell ref="V662:X663"/>
    <mergeCell ref="Y662:Y663"/>
    <mergeCell ref="G663:H663"/>
    <mergeCell ref="O662:O663"/>
    <mergeCell ref="Q662:Q663"/>
    <mergeCell ref="R662:R663"/>
    <mergeCell ref="S662:S663"/>
    <mergeCell ref="F662:F663"/>
    <mergeCell ref="G662:H662"/>
    <mergeCell ref="I662:K663"/>
    <mergeCell ref="M662:M663"/>
    <mergeCell ref="V660:X661"/>
    <mergeCell ref="Y660:Y661"/>
    <mergeCell ref="G661:H661"/>
    <mergeCell ref="A662:A663"/>
    <mergeCell ref="B662:B663"/>
    <mergeCell ref="C662:C663"/>
    <mergeCell ref="D662:D663"/>
    <mergeCell ref="E662:E663"/>
    <mergeCell ref="Q660:Q661"/>
    <mergeCell ref="R660:R661"/>
    <mergeCell ref="S660:S661"/>
    <mergeCell ref="T660:T661"/>
    <mergeCell ref="G660:H660"/>
    <mergeCell ref="I660:K661"/>
    <mergeCell ref="M660:M661"/>
    <mergeCell ref="O660:O661"/>
    <mergeCell ref="A660:A661"/>
    <mergeCell ref="B660:B661"/>
    <mergeCell ref="C660:C661"/>
    <mergeCell ref="D660:D661"/>
    <mergeCell ref="E660:E661"/>
    <mergeCell ref="F660:F661"/>
    <mergeCell ref="T658:T659"/>
    <mergeCell ref="V658:X659"/>
    <mergeCell ref="Y658:Y659"/>
    <mergeCell ref="G659:H659"/>
    <mergeCell ref="O658:O659"/>
    <mergeCell ref="Q658:Q659"/>
    <mergeCell ref="R658:R659"/>
    <mergeCell ref="S658:S659"/>
    <mergeCell ref="F658:F659"/>
    <mergeCell ref="G658:H658"/>
    <mergeCell ref="I658:K659"/>
    <mergeCell ref="M658:M659"/>
    <mergeCell ref="V656:X657"/>
    <mergeCell ref="Y656:Y657"/>
    <mergeCell ref="G657:H657"/>
    <mergeCell ref="A658:A659"/>
    <mergeCell ref="B658:B659"/>
    <mergeCell ref="C658:C659"/>
    <mergeCell ref="D658:D659"/>
    <mergeCell ref="E658:E659"/>
    <mergeCell ref="Q656:Q657"/>
    <mergeCell ref="R656:R657"/>
    <mergeCell ref="S656:S657"/>
    <mergeCell ref="T656:T657"/>
    <mergeCell ref="G656:H656"/>
    <mergeCell ref="I656:K657"/>
    <mergeCell ref="M656:M657"/>
    <mergeCell ref="O656:O657"/>
    <mergeCell ref="A656:A657"/>
    <mergeCell ref="B656:B657"/>
    <mergeCell ref="C656:C657"/>
    <mergeCell ref="D656:D657"/>
    <mergeCell ref="E656:E657"/>
    <mergeCell ref="F656:F657"/>
    <mergeCell ref="T654:T655"/>
    <mergeCell ref="V654:X655"/>
    <mergeCell ref="Y654:Y655"/>
    <mergeCell ref="G655:H655"/>
    <mergeCell ref="O654:O655"/>
    <mergeCell ref="Q654:Q655"/>
    <mergeCell ref="R654:R655"/>
    <mergeCell ref="S654:S655"/>
    <mergeCell ref="F654:F655"/>
    <mergeCell ref="G654:H654"/>
    <mergeCell ref="I654:K655"/>
    <mergeCell ref="M654:M655"/>
    <mergeCell ref="V652:X653"/>
    <mergeCell ref="Y652:Y653"/>
    <mergeCell ref="G653:H653"/>
    <mergeCell ref="A654:A655"/>
    <mergeCell ref="B654:B655"/>
    <mergeCell ref="C654:C655"/>
    <mergeCell ref="D654:D655"/>
    <mergeCell ref="E654:E655"/>
    <mergeCell ref="Q652:Q653"/>
    <mergeCell ref="R652:R653"/>
    <mergeCell ref="S652:S653"/>
    <mergeCell ref="T652:T653"/>
    <mergeCell ref="G652:H652"/>
    <mergeCell ref="I652:K653"/>
    <mergeCell ref="M652:M653"/>
    <mergeCell ref="O652:O653"/>
    <mergeCell ref="A652:A653"/>
    <mergeCell ref="B652:B653"/>
    <mergeCell ref="C652:C653"/>
    <mergeCell ref="D652:D653"/>
    <mergeCell ref="E652:E653"/>
    <mergeCell ref="F652:F653"/>
    <mergeCell ref="T650:T651"/>
    <mergeCell ref="V650:X651"/>
    <mergeCell ref="Y650:Y651"/>
    <mergeCell ref="G651:H651"/>
    <mergeCell ref="O650:O651"/>
    <mergeCell ref="Q650:Q651"/>
    <mergeCell ref="R650:R651"/>
    <mergeCell ref="S650:S651"/>
    <mergeCell ref="F650:F651"/>
    <mergeCell ref="G650:H650"/>
    <mergeCell ref="I650:K651"/>
    <mergeCell ref="M650:M651"/>
    <mergeCell ref="V648:X649"/>
    <mergeCell ref="Y648:Y649"/>
    <mergeCell ref="G649:H649"/>
    <mergeCell ref="A650:A651"/>
    <mergeCell ref="B650:B651"/>
    <mergeCell ref="C650:C651"/>
    <mergeCell ref="D650:D651"/>
    <mergeCell ref="E650:E651"/>
    <mergeCell ref="Q648:Q649"/>
    <mergeCell ref="R648:R649"/>
    <mergeCell ref="S648:S649"/>
    <mergeCell ref="T648:T649"/>
    <mergeCell ref="G648:H648"/>
    <mergeCell ref="I648:K649"/>
    <mergeCell ref="M648:M649"/>
    <mergeCell ref="O648:O649"/>
    <mergeCell ref="A648:A649"/>
    <mergeCell ref="B648:B649"/>
    <mergeCell ref="C648:C649"/>
    <mergeCell ref="D648:D649"/>
    <mergeCell ref="E648:E649"/>
    <mergeCell ref="F648:F649"/>
    <mergeCell ref="T646:T647"/>
    <mergeCell ref="V646:X647"/>
    <mergeCell ref="Y646:Y647"/>
    <mergeCell ref="G647:H647"/>
    <mergeCell ref="O646:O647"/>
    <mergeCell ref="Q646:Q647"/>
    <mergeCell ref="R646:R647"/>
    <mergeCell ref="S646:S647"/>
    <mergeCell ref="F646:F647"/>
    <mergeCell ref="G646:H646"/>
    <mergeCell ref="I646:K647"/>
    <mergeCell ref="M646:M647"/>
    <mergeCell ref="V644:X645"/>
    <mergeCell ref="Y644:Y645"/>
    <mergeCell ref="G645:H645"/>
    <mergeCell ref="A646:A647"/>
    <mergeCell ref="B646:B647"/>
    <mergeCell ref="C646:C647"/>
    <mergeCell ref="D646:D647"/>
    <mergeCell ref="E646:E647"/>
    <mergeCell ref="Q644:Q645"/>
    <mergeCell ref="R644:R645"/>
    <mergeCell ref="S644:S645"/>
    <mergeCell ref="T644:T645"/>
    <mergeCell ref="G644:H644"/>
    <mergeCell ref="I644:K645"/>
    <mergeCell ref="M644:M645"/>
    <mergeCell ref="O644:O645"/>
    <mergeCell ref="A644:A645"/>
    <mergeCell ref="B644:B645"/>
    <mergeCell ref="C644:C645"/>
    <mergeCell ref="D644:D645"/>
    <mergeCell ref="E644:E645"/>
    <mergeCell ref="F644:F645"/>
    <mergeCell ref="T642:T643"/>
    <mergeCell ref="V642:X643"/>
    <mergeCell ref="Y642:Y643"/>
    <mergeCell ref="G643:H643"/>
    <mergeCell ref="O642:O643"/>
    <mergeCell ref="Q642:Q643"/>
    <mergeCell ref="R642:R643"/>
    <mergeCell ref="S642:S643"/>
    <mergeCell ref="F642:F643"/>
    <mergeCell ref="G642:H642"/>
    <mergeCell ref="I642:K643"/>
    <mergeCell ref="M642:M643"/>
    <mergeCell ref="V640:X641"/>
    <mergeCell ref="Y640:Y641"/>
    <mergeCell ref="G641:H641"/>
    <mergeCell ref="A642:A643"/>
    <mergeCell ref="B642:B643"/>
    <mergeCell ref="C642:C643"/>
    <mergeCell ref="D642:D643"/>
    <mergeCell ref="E642:E643"/>
    <mergeCell ref="Q640:Q641"/>
    <mergeCell ref="R640:R641"/>
    <mergeCell ref="S640:S641"/>
    <mergeCell ref="T640:T641"/>
    <mergeCell ref="G640:H640"/>
    <mergeCell ref="I640:K641"/>
    <mergeCell ref="M640:M641"/>
    <mergeCell ref="O640:O641"/>
    <mergeCell ref="A640:A641"/>
    <mergeCell ref="B640:B641"/>
    <mergeCell ref="C640:C641"/>
    <mergeCell ref="D640:D641"/>
    <mergeCell ref="E640:E641"/>
    <mergeCell ref="F640:F641"/>
    <mergeCell ref="T638:T639"/>
    <mergeCell ref="V638:X639"/>
    <mergeCell ref="Y638:Y639"/>
    <mergeCell ref="G639:H639"/>
    <mergeCell ref="O638:O639"/>
    <mergeCell ref="Q638:Q639"/>
    <mergeCell ref="R638:R639"/>
    <mergeCell ref="S638:S639"/>
    <mergeCell ref="F638:F639"/>
    <mergeCell ref="G638:H638"/>
    <mergeCell ref="I638:K639"/>
    <mergeCell ref="M638:M639"/>
    <mergeCell ref="V636:X637"/>
    <mergeCell ref="Y636:Y637"/>
    <mergeCell ref="G637:H637"/>
    <mergeCell ref="A638:A639"/>
    <mergeCell ref="B638:B639"/>
    <mergeCell ref="C638:C639"/>
    <mergeCell ref="D638:D639"/>
    <mergeCell ref="E638:E639"/>
    <mergeCell ref="Q636:Q637"/>
    <mergeCell ref="R636:R637"/>
    <mergeCell ref="S636:S637"/>
    <mergeCell ref="T636:T637"/>
    <mergeCell ref="G636:H636"/>
    <mergeCell ref="I636:K637"/>
    <mergeCell ref="M636:M637"/>
    <mergeCell ref="O636:O637"/>
    <mergeCell ref="A636:A637"/>
    <mergeCell ref="B636:B637"/>
    <mergeCell ref="C636:C637"/>
    <mergeCell ref="D636:D637"/>
    <mergeCell ref="E636:E637"/>
    <mergeCell ref="F636:F637"/>
    <mergeCell ref="T634:T635"/>
    <mergeCell ref="V634:X635"/>
    <mergeCell ref="Y634:Y635"/>
    <mergeCell ref="G635:H635"/>
    <mergeCell ref="O634:O635"/>
    <mergeCell ref="Q634:Q635"/>
    <mergeCell ref="R634:R635"/>
    <mergeCell ref="S634:S635"/>
    <mergeCell ref="F634:F635"/>
    <mergeCell ref="G634:H634"/>
    <mergeCell ref="I634:K635"/>
    <mergeCell ref="M634:M635"/>
    <mergeCell ref="V632:X633"/>
    <mergeCell ref="Y632:Y633"/>
    <mergeCell ref="G633:H633"/>
    <mergeCell ref="A634:A635"/>
    <mergeCell ref="B634:B635"/>
    <mergeCell ref="C634:C635"/>
    <mergeCell ref="D634:D635"/>
    <mergeCell ref="E634:E635"/>
    <mergeCell ref="Q632:Q633"/>
    <mergeCell ref="R632:R633"/>
    <mergeCell ref="S632:S633"/>
    <mergeCell ref="T632:T633"/>
    <mergeCell ref="G632:H632"/>
    <mergeCell ref="I632:K633"/>
    <mergeCell ref="M632:M633"/>
    <mergeCell ref="O632:O633"/>
    <mergeCell ref="A632:A633"/>
    <mergeCell ref="B632:B633"/>
    <mergeCell ref="C632:C633"/>
    <mergeCell ref="D632:D633"/>
    <mergeCell ref="E632:E633"/>
    <mergeCell ref="F632:F633"/>
    <mergeCell ref="T630:T631"/>
    <mergeCell ref="V630:X631"/>
    <mergeCell ref="Y630:Y631"/>
    <mergeCell ref="G631:H631"/>
    <mergeCell ref="O630:O631"/>
    <mergeCell ref="Q630:Q631"/>
    <mergeCell ref="R630:R631"/>
    <mergeCell ref="S630:S631"/>
    <mergeCell ref="F630:F631"/>
    <mergeCell ref="G630:H630"/>
    <mergeCell ref="I630:K631"/>
    <mergeCell ref="M630:M631"/>
    <mergeCell ref="V628:X629"/>
    <mergeCell ref="Y628:Y629"/>
    <mergeCell ref="G629:H629"/>
    <mergeCell ref="A630:A631"/>
    <mergeCell ref="B630:B631"/>
    <mergeCell ref="C630:C631"/>
    <mergeCell ref="D630:D631"/>
    <mergeCell ref="E630:E631"/>
    <mergeCell ref="Q628:Q629"/>
    <mergeCell ref="R628:R629"/>
    <mergeCell ref="S628:S629"/>
    <mergeCell ref="T628:T629"/>
    <mergeCell ref="G628:H628"/>
    <mergeCell ref="I628:K629"/>
    <mergeCell ref="M628:M629"/>
    <mergeCell ref="O628:O629"/>
    <mergeCell ref="A628:A629"/>
    <mergeCell ref="B628:B629"/>
    <mergeCell ref="C628:C629"/>
    <mergeCell ref="D628:D629"/>
    <mergeCell ref="E628:E629"/>
    <mergeCell ref="F628:F629"/>
    <mergeCell ref="T626:T627"/>
    <mergeCell ref="V626:X627"/>
    <mergeCell ref="Y626:Y627"/>
    <mergeCell ref="G627:H627"/>
    <mergeCell ref="O626:O627"/>
    <mergeCell ref="Q626:Q627"/>
    <mergeCell ref="R626:R627"/>
    <mergeCell ref="S626:S627"/>
    <mergeCell ref="F626:F627"/>
    <mergeCell ref="G626:H626"/>
    <mergeCell ref="I626:K627"/>
    <mergeCell ref="M626:M627"/>
    <mergeCell ref="V624:X625"/>
    <mergeCell ref="Y624:Y625"/>
    <mergeCell ref="G625:H625"/>
    <mergeCell ref="A626:A627"/>
    <mergeCell ref="B626:B627"/>
    <mergeCell ref="C626:C627"/>
    <mergeCell ref="D626:D627"/>
    <mergeCell ref="E626:E627"/>
    <mergeCell ref="Q624:Q625"/>
    <mergeCell ref="R624:R625"/>
    <mergeCell ref="S624:S625"/>
    <mergeCell ref="T624:T625"/>
    <mergeCell ref="G624:H624"/>
    <mergeCell ref="I624:K625"/>
    <mergeCell ref="M624:M625"/>
    <mergeCell ref="O624:O625"/>
    <mergeCell ref="A624:A625"/>
    <mergeCell ref="B624:B625"/>
    <mergeCell ref="C624:C625"/>
    <mergeCell ref="D624:D625"/>
    <mergeCell ref="E624:E625"/>
    <mergeCell ref="F624:F625"/>
    <mergeCell ref="T622:T623"/>
    <mergeCell ref="V622:X623"/>
    <mergeCell ref="Y622:Y623"/>
    <mergeCell ref="G623:H623"/>
    <mergeCell ref="O622:O623"/>
    <mergeCell ref="Q622:Q623"/>
    <mergeCell ref="R622:R623"/>
    <mergeCell ref="S622:S623"/>
    <mergeCell ref="F622:F623"/>
    <mergeCell ref="G622:H622"/>
    <mergeCell ref="I622:K623"/>
    <mergeCell ref="M622:M623"/>
    <mergeCell ref="V620:X621"/>
    <mergeCell ref="Y620:Y621"/>
    <mergeCell ref="G621:H621"/>
    <mergeCell ref="A622:A623"/>
    <mergeCell ref="B622:B623"/>
    <mergeCell ref="C622:C623"/>
    <mergeCell ref="D622:D623"/>
    <mergeCell ref="E622:E623"/>
    <mergeCell ref="Q620:Q621"/>
    <mergeCell ref="R620:R621"/>
    <mergeCell ref="S620:S621"/>
    <mergeCell ref="T620:T621"/>
    <mergeCell ref="G620:H620"/>
    <mergeCell ref="I620:K621"/>
    <mergeCell ref="M620:M621"/>
    <mergeCell ref="O620:O621"/>
    <mergeCell ref="A620:A621"/>
    <mergeCell ref="B620:B621"/>
    <mergeCell ref="C620:C621"/>
    <mergeCell ref="D620:D621"/>
    <mergeCell ref="E620:E621"/>
    <mergeCell ref="F620:F621"/>
    <mergeCell ref="T618:T619"/>
    <mergeCell ref="V618:X619"/>
    <mergeCell ref="Y618:Y619"/>
    <mergeCell ref="G619:H619"/>
    <mergeCell ref="O618:O619"/>
    <mergeCell ref="Q618:Q619"/>
    <mergeCell ref="R618:R619"/>
    <mergeCell ref="S618:S619"/>
    <mergeCell ref="F618:F619"/>
    <mergeCell ref="G618:H618"/>
    <mergeCell ref="I618:K619"/>
    <mergeCell ref="M618:M619"/>
    <mergeCell ref="V616:X617"/>
    <mergeCell ref="Y616:Y617"/>
    <mergeCell ref="G617:H617"/>
    <mergeCell ref="A618:A619"/>
    <mergeCell ref="B618:B619"/>
    <mergeCell ref="C618:C619"/>
    <mergeCell ref="D618:D619"/>
    <mergeCell ref="E618:E619"/>
    <mergeCell ref="Q616:Q617"/>
    <mergeCell ref="R616:R617"/>
    <mergeCell ref="S616:S617"/>
    <mergeCell ref="T616:T617"/>
    <mergeCell ref="G616:H616"/>
    <mergeCell ref="I616:K617"/>
    <mergeCell ref="M616:M617"/>
    <mergeCell ref="O616:O617"/>
    <mergeCell ref="A616:A617"/>
    <mergeCell ref="B616:B617"/>
    <mergeCell ref="C616:C617"/>
    <mergeCell ref="D616:D617"/>
    <mergeCell ref="E616:E617"/>
    <mergeCell ref="F616:F617"/>
    <mergeCell ref="T614:T615"/>
    <mergeCell ref="V614:X615"/>
    <mergeCell ref="Y614:Y615"/>
    <mergeCell ref="G615:H615"/>
    <mergeCell ref="O614:O615"/>
    <mergeCell ref="Q614:Q615"/>
    <mergeCell ref="R614:R615"/>
    <mergeCell ref="S614:S615"/>
    <mergeCell ref="F614:F615"/>
    <mergeCell ref="G614:H614"/>
    <mergeCell ref="I614:K615"/>
    <mergeCell ref="M614:M615"/>
    <mergeCell ref="V612:X613"/>
    <mergeCell ref="Y612:Y613"/>
    <mergeCell ref="G613:H613"/>
    <mergeCell ref="A614:A615"/>
    <mergeCell ref="B614:B615"/>
    <mergeCell ref="C614:C615"/>
    <mergeCell ref="D614:D615"/>
    <mergeCell ref="E614:E615"/>
    <mergeCell ref="Q612:Q613"/>
    <mergeCell ref="R612:R613"/>
    <mergeCell ref="S612:S613"/>
    <mergeCell ref="T612:T613"/>
    <mergeCell ref="G612:H612"/>
    <mergeCell ref="I612:K613"/>
    <mergeCell ref="M612:M613"/>
    <mergeCell ref="O612:O613"/>
    <mergeCell ref="A612:A613"/>
    <mergeCell ref="B612:B613"/>
    <mergeCell ref="C612:C613"/>
    <mergeCell ref="D612:D613"/>
    <mergeCell ref="E612:E613"/>
    <mergeCell ref="F612:F613"/>
    <mergeCell ref="T610:T611"/>
    <mergeCell ref="V610:X611"/>
    <mergeCell ref="Y610:Y611"/>
    <mergeCell ref="G611:H611"/>
    <mergeCell ref="O610:O611"/>
    <mergeCell ref="Q610:Q611"/>
    <mergeCell ref="R610:R611"/>
    <mergeCell ref="S610:S611"/>
    <mergeCell ref="F610:F611"/>
    <mergeCell ref="G610:H610"/>
    <mergeCell ref="I610:K611"/>
    <mergeCell ref="M610:M611"/>
    <mergeCell ref="V608:X609"/>
    <mergeCell ref="Y608:Y609"/>
    <mergeCell ref="G609:H609"/>
    <mergeCell ref="A610:A611"/>
    <mergeCell ref="B610:B611"/>
    <mergeCell ref="C610:C611"/>
    <mergeCell ref="D610:D611"/>
    <mergeCell ref="E610:E611"/>
    <mergeCell ref="Q608:Q609"/>
    <mergeCell ref="R608:R609"/>
    <mergeCell ref="S608:S609"/>
    <mergeCell ref="T608:T609"/>
    <mergeCell ref="G608:H608"/>
    <mergeCell ref="I608:K609"/>
    <mergeCell ref="M608:M609"/>
    <mergeCell ref="O608:O609"/>
    <mergeCell ref="A608:A609"/>
    <mergeCell ref="B608:B609"/>
    <mergeCell ref="C608:C609"/>
    <mergeCell ref="D608:D609"/>
    <mergeCell ref="E608:E609"/>
    <mergeCell ref="F608:F609"/>
    <mergeCell ref="T606:T607"/>
    <mergeCell ref="V606:X607"/>
    <mergeCell ref="Y606:Y607"/>
    <mergeCell ref="G607:H607"/>
    <mergeCell ref="O606:O607"/>
    <mergeCell ref="Q606:Q607"/>
    <mergeCell ref="R606:R607"/>
    <mergeCell ref="S606:S607"/>
    <mergeCell ref="F606:F607"/>
    <mergeCell ref="G606:H606"/>
    <mergeCell ref="I606:K607"/>
    <mergeCell ref="M606:M607"/>
    <mergeCell ref="V604:X605"/>
    <mergeCell ref="Y604:Y605"/>
    <mergeCell ref="G605:H605"/>
    <mergeCell ref="A606:A607"/>
    <mergeCell ref="B606:B607"/>
    <mergeCell ref="C606:C607"/>
    <mergeCell ref="D606:D607"/>
    <mergeCell ref="E606:E607"/>
    <mergeCell ref="Q604:Q605"/>
    <mergeCell ref="R604:R605"/>
    <mergeCell ref="S604:S605"/>
    <mergeCell ref="T604:T605"/>
    <mergeCell ref="G604:H604"/>
    <mergeCell ref="I604:K605"/>
    <mergeCell ref="M604:M605"/>
    <mergeCell ref="O604:O605"/>
    <mergeCell ref="A604:A605"/>
    <mergeCell ref="B604:B605"/>
    <mergeCell ref="C604:C605"/>
    <mergeCell ref="D604:D605"/>
    <mergeCell ref="E604:E605"/>
    <mergeCell ref="F604:F605"/>
    <mergeCell ref="T602:T603"/>
    <mergeCell ref="V602:X603"/>
    <mergeCell ref="Y602:Y603"/>
    <mergeCell ref="G603:H603"/>
    <mergeCell ref="O602:O603"/>
    <mergeCell ref="Q602:Q603"/>
    <mergeCell ref="R602:R603"/>
    <mergeCell ref="S602:S603"/>
    <mergeCell ref="F602:F603"/>
    <mergeCell ref="G602:H602"/>
    <mergeCell ref="I602:K603"/>
    <mergeCell ref="M602:M603"/>
    <mergeCell ref="V600:X601"/>
    <mergeCell ref="Y600:Y601"/>
    <mergeCell ref="G601:H601"/>
    <mergeCell ref="A602:A603"/>
    <mergeCell ref="B602:B603"/>
    <mergeCell ref="C602:C603"/>
    <mergeCell ref="D602:D603"/>
    <mergeCell ref="E602:E603"/>
    <mergeCell ref="Q600:Q601"/>
    <mergeCell ref="R600:R601"/>
    <mergeCell ref="S600:S601"/>
    <mergeCell ref="T600:T601"/>
    <mergeCell ref="G600:H600"/>
    <mergeCell ref="I600:K601"/>
    <mergeCell ref="M600:M601"/>
    <mergeCell ref="O600:O601"/>
    <mergeCell ref="A600:A601"/>
    <mergeCell ref="B600:B601"/>
    <mergeCell ref="C600:C601"/>
    <mergeCell ref="D600:D601"/>
    <mergeCell ref="E600:E601"/>
    <mergeCell ref="F600:F601"/>
    <mergeCell ref="T598:T599"/>
    <mergeCell ref="V598:X599"/>
    <mergeCell ref="Y598:Y599"/>
    <mergeCell ref="G599:H599"/>
    <mergeCell ref="O598:O599"/>
    <mergeCell ref="Q598:Q599"/>
    <mergeCell ref="R598:R599"/>
    <mergeCell ref="S598:S599"/>
    <mergeCell ref="F598:F599"/>
    <mergeCell ref="G598:H598"/>
    <mergeCell ref="I598:K599"/>
    <mergeCell ref="M598:M599"/>
    <mergeCell ref="V596:X597"/>
    <mergeCell ref="Y596:Y597"/>
    <mergeCell ref="G597:H597"/>
    <mergeCell ref="A598:A599"/>
    <mergeCell ref="B598:B599"/>
    <mergeCell ref="C598:C599"/>
    <mergeCell ref="D598:D599"/>
    <mergeCell ref="E598:E599"/>
    <mergeCell ref="Q596:Q597"/>
    <mergeCell ref="R596:R597"/>
    <mergeCell ref="S596:S597"/>
    <mergeCell ref="T596:T597"/>
    <mergeCell ref="G596:H596"/>
    <mergeCell ref="I596:K597"/>
    <mergeCell ref="M596:M597"/>
    <mergeCell ref="O596:O597"/>
    <mergeCell ref="A596:A597"/>
    <mergeCell ref="B596:B597"/>
    <mergeCell ref="C596:C597"/>
    <mergeCell ref="D596:D597"/>
    <mergeCell ref="E596:E597"/>
    <mergeCell ref="F596:F597"/>
    <mergeCell ref="T594:T595"/>
    <mergeCell ref="V594:X595"/>
    <mergeCell ref="Y594:Y595"/>
    <mergeCell ref="G595:H595"/>
    <mergeCell ref="O594:O595"/>
    <mergeCell ref="Q594:Q595"/>
    <mergeCell ref="R594:R595"/>
    <mergeCell ref="S594:S595"/>
    <mergeCell ref="F594:F595"/>
    <mergeCell ref="G594:H594"/>
    <mergeCell ref="I594:K595"/>
    <mergeCell ref="M594:M595"/>
    <mergeCell ref="V592:X593"/>
    <mergeCell ref="Y592:Y593"/>
    <mergeCell ref="G593:H593"/>
    <mergeCell ref="A594:A595"/>
    <mergeCell ref="B594:B595"/>
    <mergeCell ref="C594:C595"/>
    <mergeCell ref="D594:D595"/>
    <mergeCell ref="E594:E595"/>
    <mergeCell ref="Q592:Q593"/>
    <mergeCell ref="R592:R593"/>
    <mergeCell ref="S592:S593"/>
    <mergeCell ref="T592:T593"/>
    <mergeCell ref="G592:H592"/>
    <mergeCell ref="I592:K593"/>
    <mergeCell ref="M592:M593"/>
    <mergeCell ref="O592:O593"/>
    <mergeCell ref="A592:A593"/>
    <mergeCell ref="B592:B593"/>
    <mergeCell ref="C592:C593"/>
    <mergeCell ref="D592:D593"/>
    <mergeCell ref="E592:E593"/>
    <mergeCell ref="F592:F593"/>
    <mergeCell ref="T590:T591"/>
    <mergeCell ref="V590:X591"/>
    <mergeCell ref="Y590:Y591"/>
    <mergeCell ref="G591:H591"/>
    <mergeCell ref="O590:O591"/>
    <mergeCell ref="Q590:Q591"/>
    <mergeCell ref="R590:R591"/>
    <mergeCell ref="S590:S591"/>
    <mergeCell ref="F590:F591"/>
    <mergeCell ref="G590:H590"/>
    <mergeCell ref="I590:K591"/>
    <mergeCell ref="M590:M591"/>
    <mergeCell ref="V588:X589"/>
    <mergeCell ref="Y588:Y589"/>
    <mergeCell ref="G589:H589"/>
    <mergeCell ref="A590:A591"/>
    <mergeCell ref="B590:B591"/>
    <mergeCell ref="C590:C591"/>
    <mergeCell ref="D590:D591"/>
    <mergeCell ref="E590:E591"/>
    <mergeCell ref="Q588:Q589"/>
    <mergeCell ref="R588:R589"/>
    <mergeCell ref="S588:S589"/>
    <mergeCell ref="T588:T589"/>
    <mergeCell ref="G588:H588"/>
    <mergeCell ref="I588:K589"/>
    <mergeCell ref="M588:M589"/>
    <mergeCell ref="O588:O589"/>
    <mergeCell ref="A588:A589"/>
    <mergeCell ref="B588:B589"/>
    <mergeCell ref="C588:C589"/>
    <mergeCell ref="D588:D589"/>
    <mergeCell ref="E588:E589"/>
    <mergeCell ref="F588:F589"/>
    <mergeCell ref="T586:T587"/>
    <mergeCell ref="V586:X587"/>
    <mergeCell ref="Y586:Y587"/>
    <mergeCell ref="G587:H587"/>
    <mergeCell ref="O586:O587"/>
    <mergeCell ref="Q586:Q587"/>
    <mergeCell ref="R586:R587"/>
    <mergeCell ref="S586:S587"/>
    <mergeCell ref="F586:F587"/>
    <mergeCell ref="G586:H586"/>
    <mergeCell ref="I586:K587"/>
    <mergeCell ref="M586:M587"/>
    <mergeCell ref="V584:X585"/>
    <mergeCell ref="Y584:Y585"/>
    <mergeCell ref="G585:H585"/>
    <mergeCell ref="A586:A587"/>
    <mergeCell ref="B586:B587"/>
    <mergeCell ref="C586:C587"/>
    <mergeCell ref="D586:D587"/>
    <mergeCell ref="E586:E587"/>
    <mergeCell ref="Q584:Q585"/>
    <mergeCell ref="R584:R585"/>
    <mergeCell ref="S584:S585"/>
    <mergeCell ref="T584:T585"/>
    <mergeCell ref="G584:H584"/>
    <mergeCell ref="I584:K585"/>
    <mergeCell ref="M584:M585"/>
    <mergeCell ref="O584:O585"/>
    <mergeCell ref="A584:A585"/>
    <mergeCell ref="B584:B585"/>
    <mergeCell ref="C584:C585"/>
    <mergeCell ref="D584:D585"/>
    <mergeCell ref="E584:E585"/>
    <mergeCell ref="F584:F585"/>
    <mergeCell ref="T582:T583"/>
    <mergeCell ref="V582:X583"/>
    <mergeCell ref="Y582:Y583"/>
    <mergeCell ref="G583:H583"/>
    <mergeCell ref="O582:O583"/>
    <mergeCell ref="Q582:Q583"/>
    <mergeCell ref="R582:R583"/>
    <mergeCell ref="S582:S583"/>
    <mergeCell ref="F582:F583"/>
    <mergeCell ref="G582:H582"/>
    <mergeCell ref="I582:K583"/>
    <mergeCell ref="M582:M583"/>
    <mergeCell ref="V580:X581"/>
    <mergeCell ref="Y580:Y581"/>
    <mergeCell ref="G581:H581"/>
    <mergeCell ref="A582:A583"/>
    <mergeCell ref="B582:B583"/>
    <mergeCell ref="C582:C583"/>
    <mergeCell ref="D582:D583"/>
    <mergeCell ref="E582:E583"/>
    <mergeCell ref="Q580:Q581"/>
    <mergeCell ref="R580:R581"/>
    <mergeCell ref="S580:S581"/>
    <mergeCell ref="T580:T581"/>
    <mergeCell ref="G580:H580"/>
    <mergeCell ref="I580:K581"/>
    <mergeCell ref="M580:M581"/>
    <mergeCell ref="O580:O581"/>
    <mergeCell ref="A580:A581"/>
    <mergeCell ref="B580:B581"/>
    <mergeCell ref="C580:C581"/>
    <mergeCell ref="D580:D581"/>
    <mergeCell ref="E580:E581"/>
    <mergeCell ref="F580:F581"/>
    <mergeCell ref="T578:T579"/>
    <mergeCell ref="V578:X579"/>
    <mergeCell ref="Y578:Y579"/>
    <mergeCell ref="G579:H579"/>
    <mergeCell ref="O578:O579"/>
    <mergeCell ref="Q578:Q579"/>
    <mergeCell ref="R578:R579"/>
    <mergeCell ref="S578:S579"/>
    <mergeCell ref="F578:F579"/>
    <mergeCell ref="G578:H578"/>
    <mergeCell ref="I578:K579"/>
    <mergeCell ref="M578:M579"/>
    <mergeCell ref="V576:X577"/>
    <mergeCell ref="Y576:Y577"/>
    <mergeCell ref="G577:H577"/>
    <mergeCell ref="A578:A579"/>
    <mergeCell ref="B578:B579"/>
    <mergeCell ref="C578:C579"/>
    <mergeCell ref="D578:D579"/>
    <mergeCell ref="E578:E579"/>
    <mergeCell ref="Q576:Q577"/>
    <mergeCell ref="R576:R577"/>
    <mergeCell ref="S576:S577"/>
    <mergeCell ref="T576:T577"/>
    <mergeCell ref="G576:H576"/>
    <mergeCell ref="I576:K577"/>
    <mergeCell ref="M576:M577"/>
    <mergeCell ref="O576:O577"/>
    <mergeCell ref="A576:A577"/>
    <mergeCell ref="B576:B577"/>
    <mergeCell ref="C576:C577"/>
    <mergeCell ref="D576:D577"/>
    <mergeCell ref="E576:E577"/>
    <mergeCell ref="F576:F577"/>
    <mergeCell ref="T574:T575"/>
    <mergeCell ref="V574:X575"/>
    <mergeCell ref="Y574:Y575"/>
    <mergeCell ref="G575:H575"/>
    <mergeCell ref="O574:O575"/>
    <mergeCell ref="Q574:Q575"/>
    <mergeCell ref="R574:R575"/>
    <mergeCell ref="S574:S575"/>
    <mergeCell ref="F574:F575"/>
    <mergeCell ref="G574:H574"/>
    <mergeCell ref="I574:K575"/>
    <mergeCell ref="M574:M575"/>
    <mergeCell ref="V572:X573"/>
    <mergeCell ref="Y572:Y573"/>
    <mergeCell ref="G573:H573"/>
    <mergeCell ref="A574:A575"/>
    <mergeCell ref="B574:B575"/>
    <mergeCell ref="C574:C575"/>
    <mergeCell ref="D574:D575"/>
    <mergeCell ref="E574:E575"/>
    <mergeCell ref="Q572:Q573"/>
    <mergeCell ref="R572:R573"/>
    <mergeCell ref="S572:S573"/>
    <mergeCell ref="T572:T573"/>
    <mergeCell ref="G572:H572"/>
    <mergeCell ref="I572:K573"/>
    <mergeCell ref="M572:M573"/>
    <mergeCell ref="O572:O573"/>
    <mergeCell ref="A572:A573"/>
    <mergeCell ref="B572:B573"/>
    <mergeCell ref="C572:C573"/>
    <mergeCell ref="D572:D573"/>
    <mergeCell ref="E572:E573"/>
    <mergeCell ref="F572:F573"/>
    <mergeCell ref="T570:T571"/>
    <mergeCell ref="V570:X571"/>
    <mergeCell ref="Y570:Y571"/>
    <mergeCell ref="G571:H571"/>
    <mergeCell ref="O570:O571"/>
    <mergeCell ref="Q570:Q571"/>
    <mergeCell ref="R570:R571"/>
    <mergeCell ref="S570:S571"/>
    <mergeCell ref="F570:F571"/>
    <mergeCell ref="G570:H570"/>
    <mergeCell ref="I570:K571"/>
    <mergeCell ref="M570:M571"/>
    <mergeCell ref="V568:X569"/>
    <mergeCell ref="Y568:Y569"/>
    <mergeCell ref="G569:H569"/>
    <mergeCell ref="A570:A571"/>
    <mergeCell ref="B570:B571"/>
    <mergeCell ref="C570:C571"/>
    <mergeCell ref="D570:D571"/>
    <mergeCell ref="E570:E571"/>
    <mergeCell ref="Q568:Q569"/>
    <mergeCell ref="R568:R569"/>
    <mergeCell ref="S568:S569"/>
    <mergeCell ref="T568:T569"/>
    <mergeCell ref="G568:H568"/>
    <mergeCell ref="I568:K569"/>
    <mergeCell ref="M568:M569"/>
    <mergeCell ref="O568:O569"/>
    <mergeCell ref="A568:A569"/>
    <mergeCell ref="B568:B569"/>
    <mergeCell ref="C568:C569"/>
    <mergeCell ref="D568:D569"/>
    <mergeCell ref="E568:E569"/>
    <mergeCell ref="F568:F569"/>
    <mergeCell ref="T566:T567"/>
    <mergeCell ref="V566:X567"/>
    <mergeCell ref="Y566:Y567"/>
    <mergeCell ref="G567:H567"/>
    <mergeCell ref="O566:O567"/>
    <mergeCell ref="Q566:Q567"/>
    <mergeCell ref="R566:R567"/>
    <mergeCell ref="S566:S567"/>
    <mergeCell ref="F566:F567"/>
    <mergeCell ref="G566:H566"/>
    <mergeCell ref="I566:K567"/>
    <mergeCell ref="M566:M567"/>
    <mergeCell ref="V564:X565"/>
    <mergeCell ref="Y564:Y565"/>
    <mergeCell ref="G565:H565"/>
    <mergeCell ref="A566:A567"/>
    <mergeCell ref="B566:B567"/>
    <mergeCell ref="C566:C567"/>
    <mergeCell ref="D566:D567"/>
    <mergeCell ref="E566:E567"/>
    <mergeCell ref="Q564:Q565"/>
    <mergeCell ref="R564:R565"/>
    <mergeCell ref="S564:S565"/>
    <mergeCell ref="T564:T565"/>
    <mergeCell ref="G564:H564"/>
    <mergeCell ref="I564:K565"/>
    <mergeCell ref="M564:M565"/>
    <mergeCell ref="O564:O565"/>
    <mergeCell ref="A564:A565"/>
    <mergeCell ref="B564:B565"/>
    <mergeCell ref="C564:C565"/>
    <mergeCell ref="D564:D565"/>
    <mergeCell ref="E564:E565"/>
    <mergeCell ref="F564:F565"/>
    <mergeCell ref="T562:T563"/>
    <mergeCell ref="V562:X563"/>
    <mergeCell ref="Y562:Y563"/>
    <mergeCell ref="G563:H563"/>
    <mergeCell ref="O562:O563"/>
    <mergeCell ref="Q562:Q563"/>
    <mergeCell ref="R562:R563"/>
    <mergeCell ref="S562:S563"/>
    <mergeCell ref="F562:F563"/>
    <mergeCell ref="G562:H562"/>
    <mergeCell ref="I562:K563"/>
    <mergeCell ref="M562:M563"/>
    <mergeCell ref="V560:X561"/>
    <mergeCell ref="Y560:Y561"/>
    <mergeCell ref="G561:H561"/>
    <mergeCell ref="A562:A563"/>
    <mergeCell ref="B562:B563"/>
    <mergeCell ref="C562:C563"/>
    <mergeCell ref="D562:D563"/>
    <mergeCell ref="E562:E563"/>
    <mergeCell ref="Q560:Q561"/>
    <mergeCell ref="R560:R561"/>
    <mergeCell ref="S560:S561"/>
    <mergeCell ref="T560:T561"/>
    <mergeCell ref="G560:H560"/>
    <mergeCell ref="I560:K561"/>
    <mergeCell ref="M560:M561"/>
    <mergeCell ref="O560:O561"/>
    <mergeCell ref="A560:A561"/>
    <mergeCell ref="B560:B561"/>
    <mergeCell ref="C560:C561"/>
    <mergeCell ref="D560:D561"/>
    <mergeCell ref="E560:E561"/>
    <mergeCell ref="F560:F561"/>
    <mergeCell ref="T558:T559"/>
    <mergeCell ref="V558:X559"/>
    <mergeCell ref="Y558:Y559"/>
    <mergeCell ref="G559:H559"/>
    <mergeCell ref="O558:O559"/>
    <mergeCell ref="Q558:Q559"/>
    <mergeCell ref="R558:R559"/>
    <mergeCell ref="S558:S559"/>
    <mergeCell ref="F558:F559"/>
    <mergeCell ref="G558:H558"/>
    <mergeCell ref="I558:K559"/>
    <mergeCell ref="M558:M559"/>
    <mergeCell ref="V556:X557"/>
    <mergeCell ref="Y556:Y557"/>
    <mergeCell ref="G557:H557"/>
    <mergeCell ref="A558:A559"/>
    <mergeCell ref="B558:B559"/>
    <mergeCell ref="C558:C559"/>
    <mergeCell ref="D558:D559"/>
    <mergeCell ref="E558:E559"/>
    <mergeCell ref="Q556:Q557"/>
    <mergeCell ref="R556:R557"/>
    <mergeCell ref="S556:S557"/>
    <mergeCell ref="T556:T557"/>
    <mergeCell ref="G556:H556"/>
    <mergeCell ref="I556:K557"/>
    <mergeCell ref="M556:M557"/>
    <mergeCell ref="O556:O557"/>
    <mergeCell ref="A556:A557"/>
    <mergeCell ref="B556:B557"/>
    <mergeCell ref="C556:C557"/>
    <mergeCell ref="D556:D557"/>
    <mergeCell ref="E556:E557"/>
    <mergeCell ref="F556:F557"/>
    <mergeCell ref="T554:T555"/>
    <mergeCell ref="V554:X555"/>
    <mergeCell ref="Y554:Y555"/>
    <mergeCell ref="G555:H555"/>
    <mergeCell ref="O554:O555"/>
    <mergeCell ref="Q554:Q555"/>
    <mergeCell ref="R554:R555"/>
    <mergeCell ref="S554:S555"/>
    <mergeCell ref="F554:F555"/>
    <mergeCell ref="G554:H554"/>
    <mergeCell ref="I554:K555"/>
    <mergeCell ref="M554:M555"/>
    <mergeCell ref="V552:X553"/>
    <mergeCell ref="Y552:Y553"/>
    <mergeCell ref="G553:H553"/>
    <mergeCell ref="A554:A555"/>
    <mergeCell ref="B554:B555"/>
    <mergeCell ref="C554:C555"/>
    <mergeCell ref="D554:D555"/>
    <mergeCell ref="E554:E555"/>
    <mergeCell ref="Q552:Q553"/>
    <mergeCell ref="R552:R553"/>
    <mergeCell ref="S552:S553"/>
    <mergeCell ref="T552:T553"/>
    <mergeCell ref="G552:H552"/>
    <mergeCell ref="I552:K553"/>
    <mergeCell ref="M552:M553"/>
    <mergeCell ref="O552:O553"/>
    <mergeCell ref="A552:A553"/>
    <mergeCell ref="B552:B553"/>
    <mergeCell ref="C552:C553"/>
    <mergeCell ref="D552:D553"/>
    <mergeCell ref="E552:E553"/>
    <mergeCell ref="F552:F553"/>
    <mergeCell ref="T550:T551"/>
    <mergeCell ref="V550:X551"/>
    <mergeCell ref="Y550:Y551"/>
    <mergeCell ref="G551:H551"/>
    <mergeCell ref="O550:O551"/>
    <mergeCell ref="Q550:Q551"/>
    <mergeCell ref="R550:R551"/>
    <mergeCell ref="S550:S551"/>
    <mergeCell ref="F550:F551"/>
    <mergeCell ref="G550:H550"/>
    <mergeCell ref="I550:K551"/>
    <mergeCell ref="M550:M551"/>
    <mergeCell ref="V548:X549"/>
    <mergeCell ref="Y548:Y549"/>
    <mergeCell ref="G549:H549"/>
    <mergeCell ref="A550:A551"/>
    <mergeCell ref="B550:B551"/>
    <mergeCell ref="C550:C551"/>
    <mergeCell ref="D550:D551"/>
    <mergeCell ref="E550:E551"/>
    <mergeCell ref="Q548:Q549"/>
    <mergeCell ref="R548:R549"/>
    <mergeCell ref="S548:S549"/>
    <mergeCell ref="T548:T549"/>
    <mergeCell ref="G548:H548"/>
    <mergeCell ref="I548:K549"/>
    <mergeCell ref="M548:M549"/>
    <mergeCell ref="O548:O549"/>
    <mergeCell ref="A548:A549"/>
    <mergeCell ref="B548:B549"/>
    <mergeCell ref="C548:C549"/>
    <mergeCell ref="D548:D549"/>
    <mergeCell ref="E548:E549"/>
    <mergeCell ref="F548:F549"/>
    <mergeCell ref="T546:T547"/>
    <mergeCell ref="V546:X547"/>
    <mergeCell ref="Y546:Y547"/>
    <mergeCell ref="G547:H547"/>
    <mergeCell ref="O546:O547"/>
    <mergeCell ref="Q546:Q547"/>
    <mergeCell ref="R546:R547"/>
    <mergeCell ref="S546:S547"/>
    <mergeCell ref="F546:F547"/>
    <mergeCell ref="G546:H546"/>
    <mergeCell ref="I546:K547"/>
    <mergeCell ref="M546:M547"/>
    <mergeCell ref="V544:X545"/>
    <mergeCell ref="Y544:Y545"/>
    <mergeCell ref="G545:H545"/>
    <mergeCell ref="A546:A547"/>
    <mergeCell ref="B546:B547"/>
    <mergeCell ref="C546:C547"/>
    <mergeCell ref="D546:D547"/>
    <mergeCell ref="E546:E547"/>
    <mergeCell ref="Q544:Q545"/>
    <mergeCell ref="R544:R545"/>
    <mergeCell ref="S544:S545"/>
    <mergeCell ref="T544:T545"/>
    <mergeCell ref="G544:H544"/>
    <mergeCell ref="I544:K545"/>
    <mergeCell ref="M544:M545"/>
    <mergeCell ref="O544:O545"/>
    <mergeCell ref="A544:A545"/>
    <mergeCell ref="B544:B545"/>
    <mergeCell ref="C544:C545"/>
    <mergeCell ref="D544:D545"/>
    <mergeCell ref="E544:E545"/>
    <mergeCell ref="F544:F545"/>
    <mergeCell ref="T542:T543"/>
    <mergeCell ref="V542:X543"/>
    <mergeCell ref="Y542:Y543"/>
    <mergeCell ref="G543:H543"/>
    <mergeCell ref="O542:O543"/>
    <mergeCell ref="Q542:Q543"/>
    <mergeCell ref="R542:R543"/>
    <mergeCell ref="S542:S543"/>
    <mergeCell ref="F542:F543"/>
    <mergeCell ref="G542:H542"/>
    <mergeCell ref="I542:K543"/>
    <mergeCell ref="M542:M543"/>
    <mergeCell ref="V540:X541"/>
    <mergeCell ref="Y540:Y541"/>
    <mergeCell ref="G541:H541"/>
    <mergeCell ref="A542:A543"/>
    <mergeCell ref="B542:B543"/>
    <mergeCell ref="C542:C543"/>
    <mergeCell ref="D542:D543"/>
    <mergeCell ref="E542:E543"/>
    <mergeCell ref="Q540:Q541"/>
    <mergeCell ref="R540:R541"/>
    <mergeCell ref="S540:S541"/>
    <mergeCell ref="T540:T541"/>
    <mergeCell ref="G540:H540"/>
    <mergeCell ref="I540:K541"/>
    <mergeCell ref="M540:M541"/>
    <mergeCell ref="O540:O541"/>
    <mergeCell ref="A540:A541"/>
    <mergeCell ref="B540:B541"/>
    <mergeCell ref="C540:C541"/>
    <mergeCell ref="D540:D541"/>
    <mergeCell ref="E540:E541"/>
    <mergeCell ref="F540:F541"/>
    <mergeCell ref="T538:T539"/>
    <mergeCell ref="V538:X539"/>
    <mergeCell ref="Y538:Y539"/>
    <mergeCell ref="G539:H539"/>
    <mergeCell ref="O538:O539"/>
    <mergeCell ref="Q538:Q539"/>
    <mergeCell ref="R538:R539"/>
    <mergeCell ref="S538:S539"/>
    <mergeCell ref="F538:F539"/>
    <mergeCell ref="G538:H538"/>
    <mergeCell ref="I538:K539"/>
    <mergeCell ref="M538:M539"/>
    <mergeCell ref="V536:X537"/>
    <mergeCell ref="Y536:Y537"/>
    <mergeCell ref="G537:H537"/>
    <mergeCell ref="A538:A539"/>
    <mergeCell ref="B538:B539"/>
    <mergeCell ref="C538:C539"/>
    <mergeCell ref="D538:D539"/>
    <mergeCell ref="E538:E539"/>
    <mergeCell ref="Q536:Q537"/>
    <mergeCell ref="R536:R537"/>
    <mergeCell ref="S536:S537"/>
    <mergeCell ref="T536:T537"/>
    <mergeCell ref="G536:H536"/>
    <mergeCell ref="I536:K537"/>
    <mergeCell ref="M536:M537"/>
    <mergeCell ref="O536:O537"/>
    <mergeCell ref="A536:A537"/>
    <mergeCell ref="B536:B537"/>
    <mergeCell ref="C536:C537"/>
    <mergeCell ref="D536:D537"/>
    <mergeCell ref="E536:E537"/>
    <mergeCell ref="F536:F537"/>
    <mergeCell ref="T534:T535"/>
    <mergeCell ref="V534:X535"/>
    <mergeCell ref="Y534:Y535"/>
    <mergeCell ref="G535:H535"/>
    <mergeCell ref="O534:O535"/>
    <mergeCell ref="Q534:Q535"/>
    <mergeCell ref="R534:R535"/>
    <mergeCell ref="S534:S535"/>
    <mergeCell ref="F534:F535"/>
    <mergeCell ref="G534:H534"/>
    <mergeCell ref="I534:K535"/>
    <mergeCell ref="M534:M535"/>
    <mergeCell ref="V532:X533"/>
    <mergeCell ref="Y532:Y533"/>
    <mergeCell ref="G533:H533"/>
    <mergeCell ref="A534:A535"/>
    <mergeCell ref="B534:B535"/>
    <mergeCell ref="C534:C535"/>
    <mergeCell ref="D534:D535"/>
    <mergeCell ref="E534:E535"/>
    <mergeCell ref="Q532:Q533"/>
    <mergeCell ref="R532:R533"/>
    <mergeCell ref="S532:S533"/>
    <mergeCell ref="T532:T533"/>
    <mergeCell ref="G532:H532"/>
    <mergeCell ref="I532:K533"/>
    <mergeCell ref="M532:M533"/>
    <mergeCell ref="O532:O533"/>
    <mergeCell ref="A532:A533"/>
    <mergeCell ref="B532:B533"/>
    <mergeCell ref="C532:C533"/>
    <mergeCell ref="D532:D533"/>
    <mergeCell ref="E532:E533"/>
    <mergeCell ref="F532:F533"/>
    <mergeCell ref="T530:T531"/>
    <mergeCell ref="V530:X531"/>
    <mergeCell ref="Y530:Y531"/>
    <mergeCell ref="G531:H531"/>
    <mergeCell ref="O530:O531"/>
    <mergeCell ref="Q530:Q531"/>
    <mergeCell ref="R530:R531"/>
    <mergeCell ref="S530:S531"/>
    <mergeCell ref="F530:F531"/>
    <mergeCell ref="G530:H530"/>
    <mergeCell ref="I530:K531"/>
    <mergeCell ref="M530:M531"/>
    <mergeCell ref="V528:X529"/>
    <mergeCell ref="Y528:Y529"/>
    <mergeCell ref="G529:H529"/>
    <mergeCell ref="A530:A531"/>
    <mergeCell ref="B530:B531"/>
    <mergeCell ref="C530:C531"/>
    <mergeCell ref="D530:D531"/>
    <mergeCell ref="E530:E531"/>
    <mergeCell ref="Q528:Q529"/>
    <mergeCell ref="R528:R529"/>
    <mergeCell ref="S528:S529"/>
    <mergeCell ref="T528:T529"/>
    <mergeCell ref="G528:H528"/>
    <mergeCell ref="I528:K529"/>
    <mergeCell ref="M528:M529"/>
    <mergeCell ref="O528:O529"/>
    <mergeCell ref="A528:A529"/>
    <mergeCell ref="B528:B529"/>
    <mergeCell ref="C528:C529"/>
    <mergeCell ref="D528:D529"/>
    <mergeCell ref="E528:E529"/>
    <mergeCell ref="F528:F529"/>
    <mergeCell ref="T526:T527"/>
    <mergeCell ref="V526:X527"/>
    <mergeCell ref="Y526:Y527"/>
    <mergeCell ref="G527:H527"/>
    <mergeCell ref="O526:O527"/>
    <mergeCell ref="Q526:Q527"/>
    <mergeCell ref="R526:R527"/>
    <mergeCell ref="S526:S527"/>
    <mergeCell ref="F526:F527"/>
    <mergeCell ref="G526:H526"/>
    <mergeCell ref="I526:K527"/>
    <mergeCell ref="M526:M527"/>
    <mergeCell ref="V524:X525"/>
    <mergeCell ref="Y524:Y525"/>
    <mergeCell ref="G525:H525"/>
    <mergeCell ref="A526:A527"/>
    <mergeCell ref="B526:B527"/>
    <mergeCell ref="C526:C527"/>
    <mergeCell ref="D526:D527"/>
    <mergeCell ref="E526:E527"/>
    <mergeCell ref="Q524:Q525"/>
    <mergeCell ref="R524:R525"/>
    <mergeCell ref="S524:S525"/>
    <mergeCell ref="T524:T525"/>
    <mergeCell ref="G524:H524"/>
    <mergeCell ref="I524:K525"/>
    <mergeCell ref="M524:M525"/>
    <mergeCell ref="O524:O525"/>
    <mergeCell ref="A524:A525"/>
    <mergeCell ref="B524:B525"/>
    <mergeCell ref="C524:C525"/>
    <mergeCell ref="D524:D525"/>
    <mergeCell ref="E524:E525"/>
    <mergeCell ref="F524:F525"/>
    <mergeCell ref="T522:T523"/>
    <mergeCell ref="V522:X523"/>
    <mergeCell ref="Y522:Y523"/>
    <mergeCell ref="G523:H523"/>
    <mergeCell ref="O522:O523"/>
    <mergeCell ref="Q522:Q523"/>
    <mergeCell ref="R522:R523"/>
    <mergeCell ref="S522:S523"/>
    <mergeCell ref="F522:F523"/>
    <mergeCell ref="G522:H522"/>
    <mergeCell ref="I522:K523"/>
    <mergeCell ref="M522:M523"/>
    <mergeCell ref="V520:X521"/>
    <mergeCell ref="Y520:Y521"/>
    <mergeCell ref="G521:H521"/>
    <mergeCell ref="A522:A523"/>
    <mergeCell ref="B522:B523"/>
    <mergeCell ref="C522:C523"/>
    <mergeCell ref="D522:D523"/>
    <mergeCell ref="E522:E523"/>
    <mergeCell ref="Q520:Q521"/>
    <mergeCell ref="R520:R521"/>
    <mergeCell ref="S520:S521"/>
    <mergeCell ref="T520:T521"/>
    <mergeCell ref="G520:H520"/>
    <mergeCell ref="I520:K521"/>
    <mergeCell ref="M520:M521"/>
    <mergeCell ref="O520:O521"/>
    <mergeCell ref="A520:A521"/>
    <mergeCell ref="B520:B521"/>
    <mergeCell ref="C520:C521"/>
    <mergeCell ref="D520:D521"/>
    <mergeCell ref="E520:E521"/>
    <mergeCell ref="F520:F521"/>
    <mergeCell ref="T518:T519"/>
    <mergeCell ref="V518:X519"/>
    <mergeCell ref="Y518:Y519"/>
    <mergeCell ref="G519:H519"/>
    <mergeCell ref="O518:O519"/>
    <mergeCell ref="Q518:Q519"/>
    <mergeCell ref="R518:R519"/>
    <mergeCell ref="S518:S519"/>
    <mergeCell ref="F518:F519"/>
    <mergeCell ref="G518:H518"/>
    <mergeCell ref="I518:K519"/>
    <mergeCell ref="M518:M519"/>
    <mergeCell ref="V516:X517"/>
    <mergeCell ref="Y516:Y517"/>
    <mergeCell ref="G517:H517"/>
    <mergeCell ref="A518:A519"/>
    <mergeCell ref="B518:B519"/>
    <mergeCell ref="C518:C519"/>
    <mergeCell ref="D518:D519"/>
    <mergeCell ref="E518:E519"/>
    <mergeCell ref="Q516:Q517"/>
    <mergeCell ref="R516:R517"/>
    <mergeCell ref="S516:S517"/>
    <mergeCell ref="T516:T517"/>
    <mergeCell ref="G516:H516"/>
    <mergeCell ref="I516:K517"/>
    <mergeCell ref="M516:M517"/>
    <mergeCell ref="O516:O517"/>
    <mergeCell ref="A516:A517"/>
    <mergeCell ref="B516:B517"/>
    <mergeCell ref="C516:C517"/>
    <mergeCell ref="D516:D517"/>
    <mergeCell ref="E516:E517"/>
    <mergeCell ref="F516:F517"/>
    <mergeCell ref="T514:T515"/>
    <mergeCell ref="V514:X515"/>
    <mergeCell ref="Y514:Y515"/>
    <mergeCell ref="G515:H515"/>
    <mergeCell ref="O514:O515"/>
    <mergeCell ref="Q514:Q515"/>
    <mergeCell ref="R514:R515"/>
    <mergeCell ref="S514:S515"/>
    <mergeCell ref="F514:F515"/>
    <mergeCell ref="G514:H514"/>
    <mergeCell ref="I514:K515"/>
    <mergeCell ref="M514:M515"/>
    <mergeCell ref="V512:X513"/>
    <mergeCell ref="Y512:Y513"/>
    <mergeCell ref="G513:H513"/>
    <mergeCell ref="A514:A515"/>
    <mergeCell ref="B514:B515"/>
    <mergeCell ref="C514:C515"/>
    <mergeCell ref="D514:D515"/>
    <mergeCell ref="E514:E515"/>
    <mergeCell ref="Q512:Q513"/>
    <mergeCell ref="R512:R513"/>
    <mergeCell ref="S512:S513"/>
    <mergeCell ref="T512:T513"/>
    <mergeCell ref="G512:H512"/>
    <mergeCell ref="I512:K513"/>
    <mergeCell ref="M512:M513"/>
    <mergeCell ref="O512:O513"/>
    <mergeCell ref="A512:A513"/>
    <mergeCell ref="B512:B513"/>
    <mergeCell ref="C512:C513"/>
    <mergeCell ref="D512:D513"/>
    <mergeCell ref="E512:E513"/>
    <mergeCell ref="F512:F513"/>
    <mergeCell ref="T510:T511"/>
    <mergeCell ref="V510:X511"/>
    <mergeCell ref="Y510:Y511"/>
    <mergeCell ref="G511:H511"/>
    <mergeCell ref="O510:O511"/>
    <mergeCell ref="Q510:Q511"/>
    <mergeCell ref="R510:R511"/>
    <mergeCell ref="S510:S511"/>
    <mergeCell ref="F510:F511"/>
    <mergeCell ref="G510:H510"/>
    <mergeCell ref="I510:K511"/>
    <mergeCell ref="M510:M511"/>
    <mergeCell ref="V508:X509"/>
    <mergeCell ref="Y508:Y509"/>
    <mergeCell ref="G509:H509"/>
    <mergeCell ref="A510:A511"/>
    <mergeCell ref="B510:B511"/>
    <mergeCell ref="C510:C511"/>
    <mergeCell ref="D510:D511"/>
    <mergeCell ref="E510:E511"/>
    <mergeCell ref="Q508:Q509"/>
    <mergeCell ref="R508:R509"/>
    <mergeCell ref="S508:S509"/>
    <mergeCell ref="T508:T509"/>
    <mergeCell ref="G508:H508"/>
    <mergeCell ref="I508:K509"/>
    <mergeCell ref="M508:M509"/>
    <mergeCell ref="O508:O509"/>
    <mergeCell ref="A508:A509"/>
    <mergeCell ref="B508:B509"/>
    <mergeCell ref="C508:C509"/>
    <mergeCell ref="D508:D509"/>
    <mergeCell ref="E508:E509"/>
    <mergeCell ref="F508:F509"/>
    <mergeCell ref="T506:T507"/>
    <mergeCell ref="V506:X507"/>
    <mergeCell ref="Y506:Y507"/>
    <mergeCell ref="G507:H507"/>
    <mergeCell ref="O506:O507"/>
    <mergeCell ref="Q506:Q507"/>
    <mergeCell ref="R506:R507"/>
    <mergeCell ref="S506:S507"/>
    <mergeCell ref="F506:F507"/>
    <mergeCell ref="G506:H506"/>
    <mergeCell ref="I506:K507"/>
    <mergeCell ref="M506:M507"/>
    <mergeCell ref="V504:X505"/>
    <mergeCell ref="Y504:Y505"/>
    <mergeCell ref="G505:H505"/>
    <mergeCell ref="A506:A507"/>
    <mergeCell ref="B506:B507"/>
    <mergeCell ref="C506:C507"/>
    <mergeCell ref="D506:D507"/>
    <mergeCell ref="E506:E507"/>
    <mergeCell ref="Q504:Q505"/>
    <mergeCell ref="R504:R505"/>
    <mergeCell ref="S504:S505"/>
    <mergeCell ref="T504:T505"/>
    <mergeCell ref="G504:H504"/>
    <mergeCell ref="I504:K505"/>
    <mergeCell ref="M504:M505"/>
    <mergeCell ref="O504:O505"/>
    <mergeCell ref="A504:A505"/>
    <mergeCell ref="B504:B505"/>
    <mergeCell ref="C504:C505"/>
    <mergeCell ref="D504:D505"/>
    <mergeCell ref="E504:E505"/>
    <mergeCell ref="F504:F505"/>
    <mergeCell ref="T502:T503"/>
    <mergeCell ref="V502:X503"/>
    <mergeCell ref="Y502:Y503"/>
    <mergeCell ref="G503:H503"/>
    <mergeCell ref="O502:O503"/>
    <mergeCell ref="Q502:Q503"/>
    <mergeCell ref="R502:R503"/>
    <mergeCell ref="S502:S503"/>
    <mergeCell ref="F502:F503"/>
    <mergeCell ref="G502:H502"/>
    <mergeCell ref="I502:K503"/>
    <mergeCell ref="M502:M503"/>
    <mergeCell ref="V500:X501"/>
    <mergeCell ref="Y500:Y501"/>
    <mergeCell ref="G501:H501"/>
    <mergeCell ref="A502:A503"/>
    <mergeCell ref="B502:B503"/>
    <mergeCell ref="C502:C503"/>
    <mergeCell ref="D502:D503"/>
    <mergeCell ref="E502:E503"/>
    <mergeCell ref="Q500:Q501"/>
    <mergeCell ref="R500:R501"/>
    <mergeCell ref="S500:S501"/>
    <mergeCell ref="T500:T501"/>
    <mergeCell ref="G500:H500"/>
    <mergeCell ref="I500:K501"/>
    <mergeCell ref="M500:M501"/>
    <mergeCell ref="O500:O501"/>
    <mergeCell ref="A500:A501"/>
    <mergeCell ref="B500:B501"/>
    <mergeCell ref="C500:C501"/>
    <mergeCell ref="D500:D501"/>
    <mergeCell ref="E500:E501"/>
    <mergeCell ref="F500:F501"/>
    <mergeCell ref="T498:T499"/>
    <mergeCell ref="V498:X499"/>
    <mergeCell ref="Y498:Y499"/>
    <mergeCell ref="G499:H499"/>
    <mergeCell ref="O498:O499"/>
    <mergeCell ref="Q498:Q499"/>
    <mergeCell ref="R498:R499"/>
    <mergeCell ref="S498:S499"/>
    <mergeCell ref="F498:F499"/>
    <mergeCell ref="G498:H498"/>
    <mergeCell ref="I498:K499"/>
    <mergeCell ref="M498:M499"/>
    <mergeCell ref="V496:X497"/>
    <mergeCell ref="Y496:Y497"/>
    <mergeCell ref="G497:H497"/>
    <mergeCell ref="A498:A499"/>
    <mergeCell ref="B498:B499"/>
    <mergeCell ref="C498:C499"/>
    <mergeCell ref="D498:D499"/>
    <mergeCell ref="E498:E499"/>
    <mergeCell ref="Q496:Q497"/>
    <mergeCell ref="R496:R497"/>
    <mergeCell ref="S496:S497"/>
    <mergeCell ref="T496:T497"/>
    <mergeCell ref="G496:H496"/>
    <mergeCell ref="I496:K497"/>
    <mergeCell ref="M496:M497"/>
    <mergeCell ref="O496:O497"/>
    <mergeCell ref="A496:A497"/>
    <mergeCell ref="B496:B497"/>
    <mergeCell ref="C496:C497"/>
    <mergeCell ref="D496:D497"/>
    <mergeCell ref="E496:E497"/>
    <mergeCell ref="F496:F497"/>
    <mergeCell ref="T494:T495"/>
    <mergeCell ref="V494:X495"/>
    <mergeCell ref="Y494:Y495"/>
    <mergeCell ref="G495:H495"/>
    <mergeCell ref="O494:O495"/>
    <mergeCell ref="Q494:Q495"/>
    <mergeCell ref="R494:R495"/>
    <mergeCell ref="S494:S495"/>
    <mergeCell ref="F494:F495"/>
    <mergeCell ref="G494:H494"/>
    <mergeCell ref="I494:K495"/>
    <mergeCell ref="M494:M495"/>
    <mergeCell ref="V492:X493"/>
    <mergeCell ref="Y492:Y493"/>
    <mergeCell ref="G493:H493"/>
    <mergeCell ref="A494:A495"/>
    <mergeCell ref="B494:B495"/>
    <mergeCell ref="C494:C495"/>
    <mergeCell ref="D494:D495"/>
    <mergeCell ref="E494:E495"/>
    <mergeCell ref="Q492:Q493"/>
    <mergeCell ref="R492:R493"/>
    <mergeCell ref="S492:S493"/>
    <mergeCell ref="T492:T493"/>
    <mergeCell ref="G492:H492"/>
    <mergeCell ref="I492:K493"/>
    <mergeCell ref="M492:M493"/>
    <mergeCell ref="O492:O493"/>
    <mergeCell ref="A492:A493"/>
    <mergeCell ref="B492:B493"/>
    <mergeCell ref="C492:C493"/>
    <mergeCell ref="D492:D493"/>
    <mergeCell ref="E492:E493"/>
    <mergeCell ref="F492:F493"/>
    <mergeCell ref="T490:T491"/>
    <mergeCell ref="V490:X491"/>
    <mergeCell ref="Y490:Y491"/>
    <mergeCell ref="G491:H491"/>
    <mergeCell ref="O490:O491"/>
    <mergeCell ref="Q490:Q491"/>
    <mergeCell ref="R490:R491"/>
    <mergeCell ref="S490:S491"/>
    <mergeCell ref="F490:F491"/>
    <mergeCell ref="G490:H490"/>
    <mergeCell ref="I490:K491"/>
    <mergeCell ref="M490:M491"/>
    <mergeCell ref="V488:X489"/>
    <mergeCell ref="Y488:Y489"/>
    <mergeCell ref="G489:H489"/>
    <mergeCell ref="A490:A491"/>
    <mergeCell ref="B490:B491"/>
    <mergeCell ref="C490:C491"/>
    <mergeCell ref="D490:D491"/>
    <mergeCell ref="E490:E491"/>
    <mergeCell ref="Q488:Q489"/>
    <mergeCell ref="R488:R489"/>
    <mergeCell ref="S488:S489"/>
    <mergeCell ref="T488:T489"/>
    <mergeCell ref="G488:H488"/>
    <mergeCell ref="I488:K489"/>
    <mergeCell ref="M488:M489"/>
    <mergeCell ref="O488:O489"/>
    <mergeCell ref="A488:A489"/>
    <mergeCell ref="B488:B489"/>
    <mergeCell ref="C488:C489"/>
    <mergeCell ref="D488:D489"/>
    <mergeCell ref="E488:E489"/>
    <mergeCell ref="F488:F489"/>
    <mergeCell ref="T486:T487"/>
    <mergeCell ref="V486:X487"/>
    <mergeCell ref="Y486:Y487"/>
    <mergeCell ref="G487:H487"/>
    <mergeCell ref="O486:O487"/>
    <mergeCell ref="Q486:Q487"/>
    <mergeCell ref="R486:R487"/>
    <mergeCell ref="S486:S487"/>
    <mergeCell ref="F486:F487"/>
    <mergeCell ref="G486:H486"/>
    <mergeCell ref="I486:K487"/>
    <mergeCell ref="M486:M487"/>
    <mergeCell ref="V484:X485"/>
    <mergeCell ref="Y484:Y485"/>
    <mergeCell ref="G485:H485"/>
    <mergeCell ref="A486:A487"/>
    <mergeCell ref="B486:B487"/>
    <mergeCell ref="C486:C487"/>
    <mergeCell ref="D486:D487"/>
    <mergeCell ref="E486:E487"/>
    <mergeCell ref="Q484:Q485"/>
    <mergeCell ref="R484:R485"/>
    <mergeCell ref="S484:S485"/>
    <mergeCell ref="T484:T485"/>
    <mergeCell ref="G484:H484"/>
    <mergeCell ref="I484:K485"/>
    <mergeCell ref="M484:M485"/>
    <mergeCell ref="O484:O485"/>
    <mergeCell ref="A484:A485"/>
    <mergeCell ref="B484:B485"/>
    <mergeCell ref="C484:C485"/>
    <mergeCell ref="D484:D485"/>
    <mergeCell ref="E484:E485"/>
    <mergeCell ref="F484:F485"/>
    <mergeCell ref="T482:T483"/>
    <mergeCell ref="V482:X483"/>
    <mergeCell ref="Y482:Y483"/>
    <mergeCell ref="G483:H483"/>
    <mergeCell ref="O482:O483"/>
    <mergeCell ref="Q482:Q483"/>
    <mergeCell ref="R482:R483"/>
    <mergeCell ref="S482:S483"/>
    <mergeCell ref="F482:F483"/>
    <mergeCell ref="G482:H482"/>
    <mergeCell ref="I482:K483"/>
    <mergeCell ref="M482:M483"/>
    <mergeCell ref="V480:X481"/>
    <mergeCell ref="Y480:Y481"/>
    <mergeCell ref="G481:H481"/>
    <mergeCell ref="A482:A483"/>
    <mergeCell ref="B482:B483"/>
    <mergeCell ref="C482:C483"/>
    <mergeCell ref="D482:D483"/>
    <mergeCell ref="E482:E483"/>
    <mergeCell ref="Q480:Q481"/>
    <mergeCell ref="R480:R481"/>
    <mergeCell ref="S480:S481"/>
    <mergeCell ref="T480:T481"/>
    <mergeCell ref="G480:H480"/>
    <mergeCell ref="I480:K481"/>
    <mergeCell ref="M480:M481"/>
    <mergeCell ref="O480:O481"/>
    <mergeCell ref="A480:A481"/>
    <mergeCell ref="B480:B481"/>
    <mergeCell ref="C480:C481"/>
    <mergeCell ref="D480:D481"/>
    <mergeCell ref="E480:E481"/>
    <mergeCell ref="F480:F481"/>
    <mergeCell ref="T478:T479"/>
    <mergeCell ref="V478:X479"/>
    <mergeCell ref="Y478:Y479"/>
    <mergeCell ref="G479:H479"/>
    <mergeCell ref="O478:O479"/>
    <mergeCell ref="Q478:Q479"/>
    <mergeCell ref="R478:R479"/>
    <mergeCell ref="S478:S479"/>
    <mergeCell ref="F478:F479"/>
    <mergeCell ref="G478:H478"/>
    <mergeCell ref="I478:K479"/>
    <mergeCell ref="M478:M479"/>
    <mergeCell ref="V476:X477"/>
    <mergeCell ref="Y476:Y477"/>
    <mergeCell ref="G477:H477"/>
    <mergeCell ref="A478:A479"/>
    <mergeCell ref="B478:B479"/>
    <mergeCell ref="C478:C479"/>
    <mergeCell ref="D478:D479"/>
    <mergeCell ref="E478:E479"/>
    <mergeCell ref="Q476:Q477"/>
    <mergeCell ref="R476:R477"/>
    <mergeCell ref="S476:S477"/>
    <mergeCell ref="T476:T477"/>
    <mergeCell ref="G476:H476"/>
    <mergeCell ref="I476:K477"/>
    <mergeCell ref="M476:M477"/>
    <mergeCell ref="O476:O477"/>
    <mergeCell ref="A476:A477"/>
    <mergeCell ref="B476:B477"/>
    <mergeCell ref="C476:C477"/>
    <mergeCell ref="D476:D477"/>
    <mergeCell ref="E476:E477"/>
    <mergeCell ref="F476:F477"/>
    <mergeCell ref="T474:T475"/>
    <mergeCell ref="V474:X475"/>
    <mergeCell ref="Y474:Y475"/>
    <mergeCell ref="G475:H475"/>
    <mergeCell ref="O474:O475"/>
    <mergeCell ref="Q474:Q475"/>
    <mergeCell ref="R474:R475"/>
    <mergeCell ref="S474:S475"/>
    <mergeCell ref="F474:F475"/>
    <mergeCell ref="G474:H474"/>
    <mergeCell ref="I474:K475"/>
    <mergeCell ref="M474:M475"/>
    <mergeCell ref="V472:X473"/>
    <mergeCell ref="Y472:Y473"/>
    <mergeCell ref="G473:H473"/>
    <mergeCell ref="A474:A475"/>
    <mergeCell ref="B474:B475"/>
    <mergeCell ref="C474:C475"/>
    <mergeCell ref="D474:D475"/>
    <mergeCell ref="E474:E475"/>
    <mergeCell ref="Q472:Q473"/>
    <mergeCell ref="R472:R473"/>
    <mergeCell ref="S472:S473"/>
    <mergeCell ref="T472:T473"/>
    <mergeCell ref="G472:H472"/>
    <mergeCell ref="I472:K473"/>
    <mergeCell ref="M472:M473"/>
    <mergeCell ref="O472:O473"/>
    <mergeCell ref="A472:A473"/>
    <mergeCell ref="B472:B473"/>
    <mergeCell ref="C472:C473"/>
    <mergeCell ref="D472:D473"/>
    <mergeCell ref="E472:E473"/>
    <mergeCell ref="F472:F473"/>
    <mergeCell ref="T470:T471"/>
    <mergeCell ref="V470:X471"/>
    <mergeCell ref="Y470:Y471"/>
    <mergeCell ref="G471:H471"/>
    <mergeCell ref="O470:O471"/>
    <mergeCell ref="Q470:Q471"/>
    <mergeCell ref="R470:R471"/>
    <mergeCell ref="S470:S471"/>
    <mergeCell ref="F470:F471"/>
    <mergeCell ref="G470:H470"/>
    <mergeCell ref="I470:K471"/>
    <mergeCell ref="M470:M471"/>
    <mergeCell ref="V468:X469"/>
    <mergeCell ref="Y468:Y469"/>
    <mergeCell ref="G469:H469"/>
    <mergeCell ref="A470:A471"/>
    <mergeCell ref="B470:B471"/>
    <mergeCell ref="C470:C471"/>
    <mergeCell ref="D470:D471"/>
    <mergeCell ref="E470:E471"/>
    <mergeCell ref="Q468:Q469"/>
    <mergeCell ref="R468:R469"/>
    <mergeCell ref="S468:S469"/>
    <mergeCell ref="T468:T469"/>
    <mergeCell ref="G468:H468"/>
    <mergeCell ref="I468:K469"/>
    <mergeCell ref="M468:M469"/>
    <mergeCell ref="O468:O469"/>
    <mergeCell ref="A468:A469"/>
    <mergeCell ref="B468:B469"/>
    <mergeCell ref="C468:C469"/>
    <mergeCell ref="D468:D469"/>
    <mergeCell ref="E468:E469"/>
    <mergeCell ref="F468:F469"/>
    <mergeCell ref="T466:T467"/>
    <mergeCell ref="V466:X467"/>
    <mergeCell ref="Y466:Y467"/>
    <mergeCell ref="G467:H467"/>
    <mergeCell ref="O466:O467"/>
    <mergeCell ref="Q466:Q467"/>
    <mergeCell ref="R466:R467"/>
    <mergeCell ref="S466:S467"/>
    <mergeCell ref="F466:F467"/>
    <mergeCell ref="G466:H466"/>
    <mergeCell ref="I466:K467"/>
    <mergeCell ref="M466:M467"/>
    <mergeCell ref="V464:X465"/>
    <mergeCell ref="Y464:Y465"/>
    <mergeCell ref="G465:H465"/>
    <mergeCell ref="A466:A467"/>
    <mergeCell ref="B466:B467"/>
    <mergeCell ref="C466:C467"/>
    <mergeCell ref="D466:D467"/>
    <mergeCell ref="E466:E467"/>
    <mergeCell ref="Q464:Q465"/>
    <mergeCell ref="R464:R465"/>
    <mergeCell ref="S464:S465"/>
    <mergeCell ref="T464:T465"/>
    <mergeCell ref="G464:H464"/>
    <mergeCell ref="I464:K465"/>
    <mergeCell ref="M464:M465"/>
    <mergeCell ref="O464:O465"/>
    <mergeCell ref="A464:A465"/>
    <mergeCell ref="B464:B465"/>
    <mergeCell ref="C464:C465"/>
    <mergeCell ref="D464:D465"/>
    <mergeCell ref="E464:E465"/>
    <mergeCell ref="F464:F465"/>
    <mergeCell ref="T462:T463"/>
    <mergeCell ref="V462:X463"/>
    <mergeCell ref="Y462:Y463"/>
    <mergeCell ref="G463:H463"/>
    <mergeCell ref="O462:O463"/>
    <mergeCell ref="Q462:Q463"/>
    <mergeCell ref="R462:R463"/>
    <mergeCell ref="S462:S463"/>
    <mergeCell ref="F462:F463"/>
    <mergeCell ref="G462:H462"/>
    <mergeCell ref="I462:K463"/>
    <mergeCell ref="M462:M463"/>
    <mergeCell ref="V460:X461"/>
    <mergeCell ref="Y460:Y461"/>
    <mergeCell ref="G461:H461"/>
    <mergeCell ref="A462:A463"/>
    <mergeCell ref="B462:B463"/>
    <mergeCell ref="C462:C463"/>
    <mergeCell ref="D462:D463"/>
    <mergeCell ref="E462:E463"/>
    <mergeCell ref="Q460:Q461"/>
    <mergeCell ref="R460:R461"/>
    <mergeCell ref="S460:S461"/>
    <mergeCell ref="T460:T461"/>
    <mergeCell ref="G460:H460"/>
    <mergeCell ref="I460:K461"/>
    <mergeCell ref="M460:M461"/>
    <mergeCell ref="O460:O461"/>
    <mergeCell ref="A460:A461"/>
    <mergeCell ref="B460:B461"/>
    <mergeCell ref="C460:C461"/>
    <mergeCell ref="D460:D461"/>
    <mergeCell ref="E460:E461"/>
    <mergeCell ref="F460:F461"/>
    <mergeCell ref="T458:T459"/>
    <mergeCell ref="V458:X459"/>
    <mergeCell ref="Y458:Y459"/>
    <mergeCell ref="G459:H459"/>
    <mergeCell ref="O458:O459"/>
    <mergeCell ref="Q458:Q459"/>
    <mergeCell ref="R458:R459"/>
    <mergeCell ref="S458:S459"/>
    <mergeCell ref="F458:F459"/>
    <mergeCell ref="G458:H458"/>
    <mergeCell ref="I458:K459"/>
    <mergeCell ref="M458:M459"/>
    <mergeCell ref="V456:X457"/>
    <mergeCell ref="Y456:Y457"/>
    <mergeCell ref="G457:H457"/>
    <mergeCell ref="A458:A459"/>
    <mergeCell ref="B458:B459"/>
    <mergeCell ref="C458:C459"/>
    <mergeCell ref="D458:D459"/>
    <mergeCell ref="E458:E459"/>
    <mergeCell ref="Q456:Q457"/>
    <mergeCell ref="R456:R457"/>
    <mergeCell ref="S456:S457"/>
    <mergeCell ref="T456:T457"/>
    <mergeCell ref="G456:H456"/>
    <mergeCell ref="I456:K457"/>
    <mergeCell ref="M456:M457"/>
    <mergeCell ref="O456:O457"/>
    <mergeCell ref="A456:A457"/>
    <mergeCell ref="B456:B457"/>
    <mergeCell ref="C456:C457"/>
    <mergeCell ref="D456:D457"/>
    <mergeCell ref="E456:E457"/>
    <mergeCell ref="F456:F457"/>
    <mergeCell ref="T454:T455"/>
    <mergeCell ref="V454:X455"/>
    <mergeCell ref="Y454:Y455"/>
    <mergeCell ref="G455:H455"/>
    <mergeCell ref="O454:O455"/>
    <mergeCell ref="Q454:Q455"/>
    <mergeCell ref="R454:R455"/>
    <mergeCell ref="S454:S455"/>
    <mergeCell ref="F454:F455"/>
    <mergeCell ref="G454:H454"/>
    <mergeCell ref="I454:K455"/>
    <mergeCell ref="M454:M455"/>
    <mergeCell ref="V452:X453"/>
    <mergeCell ref="Y452:Y453"/>
    <mergeCell ref="G453:H453"/>
    <mergeCell ref="A454:A455"/>
    <mergeCell ref="B454:B455"/>
    <mergeCell ref="C454:C455"/>
    <mergeCell ref="D454:D455"/>
    <mergeCell ref="E454:E455"/>
    <mergeCell ref="Q452:Q453"/>
    <mergeCell ref="R452:R453"/>
    <mergeCell ref="S452:S453"/>
    <mergeCell ref="T452:T453"/>
    <mergeCell ref="G452:H452"/>
    <mergeCell ref="I452:K453"/>
    <mergeCell ref="M452:M453"/>
    <mergeCell ref="O452:O453"/>
    <mergeCell ref="A452:A453"/>
    <mergeCell ref="B452:B453"/>
    <mergeCell ref="C452:C453"/>
    <mergeCell ref="D452:D453"/>
    <mergeCell ref="E452:E453"/>
    <mergeCell ref="F452:F453"/>
    <mergeCell ref="T450:T451"/>
    <mergeCell ref="V450:X451"/>
    <mergeCell ref="Y450:Y451"/>
    <mergeCell ref="G451:H451"/>
    <mergeCell ref="O450:O451"/>
    <mergeCell ref="Q450:Q451"/>
    <mergeCell ref="R450:R451"/>
    <mergeCell ref="S450:S451"/>
    <mergeCell ref="F450:F451"/>
    <mergeCell ref="G450:H450"/>
    <mergeCell ref="I450:K451"/>
    <mergeCell ref="M450:M451"/>
    <mergeCell ref="V448:X449"/>
    <mergeCell ref="Y448:Y449"/>
    <mergeCell ref="G449:H449"/>
    <mergeCell ref="A450:A451"/>
    <mergeCell ref="B450:B451"/>
    <mergeCell ref="C450:C451"/>
    <mergeCell ref="D450:D451"/>
    <mergeCell ref="E450:E451"/>
    <mergeCell ref="Q448:Q449"/>
    <mergeCell ref="R448:R449"/>
    <mergeCell ref="S448:S449"/>
    <mergeCell ref="T448:T449"/>
    <mergeCell ref="G448:H448"/>
    <mergeCell ref="I448:K449"/>
    <mergeCell ref="M448:M449"/>
    <mergeCell ref="O448:O449"/>
    <mergeCell ref="A448:A449"/>
    <mergeCell ref="B448:B449"/>
    <mergeCell ref="C448:C449"/>
    <mergeCell ref="D448:D449"/>
    <mergeCell ref="E448:E449"/>
    <mergeCell ref="F448:F449"/>
    <mergeCell ref="T446:T447"/>
    <mergeCell ref="V446:X447"/>
    <mergeCell ref="Y446:Y447"/>
    <mergeCell ref="G447:H447"/>
    <mergeCell ref="O446:O447"/>
    <mergeCell ref="Q446:Q447"/>
    <mergeCell ref="R446:R447"/>
    <mergeCell ref="S446:S447"/>
    <mergeCell ref="F446:F447"/>
    <mergeCell ref="G446:H446"/>
    <mergeCell ref="I446:K447"/>
    <mergeCell ref="M446:M447"/>
    <mergeCell ref="V444:X445"/>
    <mergeCell ref="Y444:Y445"/>
    <mergeCell ref="G445:H445"/>
    <mergeCell ref="A446:A447"/>
    <mergeCell ref="B446:B447"/>
    <mergeCell ref="C446:C447"/>
    <mergeCell ref="D446:D447"/>
    <mergeCell ref="E446:E447"/>
    <mergeCell ref="Q444:Q445"/>
    <mergeCell ref="R444:R445"/>
    <mergeCell ref="S444:S445"/>
    <mergeCell ref="T444:T445"/>
    <mergeCell ref="G444:H444"/>
    <mergeCell ref="I444:K445"/>
    <mergeCell ref="M444:M445"/>
    <mergeCell ref="O444:O445"/>
    <mergeCell ref="A444:A445"/>
    <mergeCell ref="B444:B445"/>
    <mergeCell ref="C444:C445"/>
    <mergeCell ref="D444:D445"/>
    <mergeCell ref="E444:E445"/>
    <mergeCell ref="F444:F445"/>
    <mergeCell ref="T442:T443"/>
    <mergeCell ref="V442:X443"/>
    <mergeCell ref="Y442:Y443"/>
    <mergeCell ref="G443:H443"/>
    <mergeCell ref="O442:O443"/>
    <mergeCell ref="Q442:Q443"/>
    <mergeCell ref="R442:R443"/>
    <mergeCell ref="S442:S443"/>
    <mergeCell ref="F442:F443"/>
    <mergeCell ref="G442:H442"/>
    <mergeCell ref="I442:K443"/>
    <mergeCell ref="M442:M443"/>
    <mergeCell ref="V440:X441"/>
    <mergeCell ref="Y440:Y441"/>
    <mergeCell ref="G441:H441"/>
    <mergeCell ref="A442:A443"/>
    <mergeCell ref="B442:B443"/>
    <mergeCell ref="C442:C443"/>
    <mergeCell ref="D442:D443"/>
    <mergeCell ref="E442:E443"/>
    <mergeCell ref="Q440:Q441"/>
    <mergeCell ref="R440:R441"/>
    <mergeCell ref="S440:S441"/>
    <mergeCell ref="T440:T441"/>
    <mergeCell ref="G440:H440"/>
    <mergeCell ref="I440:K441"/>
    <mergeCell ref="M440:M441"/>
    <mergeCell ref="O440:O441"/>
    <mergeCell ref="A440:A441"/>
    <mergeCell ref="B440:B441"/>
    <mergeCell ref="C440:C441"/>
    <mergeCell ref="D440:D441"/>
    <mergeCell ref="E440:E441"/>
    <mergeCell ref="F440:F441"/>
    <mergeCell ref="T438:T439"/>
    <mergeCell ref="V438:X439"/>
    <mergeCell ref="Y438:Y439"/>
    <mergeCell ref="G439:H439"/>
    <mergeCell ref="O438:O439"/>
    <mergeCell ref="Q438:Q439"/>
    <mergeCell ref="R438:R439"/>
    <mergeCell ref="S438:S439"/>
    <mergeCell ref="F438:F439"/>
    <mergeCell ref="G438:H438"/>
    <mergeCell ref="I438:K439"/>
    <mergeCell ref="M438:M439"/>
    <mergeCell ref="V436:X437"/>
    <mergeCell ref="Y436:Y437"/>
    <mergeCell ref="G437:H437"/>
    <mergeCell ref="A438:A439"/>
    <mergeCell ref="B438:B439"/>
    <mergeCell ref="C438:C439"/>
    <mergeCell ref="D438:D439"/>
    <mergeCell ref="E438:E439"/>
    <mergeCell ref="Q436:Q437"/>
    <mergeCell ref="R436:R437"/>
    <mergeCell ref="S436:S437"/>
    <mergeCell ref="T436:T437"/>
    <mergeCell ref="G436:H436"/>
    <mergeCell ref="I436:K437"/>
    <mergeCell ref="M436:M437"/>
    <mergeCell ref="O436:O437"/>
    <mergeCell ref="A436:A437"/>
    <mergeCell ref="B436:B437"/>
    <mergeCell ref="C436:C437"/>
    <mergeCell ref="D436:D437"/>
    <mergeCell ref="E436:E437"/>
    <mergeCell ref="F436:F437"/>
    <mergeCell ref="T434:T435"/>
    <mergeCell ref="V434:X435"/>
    <mergeCell ref="Y434:Y435"/>
    <mergeCell ref="G435:H435"/>
    <mergeCell ref="O434:O435"/>
    <mergeCell ref="Q434:Q435"/>
    <mergeCell ref="R434:R435"/>
    <mergeCell ref="S434:S435"/>
    <mergeCell ref="F434:F435"/>
    <mergeCell ref="G434:H434"/>
    <mergeCell ref="I434:K435"/>
    <mergeCell ref="M434:M435"/>
    <mergeCell ref="V432:X433"/>
    <mergeCell ref="Y432:Y433"/>
    <mergeCell ref="G433:H433"/>
    <mergeCell ref="A434:A435"/>
    <mergeCell ref="B434:B435"/>
    <mergeCell ref="C434:C435"/>
    <mergeCell ref="D434:D435"/>
    <mergeCell ref="E434:E435"/>
    <mergeCell ref="Q432:Q433"/>
    <mergeCell ref="R432:R433"/>
    <mergeCell ref="S432:S433"/>
    <mergeCell ref="T432:T433"/>
    <mergeCell ref="G432:H432"/>
    <mergeCell ref="I432:K433"/>
    <mergeCell ref="M432:M433"/>
    <mergeCell ref="O432:O433"/>
    <mergeCell ref="A432:A433"/>
    <mergeCell ref="B432:B433"/>
    <mergeCell ref="C432:C433"/>
    <mergeCell ref="D432:D433"/>
    <mergeCell ref="E432:E433"/>
    <mergeCell ref="F432:F433"/>
    <mergeCell ref="T430:T431"/>
    <mergeCell ref="V430:X431"/>
    <mergeCell ref="Y430:Y431"/>
    <mergeCell ref="G431:H431"/>
    <mergeCell ref="O430:O431"/>
    <mergeCell ref="Q430:Q431"/>
    <mergeCell ref="R430:R431"/>
    <mergeCell ref="S430:S431"/>
    <mergeCell ref="F430:F431"/>
    <mergeCell ref="G430:H430"/>
    <mergeCell ref="I430:K431"/>
    <mergeCell ref="M430:M431"/>
    <mergeCell ref="V428:X429"/>
    <mergeCell ref="Y428:Y429"/>
    <mergeCell ref="G429:H429"/>
    <mergeCell ref="A430:A431"/>
    <mergeCell ref="B430:B431"/>
    <mergeCell ref="C430:C431"/>
    <mergeCell ref="D430:D431"/>
    <mergeCell ref="E430:E431"/>
    <mergeCell ref="Q428:Q429"/>
    <mergeCell ref="R428:R429"/>
    <mergeCell ref="S428:S429"/>
    <mergeCell ref="T428:T429"/>
    <mergeCell ref="G428:H428"/>
    <mergeCell ref="I428:K429"/>
    <mergeCell ref="M428:M429"/>
    <mergeCell ref="O428:O429"/>
    <mergeCell ref="A428:A429"/>
    <mergeCell ref="B428:B429"/>
    <mergeCell ref="C428:C429"/>
    <mergeCell ref="D428:D429"/>
    <mergeCell ref="E428:E429"/>
    <mergeCell ref="F428:F429"/>
    <mergeCell ref="T426:T427"/>
    <mergeCell ref="V426:X427"/>
    <mergeCell ref="Y426:Y427"/>
    <mergeCell ref="G427:H427"/>
    <mergeCell ref="O426:O427"/>
    <mergeCell ref="Q426:Q427"/>
    <mergeCell ref="R426:R427"/>
    <mergeCell ref="S426:S427"/>
    <mergeCell ref="F426:F427"/>
    <mergeCell ref="G426:H426"/>
    <mergeCell ref="I426:K427"/>
    <mergeCell ref="M426:M427"/>
    <mergeCell ref="V424:X425"/>
    <mergeCell ref="Y424:Y425"/>
    <mergeCell ref="G425:H425"/>
    <mergeCell ref="A426:A427"/>
    <mergeCell ref="B426:B427"/>
    <mergeCell ref="C426:C427"/>
    <mergeCell ref="D426:D427"/>
    <mergeCell ref="E426:E427"/>
    <mergeCell ref="Q424:Q425"/>
    <mergeCell ref="R424:R425"/>
    <mergeCell ref="S424:S425"/>
    <mergeCell ref="T424:T425"/>
    <mergeCell ref="G424:H424"/>
    <mergeCell ref="I424:K425"/>
    <mergeCell ref="M424:M425"/>
    <mergeCell ref="O424:O425"/>
    <mergeCell ref="A424:A425"/>
    <mergeCell ref="B424:B425"/>
    <mergeCell ref="C424:C425"/>
    <mergeCell ref="D424:D425"/>
    <mergeCell ref="E424:E425"/>
    <mergeCell ref="F424:F425"/>
    <mergeCell ref="T422:T423"/>
    <mergeCell ref="V422:X423"/>
    <mergeCell ref="Y422:Y423"/>
    <mergeCell ref="G423:H423"/>
    <mergeCell ref="O422:O423"/>
    <mergeCell ref="Q422:Q423"/>
    <mergeCell ref="R422:R423"/>
    <mergeCell ref="S422:S423"/>
    <mergeCell ref="F422:F423"/>
    <mergeCell ref="G422:H422"/>
    <mergeCell ref="I422:K423"/>
    <mergeCell ref="M422:M423"/>
    <mergeCell ref="V420:X421"/>
    <mergeCell ref="Y420:Y421"/>
    <mergeCell ref="G421:H421"/>
    <mergeCell ref="A422:A423"/>
    <mergeCell ref="B422:B423"/>
    <mergeCell ref="C422:C423"/>
    <mergeCell ref="D422:D423"/>
    <mergeCell ref="E422:E423"/>
    <mergeCell ref="Q420:Q421"/>
    <mergeCell ref="R420:R421"/>
    <mergeCell ref="S420:S421"/>
    <mergeCell ref="T420:T421"/>
    <mergeCell ref="G420:H420"/>
    <mergeCell ref="I420:K421"/>
    <mergeCell ref="M420:M421"/>
    <mergeCell ref="O420:O421"/>
    <mergeCell ref="A420:A421"/>
    <mergeCell ref="B420:B421"/>
    <mergeCell ref="C420:C421"/>
    <mergeCell ref="D420:D421"/>
    <mergeCell ref="E420:E421"/>
    <mergeCell ref="F420:F421"/>
    <mergeCell ref="T418:T419"/>
    <mergeCell ref="V418:X419"/>
    <mergeCell ref="Y418:Y419"/>
    <mergeCell ref="G419:H419"/>
    <mergeCell ref="O418:O419"/>
    <mergeCell ref="Q418:Q419"/>
    <mergeCell ref="R418:R419"/>
    <mergeCell ref="S418:S419"/>
    <mergeCell ref="F418:F419"/>
    <mergeCell ref="G418:H418"/>
    <mergeCell ref="I418:K419"/>
    <mergeCell ref="M418:M419"/>
    <mergeCell ref="V416:X417"/>
    <mergeCell ref="Y416:Y417"/>
    <mergeCell ref="G417:H417"/>
    <mergeCell ref="A418:A419"/>
    <mergeCell ref="B418:B419"/>
    <mergeCell ref="C418:C419"/>
    <mergeCell ref="D418:D419"/>
    <mergeCell ref="E418:E419"/>
    <mergeCell ref="Q416:Q417"/>
    <mergeCell ref="R416:R417"/>
    <mergeCell ref="S416:S417"/>
    <mergeCell ref="T416:T417"/>
    <mergeCell ref="G416:H416"/>
    <mergeCell ref="I416:K417"/>
    <mergeCell ref="M416:M417"/>
    <mergeCell ref="O416:O417"/>
    <mergeCell ref="A416:A417"/>
    <mergeCell ref="B416:B417"/>
    <mergeCell ref="C416:C417"/>
    <mergeCell ref="D416:D417"/>
    <mergeCell ref="E416:E417"/>
    <mergeCell ref="F416:F417"/>
    <mergeCell ref="T414:T415"/>
    <mergeCell ref="V414:X415"/>
    <mergeCell ref="Y414:Y415"/>
    <mergeCell ref="G415:H415"/>
    <mergeCell ref="O414:O415"/>
    <mergeCell ref="Q414:Q415"/>
    <mergeCell ref="R414:R415"/>
    <mergeCell ref="S414:S415"/>
    <mergeCell ref="F414:F415"/>
    <mergeCell ref="G414:H414"/>
    <mergeCell ref="I414:K415"/>
    <mergeCell ref="M414:M415"/>
    <mergeCell ref="V412:X413"/>
    <mergeCell ref="Y412:Y413"/>
    <mergeCell ref="G413:H413"/>
    <mergeCell ref="A414:A415"/>
    <mergeCell ref="B414:B415"/>
    <mergeCell ref="C414:C415"/>
    <mergeCell ref="D414:D415"/>
    <mergeCell ref="E414:E415"/>
    <mergeCell ref="Q412:Q413"/>
    <mergeCell ref="R412:R413"/>
    <mergeCell ref="S412:S413"/>
    <mergeCell ref="T412:T413"/>
    <mergeCell ref="G412:H412"/>
    <mergeCell ref="I412:K413"/>
    <mergeCell ref="M412:M413"/>
    <mergeCell ref="O412:O413"/>
    <mergeCell ref="A412:A413"/>
    <mergeCell ref="B412:B413"/>
    <mergeCell ref="C412:C413"/>
    <mergeCell ref="D412:D413"/>
    <mergeCell ref="E412:E413"/>
    <mergeCell ref="F412:F413"/>
    <mergeCell ref="T410:T411"/>
    <mergeCell ref="V410:X411"/>
    <mergeCell ref="Y410:Y411"/>
    <mergeCell ref="G411:H411"/>
    <mergeCell ref="O410:O411"/>
    <mergeCell ref="Q410:Q411"/>
    <mergeCell ref="R410:R411"/>
    <mergeCell ref="S410:S411"/>
    <mergeCell ref="F410:F411"/>
    <mergeCell ref="G410:H410"/>
    <mergeCell ref="I410:K411"/>
    <mergeCell ref="M410:M411"/>
    <mergeCell ref="V408:X409"/>
    <mergeCell ref="Y408:Y409"/>
    <mergeCell ref="G409:H409"/>
    <mergeCell ref="A410:A411"/>
    <mergeCell ref="B410:B411"/>
    <mergeCell ref="C410:C411"/>
    <mergeCell ref="D410:D411"/>
    <mergeCell ref="E410:E411"/>
    <mergeCell ref="Q408:Q409"/>
    <mergeCell ref="R408:R409"/>
    <mergeCell ref="S408:S409"/>
    <mergeCell ref="T408:T409"/>
    <mergeCell ref="G408:H408"/>
    <mergeCell ref="I408:K409"/>
    <mergeCell ref="M408:M409"/>
    <mergeCell ref="O408:O409"/>
    <mergeCell ref="A408:A409"/>
    <mergeCell ref="B408:B409"/>
    <mergeCell ref="C408:C409"/>
    <mergeCell ref="D408:D409"/>
    <mergeCell ref="E408:E409"/>
    <mergeCell ref="F408:F409"/>
    <mergeCell ref="T406:T407"/>
    <mergeCell ref="V406:X407"/>
    <mergeCell ref="Y406:Y407"/>
    <mergeCell ref="G407:H407"/>
    <mergeCell ref="O406:O407"/>
    <mergeCell ref="Q406:Q407"/>
    <mergeCell ref="R406:R407"/>
    <mergeCell ref="S406:S407"/>
    <mergeCell ref="F406:F407"/>
    <mergeCell ref="G406:H406"/>
    <mergeCell ref="I406:K407"/>
    <mergeCell ref="M406:M407"/>
    <mergeCell ref="V404:X405"/>
    <mergeCell ref="Y404:Y405"/>
    <mergeCell ref="G405:H405"/>
    <mergeCell ref="A406:A407"/>
    <mergeCell ref="B406:B407"/>
    <mergeCell ref="C406:C407"/>
    <mergeCell ref="D406:D407"/>
    <mergeCell ref="E406:E407"/>
    <mergeCell ref="Q404:Q405"/>
    <mergeCell ref="R404:R405"/>
    <mergeCell ref="S404:S405"/>
    <mergeCell ref="T404:T405"/>
    <mergeCell ref="G404:H404"/>
    <mergeCell ref="I404:K405"/>
    <mergeCell ref="M404:M405"/>
    <mergeCell ref="O404:O405"/>
    <mergeCell ref="A404:A405"/>
    <mergeCell ref="B404:B405"/>
    <mergeCell ref="C404:C405"/>
    <mergeCell ref="D404:D405"/>
    <mergeCell ref="E404:E405"/>
    <mergeCell ref="F404:F405"/>
    <mergeCell ref="T402:T403"/>
    <mergeCell ref="V402:X403"/>
    <mergeCell ref="Y402:Y403"/>
    <mergeCell ref="G403:H403"/>
    <mergeCell ref="O402:O403"/>
    <mergeCell ref="Q402:Q403"/>
    <mergeCell ref="R402:R403"/>
    <mergeCell ref="S402:S403"/>
    <mergeCell ref="F402:F403"/>
    <mergeCell ref="G402:H402"/>
    <mergeCell ref="I402:K403"/>
    <mergeCell ref="M402:M403"/>
    <mergeCell ref="V400:X401"/>
    <mergeCell ref="Y400:Y401"/>
    <mergeCell ref="G401:H401"/>
    <mergeCell ref="A402:A403"/>
    <mergeCell ref="B402:B403"/>
    <mergeCell ref="C402:C403"/>
    <mergeCell ref="D402:D403"/>
    <mergeCell ref="E402:E403"/>
    <mergeCell ref="Q400:Q401"/>
    <mergeCell ref="R400:R401"/>
    <mergeCell ref="S400:S401"/>
    <mergeCell ref="T400:T401"/>
    <mergeCell ref="G400:H400"/>
    <mergeCell ref="I400:K401"/>
    <mergeCell ref="M400:M401"/>
    <mergeCell ref="O400:O401"/>
    <mergeCell ref="A400:A401"/>
    <mergeCell ref="B400:B401"/>
    <mergeCell ref="C400:C401"/>
    <mergeCell ref="D400:D401"/>
    <mergeCell ref="E400:E401"/>
    <mergeCell ref="F400:F401"/>
    <mergeCell ref="T398:T399"/>
    <mergeCell ref="V398:X399"/>
    <mergeCell ref="Y398:Y399"/>
    <mergeCell ref="G399:H399"/>
    <mergeCell ref="O398:O399"/>
    <mergeCell ref="Q398:Q399"/>
    <mergeCell ref="R398:R399"/>
    <mergeCell ref="S398:S399"/>
    <mergeCell ref="F398:F399"/>
    <mergeCell ref="G398:H398"/>
    <mergeCell ref="I398:K399"/>
    <mergeCell ref="M398:M399"/>
    <mergeCell ref="V396:X397"/>
    <mergeCell ref="Y396:Y397"/>
    <mergeCell ref="G397:H397"/>
    <mergeCell ref="A398:A399"/>
    <mergeCell ref="B398:B399"/>
    <mergeCell ref="C398:C399"/>
    <mergeCell ref="D398:D399"/>
    <mergeCell ref="E398:E399"/>
    <mergeCell ref="Q396:Q397"/>
    <mergeCell ref="R396:R397"/>
    <mergeCell ref="S396:S397"/>
    <mergeCell ref="T396:T397"/>
    <mergeCell ref="G396:H396"/>
    <mergeCell ref="I396:K397"/>
    <mergeCell ref="M396:M397"/>
    <mergeCell ref="O396:O397"/>
    <mergeCell ref="A396:A397"/>
    <mergeCell ref="B396:B397"/>
    <mergeCell ref="C396:C397"/>
    <mergeCell ref="D396:D397"/>
    <mergeCell ref="E396:E397"/>
    <mergeCell ref="F396:F397"/>
    <mergeCell ref="T394:T395"/>
    <mergeCell ref="V394:X395"/>
    <mergeCell ref="Y394:Y395"/>
    <mergeCell ref="G395:H395"/>
    <mergeCell ref="O394:O395"/>
    <mergeCell ref="Q394:Q395"/>
    <mergeCell ref="R394:R395"/>
    <mergeCell ref="S394:S395"/>
    <mergeCell ref="F394:F395"/>
    <mergeCell ref="G394:H394"/>
    <mergeCell ref="I394:K395"/>
    <mergeCell ref="M394:M395"/>
    <mergeCell ref="V392:X393"/>
    <mergeCell ref="Y392:Y393"/>
    <mergeCell ref="G393:H393"/>
    <mergeCell ref="A394:A395"/>
    <mergeCell ref="B394:B395"/>
    <mergeCell ref="C394:C395"/>
    <mergeCell ref="D394:D395"/>
    <mergeCell ref="E394:E395"/>
    <mergeCell ref="Q392:Q393"/>
    <mergeCell ref="R392:R393"/>
    <mergeCell ref="S392:S393"/>
    <mergeCell ref="T392:T393"/>
    <mergeCell ref="G392:H392"/>
    <mergeCell ref="I392:K393"/>
    <mergeCell ref="M392:M393"/>
    <mergeCell ref="O392:O393"/>
    <mergeCell ref="A392:A393"/>
    <mergeCell ref="B392:B393"/>
    <mergeCell ref="C392:C393"/>
    <mergeCell ref="D392:D393"/>
    <mergeCell ref="E392:E393"/>
    <mergeCell ref="F392:F393"/>
    <mergeCell ref="T390:T391"/>
    <mergeCell ref="V390:X391"/>
    <mergeCell ref="Y390:Y391"/>
    <mergeCell ref="G391:H391"/>
    <mergeCell ref="O390:O391"/>
    <mergeCell ref="Q390:Q391"/>
    <mergeCell ref="R390:R391"/>
    <mergeCell ref="S390:S391"/>
    <mergeCell ref="F390:F391"/>
    <mergeCell ref="G390:H390"/>
    <mergeCell ref="I390:K391"/>
    <mergeCell ref="M390:M391"/>
    <mergeCell ref="V388:X389"/>
    <mergeCell ref="Y388:Y389"/>
    <mergeCell ref="G389:H389"/>
    <mergeCell ref="A390:A391"/>
    <mergeCell ref="B390:B391"/>
    <mergeCell ref="C390:C391"/>
    <mergeCell ref="D390:D391"/>
    <mergeCell ref="E390:E391"/>
    <mergeCell ref="Q388:Q389"/>
    <mergeCell ref="R388:R389"/>
    <mergeCell ref="S388:S389"/>
    <mergeCell ref="T388:T389"/>
    <mergeCell ref="G388:H388"/>
    <mergeCell ref="I388:K389"/>
    <mergeCell ref="M388:M389"/>
    <mergeCell ref="O388:O389"/>
    <mergeCell ref="A388:A389"/>
    <mergeCell ref="B388:B389"/>
    <mergeCell ref="C388:C389"/>
    <mergeCell ref="D388:D389"/>
    <mergeCell ref="E388:E389"/>
    <mergeCell ref="F388:F389"/>
    <mergeCell ref="T386:T387"/>
    <mergeCell ref="V386:X387"/>
    <mergeCell ref="Y386:Y387"/>
    <mergeCell ref="G387:H387"/>
    <mergeCell ref="O386:O387"/>
    <mergeCell ref="Q386:Q387"/>
    <mergeCell ref="R386:R387"/>
    <mergeCell ref="S386:S387"/>
    <mergeCell ref="F386:F387"/>
    <mergeCell ref="G386:H386"/>
    <mergeCell ref="I386:K387"/>
    <mergeCell ref="M386:M387"/>
    <mergeCell ref="V384:X385"/>
    <mergeCell ref="Y384:Y385"/>
    <mergeCell ref="G385:H385"/>
    <mergeCell ref="A386:A387"/>
    <mergeCell ref="B386:B387"/>
    <mergeCell ref="C386:C387"/>
    <mergeCell ref="D386:D387"/>
    <mergeCell ref="E386:E387"/>
    <mergeCell ref="Q384:Q385"/>
    <mergeCell ref="R384:R385"/>
    <mergeCell ref="S384:S385"/>
    <mergeCell ref="T384:T385"/>
    <mergeCell ref="G384:H384"/>
    <mergeCell ref="I384:K385"/>
    <mergeCell ref="M384:M385"/>
    <mergeCell ref="O384:O385"/>
    <mergeCell ref="A384:A385"/>
    <mergeCell ref="B384:B385"/>
    <mergeCell ref="C384:C385"/>
    <mergeCell ref="D384:D385"/>
    <mergeCell ref="E384:E385"/>
    <mergeCell ref="F384:F385"/>
    <mergeCell ref="T382:T383"/>
    <mergeCell ref="V382:X383"/>
    <mergeCell ref="Y382:Y383"/>
    <mergeCell ref="G383:H383"/>
    <mergeCell ref="O382:O383"/>
    <mergeCell ref="Q382:Q383"/>
    <mergeCell ref="R382:R383"/>
    <mergeCell ref="S382:S383"/>
    <mergeCell ref="F382:F383"/>
    <mergeCell ref="G382:H382"/>
    <mergeCell ref="I382:K383"/>
    <mergeCell ref="M382:M383"/>
    <mergeCell ref="V380:X381"/>
    <mergeCell ref="Y380:Y381"/>
    <mergeCell ref="G381:H381"/>
    <mergeCell ref="A382:A383"/>
    <mergeCell ref="B382:B383"/>
    <mergeCell ref="C382:C383"/>
    <mergeCell ref="D382:D383"/>
    <mergeCell ref="E382:E383"/>
    <mergeCell ref="Q380:Q381"/>
    <mergeCell ref="R380:R381"/>
    <mergeCell ref="S380:S381"/>
    <mergeCell ref="T380:T381"/>
    <mergeCell ref="G380:H380"/>
    <mergeCell ref="I380:K381"/>
    <mergeCell ref="M380:M381"/>
    <mergeCell ref="O380:O381"/>
    <mergeCell ref="A380:A381"/>
    <mergeCell ref="B380:B381"/>
    <mergeCell ref="C380:C381"/>
    <mergeCell ref="D380:D381"/>
    <mergeCell ref="E380:E381"/>
    <mergeCell ref="F380:F381"/>
    <mergeCell ref="T378:T379"/>
    <mergeCell ref="V378:X379"/>
    <mergeCell ref="Y378:Y379"/>
    <mergeCell ref="G379:H379"/>
    <mergeCell ref="O378:O379"/>
    <mergeCell ref="Q378:Q379"/>
    <mergeCell ref="R378:R379"/>
    <mergeCell ref="S378:S379"/>
    <mergeCell ref="F378:F379"/>
    <mergeCell ref="G378:H378"/>
    <mergeCell ref="I378:K379"/>
    <mergeCell ref="M378:M379"/>
    <mergeCell ref="V376:X377"/>
    <mergeCell ref="Y376:Y377"/>
    <mergeCell ref="G377:H377"/>
    <mergeCell ref="A378:A379"/>
    <mergeCell ref="B378:B379"/>
    <mergeCell ref="C378:C379"/>
    <mergeCell ref="D378:D379"/>
    <mergeCell ref="E378:E379"/>
    <mergeCell ref="Q376:Q377"/>
    <mergeCell ref="R376:R377"/>
    <mergeCell ref="S376:S377"/>
    <mergeCell ref="T376:T377"/>
    <mergeCell ref="G376:H376"/>
    <mergeCell ref="I376:K377"/>
    <mergeCell ref="M376:M377"/>
    <mergeCell ref="O376:O377"/>
    <mergeCell ref="A376:A377"/>
    <mergeCell ref="B376:B377"/>
    <mergeCell ref="C376:C377"/>
    <mergeCell ref="D376:D377"/>
    <mergeCell ref="E376:E377"/>
    <mergeCell ref="F376:F377"/>
    <mergeCell ref="T374:T375"/>
    <mergeCell ref="V374:X375"/>
    <mergeCell ref="Y374:Y375"/>
    <mergeCell ref="G375:H375"/>
    <mergeCell ref="O374:O375"/>
    <mergeCell ref="Q374:Q375"/>
    <mergeCell ref="R374:R375"/>
    <mergeCell ref="S374:S375"/>
    <mergeCell ref="F374:F375"/>
    <mergeCell ref="G374:H374"/>
    <mergeCell ref="I374:K375"/>
    <mergeCell ref="M374:M375"/>
    <mergeCell ref="V372:X373"/>
    <mergeCell ref="Y372:Y373"/>
    <mergeCell ref="G373:H373"/>
    <mergeCell ref="A374:A375"/>
    <mergeCell ref="B374:B375"/>
    <mergeCell ref="C374:C375"/>
    <mergeCell ref="D374:D375"/>
    <mergeCell ref="E374:E375"/>
    <mergeCell ref="Q372:Q373"/>
    <mergeCell ref="R372:R373"/>
    <mergeCell ref="S372:S373"/>
    <mergeCell ref="T372:T373"/>
    <mergeCell ref="G372:H372"/>
    <mergeCell ref="I372:K373"/>
    <mergeCell ref="M372:M373"/>
    <mergeCell ref="O372:O373"/>
    <mergeCell ref="A372:A373"/>
    <mergeCell ref="B372:B373"/>
    <mergeCell ref="C372:C373"/>
    <mergeCell ref="D372:D373"/>
    <mergeCell ref="E372:E373"/>
    <mergeCell ref="F372:F373"/>
    <mergeCell ref="T370:T371"/>
    <mergeCell ref="V370:X371"/>
    <mergeCell ref="Y370:Y371"/>
    <mergeCell ref="G371:H371"/>
    <mergeCell ref="O370:O371"/>
    <mergeCell ref="Q370:Q371"/>
    <mergeCell ref="R370:R371"/>
    <mergeCell ref="S370:S371"/>
    <mergeCell ref="F370:F371"/>
    <mergeCell ref="G370:H370"/>
    <mergeCell ref="I370:K371"/>
    <mergeCell ref="M370:M371"/>
    <mergeCell ref="V368:X369"/>
    <mergeCell ref="Y368:Y369"/>
    <mergeCell ref="G369:H369"/>
    <mergeCell ref="A370:A371"/>
    <mergeCell ref="B370:B371"/>
    <mergeCell ref="C370:C371"/>
    <mergeCell ref="D370:D371"/>
    <mergeCell ref="E370:E371"/>
    <mergeCell ref="Q368:Q369"/>
    <mergeCell ref="R368:R369"/>
    <mergeCell ref="S368:S369"/>
    <mergeCell ref="T368:T369"/>
    <mergeCell ref="G368:H368"/>
    <mergeCell ref="I368:K369"/>
    <mergeCell ref="M368:M369"/>
    <mergeCell ref="O368:O369"/>
    <mergeCell ref="A368:A369"/>
    <mergeCell ref="B368:B369"/>
    <mergeCell ref="C368:C369"/>
    <mergeCell ref="D368:D369"/>
    <mergeCell ref="E368:E369"/>
    <mergeCell ref="F368:F369"/>
    <mergeCell ref="T366:T367"/>
    <mergeCell ref="V366:X367"/>
    <mergeCell ref="Y366:Y367"/>
    <mergeCell ref="G367:H367"/>
    <mergeCell ref="O366:O367"/>
    <mergeCell ref="Q366:Q367"/>
    <mergeCell ref="R366:R367"/>
    <mergeCell ref="S366:S367"/>
    <mergeCell ref="F366:F367"/>
    <mergeCell ref="G366:H366"/>
    <mergeCell ref="I366:K367"/>
    <mergeCell ref="M366:M367"/>
    <mergeCell ref="V364:X365"/>
    <mergeCell ref="Y364:Y365"/>
    <mergeCell ref="G365:H365"/>
    <mergeCell ref="A366:A367"/>
    <mergeCell ref="B366:B367"/>
    <mergeCell ref="C366:C367"/>
    <mergeCell ref="D366:D367"/>
    <mergeCell ref="E366:E367"/>
    <mergeCell ref="Q364:Q365"/>
    <mergeCell ref="R364:R365"/>
    <mergeCell ref="S364:S365"/>
    <mergeCell ref="T364:T365"/>
    <mergeCell ref="G364:H364"/>
    <mergeCell ref="I364:K365"/>
    <mergeCell ref="M364:M365"/>
    <mergeCell ref="O364:O365"/>
    <mergeCell ref="A364:A365"/>
    <mergeCell ref="B364:B365"/>
    <mergeCell ref="C364:C365"/>
    <mergeCell ref="D364:D365"/>
    <mergeCell ref="E364:E365"/>
    <mergeCell ref="F364:F365"/>
    <mergeCell ref="T362:T363"/>
    <mergeCell ref="V362:X363"/>
    <mergeCell ref="Y362:Y363"/>
    <mergeCell ref="G363:H363"/>
    <mergeCell ref="O362:O363"/>
    <mergeCell ref="Q362:Q363"/>
    <mergeCell ref="R362:R363"/>
    <mergeCell ref="S362:S363"/>
    <mergeCell ref="F362:F363"/>
    <mergeCell ref="G362:H362"/>
    <mergeCell ref="I362:K363"/>
    <mergeCell ref="M362:M363"/>
    <mergeCell ref="V360:X361"/>
    <mergeCell ref="Y360:Y361"/>
    <mergeCell ref="G361:H361"/>
    <mergeCell ref="A362:A363"/>
    <mergeCell ref="B362:B363"/>
    <mergeCell ref="C362:C363"/>
    <mergeCell ref="D362:D363"/>
    <mergeCell ref="E362:E363"/>
    <mergeCell ref="Q360:Q361"/>
    <mergeCell ref="R360:R361"/>
    <mergeCell ref="S360:S361"/>
    <mergeCell ref="T360:T361"/>
    <mergeCell ref="G360:H360"/>
    <mergeCell ref="I360:K361"/>
    <mergeCell ref="M360:M361"/>
    <mergeCell ref="O360:O361"/>
    <mergeCell ref="A360:A361"/>
    <mergeCell ref="B360:B361"/>
    <mergeCell ref="C360:C361"/>
    <mergeCell ref="D360:D361"/>
    <mergeCell ref="E360:E361"/>
    <mergeCell ref="F360:F361"/>
    <mergeCell ref="T358:T359"/>
    <mergeCell ref="V358:X359"/>
    <mergeCell ref="Y358:Y359"/>
    <mergeCell ref="G359:H359"/>
    <mergeCell ref="O358:O359"/>
    <mergeCell ref="Q358:Q359"/>
    <mergeCell ref="R358:R359"/>
    <mergeCell ref="S358:S359"/>
    <mergeCell ref="F358:F359"/>
    <mergeCell ref="G358:H358"/>
    <mergeCell ref="I358:K359"/>
    <mergeCell ref="M358:M359"/>
    <mergeCell ref="V356:X357"/>
    <mergeCell ref="Y356:Y357"/>
    <mergeCell ref="G357:H357"/>
    <mergeCell ref="A358:A359"/>
    <mergeCell ref="B358:B359"/>
    <mergeCell ref="C358:C359"/>
    <mergeCell ref="D358:D359"/>
    <mergeCell ref="E358:E359"/>
    <mergeCell ref="Q356:Q357"/>
    <mergeCell ref="R356:R357"/>
    <mergeCell ref="S356:S357"/>
    <mergeCell ref="T356:T357"/>
    <mergeCell ref="G356:H356"/>
    <mergeCell ref="I356:K357"/>
    <mergeCell ref="M356:M357"/>
    <mergeCell ref="O356:O357"/>
    <mergeCell ref="A356:A357"/>
    <mergeCell ref="B356:B357"/>
    <mergeCell ref="C356:C357"/>
    <mergeCell ref="D356:D357"/>
    <mergeCell ref="E356:E357"/>
    <mergeCell ref="F356:F357"/>
    <mergeCell ref="T354:T355"/>
    <mergeCell ref="V354:X355"/>
    <mergeCell ref="Y354:Y355"/>
    <mergeCell ref="G355:H355"/>
    <mergeCell ref="O354:O355"/>
    <mergeCell ref="Q354:Q355"/>
    <mergeCell ref="R354:R355"/>
    <mergeCell ref="S354:S355"/>
    <mergeCell ref="F354:F355"/>
    <mergeCell ref="G354:H354"/>
    <mergeCell ref="I354:K355"/>
    <mergeCell ref="M354:M355"/>
    <mergeCell ref="V352:X353"/>
    <mergeCell ref="Y352:Y353"/>
    <mergeCell ref="G353:H353"/>
    <mergeCell ref="A354:A355"/>
    <mergeCell ref="B354:B355"/>
    <mergeCell ref="C354:C355"/>
    <mergeCell ref="D354:D355"/>
    <mergeCell ref="E354:E355"/>
    <mergeCell ref="Q352:Q353"/>
    <mergeCell ref="R352:R353"/>
    <mergeCell ref="S352:S353"/>
    <mergeCell ref="T352:T353"/>
    <mergeCell ref="G352:H352"/>
    <mergeCell ref="I352:K353"/>
    <mergeCell ref="M352:M353"/>
    <mergeCell ref="O352:O353"/>
    <mergeCell ref="A352:A353"/>
    <mergeCell ref="B352:B353"/>
    <mergeCell ref="C352:C353"/>
    <mergeCell ref="D352:D353"/>
    <mergeCell ref="E352:E353"/>
    <mergeCell ref="F352:F353"/>
    <mergeCell ref="T350:T351"/>
    <mergeCell ref="V350:X351"/>
    <mergeCell ref="Y350:Y351"/>
    <mergeCell ref="G351:H351"/>
    <mergeCell ref="O350:O351"/>
    <mergeCell ref="Q350:Q351"/>
    <mergeCell ref="R350:R351"/>
    <mergeCell ref="S350:S351"/>
    <mergeCell ref="F350:F351"/>
    <mergeCell ref="G350:H350"/>
    <mergeCell ref="I350:K351"/>
    <mergeCell ref="M350:M351"/>
    <mergeCell ref="V348:X349"/>
    <mergeCell ref="Y348:Y349"/>
    <mergeCell ref="G349:H349"/>
    <mergeCell ref="A350:A351"/>
    <mergeCell ref="B350:B351"/>
    <mergeCell ref="C350:C351"/>
    <mergeCell ref="D350:D351"/>
    <mergeCell ref="E350:E351"/>
    <mergeCell ref="Q348:Q349"/>
    <mergeCell ref="R348:R349"/>
    <mergeCell ref="S348:S349"/>
    <mergeCell ref="T348:T349"/>
    <mergeCell ref="G348:H348"/>
    <mergeCell ref="I348:K349"/>
    <mergeCell ref="M348:M349"/>
    <mergeCell ref="O348:O349"/>
    <mergeCell ref="A348:A349"/>
    <mergeCell ref="B348:B349"/>
    <mergeCell ref="C348:C349"/>
    <mergeCell ref="D348:D349"/>
    <mergeCell ref="E348:E349"/>
    <mergeCell ref="F348:F349"/>
    <mergeCell ref="T346:T347"/>
    <mergeCell ref="V346:X347"/>
    <mergeCell ref="Y346:Y347"/>
    <mergeCell ref="G347:H347"/>
    <mergeCell ref="O346:O347"/>
    <mergeCell ref="Q346:Q347"/>
    <mergeCell ref="R346:R347"/>
    <mergeCell ref="S346:S347"/>
    <mergeCell ref="F346:F347"/>
    <mergeCell ref="G346:H346"/>
    <mergeCell ref="I346:K347"/>
    <mergeCell ref="M346:M347"/>
    <mergeCell ref="V344:X345"/>
    <mergeCell ref="Y344:Y345"/>
    <mergeCell ref="G345:H345"/>
    <mergeCell ref="A346:A347"/>
    <mergeCell ref="B346:B347"/>
    <mergeCell ref="C346:C347"/>
    <mergeCell ref="D346:D347"/>
    <mergeCell ref="E346:E347"/>
    <mergeCell ref="Q344:Q345"/>
    <mergeCell ref="R344:R345"/>
    <mergeCell ref="S344:S345"/>
    <mergeCell ref="T344:T345"/>
    <mergeCell ref="G344:H344"/>
    <mergeCell ref="I344:K345"/>
    <mergeCell ref="M344:M345"/>
    <mergeCell ref="O344:O345"/>
    <mergeCell ref="A344:A345"/>
    <mergeCell ref="B344:B345"/>
    <mergeCell ref="C344:C345"/>
    <mergeCell ref="D344:D345"/>
    <mergeCell ref="E344:E345"/>
    <mergeCell ref="F344:F345"/>
    <mergeCell ref="T342:T343"/>
    <mergeCell ref="V342:X343"/>
    <mergeCell ref="Y342:Y343"/>
    <mergeCell ref="G343:H343"/>
    <mergeCell ref="O342:O343"/>
    <mergeCell ref="Q342:Q343"/>
    <mergeCell ref="R342:R343"/>
    <mergeCell ref="S342:S343"/>
    <mergeCell ref="F342:F343"/>
    <mergeCell ref="G342:H342"/>
    <mergeCell ref="I342:K343"/>
    <mergeCell ref="M342:M343"/>
    <mergeCell ref="V340:X341"/>
    <mergeCell ref="Y340:Y341"/>
    <mergeCell ref="G341:H341"/>
    <mergeCell ref="A342:A343"/>
    <mergeCell ref="B342:B343"/>
    <mergeCell ref="C342:C343"/>
    <mergeCell ref="D342:D343"/>
    <mergeCell ref="E342:E343"/>
    <mergeCell ref="Q340:Q341"/>
    <mergeCell ref="R340:R341"/>
    <mergeCell ref="S340:S341"/>
    <mergeCell ref="T340:T341"/>
    <mergeCell ref="G340:H340"/>
    <mergeCell ref="I340:K341"/>
    <mergeCell ref="M340:M341"/>
    <mergeCell ref="O340:O341"/>
    <mergeCell ref="A340:A341"/>
    <mergeCell ref="B340:B341"/>
    <mergeCell ref="C340:C341"/>
    <mergeCell ref="D340:D341"/>
    <mergeCell ref="E340:E341"/>
    <mergeCell ref="F340:F341"/>
    <mergeCell ref="T338:T339"/>
    <mergeCell ref="V338:X339"/>
    <mergeCell ref="Y338:Y339"/>
    <mergeCell ref="G339:H339"/>
    <mergeCell ref="O338:O339"/>
    <mergeCell ref="Q338:Q339"/>
    <mergeCell ref="R338:R339"/>
    <mergeCell ref="S338:S339"/>
    <mergeCell ref="F338:F339"/>
    <mergeCell ref="G338:H338"/>
    <mergeCell ref="I338:K339"/>
    <mergeCell ref="M338:M339"/>
    <mergeCell ref="V336:X337"/>
    <mergeCell ref="Y336:Y337"/>
    <mergeCell ref="G337:H337"/>
    <mergeCell ref="A338:A339"/>
    <mergeCell ref="B338:B339"/>
    <mergeCell ref="C338:C339"/>
    <mergeCell ref="D338:D339"/>
    <mergeCell ref="E338:E339"/>
    <mergeCell ref="Q336:Q337"/>
    <mergeCell ref="R336:R337"/>
    <mergeCell ref="S336:S337"/>
    <mergeCell ref="T336:T337"/>
    <mergeCell ref="G336:H336"/>
    <mergeCell ref="I336:K337"/>
    <mergeCell ref="M336:M337"/>
    <mergeCell ref="O336:O337"/>
    <mergeCell ref="A336:A337"/>
    <mergeCell ref="B336:B337"/>
    <mergeCell ref="C336:C337"/>
    <mergeCell ref="D336:D337"/>
    <mergeCell ref="E336:E337"/>
    <mergeCell ref="F336:F337"/>
    <mergeCell ref="T334:T335"/>
    <mergeCell ref="V334:X335"/>
    <mergeCell ref="Y334:Y335"/>
    <mergeCell ref="G335:H335"/>
    <mergeCell ref="O334:O335"/>
    <mergeCell ref="Q334:Q335"/>
    <mergeCell ref="R334:R335"/>
    <mergeCell ref="S334:S335"/>
    <mergeCell ref="F334:F335"/>
    <mergeCell ref="G334:H334"/>
    <mergeCell ref="I334:K335"/>
    <mergeCell ref="M334:M335"/>
    <mergeCell ref="V332:X333"/>
    <mergeCell ref="Y332:Y333"/>
    <mergeCell ref="G333:H333"/>
    <mergeCell ref="A334:A335"/>
    <mergeCell ref="B334:B335"/>
    <mergeCell ref="C334:C335"/>
    <mergeCell ref="D334:D335"/>
    <mergeCell ref="E334:E335"/>
    <mergeCell ref="Q332:Q333"/>
    <mergeCell ref="R332:R333"/>
    <mergeCell ref="S332:S333"/>
    <mergeCell ref="T332:T333"/>
    <mergeCell ref="G332:H332"/>
    <mergeCell ref="I332:K333"/>
    <mergeCell ref="M332:M333"/>
    <mergeCell ref="O332:O333"/>
    <mergeCell ref="A332:A333"/>
    <mergeCell ref="B332:B333"/>
    <mergeCell ref="C332:C333"/>
    <mergeCell ref="D332:D333"/>
    <mergeCell ref="E332:E333"/>
    <mergeCell ref="F332:F333"/>
    <mergeCell ref="T330:T331"/>
    <mergeCell ref="V330:X331"/>
    <mergeCell ref="Y330:Y331"/>
    <mergeCell ref="G331:H331"/>
    <mergeCell ref="O330:O331"/>
    <mergeCell ref="Q330:Q331"/>
    <mergeCell ref="R330:R331"/>
    <mergeCell ref="S330:S331"/>
    <mergeCell ref="F330:F331"/>
    <mergeCell ref="G330:H330"/>
    <mergeCell ref="I330:K331"/>
    <mergeCell ref="M330:M331"/>
    <mergeCell ref="V328:X329"/>
    <mergeCell ref="Y328:Y329"/>
    <mergeCell ref="G329:H329"/>
    <mergeCell ref="A330:A331"/>
    <mergeCell ref="B330:B331"/>
    <mergeCell ref="C330:C331"/>
    <mergeCell ref="D330:D331"/>
    <mergeCell ref="E330:E331"/>
    <mergeCell ref="Q328:Q329"/>
    <mergeCell ref="R328:R329"/>
    <mergeCell ref="S328:S329"/>
    <mergeCell ref="T328:T329"/>
    <mergeCell ref="G328:H328"/>
    <mergeCell ref="I328:K329"/>
    <mergeCell ref="M328:M329"/>
    <mergeCell ref="O328:O329"/>
    <mergeCell ref="A328:A329"/>
    <mergeCell ref="B328:B329"/>
    <mergeCell ref="C328:C329"/>
    <mergeCell ref="D328:D329"/>
    <mergeCell ref="E328:E329"/>
    <mergeCell ref="F328:F329"/>
    <mergeCell ref="T326:T327"/>
    <mergeCell ref="V326:X327"/>
    <mergeCell ref="Y326:Y327"/>
    <mergeCell ref="G327:H327"/>
    <mergeCell ref="O326:O327"/>
    <mergeCell ref="Q326:Q327"/>
    <mergeCell ref="R326:R327"/>
    <mergeCell ref="S326:S327"/>
    <mergeCell ref="F326:F327"/>
    <mergeCell ref="G326:H326"/>
    <mergeCell ref="I326:K327"/>
    <mergeCell ref="M326:M327"/>
    <mergeCell ref="V324:X325"/>
    <mergeCell ref="Y324:Y325"/>
    <mergeCell ref="G325:H325"/>
    <mergeCell ref="A326:A327"/>
    <mergeCell ref="B326:B327"/>
    <mergeCell ref="C326:C327"/>
    <mergeCell ref="D326:D327"/>
    <mergeCell ref="E326:E327"/>
    <mergeCell ref="Q324:Q325"/>
    <mergeCell ref="R324:R325"/>
    <mergeCell ref="S324:S325"/>
    <mergeCell ref="T324:T325"/>
    <mergeCell ref="G324:H324"/>
    <mergeCell ref="I324:K325"/>
    <mergeCell ref="M324:M325"/>
    <mergeCell ref="O324:O325"/>
    <mergeCell ref="A324:A325"/>
    <mergeCell ref="B324:B325"/>
    <mergeCell ref="C324:C325"/>
    <mergeCell ref="D324:D325"/>
    <mergeCell ref="E324:E325"/>
    <mergeCell ref="F324:F325"/>
    <mergeCell ref="T322:T323"/>
    <mergeCell ref="V322:X323"/>
    <mergeCell ref="Y322:Y323"/>
    <mergeCell ref="G323:H323"/>
    <mergeCell ref="O322:O323"/>
    <mergeCell ref="Q322:Q323"/>
    <mergeCell ref="R322:R323"/>
    <mergeCell ref="S322:S323"/>
    <mergeCell ref="F322:F323"/>
    <mergeCell ref="G322:H322"/>
    <mergeCell ref="I322:K323"/>
    <mergeCell ref="M322:M323"/>
    <mergeCell ref="V320:X321"/>
    <mergeCell ref="Y320:Y321"/>
    <mergeCell ref="G321:H321"/>
    <mergeCell ref="A322:A323"/>
    <mergeCell ref="B322:B323"/>
    <mergeCell ref="C322:C323"/>
    <mergeCell ref="D322:D323"/>
    <mergeCell ref="E322:E323"/>
    <mergeCell ref="Q320:Q321"/>
    <mergeCell ref="R320:R321"/>
    <mergeCell ref="S320:S321"/>
    <mergeCell ref="T320:T321"/>
    <mergeCell ref="G320:H320"/>
    <mergeCell ref="I320:K321"/>
    <mergeCell ref="M320:M321"/>
    <mergeCell ref="O320:O321"/>
    <mergeCell ref="A320:A321"/>
    <mergeCell ref="B320:B321"/>
    <mergeCell ref="C320:C321"/>
    <mergeCell ref="D320:D321"/>
    <mergeCell ref="E320:E321"/>
    <mergeCell ref="F320:F321"/>
    <mergeCell ref="T318:T319"/>
    <mergeCell ref="V318:X319"/>
    <mergeCell ref="Y318:Y319"/>
    <mergeCell ref="G319:H319"/>
    <mergeCell ref="O318:O319"/>
    <mergeCell ref="Q318:Q319"/>
    <mergeCell ref="R318:R319"/>
    <mergeCell ref="S318:S319"/>
    <mergeCell ref="F318:F319"/>
    <mergeCell ref="G318:H318"/>
    <mergeCell ref="I318:K319"/>
    <mergeCell ref="M318:M319"/>
    <mergeCell ref="V316:X317"/>
    <mergeCell ref="Y316:Y317"/>
    <mergeCell ref="G317:H317"/>
    <mergeCell ref="A318:A319"/>
    <mergeCell ref="B318:B319"/>
    <mergeCell ref="C318:C319"/>
    <mergeCell ref="D318:D319"/>
    <mergeCell ref="E318:E319"/>
    <mergeCell ref="Q316:Q317"/>
    <mergeCell ref="R316:R317"/>
    <mergeCell ref="S316:S317"/>
    <mergeCell ref="T316:T317"/>
    <mergeCell ref="G316:H316"/>
    <mergeCell ref="I316:K317"/>
    <mergeCell ref="M316:M317"/>
    <mergeCell ref="O316:O317"/>
    <mergeCell ref="A316:A317"/>
    <mergeCell ref="B316:B317"/>
    <mergeCell ref="C316:C317"/>
    <mergeCell ref="D316:D317"/>
    <mergeCell ref="E316:E317"/>
    <mergeCell ref="F316:F317"/>
    <mergeCell ref="T314:T315"/>
    <mergeCell ref="V314:X315"/>
    <mergeCell ref="Y314:Y315"/>
    <mergeCell ref="G315:H315"/>
    <mergeCell ref="O314:O315"/>
    <mergeCell ref="Q314:Q315"/>
    <mergeCell ref="R314:R315"/>
    <mergeCell ref="S314:S315"/>
    <mergeCell ref="F314:F315"/>
    <mergeCell ref="G314:H314"/>
    <mergeCell ref="I314:K315"/>
    <mergeCell ref="M314:M315"/>
    <mergeCell ref="V312:X313"/>
    <mergeCell ref="Y312:Y313"/>
    <mergeCell ref="G313:H313"/>
    <mergeCell ref="A314:A315"/>
    <mergeCell ref="B314:B315"/>
    <mergeCell ref="C314:C315"/>
    <mergeCell ref="D314:D315"/>
    <mergeCell ref="E314:E315"/>
    <mergeCell ref="Q312:Q313"/>
    <mergeCell ref="R312:R313"/>
    <mergeCell ref="S312:S313"/>
    <mergeCell ref="T312:T313"/>
    <mergeCell ref="G312:H312"/>
    <mergeCell ref="I312:K313"/>
    <mergeCell ref="M312:M313"/>
    <mergeCell ref="O312:O313"/>
    <mergeCell ref="A312:A313"/>
    <mergeCell ref="B312:B313"/>
    <mergeCell ref="C312:C313"/>
    <mergeCell ref="D312:D313"/>
    <mergeCell ref="E312:E313"/>
    <mergeCell ref="F312:F313"/>
    <mergeCell ref="T310:T311"/>
    <mergeCell ref="V310:X311"/>
    <mergeCell ref="Y310:Y311"/>
    <mergeCell ref="G311:H311"/>
    <mergeCell ref="O310:O311"/>
    <mergeCell ref="Q310:Q311"/>
    <mergeCell ref="R310:R311"/>
    <mergeCell ref="S310:S311"/>
    <mergeCell ref="F310:F311"/>
    <mergeCell ref="G310:H310"/>
    <mergeCell ref="I310:K311"/>
    <mergeCell ref="M310:M311"/>
    <mergeCell ref="V308:X309"/>
    <mergeCell ref="Y308:Y309"/>
    <mergeCell ref="G309:H309"/>
    <mergeCell ref="A310:A311"/>
    <mergeCell ref="B310:B311"/>
    <mergeCell ref="C310:C311"/>
    <mergeCell ref="D310:D311"/>
    <mergeCell ref="E310:E311"/>
    <mergeCell ref="Q308:Q309"/>
    <mergeCell ref="R308:R309"/>
    <mergeCell ref="S308:S309"/>
    <mergeCell ref="T308:T309"/>
    <mergeCell ref="G308:H308"/>
    <mergeCell ref="I308:K309"/>
    <mergeCell ref="M308:M309"/>
    <mergeCell ref="O308:O309"/>
    <mergeCell ref="A308:A309"/>
    <mergeCell ref="B308:B309"/>
    <mergeCell ref="C308:C309"/>
    <mergeCell ref="D308:D309"/>
    <mergeCell ref="E308:E309"/>
    <mergeCell ref="F308:F309"/>
    <mergeCell ref="T306:T307"/>
    <mergeCell ref="V306:X307"/>
    <mergeCell ref="Y306:Y307"/>
    <mergeCell ref="G307:H307"/>
    <mergeCell ref="O306:O307"/>
    <mergeCell ref="Q306:Q307"/>
    <mergeCell ref="R306:R307"/>
    <mergeCell ref="S306:S307"/>
    <mergeCell ref="F306:F307"/>
    <mergeCell ref="G306:H306"/>
    <mergeCell ref="I306:K307"/>
    <mergeCell ref="M306:M307"/>
    <mergeCell ref="V304:X305"/>
    <mergeCell ref="Y304:Y305"/>
    <mergeCell ref="G305:H305"/>
    <mergeCell ref="A306:A307"/>
    <mergeCell ref="B306:B307"/>
    <mergeCell ref="C306:C307"/>
    <mergeCell ref="D306:D307"/>
    <mergeCell ref="E306:E307"/>
    <mergeCell ref="Q304:Q305"/>
    <mergeCell ref="R304:R305"/>
    <mergeCell ref="S304:S305"/>
    <mergeCell ref="T304:T305"/>
    <mergeCell ref="G304:H304"/>
    <mergeCell ref="I304:K305"/>
    <mergeCell ref="M304:M305"/>
    <mergeCell ref="O304:O305"/>
    <mergeCell ref="A304:A305"/>
    <mergeCell ref="B304:B305"/>
    <mergeCell ref="C304:C305"/>
    <mergeCell ref="D304:D305"/>
    <mergeCell ref="E304:E305"/>
    <mergeCell ref="F304:F305"/>
    <mergeCell ref="T302:T303"/>
    <mergeCell ref="V302:X303"/>
    <mergeCell ref="Y302:Y303"/>
    <mergeCell ref="G303:H303"/>
    <mergeCell ref="O302:O303"/>
    <mergeCell ref="Q302:Q303"/>
    <mergeCell ref="R302:R303"/>
    <mergeCell ref="S302:S303"/>
    <mergeCell ref="F302:F303"/>
    <mergeCell ref="G302:H302"/>
    <mergeCell ref="I302:K303"/>
    <mergeCell ref="M302:M303"/>
    <mergeCell ref="V300:X301"/>
    <mergeCell ref="Y300:Y301"/>
    <mergeCell ref="G301:H301"/>
    <mergeCell ref="A302:A303"/>
    <mergeCell ref="B302:B303"/>
    <mergeCell ref="C302:C303"/>
    <mergeCell ref="D302:D303"/>
    <mergeCell ref="E302:E303"/>
    <mergeCell ref="Q300:Q301"/>
    <mergeCell ref="R300:R301"/>
    <mergeCell ref="S300:S301"/>
    <mergeCell ref="T300:T301"/>
    <mergeCell ref="G300:H300"/>
    <mergeCell ref="I300:K301"/>
    <mergeCell ref="M300:M301"/>
    <mergeCell ref="O300:O301"/>
    <mergeCell ref="A300:A301"/>
    <mergeCell ref="B300:B301"/>
    <mergeCell ref="C300:C301"/>
    <mergeCell ref="D300:D301"/>
    <mergeCell ref="E300:E301"/>
    <mergeCell ref="F300:F301"/>
    <mergeCell ref="T298:T299"/>
    <mergeCell ref="V298:X299"/>
    <mergeCell ref="Y298:Y299"/>
    <mergeCell ref="G299:H299"/>
    <mergeCell ref="O298:O299"/>
    <mergeCell ref="Q298:Q299"/>
    <mergeCell ref="R298:R299"/>
    <mergeCell ref="S298:S299"/>
    <mergeCell ref="F298:F299"/>
    <mergeCell ref="G298:H298"/>
    <mergeCell ref="I298:K299"/>
    <mergeCell ref="M298:M299"/>
    <mergeCell ref="V296:X297"/>
    <mergeCell ref="Y296:Y297"/>
    <mergeCell ref="G297:H297"/>
    <mergeCell ref="A298:A299"/>
    <mergeCell ref="B298:B299"/>
    <mergeCell ref="C298:C299"/>
    <mergeCell ref="D298:D299"/>
    <mergeCell ref="E298:E299"/>
    <mergeCell ref="Q296:Q297"/>
    <mergeCell ref="R296:R297"/>
    <mergeCell ref="S296:S297"/>
    <mergeCell ref="T296:T297"/>
    <mergeCell ref="G296:H296"/>
    <mergeCell ref="I296:K297"/>
    <mergeCell ref="M296:M297"/>
    <mergeCell ref="O296:O297"/>
    <mergeCell ref="A296:A297"/>
    <mergeCell ref="B296:B297"/>
    <mergeCell ref="C296:C297"/>
    <mergeCell ref="D296:D297"/>
    <mergeCell ref="E296:E297"/>
    <mergeCell ref="F296:F297"/>
    <mergeCell ref="T294:T295"/>
    <mergeCell ref="V294:X295"/>
    <mergeCell ref="Y294:Y295"/>
    <mergeCell ref="G295:H295"/>
    <mergeCell ref="O294:O295"/>
    <mergeCell ref="Q294:Q295"/>
    <mergeCell ref="R294:R295"/>
    <mergeCell ref="S294:S295"/>
    <mergeCell ref="F294:F295"/>
    <mergeCell ref="G294:H294"/>
    <mergeCell ref="I294:K295"/>
    <mergeCell ref="M294:M295"/>
    <mergeCell ref="V292:X293"/>
    <mergeCell ref="Y292:Y293"/>
    <mergeCell ref="G293:H293"/>
    <mergeCell ref="A294:A295"/>
    <mergeCell ref="B294:B295"/>
    <mergeCell ref="C294:C295"/>
    <mergeCell ref="D294:D295"/>
    <mergeCell ref="E294:E295"/>
    <mergeCell ref="Q292:Q293"/>
    <mergeCell ref="R292:R293"/>
    <mergeCell ref="S292:S293"/>
    <mergeCell ref="T292:T293"/>
    <mergeCell ref="G292:H292"/>
    <mergeCell ref="I292:K293"/>
    <mergeCell ref="M292:M293"/>
    <mergeCell ref="O292:O293"/>
    <mergeCell ref="A292:A293"/>
    <mergeCell ref="B292:B293"/>
    <mergeCell ref="C292:C293"/>
    <mergeCell ref="D292:D293"/>
    <mergeCell ref="E292:E293"/>
    <mergeCell ref="F292:F293"/>
    <mergeCell ref="T290:T291"/>
    <mergeCell ref="V290:X291"/>
    <mergeCell ref="Y290:Y291"/>
    <mergeCell ref="G291:H291"/>
    <mergeCell ref="O290:O291"/>
    <mergeCell ref="Q290:Q291"/>
    <mergeCell ref="R290:R291"/>
    <mergeCell ref="S290:S291"/>
    <mergeCell ref="F290:F291"/>
    <mergeCell ref="G290:H290"/>
    <mergeCell ref="I290:K291"/>
    <mergeCell ref="M290:M291"/>
    <mergeCell ref="V288:X289"/>
    <mergeCell ref="Y288:Y289"/>
    <mergeCell ref="G289:H289"/>
    <mergeCell ref="A290:A291"/>
    <mergeCell ref="B290:B291"/>
    <mergeCell ref="C290:C291"/>
    <mergeCell ref="D290:D291"/>
    <mergeCell ref="E290:E291"/>
    <mergeCell ref="Q288:Q289"/>
    <mergeCell ref="R288:R289"/>
    <mergeCell ref="S288:S289"/>
    <mergeCell ref="T288:T289"/>
    <mergeCell ref="G288:H288"/>
    <mergeCell ref="I288:K289"/>
    <mergeCell ref="M288:M289"/>
    <mergeCell ref="O288:O289"/>
    <mergeCell ref="A288:A289"/>
    <mergeCell ref="B288:B289"/>
    <mergeCell ref="C288:C289"/>
    <mergeCell ref="D288:D289"/>
    <mergeCell ref="E288:E289"/>
    <mergeCell ref="F288:F289"/>
    <mergeCell ref="T286:T287"/>
    <mergeCell ref="V286:X287"/>
    <mergeCell ref="Y286:Y287"/>
    <mergeCell ref="G287:H287"/>
    <mergeCell ref="O286:O287"/>
    <mergeCell ref="Q286:Q287"/>
    <mergeCell ref="R286:R287"/>
    <mergeCell ref="S286:S287"/>
    <mergeCell ref="F286:F287"/>
    <mergeCell ref="G286:H286"/>
    <mergeCell ref="I286:K287"/>
    <mergeCell ref="M286:M287"/>
    <mergeCell ref="V284:X285"/>
    <mergeCell ref="Y284:Y285"/>
    <mergeCell ref="G285:H285"/>
    <mergeCell ref="A286:A287"/>
    <mergeCell ref="B286:B287"/>
    <mergeCell ref="C286:C287"/>
    <mergeCell ref="D286:D287"/>
    <mergeCell ref="E286:E287"/>
    <mergeCell ref="Q284:Q285"/>
    <mergeCell ref="R284:R285"/>
    <mergeCell ref="S284:S285"/>
    <mergeCell ref="T284:T285"/>
    <mergeCell ref="G284:H284"/>
    <mergeCell ref="I284:K285"/>
    <mergeCell ref="M284:M285"/>
    <mergeCell ref="O284:O285"/>
    <mergeCell ref="A284:A285"/>
    <mergeCell ref="B284:B285"/>
    <mergeCell ref="C284:C285"/>
    <mergeCell ref="D284:D285"/>
    <mergeCell ref="E284:E285"/>
    <mergeCell ref="F284:F285"/>
    <mergeCell ref="T282:T283"/>
    <mergeCell ref="V282:X283"/>
    <mergeCell ref="Y282:Y283"/>
    <mergeCell ref="G283:H283"/>
    <mergeCell ref="O282:O283"/>
    <mergeCell ref="Q282:Q283"/>
    <mergeCell ref="R282:R283"/>
    <mergeCell ref="S282:S283"/>
    <mergeCell ref="F282:F283"/>
    <mergeCell ref="G282:H282"/>
    <mergeCell ref="I282:K283"/>
    <mergeCell ref="M282:M283"/>
    <mergeCell ref="V280:X281"/>
    <mergeCell ref="Y280:Y281"/>
    <mergeCell ref="G281:H281"/>
    <mergeCell ref="A282:A283"/>
    <mergeCell ref="B282:B283"/>
    <mergeCell ref="C282:C283"/>
    <mergeCell ref="D282:D283"/>
    <mergeCell ref="E282:E283"/>
    <mergeCell ref="Q280:Q281"/>
    <mergeCell ref="R280:R281"/>
    <mergeCell ref="S280:S281"/>
    <mergeCell ref="T280:T281"/>
    <mergeCell ref="G280:H280"/>
    <mergeCell ref="I280:K281"/>
    <mergeCell ref="M280:M281"/>
    <mergeCell ref="O280:O281"/>
    <mergeCell ref="A280:A281"/>
    <mergeCell ref="B280:B281"/>
    <mergeCell ref="C280:C281"/>
    <mergeCell ref="D280:D281"/>
    <mergeCell ref="E280:E281"/>
    <mergeCell ref="F280:F281"/>
    <mergeCell ref="T278:T279"/>
    <mergeCell ref="V278:X279"/>
    <mergeCell ref="Y278:Y279"/>
    <mergeCell ref="G279:H279"/>
    <mergeCell ref="O278:O279"/>
    <mergeCell ref="Q278:Q279"/>
    <mergeCell ref="R278:R279"/>
    <mergeCell ref="S278:S279"/>
    <mergeCell ref="F278:F279"/>
    <mergeCell ref="G278:H278"/>
    <mergeCell ref="I278:K279"/>
    <mergeCell ref="M278:M279"/>
    <mergeCell ref="V276:X277"/>
    <mergeCell ref="Y276:Y277"/>
    <mergeCell ref="G277:H277"/>
    <mergeCell ref="A278:A279"/>
    <mergeCell ref="B278:B279"/>
    <mergeCell ref="C278:C279"/>
    <mergeCell ref="D278:D279"/>
    <mergeCell ref="E278:E279"/>
    <mergeCell ref="Q276:Q277"/>
    <mergeCell ref="R276:R277"/>
    <mergeCell ref="S276:S277"/>
    <mergeCell ref="T276:T277"/>
    <mergeCell ref="G276:H276"/>
    <mergeCell ref="I276:K277"/>
    <mergeCell ref="M276:M277"/>
    <mergeCell ref="O276:O277"/>
    <mergeCell ref="A276:A277"/>
    <mergeCell ref="B276:B277"/>
    <mergeCell ref="C276:C277"/>
    <mergeCell ref="D276:D277"/>
    <mergeCell ref="E276:E277"/>
    <mergeCell ref="F276:F277"/>
    <mergeCell ref="T274:T275"/>
    <mergeCell ref="V274:X275"/>
    <mergeCell ref="Y274:Y275"/>
    <mergeCell ref="G275:H275"/>
    <mergeCell ref="O274:O275"/>
    <mergeCell ref="Q274:Q275"/>
    <mergeCell ref="R274:R275"/>
    <mergeCell ref="S274:S275"/>
    <mergeCell ref="F274:F275"/>
    <mergeCell ref="G274:H274"/>
    <mergeCell ref="I274:K275"/>
    <mergeCell ref="M274:M275"/>
    <mergeCell ref="V272:X273"/>
    <mergeCell ref="Y272:Y273"/>
    <mergeCell ref="G273:H273"/>
    <mergeCell ref="A274:A275"/>
    <mergeCell ref="B274:B275"/>
    <mergeCell ref="C274:C275"/>
    <mergeCell ref="D274:D275"/>
    <mergeCell ref="E274:E275"/>
    <mergeCell ref="Q272:Q273"/>
    <mergeCell ref="R272:R273"/>
    <mergeCell ref="S272:S273"/>
    <mergeCell ref="T272:T273"/>
    <mergeCell ref="G272:H272"/>
    <mergeCell ref="I272:K273"/>
    <mergeCell ref="M272:M273"/>
    <mergeCell ref="O272:O273"/>
    <mergeCell ref="A272:A273"/>
    <mergeCell ref="B272:B273"/>
    <mergeCell ref="C272:C273"/>
    <mergeCell ref="D272:D273"/>
    <mergeCell ref="E272:E273"/>
    <mergeCell ref="F272:F273"/>
    <mergeCell ref="T270:T271"/>
    <mergeCell ref="V270:X271"/>
    <mergeCell ref="Y270:Y271"/>
    <mergeCell ref="G271:H271"/>
    <mergeCell ref="O270:O271"/>
    <mergeCell ref="Q270:Q271"/>
    <mergeCell ref="R270:R271"/>
    <mergeCell ref="S270:S271"/>
    <mergeCell ref="F270:F271"/>
    <mergeCell ref="G270:H270"/>
    <mergeCell ref="I270:K271"/>
    <mergeCell ref="M270:M271"/>
    <mergeCell ref="V268:X269"/>
    <mergeCell ref="Y268:Y269"/>
    <mergeCell ref="G269:H269"/>
    <mergeCell ref="A270:A271"/>
    <mergeCell ref="B270:B271"/>
    <mergeCell ref="C270:C271"/>
    <mergeCell ref="D270:D271"/>
    <mergeCell ref="E270:E271"/>
    <mergeCell ref="Q268:Q269"/>
    <mergeCell ref="R268:R269"/>
    <mergeCell ref="S268:S269"/>
    <mergeCell ref="T268:T269"/>
    <mergeCell ref="G268:H268"/>
    <mergeCell ref="I268:K269"/>
    <mergeCell ref="M268:M269"/>
    <mergeCell ref="O268:O269"/>
    <mergeCell ref="A268:A269"/>
    <mergeCell ref="B268:B269"/>
    <mergeCell ref="C268:C269"/>
    <mergeCell ref="D268:D269"/>
    <mergeCell ref="E268:E269"/>
    <mergeCell ref="F268:F269"/>
    <mergeCell ref="T266:T267"/>
    <mergeCell ref="V266:X267"/>
    <mergeCell ref="Y266:Y267"/>
    <mergeCell ref="G267:H267"/>
    <mergeCell ref="O266:O267"/>
    <mergeCell ref="Q266:Q267"/>
    <mergeCell ref="R266:R267"/>
    <mergeCell ref="S266:S267"/>
    <mergeCell ref="F266:F267"/>
    <mergeCell ref="G266:H266"/>
    <mergeCell ref="I266:K267"/>
    <mergeCell ref="M266:M267"/>
    <mergeCell ref="V264:X265"/>
    <mergeCell ref="Y264:Y265"/>
    <mergeCell ref="G265:H265"/>
    <mergeCell ref="A266:A267"/>
    <mergeCell ref="B266:B267"/>
    <mergeCell ref="C266:C267"/>
    <mergeCell ref="D266:D267"/>
    <mergeCell ref="E266:E267"/>
    <mergeCell ref="Q264:Q265"/>
    <mergeCell ref="R264:R265"/>
    <mergeCell ref="S264:S265"/>
    <mergeCell ref="T264:T265"/>
    <mergeCell ref="G264:H264"/>
    <mergeCell ref="I264:K265"/>
    <mergeCell ref="M264:M265"/>
    <mergeCell ref="O264:O265"/>
    <mergeCell ref="A264:A265"/>
    <mergeCell ref="B264:B265"/>
    <mergeCell ref="C264:C265"/>
    <mergeCell ref="D264:D265"/>
    <mergeCell ref="E264:E265"/>
    <mergeCell ref="F264:F265"/>
    <mergeCell ref="T262:T263"/>
    <mergeCell ref="V262:X263"/>
    <mergeCell ref="Y262:Y263"/>
    <mergeCell ref="G263:H263"/>
    <mergeCell ref="O262:O263"/>
    <mergeCell ref="Q262:Q263"/>
    <mergeCell ref="R262:R263"/>
    <mergeCell ref="S262:S263"/>
    <mergeCell ref="F262:F263"/>
    <mergeCell ref="G262:H262"/>
    <mergeCell ref="I262:K263"/>
    <mergeCell ref="M262:M263"/>
    <mergeCell ref="V260:X261"/>
    <mergeCell ref="Y260:Y261"/>
    <mergeCell ref="G261:H261"/>
    <mergeCell ref="A262:A263"/>
    <mergeCell ref="B262:B263"/>
    <mergeCell ref="C262:C263"/>
    <mergeCell ref="D262:D263"/>
    <mergeCell ref="E262:E263"/>
    <mergeCell ref="Q260:Q261"/>
    <mergeCell ref="R260:R261"/>
    <mergeCell ref="S260:S261"/>
    <mergeCell ref="T260:T261"/>
    <mergeCell ref="G260:H260"/>
    <mergeCell ref="I260:K261"/>
    <mergeCell ref="M260:M261"/>
    <mergeCell ref="O260:O261"/>
    <mergeCell ref="A260:A261"/>
    <mergeCell ref="B260:B261"/>
    <mergeCell ref="C260:C261"/>
    <mergeCell ref="D260:D261"/>
    <mergeCell ref="E260:E261"/>
    <mergeCell ref="F260:F261"/>
    <mergeCell ref="T258:T259"/>
    <mergeCell ref="V258:X259"/>
    <mergeCell ref="Y258:Y259"/>
    <mergeCell ref="G259:H259"/>
    <mergeCell ref="O258:O259"/>
    <mergeCell ref="Q258:Q259"/>
    <mergeCell ref="R258:R259"/>
    <mergeCell ref="S258:S259"/>
    <mergeCell ref="F258:F259"/>
    <mergeCell ref="G258:H258"/>
    <mergeCell ref="I258:K259"/>
    <mergeCell ref="M258:M259"/>
    <mergeCell ref="V256:X257"/>
    <mergeCell ref="Y256:Y257"/>
    <mergeCell ref="G257:H257"/>
    <mergeCell ref="A258:A259"/>
    <mergeCell ref="B258:B259"/>
    <mergeCell ref="C258:C259"/>
    <mergeCell ref="D258:D259"/>
    <mergeCell ref="E258:E259"/>
    <mergeCell ref="Q256:Q257"/>
    <mergeCell ref="R256:R257"/>
    <mergeCell ref="S256:S257"/>
    <mergeCell ref="T256:T257"/>
    <mergeCell ref="G256:H256"/>
    <mergeCell ref="I256:K257"/>
    <mergeCell ref="M256:M257"/>
    <mergeCell ref="O256:O257"/>
    <mergeCell ref="A256:A257"/>
    <mergeCell ref="B256:B257"/>
    <mergeCell ref="C256:C257"/>
    <mergeCell ref="D256:D257"/>
    <mergeCell ref="E256:E257"/>
    <mergeCell ref="F256:F257"/>
    <mergeCell ref="T254:T255"/>
    <mergeCell ref="V254:X255"/>
    <mergeCell ref="Y254:Y255"/>
    <mergeCell ref="G255:H255"/>
    <mergeCell ref="O254:O255"/>
    <mergeCell ref="Q254:Q255"/>
    <mergeCell ref="R254:R255"/>
    <mergeCell ref="S254:S255"/>
    <mergeCell ref="F254:F255"/>
    <mergeCell ref="G254:H254"/>
    <mergeCell ref="I254:K255"/>
    <mergeCell ref="M254:M255"/>
    <mergeCell ref="V252:X253"/>
    <mergeCell ref="Y252:Y253"/>
    <mergeCell ref="G253:H253"/>
    <mergeCell ref="A254:A255"/>
    <mergeCell ref="B254:B255"/>
    <mergeCell ref="C254:C255"/>
    <mergeCell ref="D254:D255"/>
    <mergeCell ref="E254:E255"/>
    <mergeCell ref="Q252:Q253"/>
    <mergeCell ref="R252:R253"/>
    <mergeCell ref="S252:S253"/>
    <mergeCell ref="T252:T253"/>
    <mergeCell ref="G252:H252"/>
    <mergeCell ref="I252:K253"/>
    <mergeCell ref="M252:M253"/>
    <mergeCell ref="O252:O253"/>
    <mergeCell ref="A252:A253"/>
    <mergeCell ref="B252:B253"/>
    <mergeCell ref="C252:C253"/>
    <mergeCell ref="D252:D253"/>
    <mergeCell ref="E252:E253"/>
    <mergeCell ref="F252:F253"/>
    <mergeCell ref="T250:T251"/>
    <mergeCell ref="V250:X251"/>
    <mergeCell ref="Y250:Y251"/>
    <mergeCell ref="G251:H251"/>
    <mergeCell ref="O250:O251"/>
    <mergeCell ref="Q250:Q251"/>
    <mergeCell ref="R250:R251"/>
    <mergeCell ref="S250:S251"/>
    <mergeCell ref="F250:F251"/>
    <mergeCell ref="G250:H250"/>
    <mergeCell ref="I250:K251"/>
    <mergeCell ref="M250:M251"/>
    <mergeCell ref="V248:X249"/>
    <mergeCell ref="Y248:Y249"/>
    <mergeCell ref="G249:H249"/>
    <mergeCell ref="A250:A251"/>
    <mergeCell ref="B250:B251"/>
    <mergeCell ref="C250:C251"/>
    <mergeCell ref="D250:D251"/>
    <mergeCell ref="E250:E251"/>
    <mergeCell ref="Q248:Q249"/>
    <mergeCell ref="R248:R249"/>
    <mergeCell ref="S248:S249"/>
    <mergeCell ref="T248:T249"/>
    <mergeCell ref="G248:H248"/>
    <mergeCell ref="I248:K249"/>
    <mergeCell ref="M248:M249"/>
    <mergeCell ref="O248:O249"/>
    <mergeCell ref="A248:A249"/>
    <mergeCell ref="B248:B249"/>
    <mergeCell ref="C248:C249"/>
    <mergeCell ref="D248:D249"/>
    <mergeCell ref="E248:E249"/>
    <mergeCell ref="F248:F249"/>
    <mergeCell ref="T246:T247"/>
    <mergeCell ref="V246:X247"/>
    <mergeCell ref="Y246:Y247"/>
    <mergeCell ref="G247:H247"/>
    <mergeCell ref="O246:O247"/>
    <mergeCell ref="Q246:Q247"/>
    <mergeCell ref="R246:R247"/>
    <mergeCell ref="S246:S247"/>
    <mergeCell ref="F246:F247"/>
    <mergeCell ref="G246:H246"/>
    <mergeCell ref="I246:K247"/>
    <mergeCell ref="M246:M247"/>
    <mergeCell ref="V244:X245"/>
    <mergeCell ref="Y244:Y245"/>
    <mergeCell ref="G245:H245"/>
    <mergeCell ref="A246:A247"/>
    <mergeCell ref="B246:B247"/>
    <mergeCell ref="C246:C247"/>
    <mergeCell ref="D246:D247"/>
    <mergeCell ref="E246:E247"/>
    <mergeCell ref="Q244:Q245"/>
    <mergeCell ref="R244:R245"/>
    <mergeCell ref="S244:S245"/>
    <mergeCell ref="T244:T245"/>
    <mergeCell ref="G244:H244"/>
    <mergeCell ref="I244:K245"/>
    <mergeCell ref="M244:M245"/>
    <mergeCell ref="O244:O245"/>
    <mergeCell ref="A244:A245"/>
    <mergeCell ref="B244:B245"/>
    <mergeCell ref="C244:C245"/>
    <mergeCell ref="D244:D245"/>
    <mergeCell ref="E244:E245"/>
    <mergeCell ref="F244:F245"/>
    <mergeCell ref="T242:T243"/>
    <mergeCell ref="V242:X243"/>
    <mergeCell ref="Y242:Y243"/>
    <mergeCell ref="G243:H243"/>
    <mergeCell ref="O242:O243"/>
    <mergeCell ref="Q242:Q243"/>
    <mergeCell ref="R242:R243"/>
    <mergeCell ref="S242:S243"/>
    <mergeCell ref="F242:F243"/>
    <mergeCell ref="G242:H242"/>
    <mergeCell ref="I242:K243"/>
    <mergeCell ref="M242:M243"/>
    <mergeCell ref="V240:X241"/>
    <mergeCell ref="Y240:Y241"/>
    <mergeCell ref="G241:H241"/>
    <mergeCell ref="A242:A243"/>
    <mergeCell ref="B242:B243"/>
    <mergeCell ref="C242:C243"/>
    <mergeCell ref="D242:D243"/>
    <mergeCell ref="E242:E243"/>
    <mergeCell ref="Q240:Q241"/>
    <mergeCell ref="R240:R241"/>
    <mergeCell ref="S240:S241"/>
    <mergeCell ref="T240:T241"/>
    <mergeCell ref="G240:H240"/>
    <mergeCell ref="I240:K241"/>
    <mergeCell ref="M240:M241"/>
    <mergeCell ref="O240:O241"/>
    <mergeCell ref="A240:A241"/>
    <mergeCell ref="B240:B241"/>
    <mergeCell ref="C240:C241"/>
    <mergeCell ref="D240:D241"/>
    <mergeCell ref="E240:E241"/>
    <mergeCell ref="F240:F241"/>
    <mergeCell ref="T238:T239"/>
    <mergeCell ref="V238:X239"/>
    <mergeCell ref="Y238:Y239"/>
    <mergeCell ref="G239:H239"/>
    <mergeCell ref="O238:O239"/>
    <mergeCell ref="Q238:Q239"/>
    <mergeCell ref="R238:R239"/>
    <mergeCell ref="S238:S239"/>
    <mergeCell ref="F238:F239"/>
    <mergeCell ref="G238:H238"/>
    <mergeCell ref="I238:K239"/>
    <mergeCell ref="M238:M239"/>
    <mergeCell ref="V236:X237"/>
    <mergeCell ref="Y236:Y237"/>
    <mergeCell ref="G237:H237"/>
    <mergeCell ref="A238:A239"/>
    <mergeCell ref="B238:B239"/>
    <mergeCell ref="C238:C239"/>
    <mergeCell ref="D238:D239"/>
    <mergeCell ref="E238:E239"/>
    <mergeCell ref="Q236:Q237"/>
    <mergeCell ref="R236:R237"/>
    <mergeCell ref="S236:S237"/>
    <mergeCell ref="T236:T237"/>
    <mergeCell ref="G236:H236"/>
    <mergeCell ref="I236:K237"/>
    <mergeCell ref="M236:M237"/>
    <mergeCell ref="O236:O237"/>
    <mergeCell ref="A236:A237"/>
    <mergeCell ref="B236:B237"/>
    <mergeCell ref="C236:C237"/>
    <mergeCell ref="D236:D237"/>
    <mergeCell ref="E236:E237"/>
    <mergeCell ref="F236:F237"/>
    <mergeCell ref="T234:T235"/>
    <mergeCell ref="V234:X235"/>
    <mergeCell ref="Y234:Y235"/>
    <mergeCell ref="G235:H235"/>
    <mergeCell ref="O234:O235"/>
    <mergeCell ref="Q234:Q235"/>
    <mergeCell ref="R234:R235"/>
    <mergeCell ref="S234:S235"/>
    <mergeCell ref="F234:F235"/>
    <mergeCell ref="G234:H234"/>
    <mergeCell ref="I234:K235"/>
    <mergeCell ref="M234:M235"/>
    <mergeCell ref="V232:X233"/>
    <mergeCell ref="Y232:Y233"/>
    <mergeCell ref="G233:H233"/>
    <mergeCell ref="A234:A235"/>
    <mergeCell ref="B234:B235"/>
    <mergeCell ref="C234:C235"/>
    <mergeCell ref="D234:D235"/>
    <mergeCell ref="E234:E235"/>
    <mergeCell ref="Q232:Q233"/>
    <mergeCell ref="R232:R233"/>
    <mergeCell ref="S232:S233"/>
    <mergeCell ref="T232:T233"/>
    <mergeCell ref="G232:H232"/>
    <mergeCell ref="I232:K233"/>
    <mergeCell ref="M232:M233"/>
    <mergeCell ref="O232:O233"/>
    <mergeCell ref="A232:A233"/>
    <mergeCell ref="B232:B233"/>
    <mergeCell ref="C232:C233"/>
    <mergeCell ref="D232:D233"/>
    <mergeCell ref="E232:E233"/>
    <mergeCell ref="F232:F233"/>
    <mergeCell ref="T230:T231"/>
    <mergeCell ref="V230:X231"/>
    <mergeCell ref="Y230:Y231"/>
    <mergeCell ref="G231:H231"/>
    <mergeCell ref="O230:O231"/>
    <mergeCell ref="Q230:Q231"/>
    <mergeCell ref="R230:R231"/>
    <mergeCell ref="S230:S231"/>
    <mergeCell ref="F230:F231"/>
    <mergeCell ref="G230:H230"/>
    <mergeCell ref="I230:K231"/>
    <mergeCell ref="M230:M231"/>
    <mergeCell ref="V228:X229"/>
    <mergeCell ref="Y228:Y229"/>
    <mergeCell ref="G229:H229"/>
    <mergeCell ref="A230:A231"/>
    <mergeCell ref="B230:B231"/>
    <mergeCell ref="C230:C231"/>
    <mergeCell ref="D230:D231"/>
    <mergeCell ref="E230:E231"/>
    <mergeCell ref="Q228:Q229"/>
    <mergeCell ref="R228:R229"/>
    <mergeCell ref="S228:S229"/>
    <mergeCell ref="T228:T229"/>
    <mergeCell ref="G228:H228"/>
    <mergeCell ref="I228:K229"/>
    <mergeCell ref="M228:M229"/>
    <mergeCell ref="O228:O229"/>
    <mergeCell ref="A228:A229"/>
    <mergeCell ref="B228:B229"/>
    <mergeCell ref="C228:C229"/>
    <mergeCell ref="D228:D229"/>
    <mergeCell ref="E228:E229"/>
    <mergeCell ref="F228:F229"/>
    <mergeCell ref="T226:T227"/>
    <mergeCell ref="V226:X227"/>
    <mergeCell ref="Y226:Y227"/>
    <mergeCell ref="G227:H227"/>
    <mergeCell ref="O226:O227"/>
    <mergeCell ref="Q226:Q227"/>
    <mergeCell ref="R226:R227"/>
    <mergeCell ref="S226:S227"/>
    <mergeCell ref="F226:F227"/>
    <mergeCell ref="G226:H226"/>
    <mergeCell ref="I226:K227"/>
    <mergeCell ref="M226:M227"/>
    <mergeCell ref="V224:X225"/>
    <mergeCell ref="Y224:Y225"/>
    <mergeCell ref="G225:H225"/>
    <mergeCell ref="A226:A227"/>
    <mergeCell ref="B226:B227"/>
    <mergeCell ref="C226:C227"/>
    <mergeCell ref="D226:D227"/>
    <mergeCell ref="E226:E227"/>
    <mergeCell ref="Q224:Q225"/>
    <mergeCell ref="R224:R225"/>
    <mergeCell ref="S224:S225"/>
    <mergeCell ref="T224:T225"/>
    <mergeCell ref="G224:H224"/>
    <mergeCell ref="I224:K225"/>
    <mergeCell ref="M224:M225"/>
    <mergeCell ref="O224:O225"/>
    <mergeCell ref="A224:A225"/>
    <mergeCell ref="B224:B225"/>
    <mergeCell ref="C224:C225"/>
    <mergeCell ref="D224:D225"/>
    <mergeCell ref="E224:E225"/>
    <mergeCell ref="F224:F225"/>
    <mergeCell ref="T222:T223"/>
    <mergeCell ref="V222:X223"/>
    <mergeCell ref="Y222:Y223"/>
    <mergeCell ref="G223:H223"/>
    <mergeCell ref="O222:O223"/>
    <mergeCell ref="Q222:Q223"/>
    <mergeCell ref="R222:R223"/>
    <mergeCell ref="S222:S223"/>
    <mergeCell ref="F222:F223"/>
    <mergeCell ref="G222:H222"/>
    <mergeCell ref="I222:K223"/>
    <mergeCell ref="M222:M223"/>
    <mergeCell ref="V220:X221"/>
    <mergeCell ref="Y220:Y221"/>
    <mergeCell ref="G221:H221"/>
    <mergeCell ref="A222:A223"/>
    <mergeCell ref="B222:B223"/>
    <mergeCell ref="C222:C223"/>
    <mergeCell ref="D222:D223"/>
    <mergeCell ref="E222:E223"/>
    <mergeCell ref="Q220:Q221"/>
    <mergeCell ref="R220:R221"/>
    <mergeCell ref="S220:S221"/>
    <mergeCell ref="T220:T221"/>
    <mergeCell ref="G220:H220"/>
    <mergeCell ref="I220:K221"/>
    <mergeCell ref="M220:M221"/>
    <mergeCell ref="O220:O221"/>
    <mergeCell ref="A220:A221"/>
    <mergeCell ref="B220:B221"/>
    <mergeCell ref="C220:C221"/>
    <mergeCell ref="D220:D221"/>
    <mergeCell ref="E220:E221"/>
    <mergeCell ref="F220:F221"/>
    <mergeCell ref="T218:T219"/>
    <mergeCell ref="V218:X219"/>
    <mergeCell ref="Y218:Y219"/>
    <mergeCell ref="G219:H219"/>
    <mergeCell ref="O218:O219"/>
    <mergeCell ref="Q218:Q219"/>
    <mergeCell ref="R218:R219"/>
    <mergeCell ref="S218:S219"/>
    <mergeCell ref="F218:F219"/>
    <mergeCell ref="G218:H218"/>
    <mergeCell ref="I218:K219"/>
    <mergeCell ref="M218:M219"/>
    <mergeCell ref="V216:X217"/>
    <mergeCell ref="Y216:Y217"/>
    <mergeCell ref="G217:H217"/>
    <mergeCell ref="A218:A219"/>
    <mergeCell ref="B218:B219"/>
    <mergeCell ref="C218:C219"/>
    <mergeCell ref="D218:D219"/>
    <mergeCell ref="E218:E219"/>
    <mergeCell ref="Q216:Q217"/>
    <mergeCell ref="R216:R217"/>
    <mergeCell ref="S216:S217"/>
    <mergeCell ref="T216:T217"/>
    <mergeCell ref="G216:H216"/>
    <mergeCell ref="I216:K217"/>
    <mergeCell ref="M216:M217"/>
    <mergeCell ref="O216:O217"/>
    <mergeCell ref="A216:A217"/>
    <mergeCell ref="B216:B217"/>
    <mergeCell ref="C216:C217"/>
    <mergeCell ref="D216:D217"/>
    <mergeCell ref="E216:E217"/>
    <mergeCell ref="F216:F217"/>
    <mergeCell ref="T214:T215"/>
    <mergeCell ref="V214:X215"/>
    <mergeCell ref="Y214:Y215"/>
    <mergeCell ref="G215:H215"/>
    <mergeCell ref="O214:O215"/>
    <mergeCell ref="Q214:Q215"/>
    <mergeCell ref="R214:R215"/>
    <mergeCell ref="S214:S215"/>
    <mergeCell ref="F214:F215"/>
    <mergeCell ref="G214:H214"/>
    <mergeCell ref="I214:K215"/>
    <mergeCell ref="M214:M215"/>
    <mergeCell ref="V212:X213"/>
    <mergeCell ref="Y212:Y213"/>
    <mergeCell ref="G213:H213"/>
    <mergeCell ref="A214:A215"/>
    <mergeCell ref="B214:B215"/>
    <mergeCell ref="C214:C215"/>
    <mergeCell ref="D214:D215"/>
    <mergeCell ref="E214:E215"/>
    <mergeCell ref="Q212:Q213"/>
    <mergeCell ref="R212:R213"/>
    <mergeCell ref="S212:S213"/>
    <mergeCell ref="T212:T213"/>
    <mergeCell ref="G212:H212"/>
    <mergeCell ref="I212:K213"/>
    <mergeCell ref="M212:M213"/>
    <mergeCell ref="O212:O213"/>
    <mergeCell ref="A212:A213"/>
    <mergeCell ref="B212:B213"/>
    <mergeCell ref="C212:C213"/>
    <mergeCell ref="D212:D213"/>
    <mergeCell ref="E212:E213"/>
    <mergeCell ref="F212:F213"/>
    <mergeCell ref="T210:T211"/>
    <mergeCell ref="V210:X211"/>
    <mergeCell ref="Y210:Y211"/>
    <mergeCell ref="G211:H211"/>
    <mergeCell ref="O210:O211"/>
    <mergeCell ref="Q210:Q211"/>
    <mergeCell ref="R210:R211"/>
    <mergeCell ref="S210:S211"/>
    <mergeCell ref="F210:F211"/>
    <mergeCell ref="G210:H210"/>
    <mergeCell ref="I210:K211"/>
    <mergeCell ref="M210:M211"/>
    <mergeCell ref="V208:X209"/>
    <mergeCell ref="Y208:Y209"/>
    <mergeCell ref="G209:H209"/>
    <mergeCell ref="A210:A211"/>
    <mergeCell ref="B210:B211"/>
    <mergeCell ref="C210:C211"/>
    <mergeCell ref="D210:D211"/>
    <mergeCell ref="E210:E211"/>
    <mergeCell ref="Q208:Q209"/>
    <mergeCell ref="R208:R209"/>
    <mergeCell ref="S208:S209"/>
    <mergeCell ref="T208:T209"/>
    <mergeCell ref="G208:H208"/>
    <mergeCell ref="I208:K209"/>
    <mergeCell ref="M208:M209"/>
    <mergeCell ref="O208:O209"/>
    <mergeCell ref="A208:A209"/>
    <mergeCell ref="B208:B209"/>
    <mergeCell ref="C208:C209"/>
    <mergeCell ref="D208:D209"/>
    <mergeCell ref="E208:E209"/>
    <mergeCell ref="F208:F209"/>
    <mergeCell ref="T206:T207"/>
    <mergeCell ref="V206:X207"/>
    <mergeCell ref="Y206:Y207"/>
    <mergeCell ref="G207:H207"/>
    <mergeCell ref="O206:O207"/>
    <mergeCell ref="Q206:Q207"/>
    <mergeCell ref="R206:R207"/>
    <mergeCell ref="S206:S207"/>
    <mergeCell ref="F206:F207"/>
    <mergeCell ref="G206:H206"/>
    <mergeCell ref="I206:K207"/>
    <mergeCell ref="M206:M207"/>
    <mergeCell ref="V204:X205"/>
    <mergeCell ref="Y204:Y205"/>
    <mergeCell ref="G205:H205"/>
    <mergeCell ref="A206:A207"/>
    <mergeCell ref="B206:B207"/>
    <mergeCell ref="C206:C207"/>
    <mergeCell ref="D206:D207"/>
    <mergeCell ref="E206:E207"/>
    <mergeCell ref="Q204:Q205"/>
    <mergeCell ref="R204:R205"/>
    <mergeCell ref="S204:S205"/>
    <mergeCell ref="T204:T205"/>
    <mergeCell ref="G204:H204"/>
    <mergeCell ref="I204:K205"/>
    <mergeCell ref="M204:M205"/>
    <mergeCell ref="O204:O205"/>
    <mergeCell ref="A204:A205"/>
    <mergeCell ref="B204:B205"/>
    <mergeCell ref="C204:C205"/>
    <mergeCell ref="D204:D205"/>
    <mergeCell ref="E204:E205"/>
    <mergeCell ref="F204:F205"/>
    <mergeCell ref="T202:T203"/>
    <mergeCell ref="V202:X203"/>
    <mergeCell ref="Y202:Y203"/>
    <mergeCell ref="G203:H203"/>
    <mergeCell ref="O202:O203"/>
    <mergeCell ref="Q202:Q203"/>
    <mergeCell ref="R202:R203"/>
    <mergeCell ref="S202:S203"/>
    <mergeCell ref="F202:F203"/>
    <mergeCell ref="G202:H202"/>
    <mergeCell ref="I202:K203"/>
    <mergeCell ref="M202:M203"/>
    <mergeCell ref="V200:X201"/>
    <mergeCell ref="Y200:Y201"/>
    <mergeCell ref="G201:H201"/>
    <mergeCell ref="A202:A203"/>
    <mergeCell ref="B202:B203"/>
    <mergeCell ref="C202:C203"/>
    <mergeCell ref="D202:D203"/>
    <mergeCell ref="E202:E203"/>
    <mergeCell ref="Q200:Q201"/>
    <mergeCell ref="R200:R201"/>
    <mergeCell ref="S200:S201"/>
    <mergeCell ref="T200:T201"/>
    <mergeCell ref="G200:H200"/>
    <mergeCell ref="I200:K201"/>
    <mergeCell ref="M200:M201"/>
    <mergeCell ref="O200:O201"/>
    <mergeCell ref="A200:A201"/>
    <mergeCell ref="B200:B201"/>
    <mergeCell ref="C200:C201"/>
    <mergeCell ref="D200:D201"/>
    <mergeCell ref="E200:E201"/>
    <mergeCell ref="F200:F201"/>
    <mergeCell ref="T198:T199"/>
    <mergeCell ref="V198:X199"/>
    <mergeCell ref="Y198:Y199"/>
    <mergeCell ref="G199:H199"/>
    <mergeCell ref="O198:O199"/>
    <mergeCell ref="Q198:Q199"/>
    <mergeCell ref="R198:R199"/>
    <mergeCell ref="S198:S199"/>
    <mergeCell ref="F198:F199"/>
    <mergeCell ref="G198:H198"/>
    <mergeCell ref="I198:K199"/>
    <mergeCell ref="M198:M199"/>
    <mergeCell ref="V196:X197"/>
    <mergeCell ref="Y196:Y197"/>
    <mergeCell ref="G197:H197"/>
    <mergeCell ref="A198:A199"/>
    <mergeCell ref="B198:B199"/>
    <mergeCell ref="C198:C199"/>
    <mergeCell ref="D198:D199"/>
    <mergeCell ref="E198:E199"/>
    <mergeCell ref="Q196:Q197"/>
    <mergeCell ref="R196:R197"/>
    <mergeCell ref="S196:S197"/>
    <mergeCell ref="T196:T197"/>
    <mergeCell ref="G196:H196"/>
    <mergeCell ref="I196:K197"/>
    <mergeCell ref="M196:M197"/>
    <mergeCell ref="O196:O197"/>
    <mergeCell ref="A196:A197"/>
    <mergeCell ref="B196:B197"/>
    <mergeCell ref="C196:C197"/>
    <mergeCell ref="D196:D197"/>
    <mergeCell ref="E196:E197"/>
    <mergeCell ref="F196:F197"/>
    <mergeCell ref="T194:T195"/>
    <mergeCell ref="V194:X195"/>
    <mergeCell ref="Y194:Y195"/>
    <mergeCell ref="G195:H195"/>
    <mergeCell ref="O194:O195"/>
    <mergeCell ref="Q194:Q195"/>
    <mergeCell ref="R194:R195"/>
    <mergeCell ref="S194:S195"/>
    <mergeCell ref="F194:F195"/>
    <mergeCell ref="G194:H194"/>
    <mergeCell ref="I194:K195"/>
    <mergeCell ref="M194:M195"/>
    <mergeCell ref="V192:X193"/>
    <mergeCell ref="Y192:Y193"/>
    <mergeCell ref="G193:H193"/>
    <mergeCell ref="A194:A195"/>
    <mergeCell ref="B194:B195"/>
    <mergeCell ref="C194:C195"/>
    <mergeCell ref="D194:D195"/>
    <mergeCell ref="E194:E195"/>
    <mergeCell ref="Q192:Q193"/>
    <mergeCell ref="R192:R193"/>
    <mergeCell ref="S192:S193"/>
    <mergeCell ref="T192:T193"/>
    <mergeCell ref="G192:H192"/>
    <mergeCell ref="I192:K193"/>
    <mergeCell ref="M192:M193"/>
    <mergeCell ref="O192:O193"/>
    <mergeCell ref="A192:A193"/>
    <mergeCell ref="B192:B193"/>
    <mergeCell ref="C192:C193"/>
    <mergeCell ref="D192:D193"/>
    <mergeCell ref="E192:E193"/>
    <mergeCell ref="F192:F193"/>
    <mergeCell ref="T190:T191"/>
    <mergeCell ref="V190:X191"/>
    <mergeCell ref="Y190:Y191"/>
    <mergeCell ref="G191:H191"/>
    <mergeCell ref="O190:O191"/>
    <mergeCell ref="Q190:Q191"/>
    <mergeCell ref="R190:R191"/>
    <mergeCell ref="S190:S191"/>
    <mergeCell ref="F190:F191"/>
    <mergeCell ref="G190:H190"/>
    <mergeCell ref="I190:K191"/>
    <mergeCell ref="M190:M191"/>
    <mergeCell ref="V188:X189"/>
    <mergeCell ref="Y188:Y189"/>
    <mergeCell ref="G189:H189"/>
    <mergeCell ref="A190:A191"/>
    <mergeCell ref="B190:B191"/>
    <mergeCell ref="C190:C191"/>
    <mergeCell ref="D190:D191"/>
    <mergeCell ref="E190:E191"/>
    <mergeCell ref="Q188:Q189"/>
    <mergeCell ref="R188:R189"/>
    <mergeCell ref="S188:S189"/>
    <mergeCell ref="T188:T189"/>
    <mergeCell ref="G188:H188"/>
    <mergeCell ref="I188:K189"/>
    <mergeCell ref="M188:M189"/>
    <mergeCell ref="O188:O189"/>
    <mergeCell ref="A188:A189"/>
    <mergeCell ref="B188:B189"/>
    <mergeCell ref="C188:C189"/>
    <mergeCell ref="D188:D189"/>
    <mergeCell ref="E188:E189"/>
    <mergeCell ref="F188:F189"/>
    <mergeCell ref="T186:T187"/>
    <mergeCell ref="V186:X187"/>
    <mergeCell ref="Y186:Y187"/>
    <mergeCell ref="G187:H187"/>
    <mergeCell ref="O186:O187"/>
    <mergeCell ref="Q186:Q187"/>
    <mergeCell ref="R186:R187"/>
    <mergeCell ref="S186:S187"/>
    <mergeCell ref="F186:F187"/>
    <mergeCell ref="G186:H186"/>
    <mergeCell ref="I186:K187"/>
    <mergeCell ref="M186:M187"/>
    <mergeCell ref="V184:X185"/>
    <mergeCell ref="Y184:Y185"/>
    <mergeCell ref="G185:H185"/>
    <mergeCell ref="A186:A187"/>
    <mergeCell ref="B186:B187"/>
    <mergeCell ref="C186:C187"/>
    <mergeCell ref="D186:D187"/>
    <mergeCell ref="E186:E187"/>
    <mergeCell ref="Q184:Q185"/>
    <mergeCell ref="R184:R185"/>
    <mergeCell ref="S184:S185"/>
    <mergeCell ref="T184:T185"/>
    <mergeCell ref="G184:H184"/>
    <mergeCell ref="I184:K185"/>
    <mergeCell ref="M184:M185"/>
    <mergeCell ref="O184:O185"/>
    <mergeCell ref="A184:A185"/>
    <mergeCell ref="B184:B185"/>
    <mergeCell ref="C184:C185"/>
    <mergeCell ref="D184:D185"/>
    <mergeCell ref="E184:E185"/>
    <mergeCell ref="F184:F185"/>
    <mergeCell ref="T182:T183"/>
    <mergeCell ref="V182:X183"/>
    <mergeCell ref="Y182:Y183"/>
    <mergeCell ref="G183:H183"/>
    <mergeCell ref="O182:O183"/>
    <mergeCell ref="Q182:Q183"/>
    <mergeCell ref="R182:R183"/>
    <mergeCell ref="S182:S183"/>
    <mergeCell ref="F182:F183"/>
    <mergeCell ref="G182:H182"/>
    <mergeCell ref="I182:K183"/>
    <mergeCell ref="M182:M183"/>
    <mergeCell ref="V180:X181"/>
    <mergeCell ref="Y180:Y181"/>
    <mergeCell ref="G181:H181"/>
    <mergeCell ref="A182:A183"/>
    <mergeCell ref="B182:B183"/>
    <mergeCell ref="C182:C183"/>
    <mergeCell ref="D182:D183"/>
    <mergeCell ref="E182:E183"/>
    <mergeCell ref="Q180:Q181"/>
    <mergeCell ref="R180:R181"/>
    <mergeCell ref="S180:S181"/>
    <mergeCell ref="T180:T181"/>
    <mergeCell ref="G180:H180"/>
    <mergeCell ref="I180:K181"/>
    <mergeCell ref="M180:M181"/>
    <mergeCell ref="O180:O181"/>
    <mergeCell ref="A180:A181"/>
    <mergeCell ref="B180:B181"/>
    <mergeCell ref="C180:C181"/>
    <mergeCell ref="D180:D181"/>
    <mergeCell ref="E180:E181"/>
    <mergeCell ref="F180:F181"/>
    <mergeCell ref="T178:T179"/>
    <mergeCell ref="V178:X179"/>
    <mergeCell ref="Y178:Y179"/>
    <mergeCell ref="G179:H179"/>
    <mergeCell ref="O178:O179"/>
    <mergeCell ref="Q178:Q179"/>
    <mergeCell ref="R178:R179"/>
    <mergeCell ref="S178:S179"/>
    <mergeCell ref="F178:F179"/>
    <mergeCell ref="G178:H178"/>
    <mergeCell ref="I178:K179"/>
    <mergeCell ref="M178:M179"/>
    <mergeCell ref="V176:X177"/>
    <mergeCell ref="Y176:Y177"/>
    <mergeCell ref="G177:H177"/>
    <mergeCell ref="A178:A179"/>
    <mergeCell ref="B178:B179"/>
    <mergeCell ref="C178:C179"/>
    <mergeCell ref="D178:D179"/>
    <mergeCell ref="E178:E179"/>
    <mergeCell ref="Q176:Q177"/>
    <mergeCell ref="R176:R177"/>
    <mergeCell ref="S176:S177"/>
    <mergeCell ref="T176:T177"/>
    <mergeCell ref="G176:H176"/>
    <mergeCell ref="I176:K177"/>
    <mergeCell ref="M176:M177"/>
    <mergeCell ref="O176:O177"/>
    <mergeCell ref="A176:A177"/>
    <mergeCell ref="B176:B177"/>
    <mergeCell ref="C176:C177"/>
    <mergeCell ref="D176:D177"/>
    <mergeCell ref="E176:E177"/>
    <mergeCell ref="F176:F177"/>
    <mergeCell ref="T174:T175"/>
    <mergeCell ref="V174:X175"/>
    <mergeCell ref="Y174:Y175"/>
    <mergeCell ref="G175:H175"/>
    <mergeCell ref="O174:O175"/>
    <mergeCell ref="Q174:Q175"/>
    <mergeCell ref="R174:R175"/>
    <mergeCell ref="S174:S175"/>
    <mergeCell ref="F174:F175"/>
    <mergeCell ref="G174:H174"/>
    <mergeCell ref="I174:K175"/>
    <mergeCell ref="M174:M175"/>
    <mergeCell ref="V172:X173"/>
    <mergeCell ref="Y172:Y173"/>
    <mergeCell ref="G173:H173"/>
    <mergeCell ref="A174:A175"/>
    <mergeCell ref="B174:B175"/>
    <mergeCell ref="C174:C175"/>
    <mergeCell ref="D174:D175"/>
    <mergeCell ref="E174:E175"/>
    <mergeCell ref="Q172:Q173"/>
    <mergeCell ref="R172:R173"/>
    <mergeCell ref="S172:S173"/>
    <mergeCell ref="T172:T173"/>
    <mergeCell ref="G172:H172"/>
    <mergeCell ref="I172:K173"/>
    <mergeCell ref="M172:M173"/>
    <mergeCell ref="O172:O173"/>
    <mergeCell ref="A172:A173"/>
    <mergeCell ref="B172:B173"/>
    <mergeCell ref="C172:C173"/>
    <mergeCell ref="D172:D173"/>
    <mergeCell ref="E172:E173"/>
    <mergeCell ref="F172:F173"/>
    <mergeCell ref="T170:T171"/>
    <mergeCell ref="V170:X171"/>
    <mergeCell ref="Y170:Y171"/>
    <mergeCell ref="G171:H171"/>
    <mergeCell ref="O170:O171"/>
    <mergeCell ref="Q170:Q171"/>
    <mergeCell ref="R170:R171"/>
    <mergeCell ref="S170:S171"/>
    <mergeCell ref="F170:F171"/>
    <mergeCell ref="G170:H170"/>
    <mergeCell ref="I170:K171"/>
    <mergeCell ref="M170:M171"/>
    <mergeCell ref="V168:X169"/>
    <mergeCell ref="Y168:Y169"/>
    <mergeCell ref="G169:H169"/>
    <mergeCell ref="A170:A171"/>
    <mergeCell ref="B170:B171"/>
    <mergeCell ref="C170:C171"/>
    <mergeCell ref="D170:D171"/>
    <mergeCell ref="E170:E171"/>
    <mergeCell ref="Q168:Q169"/>
    <mergeCell ref="R168:R169"/>
    <mergeCell ref="S168:S169"/>
    <mergeCell ref="T168:T169"/>
    <mergeCell ref="G168:H168"/>
    <mergeCell ref="I168:K169"/>
    <mergeCell ref="M168:M169"/>
    <mergeCell ref="O168:O169"/>
    <mergeCell ref="A168:A169"/>
    <mergeCell ref="B168:B169"/>
    <mergeCell ref="C168:C169"/>
    <mergeCell ref="D168:D169"/>
    <mergeCell ref="E168:E169"/>
    <mergeCell ref="F168:F169"/>
    <mergeCell ref="T166:T167"/>
    <mergeCell ref="V166:X167"/>
    <mergeCell ref="Y166:Y167"/>
    <mergeCell ref="G167:H167"/>
    <mergeCell ref="O166:O167"/>
    <mergeCell ref="Q166:Q167"/>
    <mergeCell ref="R166:R167"/>
    <mergeCell ref="S166:S167"/>
    <mergeCell ref="F166:F167"/>
    <mergeCell ref="G166:H166"/>
    <mergeCell ref="I166:K167"/>
    <mergeCell ref="M166:M167"/>
    <mergeCell ref="V164:X165"/>
    <mergeCell ref="Y164:Y165"/>
    <mergeCell ref="G165:H165"/>
    <mergeCell ref="A166:A167"/>
    <mergeCell ref="B166:B167"/>
    <mergeCell ref="C166:C167"/>
    <mergeCell ref="D166:D167"/>
    <mergeCell ref="E166:E167"/>
    <mergeCell ref="Q164:Q165"/>
    <mergeCell ref="R164:R165"/>
    <mergeCell ref="S164:S165"/>
    <mergeCell ref="T164:T165"/>
    <mergeCell ref="G164:H164"/>
    <mergeCell ref="I164:K165"/>
    <mergeCell ref="M164:M165"/>
    <mergeCell ref="O164:O165"/>
    <mergeCell ref="A164:A165"/>
    <mergeCell ref="B164:B165"/>
    <mergeCell ref="C164:C165"/>
    <mergeCell ref="D164:D165"/>
    <mergeCell ref="E164:E165"/>
    <mergeCell ref="F164:F165"/>
    <mergeCell ref="T162:T163"/>
    <mergeCell ref="V162:X163"/>
    <mergeCell ref="Y162:Y163"/>
    <mergeCell ref="G163:H163"/>
    <mergeCell ref="O162:O163"/>
    <mergeCell ref="Q162:Q163"/>
    <mergeCell ref="R162:R163"/>
    <mergeCell ref="S162:S163"/>
    <mergeCell ref="F162:F163"/>
    <mergeCell ref="G162:H162"/>
    <mergeCell ref="I162:K163"/>
    <mergeCell ref="M162:M163"/>
    <mergeCell ref="V160:X161"/>
    <mergeCell ref="Y160:Y161"/>
    <mergeCell ref="G161:H161"/>
    <mergeCell ref="A162:A163"/>
    <mergeCell ref="B162:B163"/>
    <mergeCell ref="C162:C163"/>
    <mergeCell ref="D162:D163"/>
    <mergeCell ref="E162:E163"/>
    <mergeCell ref="Q160:Q161"/>
    <mergeCell ref="R160:R161"/>
    <mergeCell ref="S160:S161"/>
    <mergeCell ref="T160:T161"/>
    <mergeCell ref="G160:H160"/>
    <mergeCell ref="I160:K161"/>
    <mergeCell ref="M160:M161"/>
    <mergeCell ref="O160:O161"/>
    <mergeCell ref="A160:A161"/>
    <mergeCell ref="B160:B161"/>
    <mergeCell ref="C160:C161"/>
    <mergeCell ref="D160:D161"/>
    <mergeCell ref="E160:E161"/>
    <mergeCell ref="F160:F161"/>
    <mergeCell ref="T158:T159"/>
    <mergeCell ref="V158:X159"/>
    <mergeCell ref="Y158:Y159"/>
    <mergeCell ref="G159:H159"/>
    <mergeCell ref="O158:O159"/>
    <mergeCell ref="Q158:Q159"/>
    <mergeCell ref="R158:R159"/>
    <mergeCell ref="S158:S159"/>
    <mergeCell ref="F158:F159"/>
    <mergeCell ref="G158:H158"/>
    <mergeCell ref="I158:K159"/>
    <mergeCell ref="M158:M159"/>
    <mergeCell ref="V156:X157"/>
    <mergeCell ref="Y156:Y157"/>
    <mergeCell ref="G157:H157"/>
    <mergeCell ref="A158:A159"/>
    <mergeCell ref="B158:B159"/>
    <mergeCell ref="C158:C159"/>
    <mergeCell ref="D158:D159"/>
    <mergeCell ref="E158:E159"/>
    <mergeCell ref="Q156:Q157"/>
    <mergeCell ref="R156:R157"/>
    <mergeCell ref="S156:S157"/>
    <mergeCell ref="T156:T157"/>
    <mergeCell ref="G156:H156"/>
    <mergeCell ref="I156:K157"/>
    <mergeCell ref="M156:M157"/>
    <mergeCell ref="O156:O157"/>
    <mergeCell ref="A156:A157"/>
    <mergeCell ref="B156:B157"/>
    <mergeCell ref="C156:C157"/>
    <mergeCell ref="D156:D157"/>
    <mergeCell ref="E156:E157"/>
    <mergeCell ref="F156:F157"/>
    <mergeCell ref="T154:T155"/>
    <mergeCell ref="V154:X155"/>
    <mergeCell ref="Y154:Y155"/>
    <mergeCell ref="G155:H155"/>
    <mergeCell ref="O154:O155"/>
    <mergeCell ref="Q154:Q155"/>
    <mergeCell ref="R154:R155"/>
    <mergeCell ref="S154:S155"/>
    <mergeCell ref="F154:F155"/>
    <mergeCell ref="G154:H154"/>
    <mergeCell ref="I154:K155"/>
    <mergeCell ref="M154:M155"/>
    <mergeCell ref="V152:X153"/>
    <mergeCell ref="Y152:Y153"/>
    <mergeCell ref="G153:H153"/>
    <mergeCell ref="A154:A155"/>
    <mergeCell ref="B154:B155"/>
    <mergeCell ref="C154:C155"/>
    <mergeCell ref="D154:D155"/>
    <mergeCell ref="E154:E155"/>
    <mergeCell ref="Q152:Q153"/>
    <mergeCell ref="R152:R153"/>
    <mergeCell ref="S152:S153"/>
    <mergeCell ref="T152:T153"/>
    <mergeCell ref="G152:H152"/>
    <mergeCell ref="I152:K153"/>
    <mergeCell ref="M152:M153"/>
    <mergeCell ref="O152:O153"/>
    <mergeCell ref="A152:A153"/>
    <mergeCell ref="B152:B153"/>
    <mergeCell ref="C152:C153"/>
    <mergeCell ref="D152:D153"/>
    <mergeCell ref="E152:E153"/>
    <mergeCell ref="F152:F153"/>
    <mergeCell ref="T150:T151"/>
    <mergeCell ref="V150:X151"/>
    <mergeCell ref="Y150:Y151"/>
    <mergeCell ref="G151:H151"/>
    <mergeCell ref="O150:O151"/>
    <mergeCell ref="Q150:Q151"/>
    <mergeCell ref="R150:R151"/>
    <mergeCell ref="S150:S151"/>
    <mergeCell ref="F150:F151"/>
    <mergeCell ref="G150:H150"/>
    <mergeCell ref="I150:K151"/>
    <mergeCell ref="M150:M151"/>
    <mergeCell ref="V148:X149"/>
    <mergeCell ref="Y148:Y149"/>
    <mergeCell ref="G149:H149"/>
    <mergeCell ref="A150:A151"/>
    <mergeCell ref="B150:B151"/>
    <mergeCell ref="C150:C151"/>
    <mergeCell ref="D150:D151"/>
    <mergeCell ref="E150:E151"/>
    <mergeCell ref="Q148:Q149"/>
    <mergeCell ref="R148:R149"/>
    <mergeCell ref="S148:S149"/>
    <mergeCell ref="T148:T149"/>
    <mergeCell ref="G148:H148"/>
    <mergeCell ref="I148:K149"/>
    <mergeCell ref="M148:M149"/>
    <mergeCell ref="O148:O149"/>
    <mergeCell ref="A148:A149"/>
    <mergeCell ref="B148:B149"/>
    <mergeCell ref="C148:C149"/>
    <mergeCell ref="D148:D149"/>
    <mergeCell ref="E148:E149"/>
    <mergeCell ref="F148:F149"/>
    <mergeCell ref="T146:T147"/>
    <mergeCell ref="V146:X147"/>
    <mergeCell ref="Y146:Y147"/>
    <mergeCell ref="G147:H147"/>
    <mergeCell ref="O146:O147"/>
    <mergeCell ref="Q146:Q147"/>
    <mergeCell ref="R146:R147"/>
    <mergeCell ref="S146:S147"/>
    <mergeCell ref="F146:F147"/>
    <mergeCell ref="G146:H146"/>
    <mergeCell ref="I146:K147"/>
    <mergeCell ref="M146:M147"/>
    <mergeCell ref="V144:X145"/>
    <mergeCell ref="Y144:Y145"/>
    <mergeCell ref="G145:H145"/>
    <mergeCell ref="A146:A147"/>
    <mergeCell ref="B146:B147"/>
    <mergeCell ref="C146:C147"/>
    <mergeCell ref="D146:D147"/>
    <mergeCell ref="E146:E147"/>
    <mergeCell ref="Q144:Q145"/>
    <mergeCell ref="R144:R145"/>
    <mergeCell ref="S144:S145"/>
    <mergeCell ref="T144:T145"/>
    <mergeCell ref="G144:H144"/>
    <mergeCell ref="I144:K145"/>
    <mergeCell ref="M144:M145"/>
    <mergeCell ref="O144:O145"/>
    <mergeCell ref="A144:A145"/>
    <mergeCell ref="B144:B145"/>
    <mergeCell ref="C144:C145"/>
    <mergeCell ref="D144:D145"/>
    <mergeCell ref="E144:E145"/>
    <mergeCell ref="F144:F145"/>
    <mergeCell ref="T142:T143"/>
    <mergeCell ref="V142:X143"/>
    <mergeCell ref="Y142:Y143"/>
    <mergeCell ref="G143:H143"/>
    <mergeCell ref="O142:O143"/>
    <mergeCell ref="Q142:Q143"/>
    <mergeCell ref="R142:R143"/>
    <mergeCell ref="S142:S143"/>
    <mergeCell ref="F142:F143"/>
    <mergeCell ref="G142:H142"/>
    <mergeCell ref="I142:K143"/>
    <mergeCell ref="M142:M143"/>
    <mergeCell ref="V140:X141"/>
    <mergeCell ref="Y140:Y141"/>
    <mergeCell ref="G141:H141"/>
    <mergeCell ref="A142:A143"/>
    <mergeCell ref="B142:B143"/>
    <mergeCell ref="C142:C143"/>
    <mergeCell ref="D142:D143"/>
    <mergeCell ref="E142:E143"/>
    <mergeCell ref="Q140:Q141"/>
    <mergeCell ref="R140:R141"/>
    <mergeCell ref="S140:S141"/>
    <mergeCell ref="T140:T141"/>
    <mergeCell ref="G140:H140"/>
    <mergeCell ref="I140:K141"/>
    <mergeCell ref="M140:M141"/>
    <mergeCell ref="O140:O141"/>
    <mergeCell ref="A140:A141"/>
    <mergeCell ref="B140:B141"/>
    <mergeCell ref="C140:C141"/>
    <mergeCell ref="D140:D141"/>
    <mergeCell ref="E140:E141"/>
    <mergeCell ref="F140:F141"/>
    <mergeCell ref="T138:T139"/>
    <mergeCell ref="V138:X139"/>
    <mergeCell ref="Y138:Y139"/>
    <mergeCell ref="G139:H139"/>
    <mergeCell ref="O138:O139"/>
    <mergeCell ref="Q138:Q139"/>
    <mergeCell ref="R138:R139"/>
    <mergeCell ref="S138:S139"/>
    <mergeCell ref="F138:F139"/>
    <mergeCell ref="G138:H138"/>
    <mergeCell ref="I138:K139"/>
    <mergeCell ref="M138:M139"/>
    <mergeCell ref="V136:X137"/>
    <mergeCell ref="Y136:Y137"/>
    <mergeCell ref="G137:H137"/>
    <mergeCell ref="A138:A139"/>
    <mergeCell ref="B138:B139"/>
    <mergeCell ref="C138:C139"/>
    <mergeCell ref="D138:D139"/>
    <mergeCell ref="E138:E139"/>
    <mergeCell ref="Q136:Q137"/>
    <mergeCell ref="R136:R137"/>
    <mergeCell ref="S136:S137"/>
    <mergeCell ref="T136:T137"/>
    <mergeCell ref="G136:H136"/>
    <mergeCell ref="I136:K137"/>
    <mergeCell ref="M136:M137"/>
    <mergeCell ref="O136:O137"/>
    <mergeCell ref="A136:A137"/>
    <mergeCell ref="B136:B137"/>
    <mergeCell ref="C136:C137"/>
    <mergeCell ref="D136:D137"/>
    <mergeCell ref="E136:E137"/>
    <mergeCell ref="F136:F137"/>
    <mergeCell ref="T134:T135"/>
    <mergeCell ref="V134:X135"/>
    <mergeCell ref="Y134:Y135"/>
    <mergeCell ref="G135:H135"/>
    <mergeCell ref="O134:O135"/>
    <mergeCell ref="Q134:Q135"/>
    <mergeCell ref="R134:R135"/>
    <mergeCell ref="S134:S135"/>
    <mergeCell ref="F134:F135"/>
    <mergeCell ref="G134:H134"/>
    <mergeCell ref="I134:K135"/>
    <mergeCell ref="M134:M135"/>
    <mergeCell ref="V132:X133"/>
    <mergeCell ref="Y132:Y133"/>
    <mergeCell ref="G133:H133"/>
    <mergeCell ref="A134:A135"/>
    <mergeCell ref="B134:B135"/>
    <mergeCell ref="C134:C135"/>
    <mergeCell ref="D134:D135"/>
    <mergeCell ref="E134:E135"/>
    <mergeCell ref="Q132:Q133"/>
    <mergeCell ref="R132:R133"/>
    <mergeCell ref="S132:S133"/>
    <mergeCell ref="T132:T133"/>
    <mergeCell ref="G132:H132"/>
    <mergeCell ref="I132:K133"/>
    <mergeCell ref="M132:M133"/>
    <mergeCell ref="O132:O133"/>
    <mergeCell ref="A132:A133"/>
    <mergeCell ref="B132:B133"/>
    <mergeCell ref="C132:C133"/>
    <mergeCell ref="D132:D133"/>
    <mergeCell ref="E132:E133"/>
    <mergeCell ref="F132:F133"/>
    <mergeCell ref="T130:T131"/>
    <mergeCell ref="V130:X131"/>
    <mergeCell ref="Y130:Y131"/>
    <mergeCell ref="G131:H131"/>
    <mergeCell ref="O130:O131"/>
    <mergeCell ref="Q130:Q131"/>
    <mergeCell ref="R130:R131"/>
    <mergeCell ref="S130:S131"/>
    <mergeCell ref="F130:F131"/>
    <mergeCell ref="G130:H130"/>
    <mergeCell ref="I130:K131"/>
    <mergeCell ref="M130:M131"/>
    <mergeCell ref="V128:X129"/>
    <mergeCell ref="Y128:Y129"/>
    <mergeCell ref="G129:H129"/>
    <mergeCell ref="A130:A131"/>
    <mergeCell ref="B130:B131"/>
    <mergeCell ref="C130:C131"/>
    <mergeCell ref="D130:D131"/>
    <mergeCell ref="E130:E131"/>
    <mergeCell ref="Q128:Q129"/>
    <mergeCell ref="R128:R129"/>
    <mergeCell ref="S128:S129"/>
    <mergeCell ref="T128:T129"/>
    <mergeCell ref="G128:H128"/>
    <mergeCell ref="I128:K129"/>
    <mergeCell ref="M128:M129"/>
    <mergeCell ref="O128:O129"/>
    <mergeCell ref="A128:A129"/>
    <mergeCell ref="B128:B129"/>
    <mergeCell ref="C128:C129"/>
    <mergeCell ref="D128:D129"/>
    <mergeCell ref="E128:E129"/>
    <mergeCell ref="F128:F129"/>
    <mergeCell ref="T126:T127"/>
    <mergeCell ref="V126:X127"/>
    <mergeCell ref="Y126:Y127"/>
    <mergeCell ref="G127:H127"/>
    <mergeCell ref="O126:O127"/>
    <mergeCell ref="Q126:Q127"/>
    <mergeCell ref="R126:R127"/>
    <mergeCell ref="S126:S127"/>
    <mergeCell ref="F126:F127"/>
    <mergeCell ref="G126:H126"/>
    <mergeCell ref="I126:K127"/>
    <mergeCell ref="M126:M127"/>
    <mergeCell ref="V124:X125"/>
    <mergeCell ref="Y124:Y125"/>
    <mergeCell ref="G125:H125"/>
    <mergeCell ref="A126:A127"/>
    <mergeCell ref="B126:B127"/>
    <mergeCell ref="C126:C127"/>
    <mergeCell ref="D126:D127"/>
    <mergeCell ref="E126:E127"/>
    <mergeCell ref="Q124:Q125"/>
    <mergeCell ref="R124:R125"/>
    <mergeCell ref="S124:S125"/>
    <mergeCell ref="T124:T125"/>
    <mergeCell ref="G124:H124"/>
    <mergeCell ref="I124:K125"/>
    <mergeCell ref="M124:M125"/>
    <mergeCell ref="O124:O125"/>
    <mergeCell ref="A124:A125"/>
    <mergeCell ref="B124:B125"/>
    <mergeCell ref="C124:C125"/>
    <mergeCell ref="D124:D125"/>
    <mergeCell ref="E124:E125"/>
    <mergeCell ref="F124:F125"/>
    <mergeCell ref="T122:T123"/>
    <mergeCell ref="V122:X123"/>
    <mergeCell ref="Y122:Y123"/>
    <mergeCell ref="G123:H123"/>
    <mergeCell ref="O122:O123"/>
    <mergeCell ref="Q122:Q123"/>
    <mergeCell ref="R122:R123"/>
    <mergeCell ref="S122:S123"/>
    <mergeCell ref="F122:F123"/>
    <mergeCell ref="G122:H122"/>
    <mergeCell ref="I122:K123"/>
    <mergeCell ref="M122:M123"/>
    <mergeCell ref="V120:X121"/>
    <mergeCell ref="Y120:Y121"/>
    <mergeCell ref="G121:H121"/>
    <mergeCell ref="A122:A123"/>
    <mergeCell ref="B122:B123"/>
    <mergeCell ref="C122:C123"/>
    <mergeCell ref="D122:D123"/>
    <mergeCell ref="E122:E123"/>
    <mergeCell ref="Q120:Q121"/>
    <mergeCell ref="R120:R121"/>
    <mergeCell ref="S120:S121"/>
    <mergeCell ref="T120:T121"/>
    <mergeCell ref="G120:H120"/>
    <mergeCell ref="I120:K121"/>
    <mergeCell ref="M120:M121"/>
    <mergeCell ref="O120:O121"/>
    <mergeCell ref="A120:A121"/>
    <mergeCell ref="B120:B121"/>
    <mergeCell ref="C120:C121"/>
    <mergeCell ref="D120:D121"/>
    <mergeCell ref="E120:E121"/>
    <mergeCell ref="F120:F121"/>
    <mergeCell ref="T118:T119"/>
    <mergeCell ref="V118:X119"/>
    <mergeCell ref="Y118:Y119"/>
    <mergeCell ref="G119:H119"/>
    <mergeCell ref="O118:O119"/>
    <mergeCell ref="Q118:Q119"/>
    <mergeCell ref="R118:R119"/>
    <mergeCell ref="S118:S119"/>
    <mergeCell ref="F118:F119"/>
    <mergeCell ref="G118:H118"/>
    <mergeCell ref="I118:K119"/>
    <mergeCell ref="M118:M119"/>
    <mergeCell ref="V116:X117"/>
    <mergeCell ref="Y116:Y117"/>
    <mergeCell ref="G117:H117"/>
    <mergeCell ref="A118:A119"/>
    <mergeCell ref="B118:B119"/>
    <mergeCell ref="C118:C119"/>
    <mergeCell ref="D118:D119"/>
    <mergeCell ref="E118:E119"/>
    <mergeCell ref="Q116:Q117"/>
    <mergeCell ref="R116:R117"/>
    <mergeCell ref="S116:S117"/>
    <mergeCell ref="T116:T117"/>
    <mergeCell ref="G116:H116"/>
    <mergeCell ref="I116:K117"/>
    <mergeCell ref="M116:M117"/>
    <mergeCell ref="O116:O117"/>
    <mergeCell ref="A116:A117"/>
    <mergeCell ref="B116:B117"/>
    <mergeCell ref="C116:C117"/>
    <mergeCell ref="D116:D117"/>
    <mergeCell ref="E116:E117"/>
    <mergeCell ref="F116:F117"/>
    <mergeCell ref="T114:T115"/>
    <mergeCell ref="V114:X115"/>
    <mergeCell ref="Y114:Y115"/>
    <mergeCell ref="G115:H115"/>
    <mergeCell ref="O114:O115"/>
    <mergeCell ref="Q114:Q115"/>
    <mergeCell ref="R114:R115"/>
    <mergeCell ref="S114:S115"/>
    <mergeCell ref="F114:F115"/>
    <mergeCell ref="G114:H114"/>
    <mergeCell ref="I114:K115"/>
    <mergeCell ref="M114:M115"/>
    <mergeCell ref="V112:X113"/>
    <mergeCell ref="Y112:Y113"/>
    <mergeCell ref="G113:H113"/>
    <mergeCell ref="A114:A115"/>
    <mergeCell ref="B114:B115"/>
    <mergeCell ref="C114:C115"/>
    <mergeCell ref="D114:D115"/>
    <mergeCell ref="E114:E115"/>
    <mergeCell ref="Q112:Q113"/>
    <mergeCell ref="R112:R113"/>
    <mergeCell ref="S112:S113"/>
    <mergeCell ref="T112:T113"/>
    <mergeCell ref="G112:H112"/>
    <mergeCell ref="I112:K113"/>
    <mergeCell ref="M112:M113"/>
    <mergeCell ref="O112:O113"/>
    <mergeCell ref="A112:A113"/>
    <mergeCell ref="B112:B113"/>
    <mergeCell ref="C112:C113"/>
    <mergeCell ref="D112:D113"/>
    <mergeCell ref="E112:E113"/>
    <mergeCell ref="F112:F113"/>
    <mergeCell ref="T110:T111"/>
    <mergeCell ref="V110:X111"/>
    <mergeCell ref="Y110:Y111"/>
    <mergeCell ref="G111:H111"/>
    <mergeCell ref="O110:O111"/>
    <mergeCell ref="Q110:Q111"/>
    <mergeCell ref="R110:R111"/>
    <mergeCell ref="S110:S111"/>
    <mergeCell ref="F110:F111"/>
    <mergeCell ref="G110:H110"/>
    <mergeCell ref="I110:K111"/>
    <mergeCell ref="M110:M111"/>
    <mergeCell ref="V108:X109"/>
    <mergeCell ref="Y108:Y109"/>
    <mergeCell ref="G109:H109"/>
    <mergeCell ref="A110:A111"/>
    <mergeCell ref="B110:B111"/>
    <mergeCell ref="C110:C111"/>
    <mergeCell ref="D110:D111"/>
    <mergeCell ref="E110:E111"/>
    <mergeCell ref="Q108:Q109"/>
    <mergeCell ref="R108:R109"/>
    <mergeCell ref="S108:S109"/>
    <mergeCell ref="T108:T109"/>
    <mergeCell ref="G108:H108"/>
    <mergeCell ref="I108:K109"/>
    <mergeCell ref="M108:M109"/>
    <mergeCell ref="O108:O109"/>
    <mergeCell ref="A108:A109"/>
    <mergeCell ref="B108:B109"/>
    <mergeCell ref="C108:C109"/>
    <mergeCell ref="D108:D109"/>
    <mergeCell ref="E108:E109"/>
    <mergeCell ref="F108:F109"/>
    <mergeCell ref="T106:T107"/>
    <mergeCell ref="V106:X107"/>
    <mergeCell ref="Y106:Y107"/>
    <mergeCell ref="G107:H107"/>
    <mergeCell ref="O106:O107"/>
    <mergeCell ref="Q106:Q107"/>
    <mergeCell ref="R106:R107"/>
    <mergeCell ref="S106:S107"/>
    <mergeCell ref="F106:F107"/>
    <mergeCell ref="G106:H106"/>
    <mergeCell ref="I106:K107"/>
    <mergeCell ref="M106:M107"/>
    <mergeCell ref="V104:X105"/>
    <mergeCell ref="Y104:Y105"/>
    <mergeCell ref="G105:H105"/>
    <mergeCell ref="A106:A107"/>
    <mergeCell ref="B106:B107"/>
    <mergeCell ref="C106:C107"/>
    <mergeCell ref="D106:D107"/>
    <mergeCell ref="E106:E107"/>
    <mergeCell ref="Q104:Q105"/>
    <mergeCell ref="R104:R105"/>
    <mergeCell ref="S104:S105"/>
    <mergeCell ref="T104:T105"/>
    <mergeCell ref="G104:H104"/>
    <mergeCell ref="I104:K105"/>
    <mergeCell ref="M104:M105"/>
    <mergeCell ref="O104:O105"/>
    <mergeCell ref="A104:A105"/>
    <mergeCell ref="B104:B105"/>
    <mergeCell ref="C104:C105"/>
    <mergeCell ref="D104:D105"/>
    <mergeCell ref="E104:E105"/>
    <mergeCell ref="F104:F105"/>
    <mergeCell ref="T102:T103"/>
    <mergeCell ref="V102:X103"/>
    <mergeCell ref="Y102:Y103"/>
    <mergeCell ref="G103:H103"/>
    <mergeCell ref="O102:O103"/>
    <mergeCell ref="Q102:Q103"/>
    <mergeCell ref="R102:R103"/>
    <mergeCell ref="S102:S103"/>
    <mergeCell ref="F102:F103"/>
    <mergeCell ref="G102:H102"/>
    <mergeCell ref="I102:K103"/>
    <mergeCell ref="M102:M103"/>
    <mergeCell ref="V100:X101"/>
    <mergeCell ref="Y100:Y101"/>
    <mergeCell ref="G101:H101"/>
    <mergeCell ref="A102:A103"/>
    <mergeCell ref="B102:B103"/>
    <mergeCell ref="C102:C103"/>
    <mergeCell ref="D102:D103"/>
    <mergeCell ref="E102:E103"/>
    <mergeCell ref="Q100:Q101"/>
    <mergeCell ref="R100:R101"/>
    <mergeCell ref="S100:S101"/>
    <mergeCell ref="T100:T101"/>
    <mergeCell ref="G100:H100"/>
    <mergeCell ref="I100:K101"/>
    <mergeCell ref="M100:M101"/>
    <mergeCell ref="O100:O101"/>
    <mergeCell ref="A100:A101"/>
    <mergeCell ref="B100:B101"/>
    <mergeCell ref="C100:C101"/>
    <mergeCell ref="D100:D101"/>
    <mergeCell ref="E100:E101"/>
    <mergeCell ref="F100:F101"/>
    <mergeCell ref="T98:T99"/>
    <mergeCell ref="V98:X99"/>
    <mergeCell ref="Y98:Y99"/>
    <mergeCell ref="G99:H99"/>
    <mergeCell ref="O98:O99"/>
    <mergeCell ref="Q98:Q99"/>
    <mergeCell ref="R98:R99"/>
    <mergeCell ref="S98:S99"/>
    <mergeCell ref="F98:F99"/>
    <mergeCell ref="G98:H98"/>
    <mergeCell ref="I98:K99"/>
    <mergeCell ref="M98:M99"/>
    <mergeCell ref="V96:X97"/>
    <mergeCell ref="Y96:Y97"/>
    <mergeCell ref="G97:H97"/>
    <mergeCell ref="A98:A99"/>
    <mergeCell ref="B98:B99"/>
    <mergeCell ref="C98:C99"/>
    <mergeCell ref="D98:D99"/>
    <mergeCell ref="E98:E99"/>
    <mergeCell ref="Q96:Q97"/>
    <mergeCell ref="R96:R97"/>
    <mergeCell ref="S96:S97"/>
    <mergeCell ref="T96:T97"/>
    <mergeCell ref="G96:H96"/>
    <mergeCell ref="I96:K97"/>
    <mergeCell ref="M96:M97"/>
    <mergeCell ref="O96:O97"/>
    <mergeCell ref="A96:A97"/>
    <mergeCell ref="B96:B97"/>
    <mergeCell ref="C96:C97"/>
    <mergeCell ref="D96:D97"/>
    <mergeCell ref="E96:E97"/>
    <mergeCell ref="F96:F97"/>
    <mergeCell ref="T94:T95"/>
    <mergeCell ref="V94:X95"/>
    <mergeCell ref="Y94:Y95"/>
    <mergeCell ref="G95:H95"/>
    <mergeCell ref="O94:O95"/>
    <mergeCell ref="Q94:Q95"/>
    <mergeCell ref="R94:R95"/>
    <mergeCell ref="S94:S95"/>
    <mergeCell ref="F94:F95"/>
    <mergeCell ref="G94:H94"/>
    <mergeCell ref="I94:K95"/>
    <mergeCell ref="M94:M95"/>
    <mergeCell ref="V92:X93"/>
    <mergeCell ref="Y92:Y93"/>
    <mergeCell ref="G93:H93"/>
    <mergeCell ref="A94:A95"/>
    <mergeCell ref="B94:B95"/>
    <mergeCell ref="C94:C95"/>
    <mergeCell ref="D94:D95"/>
    <mergeCell ref="E94:E95"/>
    <mergeCell ref="Q92:Q93"/>
    <mergeCell ref="R92:R93"/>
    <mergeCell ref="S92:S93"/>
    <mergeCell ref="T92:T93"/>
    <mergeCell ref="G92:H92"/>
    <mergeCell ref="I92:K93"/>
    <mergeCell ref="M92:M93"/>
    <mergeCell ref="O92:O93"/>
    <mergeCell ref="A92:A93"/>
    <mergeCell ref="B92:B93"/>
    <mergeCell ref="C92:C93"/>
    <mergeCell ref="D92:D93"/>
    <mergeCell ref="E92:E93"/>
    <mergeCell ref="F92:F93"/>
    <mergeCell ref="T90:T91"/>
    <mergeCell ref="V90:X91"/>
    <mergeCell ref="Y90:Y91"/>
    <mergeCell ref="G91:H91"/>
    <mergeCell ref="O90:O91"/>
    <mergeCell ref="Q90:Q91"/>
    <mergeCell ref="R90:R91"/>
    <mergeCell ref="S90:S91"/>
    <mergeCell ref="F90:F91"/>
    <mergeCell ref="G90:H90"/>
    <mergeCell ref="I90:K91"/>
    <mergeCell ref="M90:M91"/>
    <mergeCell ref="V88:X89"/>
    <mergeCell ref="Y88:Y89"/>
    <mergeCell ref="G89:H89"/>
    <mergeCell ref="A90:A91"/>
    <mergeCell ref="B90:B91"/>
    <mergeCell ref="C90:C91"/>
    <mergeCell ref="D90:D91"/>
    <mergeCell ref="E90:E91"/>
    <mergeCell ref="Q88:Q89"/>
    <mergeCell ref="R88:R89"/>
    <mergeCell ref="S88:S89"/>
    <mergeCell ref="T88:T89"/>
    <mergeCell ref="G88:H88"/>
    <mergeCell ref="I88:K89"/>
    <mergeCell ref="M88:M89"/>
    <mergeCell ref="O88:O89"/>
    <mergeCell ref="A88:A89"/>
    <mergeCell ref="B88:B89"/>
    <mergeCell ref="C88:C89"/>
    <mergeCell ref="D88:D89"/>
    <mergeCell ref="E88:E89"/>
    <mergeCell ref="F88:F89"/>
    <mergeCell ref="T86:T87"/>
    <mergeCell ref="V86:X87"/>
    <mergeCell ref="Y86:Y87"/>
    <mergeCell ref="G87:H87"/>
    <mergeCell ref="O86:O87"/>
    <mergeCell ref="Q86:Q87"/>
    <mergeCell ref="R86:R87"/>
    <mergeCell ref="S86:S87"/>
    <mergeCell ref="F86:F87"/>
    <mergeCell ref="G86:H86"/>
    <mergeCell ref="I86:K87"/>
    <mergeCell ref="M86:M87"/>
    <mergeCell ref="V84:X85"/>
    <mergeCell ref="Y84:Y85"/>
    <mergeCell ref="G85:H85"/>
    <mergeCell ref="A86:A87"/>
    <mergeCell ref="B86:B87"/>
    <mergeCell ref="C86:C87"/>
    <mergeCell ref="D86:D87"/>
    <mergeCell ref="E86:E87"/>
    <mergeCell ref="Q84:Q85"/>
    <mergeCell ref="R84:R85"/>
    <mergeCell ref="S84:S85"/>
    <mergeCell ref="T84:T85"/>
    <mergeCell ref="G84:H84"/>
    <mergeCell ref="I84:K85"/>
    <mergeCell ref="M84:M85"/>
    <mergeCell ref="O84:O85"/>
    <mergeCell ref="A84:A85"/>
    <mergeCell ref="B84:B85"/>
    <mergeCell ref="C84:C85"/>
    <mergeCell ref="D84:D85"/>
    <mergeCell ref="E84:E85"/>
    <mergeCell ref="F84:F85"/>
    <mergeCell ref="T82:T83"/>
    <mergeCell ref="V82:X83"/>
    <mergeCell ref="Y82:Y83"/>
    <mergeCell ref="G83:H83"/>
    <mergeCell ref="O82:O83"/>
    <mergeCell ref="Q82:Q83"/>
    <mergeCell ref="R82:R83"/>
    <mergeCell ref="S82:S83"/>
    <mergeCell ref="F82:F83"/>
    <mergeCell ref="G82:H82"/>
    <mergeCell ref="I82:K83"/>
    <mergeCell ref="M82:M83"/>
    <mergeCell ref="V80:X81"/>
    <mergeCell ref="Y80:Y81"/>
    <mergeCell ref="G81:H81"/>
    <mergeCell ref="A82:A83"/>
    <mergeCell ref="B82:B83"/>
    <mergeCell ref="C82:C83"/>
    <mergeCell ref="D82:D83"/>
    <mergeCell ref="E82:E83"/>
    <mergeCell ref="Q80:Q81"/>
    <mergeCell ref="R80:R81"/>
    <mergeCell ref="S80:S81"/>
    <mergeCell ref="T80:T81"/>
    <mergeCell ref="G80:H80"/>
    <mergeCell ref="I80:K81"/>
    <mergeCell ref="M80:M81"/>
    <mergeCell ref="O80:O81"/>
    <mergeCell ref="A80:A81"/>
    <mergeCell ref="B80:B81"/>
    <mergeCell ref="C80:C81"/>
    <mergeCell ref="D80:D81"/>
    <mergeCell ref="E80:E81"/>
    <mergeCell ref="F80:F81"/>
    <mergeCell ref="T78:T79"/>
    <mergeCell ref="V78:X79"/>
    <mergeCell ref="Y78:Y79"/>
    <mergeCell ref="G79:H79"/>
    <mergeCell ref="O78:O79"/>
    <mergeCell ref="Q78:Q79"/>
    <mergeCell ref="R78:R79"/>
    <mergeCell ref="S78:S79"/>
    <mergeCell ref="F78:F79"/>
    <mergeCell ref="G78:H78"/>
    <mergeCell ref="I78:K79"/>
    <mergeCell ref="M78:M79"/>
    <mergeCell ref="V76:X77"/>
    <mergeCell ref="Y76:Y77"/>
    <mergeCell ref="G77:H77"/>
    <mergeCell ref="A78:A79"/>
    <mergeCell ref="B78:B79"/>
    <mergeCell ref="C78:C79"/>
    <mergeCell ref="D78:D79"/>
    <mergeCell ref="E78:E79"/>
    <mergeCell ref="Q76:Q77"/>
    <mergeCell ref="R76:R77"/>
    <mergeCell ref="S76:S77"/>
    <mergeCell ref="T76:T77"/>
    <mergeCell ref="G76:H76"/>
    <mergeCell ref="I76:K77"/>
    <mergeCell ref="M76:M77"/>
    <mergeCell ref="O76:O77"/>
    <mergeCell ref="A76:A77"/>
    <mergeCell ref="B76:B77"/>
    <mergeCell ref="C76:C77"/>
    <mergeCell ref="D76:D77"/>
    <mergeCell ref="E76:E77"/>
    <mergeCell ref="F76:F77"/>
    <mergeCell ref="T74:T75"/>
    <mergeCell ref="V74:X75"/>
    <mergeCell ref="Y74:Y75"/>
    <mergeCell ref="G75:H75"/>
    <mergeCell ref="O74:O75"/>
    <mergeCell ref="Q74:Q75"/>
    <mergeCell ref="R74:R75"/>
    <mergeCell ref="S74:S75"/>
    <mergeCell ref="F74:F75"/>
    <mergeCell ref="G74:H74"/>
    <mergeCell ref="I74:K75"/>
    <mergeCell ref="M74:M75"/>
    <mergeCell ref="V72:X73"/>
    <mergeCell ref="Y72:Y73"/>
    <mergeCell ref="G73:H73"/>
    <mergeCell ref="A74:A75"/>
    <mergeCell ref="B74:B75"/>
    <mergeCell ref="C74:C75"/>
    <mergeCell ref="D74:D75"/>
    <mergeCell ref="E74:E75"/>
    <mergeCell ref="Q72:Q73"/>
    <mergeCell ref="R72:R73"/>
    <mergeCell ref="S72:S73"/>
    <mergeCell ref="T72:T73"/>
    <mergeCell ref="G72:H72"/>
    <mergeCell ref="I72:K73"/>
    <mergeCell ref="M72:M73"/>
    <mergeCell ref="O72:O73"/>
    <mergeCell ref="A72:A73"/>
    <mergeCell ref="B72:B73"/>
    <mergeCell ref="C72:C73"/>
    <mergeCell ref="D72:D73"/>
    <mergeCell ref="E72:E73"/>
    <mergeCell ref="F72:F73"/>
    <mergeCell ref="T70:T71"/>
    <mergeCell ref="V70:X71"/>
    <mergeCell ref="Y70:Y71"/>
    <mergeCell ref="G71:H71"/>
    <mergeCell ref="O70:O71"/>
    <mergeCell ref="Q70:Q71"/>
    <mergeCell ref="R70:R71"/>
    <mergeCell ref="S70:S71"/>
    <mergeCell ref="F70:F71"/>
    <mergeCell ref="G70:H70"/>
    <mergeCell ref="I70:K71"/>
    <mergeCell ref="M70:M71"/>
    <mergeCell ref="V68:X69"/>
    <mergeCell ref="Y68:Y69"/>
    <mergeCell ref="G69:H69"/>
    <mergeCell ref="A70:A71"/>
    <mergeCell ref="B70:B71"/>
    <mergeCell ref="C70:C71"/>
    <mergeCell ref="D70:D71"/>
    <mergeCell ref="E70:E71"/>
    <mergeCell ref="Q68:Q69"/>
    <mergeCell ref="R68:R69"/>
    <mergeCell ref="S68:S69"/>
    <mergeCell ref="T68:T69"/>
    <mergeCell ref="G68:H68"/>
    <mergeCell ref="I68:K69"/>
    <mergeCell ref="M68:M69"/>
    <mergeCell ref="O68:O69"/>
    <mergeCell ref="A68:A69"/>
    <mergeCell ref="B68:B69"/>
    <mergeCell ref="C68:C69"/>
    <mergeCell ref="D68:D69"/>
    <mergeCell ref="E68:E69"/>
    <mergeCell ref="F68:F69"/>
    <mergeCell ref="T66:T67"/>
    <mergeCell ref="V66:X67"/>
    <mergeCell ref="Y66:Y67"/>
    <mergeCell ref="G67:H67"/>
    <mergeCell ref="O66:O67"/>
    <mergeCell ref="Q66:Q67"/>
    <mergeCell ref="R66:R67"/>
    <mergeCell ref="S66:S67"/>
    <mergeCell ref="F66:F67"/>
    <mergeCell ref="G66:H66"/>
    <mergeCell ref="I66:K67"/>
    <mergeCell ref="M66:M67"/>
    <mergeCell ref="C58:C59"/>
    <mergeCell ref="D58:D59"/>
    <mergeCell ref="E58:E59"/>
    <mergeCell ref="F58:F59"/>
    <mergeCell ref="V64:X65"/>
    <mergeCell ref="Y64:Y65"/>
    <mergeCell ref="G65:H65"/>
    <mergeCell ref="A66:A67"/>
    <mergeCell ref="B66:B67"/>
    <mergeCell ref="C66:C67"/>
    <mergeCell ref="D66:D67"/>
    <mergeCell ref="E66:E67"/>
    <mergeCell ref="Q64:Q65"/>
    <mergeCell ref="R64:R65"/>
    <mergeCell ref="S64:S65"/>
    <mergeCell ref="T64:T65"/>
    <mergeCell ref="G64:H64"/>
    <mergeCell ref="I64:K65"/>
    <mergeCell ref="M64:M65"/>
    <mergeCell ref="O64:O65"/>
    <mergeCell ref="A64:A65"/>
    <mergeCell ref="B64:B65"/>
    <mergeCell ref="C64:C65"/>
    <mergeCell ref="D64:D65"/>
    <mergeCell ref="E64:E65"/>
    <mergeCell ref="F64:F65"/>
    <mergeCell ref="T62:T63"/>
    <mergeCell ref="V62:X63"/>
    <mergeCell ref="Y62:Y63"/>
    <mergeCell ref="G63:H63"/>
    <mergeCell ref="O62:O63"/>
    <mergeCell ref="Q62:Q63"/>
    <mergeCell ref="R62:R63"/>
    <mergeCell ref="S62:S63"/>
    <mergeCell ref="F62:F63"/>
    <mergeCell ref="G62:H62"/>
    <mergeCell ref="I62:K63"/>
    <mergeCell ref="M62:M63"/>
    <mergeCell ref="V56:X57"/>
    <mergeCell ref="Y56:Y57"/>
    <mergeCell ref="G57:H57"/>
    <mergeCell ref="AB57:AG57"/>
    <mergeCell ref="Q56:Q57"/>
    <mergeCell ref="R56:R57"/>
    <mergeCell ref="S56:S57"/>
    <mergeCell ref="T56:T57"/>
    <mergeCell ref="G56:H56"/>
    <mergeCell ref="I56:K57"/>
    <mergeCell ref="M56:M57"/>
    <mergeCell ref="O56:O57"/>
    <mergeCell ref="Y54:Y55"/>
    <mergeCell ref="G55:H55"/>
    <mergeCell ref="A56:A57"/>
    <mergeCell ref="B56:B57"/>
    <mergeCell ref="C56:C57"/>
    <mergeCell ref="D56:D57"/>
    <mergeCell ref="E56:E57"/>
    <mergeCell ref="F56:F57"/>
    <mergeCell ref="R54:R55"/>
    <mergeCell ref="S54:S55"/>
    <mergeCell ref="T54:T55"/>
    <mergeCell ref="V54:X55"/>
    <mergeCell ref="I54:K55"/>
    <mergeCell ref="M54:M55"/>
    <mergeCell ref="O54:O55"/>
    <mergeCell ref="Q54:Q55"/>
    <mergeCell ref="V60:X61"/>
    <mergeCell ref="Y60:Y61"/>
    <mergeCell ref="G61:H61"/>
    <mergeCell ref="A62:A63"/>
    <mergeCell ref="B62:B63"/>
    <mergeCell ref="C62:C63"/>
    <mergeCell ref="D62:D63"/>
    <mergeCell ref="E62:E63"/>
    <mergeCell ref="Q60:Q61"/>
    <mergeCell ref="R60:R61"/>
    <mergeCell ref="S60:S61"/>
    <mergeCell ref="T60:T61"/>
    <mergeCell ref="G60:H60"/>
    <mergeCell ref="I60:K61"/>
    <mergeCell ref="M60:M61"/>
    <mergeCell ref="O60:O61"/>
    <mergeCell ref="A60:A61"/>
    <mergeCell ref="B60:B61"/>
    <mergeCell ref="C60:C61"/>
    <mergeCell ref="D60:D61"/>
    <mergeCell ref="E60:E61"/>
    <mergeCell ref="F60:F61"/>
    <mergeCell ref="V58:X59"/>
    <mergeCell ref="Y58:Y59"/>
    <mergeCell ref="AC58:AG59"/>
    <mergeCell ref="G59:H59"/>
    <mergeCell ref="Q58:Q59"/>
    <mergeCell ref="R58:R59"/>
    <mergeCell ref="S58:S59"/>
    <mergeCell ref="T58:T59"/>
    <mergeCell ref="G58:H58"/>
    <mergeCell ref="I58:K59"/>
    <mergeCell ref="M58:M59"/>
    <mergeCell ref="O58:O59"/>
    <mergeCell ref="A58:A59"/>
    <mergeCell ref="B58:B59"/>
    <mergeCell ref="G53:H53"/>
    <mergeCell ref="A54:A55"/>
    <mergeCell ref="B54:B55"/>
    <mergeCell ref="C54:C55"/>
    <mergeCell ref="D54:D55"/>
    <mergeCell ref="E54:E55"/>
    <mergeCell ref="F54:F55"/>
    <mergeCell ref="G54:H54"/>
    <mergeCell ref="S52:S53"/>
    <mergeCell ref="T52:T53"/>
    <mergeCell ref="V52:X53"/>
    <mergeCell ref="Y52:Y53"/>
    <mergeCell ref="M52:M53"/>
    <mergeCell ref="O52:O53"/>
    <mergeCell ref="Q52:Q53"/>
    <mergeCell ref="R52:R53"/>
    <mergeCell ref="A52:A53"/>
    <mergeCell ref="B52:B53"/>
    <mergeCell ref="C52:C53"/>
    <mergeCell ref="D52:D53"/>
    <mergeCell ref="E52:E53"/>
    <mergeCell ref="F52:F53"/>
    <mergeCell ref="V50:X51"/>
    <mergeCell ref="Y50:Y51"/>
    <mergeCell ref="G51:H51"/>
    <mergeCell ref="AC51:AG52"/>
    <mergeCell ref="G52:H52"/>
    <mergeCell ref="I52:K53"/>
    <mergeCell ref="Q50:Q51"/>
    <mergeCell ref="R50:R51"/>
    <mergeCell ref="S50:S51"/>
    <mergeCell ref="T50:T51"/>
    <mergeCell ref="G50:H50"/>
    <mergeCell ref="I50:K51"/>
    <mergeCell ref="M50:M51"/>
    <mergeCell ref="O50:O51"/>
    <mergeCell ref="Y48:Y49"/>
    <mergeCell ref="G49:H49"/>
    <mergeCell ref="A50:A51"/>
    <mergeCell ref="B50:B51"/>
    <mergeCell ref="C50:C51"/>
    <mergeCell ref="D50:D51"/>
    <mergeCell ref="E50:E51"/>
    <mergeCell ref="F50:F51"/>
    <mergeCell ref="R48:R49"/>
    <mergeCell ref="S48:S49"/>
    <mergeCell ref="T48:T49"/>
    <mergeCell ref="V48:X49"/>
    <mergeCell ref="I48:K49"/>
    <mergeCell ref="M48:M49"/>
    <mergeCell ref="O48:O49"/>
    <mergeCell ref="Q48:Q49"/>
    <mergeCell ref="G47:H47"/>
    <mergeCell ref="A48:A49"/>
    <mergeCell ref="B48:B49"/>
    <mergeCell ref="C48:C49"/>
    <mergeCell ref="D48:D49"/>
    <mergeCell ref="E48:E49"/>
    <mergeCell ref="F48:F49"/>
    <mergeCell ref="G48:H48"/>
    <mergeCell ref="S46:S47"/>
    <mergeCell ref="T46:T47"/>
    <mergeCell ref="V46:X47"/>
    <mergeCell ref="Y46:Y47"/>
    <mergeCell ref="M46:M47"/>
    <mergeCell ref="O46:O47"/>
    <mergeCell ref="Q46:Q47"/>
    <mergeCell ref="R46:R47"/>
    <mergeCell ref="A46:A47"/>
    <mergeCell ref="B46:B47"/>
    <mergeCell ref="C46:C47"/>
    <mergeCell ref="D46:D47"/>
    <mergeCell ref="E46:E47"/>
    <mergeCell ref="F46:F47"/>
    <mergeCell ref="AB44:AG44"/>
    <mergeCell ref="G45:H45"/>
    <mergeCell ref="AC45:AG46"/>
    <mergeCell ref="G46:H46"/>
    <mergeCell ref="I46:K47"/>
    <mergeCell ref="R44:R45"/>
    <mergeCell ref="S44:S45"/>
    <mergeCell ref="T44:T45"/>
    <mergeCell ref="V44:X45"/>
    <mergeCell ref="I44:K45"/>
    <mergeCell ref="M44:M45"/>
    <mergeCell ref="O44:O45"/>
    <mergeCell ref="Q44:Q45"/>
    <mergeCell ref="G43:H43"/>
    <mergeCell ref="G41:H41"/>
    <mergeCell ref="A44:A45"/>
    <mergeCell ref="B44:B45"/>
    <mergeCell ref="C44:C45"/>
    <mergeCell ref="D44:D45"/>
    <mergeCell ref="E44:E45"/>
    <mergeCell ref="F44:F45"/>
    <mergeCell ref="G44:H44"/>
    <mergeCell ref="R42:R43"/>
    <mergeCell ref="S42:S43"/>
    <mergeCell ref="T42:T43"/>
    <mergeCell ref="V42:X43"/>
    <mergeCell ref="Y42:Y43"/>
    <mergeCell ref="I42:K43"/>
    <mergeCell ref="M42:M43"/>
    <mergeCell ref="O42:O43"/>
    <mergeCell ref="Q42:Q43"/>
    <mergeCell ref="A42:A43"/>
    <mergeCell ref="A40:A41"/>
    <mergeCell ref="B40:B41"/>
    <mergeCell ref="C40:C41"/>
    <mergeCell ref="D40:D41"/>
    <mergeCell ref="E40:E41"/>
    <mergeCell ref="F40:F41"/>
    <mergeCell ref="G40:H40"/>
    <mergeCell ref="B42:B43"/>
    <mergeCell ref="C42:C43"/>
    <mergeCell ref="D42:D43"/>
    <mergeCell ref="E42:E43"/>
    <mergeCell ref="F42:F43"/>
    <mergeCell ref="Z42:Z43"/>
    <mergeCell ref="Z44:Z45"/>
    <mergeCell ref="Z46:Z47"/>
    <mergeCell ref="R40:R41"/>
    <mergeCell ref="S40:S41"/>
    <mergeCell ref="T40:T41"/>
    <mergeCell ref="V40:X41"/>
    <mergeCell ref="Y40:Y41"/>
    <mergeCell ref="G42:H42"/>
    <mergeCell ref="Q40:Q41"/>
    <mergeCell ref="Y44:Y45"/>
    <mergeCell ref="I40:K41"/>
    <mergeCell ref="M40:M41"/>
    <mergeCell ref="O40:O41"/>
    <mergeCell ref="A28:A29"/>
    <mergeCell ref="B28:B29"/>
    <mergeCell ref="C28:C29"/>
    <mergeCell ref="D28:D29"/>
    <mergeCell ref="E28:E29"/>
    <mergeCell ref="F28:F29"/>
    <mergeCell ref="G28:H28"/>
    <mergeCell ref="R30:R31"/>
    <mergeCell ref="S30:S31"/>
    <mergeCell ref="F30:F31"/>
    <mergeCell ref="G30:H30"/>
    <mergeCell ref="I30:K31"/>
    <mergeCell ref="M30:M31"/>
    <mergeCell ref="C36:C37"/>
    <mergeCell ref="A36:A37"/>
    <mergeCell ref="B36:B37"/>
    <mergeCell ref="B38:B39"/>
    <mergeCell ref="A38:A39"/>
    <mergeCell ref="C38:C39"/>
    <mergeCell ref="Z34:Z35"/>
    <mergeCell ref="Z36:Z37"/>
    <mergeCell ref="Z38:Z39"/>
    <mergeCell ref="Z40:Z41"/>
    <mergeCell ref="I36:K37"/>
    <mergeCell ref="R34:R35"/>
    <mergeCell ref="S34:S35"/>
    <mergeCell ref="T34:T35"/>
    <mergeCell ref="V34:X35"/>
    <mergeCell ref="I34:K35"/>
    <mergeCell ref="M34:M35"/>
    <mergeCell ref="O34:O35"/>
    <mergeCell ref="Q34:Q35"/>
    <mergeCell ref="G33:H33"/>
    <mergeCell ref="D36:D37"/>
    <mergeCell ref="E36:E37"/>
    <mergeCell ref="F36:F37"/>
    <mergeCell ref="S36:S37"/>
    <mergeCell ref="T36:T37"/>
    <mergeCell ref="R38:R39"/>
    <mergeCell ref="S38:S39"/>
    <mergeCell ref="T38:T39"/>
    <mergeCell ref="V38:X39"/>
    <mergeCell ref="I38:K39"/>
    <mergeCell ref="M38:M39"/>
    <mergeCell ref="O38:O39"/>
    <mergeCell ref="Q38:Q39"/>
    <mergeCell ref="M36:M37"/>
    <mergeCell ref="O36:O37"/>
    <mergeCell ref="Q36:Q37"/>
    <mergeCell ref="R36:R37"/>
    <mergeCell ref="V36:X37"/>
    <mergeCell ref="Y36:Y37"/>
    <mergeCell ref="G37:H37"/>
    <mergeCell ref="G35:H35"/>
    <mergeCell ref="G36:H36"/>
    <mergeCell ref="D32:D33"/>
    <mergeCell ref="E32:E33"/>
    <mergeCell ref="F32:F33"/>
    <mergeCell ref="G39:H39"/>
    <mergeCell ref="D38:D39"/>
    <mergeCell ref="E38:E39"/>
    <mergeCell ref="F38:F39"/>
    <mergeCell ref="G38:H38"/>
    <mergeCell ref="Y38:Y39"/>
    <mergeCell ref="D26:D27"/>
    <mergeCell ref="E26:E27"/>
    <mergeCell ref="Q24:Q25"/>
    <mergeCell ref="R24:R25"/>
    <mergeCell ref="S24:S25"/>
    <mergeCell ref="T24:T25"/>
    <mergeCell ref="G24:H24"/>
    <mergeCell ref="I24:K25"/>
    <mergeCell ref="M24:M25"/>
    <mergeCell ref="O24:O25"/>
    <mergeCell ref="A24:A25"/>
    <mergeCell ref="B24:B25"/>
    <mergeCell ref="C24:C25"/>
    <mergeCell ref="D24:D25"/>
    <mergeCell ref="E24:E25"/>
    <mergeCell ref="F24:F25"/>
    <mergeCell ref="Y22:Y23"/>
    <mergeCell ref="I26:K27"/>
    <mergeCell ref="M26:M27"/>
    <mergeCell ref="G19:H19"/>
    <mergeCell ref="A34:A35"/>
    <mergeCell ref="B34:B35"/>
    <mergeCell ref="C34:C35"/>
    <mergeCell ref="D34:D35"/>
    <mergeCell ref="E34:E35"/>
    <mergeCell ref="F34:F35"/>
    <mergeCell ref="G34:H34"/>
    <mergeCell ref="S32:S33"/>
    <mergeCell ref="T32:T33"/>
    <mergeCell ref="V32:X33"/>
    <mergeCell ref="Y32:Y33"/>
    <mergeCell ref="M32:M33"/>
    <mergeCell ref="O32:O33"/>
    <mergeCell ref="Q32:Q33"/>
    <mergeCell ref="R32:R33"/>
    <mergeCell ref="A32:A33"/>
    <mergeCell ref="B32:B33"/>
    <mergeCell ref="F26:F27"/>
    <mergeCell ref="G26:H26"/>
    <mergeCell ref="A26:A27"/>
    <mergeCell ref="B26:B27"/>
    <mergeCell ref="C26:C27"/>
    <mergeCell ref="G23:H23"/>
    <mergeCell ref="R22:R23"/>
    <mergeCell ref="S22:S23"/>
    <mergeCell ref="T22:T23"/>
    <mergeCell ref="V22:X23"/>
    <mergeCell ref="I22:K23"/>
    <mergeCell ref="M22:M23"/>
    <mergeCell ref="O22:O23"/>
    <mergeCell ref="Q22:Q23"/>
    <mergeCell ref="C32:C33"/>
    <mergeCell ref="Y30:Y31"/>
    <mergeCell ref="Y34:Y35"/>
    <mergeCell ref="M18:M19"/>
    <mergeCell ref="O30:O31"/>
    <mergeCell ref="Q30:Q31"/>
    <mergeCell ref="A30:A31"/>
    <mergeCell ref="B30:B31"/>
    <mergeCell ref="C30:C31"/>
    <mergeCell ref="D30:D31"/>
    <mergeCell ref="E30:E31"/>
    <mergeCell ref="R28:R29"/>
    <mergeCell ref="S28:S29"/>
    <mergeCell ref="BJ17:BN17"/>
    <mergeCell ref="G21:H21"/>
    <mergeCell ref="A22:A23"/>
    <mergeCell ref="B22:B23"/>
    <mergeCell ref="C22:C23"/>
    <mergeCell ref="D22:D23"/>
    <mergeCell ref="E22:E23"/>
    <mergeCell ref="F22:F23"/>
    <mergeCell ref="G22:H22"/>
    <mergeCell ref="R20:R21"/>
    <mergeCell ref="S20:S21"/>
    <mergeCell ref="T20:T21"/>
    <mergeCell ref="V20:X21"/>
    <mergeCell ref="Y20:Y21"/>
    <mergeCell ref="I20:K21"/>
    <mergeCell ref="M20:M21"/>
    <mergeCell ref="O20:O21"/>
    <mergeCell ref="Q20:Q21"/>
    <mergeCell ref="A20:A21"/>
    <mergeCell ref="B20:B21"/>
    <mergeCell ref="C20:C21"/>
    <mergeCell ref="D20:D21"/>
    <mergeCell ref="E20:E21"/>
    <mergeCell ref="L17:M17"/>
    <mergeCell ref="N17:O17"/>
    <mergeCell ref="P17:Q17"/>
    <mergeCell ref="AB18:AD18"/>
    <mergeCell ref="AE18:AF18"/>
    <mergeCell ref="AG18:AH18"/>
    <mergeCell ref="F20:F21"/>
    <mergeCell ref="G20:H20"/>
    <mergeCell ref="A18:A19"/>
    <mergeCell ref="B18:B19"/>
    <mergeCell ref="C18:C19"/>
    <mergeCell ref="D18:D19"/>
    <mergeCell ref="E18:E19"/>
    <mergeCell ref="AB19:AD21"/>
    <mergeCell ref="R16:R17"/>
    <mergeCell ref="S16:S17"/>
    <mergeCell ref="T16:T17"/>
    <mergeCell ref="U16:U17"/>
    <mergeCell ref="AZ15:AZ16"/>
    <mergeCell ref="BA15:BA16"/>
    <mergeCell ref="BB15:BB16"/>
    <mergeCell ref="A16:A17"/>
    <mergeCell ref="B16:B17"/>
    <mergeCell ref="C16:C17"/>
    <mergeCell ref="D16:D17"/>
    <mergeCell ref="E16:F16"/>
    <mergeCell ref="G16:H17"/>
    <mergeCell ref="AB16:AH16"/>
    <mergeCell ref="AX15:AX16"/>
    <mergeCell ref="AY15:AY16"/>
    <mergeCell ref="Y16:Y17"/>
    <mergeCell ref="AB17:AH17"/>
    <mergeCell ref="V18:X19"/>
    <mergeCell ref="Y18:Y19"/>
    <mergeCell ref="O18:O19"/>
    <mergeCell ref="Q18:Q19"/>
    <mergeCell ref="R18:R19"/>
    <mergeCell ref="S18:S19"/>
    <mergeCell ref="F18:F19"/>
    <mergeCell ref="G18:H18"/>
    <mergeCell ref="I18:K19"/>
    <mergeCell ref="AG19:AH21"/>
    <mergeCell ref="AR31:AR32"/>
    <mergeCell ref="T12:U12"/>
    <mergeCell ref="T13:U14"/>
    <mergeCell ref="L16:Q16"/>
    <mergeCell ref="AB26:AB27"/>
    <mergeCell ref="AC26:AG27"/>
    <mergeCell ref="AB28:AB30"/>
    <mergeCell ref="AC28:AG30"/>
    <mergeCell ref="AB31:AB33"/>
    <mergeCell ref="AC31:AG33"/>
    <mergeCell ref="G27:H27"/>
    <mergeCell ref="T26:T27"/>
    <mergeCell ref="V26:X27"/>
    <mergeCell ref="Y26:Y27"/>
    <mergeCell ref="O26:O27"/>
    <mergeCell ref="Q26:Q27"/>
    <mergeCell ref="R26:R27"/>
    <mergeCell ref="S26:S27"/>
    <mergeCell ref="V24:X25"/>
    <mergeCell ref="Y24:Y25"/>
    <mergeCell ref="G25:H25"/>
    <mergeCell ref="Z24:Z25"/>
    <mergeCell ref="Z26:Z27"/>
    <mergeCell ref="Z28:Z29"/>
    <mergeCell ref="Z30:Z31"/>
    <mergeCell ref="Z32:Z33"/>
    <mergeCell ref="G29:H29"/>
    <mergeCell ref="G31:H31"/>
    <mergeCell ref="G32:H32"/>
    <mergeCell ref="I32:K33"/>
    <mergeCell ref="T30:T31"/>
    <mergeCell ref="V30:X31"/>
    <mergeCell ref="T28:T29"/>
    <mergeCell ref="V28:X29"/>
    <mergeCell ref="Y28:Y29"/>
    <mergeCell ref="I28:K29"/>
    <mergeCell ref="M28:M29"/>
    <mergeCell ref="O28:O29"/>
    <mergeCell ref="Q28:Q29"/>
    <mergeCell ref="A7:X8"/>
    <mergeCell ref="E9:F9"/>
    <mergeCell ref="AK98:AL98"/>
    <mergeCell ref="AM98:AN98"/>
    <mergeCell ref="AO98:AP98"/>
    <mergeCell ref="AQ98:AR98"/>
    <mergeCell ref="AS98:AT98"/>
    <mergeCell ref="AK99:AL99"/>
    <mergeCell ref="AM99:AN99"/>
    <mergeCell ref="AO99:AP99"/>
    <mergeCell ref="AQ99:AR99"/>
    <mergeCell ref="AS99:AT99"/>
    <mergeCell ref="AK100:AL100"/>
    <mergeCell ref="AM100:AN100"/>
    <mergeCell ref="AO100:AP100"/>
    <mergeCell ref="AQ100:AR100"/>
    <mergeCell ref="AS100:AT100"/>
    <mergeCell ref="A9:B9"/>
    <mergeCell ref="C9:D9"/>
    <mergeCell ref="A10:X10"/>
    <mergeCell ref="AB11:AH11"/>
    <mergeCell ref="AE14:AF14"/>
    <mergeCell ref="AG14:AH14"/>
    <mergeCell ref="A14:D14"/>
    <mergeCell ref="I14:K14"/>
    <mergeCell ref="L14:M14"/>
    <mergeCell ref="N14:O14"/>
    <mergeCell ref="P14:Q14"/>
    <mergeCell ref="P13:Q13"/>
    <mergeCell ref="W13:W14"/>
    <mergeCell ref="X13:X14"/>
    <mergeCell ref="AE13:AF13"/>
    <mergeCell ref="AG13:AH13"/>
    <mergeCell ref="A13:D13"/>
    <mergeCell ref="I13:K13"/>
    <mergeCell ref="L13:M13"/>
    <mergeCell ref="N13:O13"/>
    <mergeCell ref="A12:D12"/>
    <mergeCell ref="I12:K12"/>
    <mergeCell ref="L12:M12"/>
    <mergeCell ref="N12:O12"/>
    <mergeCell ref="P12:Q12"/>
    <mergeCell ref="AB12:AD12"/>
    <mergeCell ref="AE12:AF12"/>
    <mergeCell ref="AG12:AH12"/>
    <mergeCell ref="I11:K11"/>
    <mergeCell ref="L11:M11"/>
    <mergeCell ref="N11:O11"/>
    <mergeCell ref="P11:Q11"/>
    <mergeCell ref="U15:X15"/>
    <mergeCell ref="I16:K16"/>
    <mergeCell ref="V16:X17"/>
    <mergeCell ref="I15:K15"/>
    <mergeCell ref="L15:M15"/>
    <mergeCell ref="N15:O15"/>
    <mergeCell ref="P15:Q15"/>
    <mergeCell ref="AE22:AF22"/>
    <mergeCell ref="AG22:AH22"/>
    <mergeCell ref="Z16:Z17"/>
    <mergeCell ref="Z18:Z19"/>
    <mergeCell ref="Z20:Z21"/>
    <mergeCell ref="Z22:Z23"/>
    <mergeCell ref="T18:T19"/>
    <mergeCell ref="AE19:AF21"/>
  </mergeCells>
  <conditionalFormatting sqref="I12:K12">
    <cfRule type="cellIs" dxfId="1" priority="5" operator="notBetween">
      <formula>$I$17-$K$17</formula>
      <formula>$I$17+$K$17</formula>
    </cfRule>
  </conditionalFormatting>
  <conditionalFormatting sqref="I11:Q15 AK98:AT99">
    <cfRule type="cellIs" dxfId="0" priority="6" operator="equal">
      <formula>""</formula>
    </cfRule>
  </conditionalFormatting>
  <dataValidations disablePrompts="1" count="2">
    <dataValidation allowBlank="1" showInputMessage="1" showErrorMessage="1" promptTitle="fck" sqref="W13:W14 W66929:W66930 W132465:W132466 W198001:W198002 W263537:W263538 W329073:W329074 W394609:W394610 W460145:W460146 W525681:W525682 W591217:W591218 W656753:W656754 W722289:W722290 W787825:W787826 W853361:W853362 W918897:W918898 W984433:W984434" xr:uid="{00000000-0002-0000-0800-000000000000}"/>
    <dataValidation type="list" showDropDown="1" showInputMessage="1" showErrorMessage="1" errorTitle="Erro:" error="Valores válidos para esta célula: /28 e /90" sqref="X13:X14" xr:uid="{00000000-0002-0000-0800-000001000000}">
      <formula1>$AE$18:$AH$18</formula1>
    </dataValidation>
  </dataValidations>
  <printOptions horizontalCentered="1" verticalCentered="1"/>
  <pageMargins left="0.39370078740157483" right="0.39370078740157483" top="0.70866141732283472" bottom="0.70866141732283472" header="0.39370078740157483" footer="0.39370078740157483"/>
  <pageSetup paperSize="9" scale="34" firstPageNumber="80" orientation="landscape" errors="dash" verticalDpi="300" r:id="rId1"/>
  <headerFooter scaleWithDoc="0" alignWithMargins="0">
    <oddFooter>&amp;L&amp;6Critérios de Acitação - NP ENV 206 (1993)
Para N ≥ 6: Xn ≥ fck + λ.Sn | Xmin ≥ fck – K
Para N &lt; 6: Xn ≥ fck + 3 | Xmin ≥ fck - 1&amp;C&amp;9&amp;P&amp;R&amp;9&amp;F</oddFooter>
  </headerFooter>
  <rowBreaks count="1" manualBreakCount="1">
    <brk id="77" max="31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FR-IMOB-43_Rev00</vt:lpstr>
      <vt:lpstr>'FR-IMOB-43_Rev00'!Area_de_impressao</vt:lpstr>
      <vt:lpstr>'FR-IMOB-43_Rev00'!Titulos_de_impressao</vt:lpstr>
    </vt:vector>
  </TitlesOfParts>
  <Manager>Raphael Holanda</Manager>
  <Company>Holanda Engenharia Ltda.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Controle Tecnológico do Concreto CCV</dc:title>
  <dc:subject>Relatório Mensal do CQ</dc:subject>
  <dc:creator>marcosfabiano@rotadooeste.com.br</dc:creator>
  <cp:keywords>Concreto, ACI, 214, 318, Controle de Ruptura, 5738, 5738, Compressão Axial</cp:keywords>
  <cp:lastModifiedBy>Samara Rodrigues Dos Santos</cp:lastModifiedBy>
  <cp:lastPrinted>2023-03-21T18:30:32Z</cp:lastPrinted>
  <dcterms:created xsi:type="dcterms:W3CDTF">2004-03-01T11:33:51Z</dcterms:created>
  <dcterms:modified xsi:type="dcterms:W3CDTF">2026-02-16T15:40:46Z</dcterms:modified>
  <cp:category>Concreto</cp:category>
  <cp:contentStatus>Revisado</cp:contentStatus>
</cp:coreProperties>
</file>