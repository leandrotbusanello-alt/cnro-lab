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chartsheets/sheet2.xml" ContentType="application/vnd.openxmlformats-officedocument.spreadsheetml.chartsheet+xml"/>
  <Override PartName="/xl/worksheets/sheet5.xml" ContentType="application/vnd.openxmlformats-officedocument.spreadsheetml.worksheet+xml"/>
  <Override PartName="/xl/chartsheets/sheet3.xml" ContentType="application/vnd.openxmlformats-officedocument.spreadsheetml.chartsheet+xml"/>
  <Override PartName="/xl/worksheets/sheet6.xml" ContentType="application/vnd.openxmlformats-officedocument.spreadsheetml.worksheet+xml"/>
  <Override PartName="/xl/chartsheets/sheet4.xml" ContentType="application/vnd.openxmlformats-officedocument.spreadsheetml.chartsheet+xml"/>
  <Override PartName="/xl/worksheets/sheet7.xml" ContentType="application/vnd.openxmlformats-officedocument.spreadsheetml.worksheet+xml"/>
  <Override PartName="/xl/chartsheets/sheet5.xml" ContentType="application/vnd.openxmlformats-officedocument.spreadsheetml.chartsheet+xml"/>
  <Override PartName="/xl/worksheets/sheet8.xml" ContentType="application/vnd.openxmlformats-officedocument.spreadsheetml.worksheet+xml"/>
  <Override PartName="/xl/chartsheets/sheet6.xml" ContentType="application/vnd.openxmlformats-officedocument.spreadsheetml.chartsheet+xml"/>
  <Override PartName="/xl/worksheets/sheet9.xml" ContentType="application/vnd.openxmlformats-officedocument.spreadsheetml.worksheet+xml"/>
  <Override PartName="/xl/chartsheets/sheet7.xml" ContentType="application/vnd.openxmlformats-officedocument.spreadsheetml.chartsheet+xml"/>
  <Override PartName="/xl/worksheets/sheet10.xml" ContentType="application/vnd.openxmlformats-officedocument.spreadsheetml.worksheet+xml"/>
  <Override PartName="/xl/chartsheets/sheet8.xml" ContentType="application/vnd.openxmlformats-officedocument.spreadsheetml.chart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comments3.xml" ContentType="application/vnd.openxmlformats-officedocument.spreadsheetml.comment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omments4.xml" ContentType="application/vnd.openxmlformats-officedocument.spreadsheetml.comments+xml"/>
  <Override PartName="/xl/drawings/drawing10.xml" ContentType="application/vnd.openxmlformats-officedocument.drawing+xml"/>
  <Override PartName="/xl/charts/chart5.xml" ContentType="application/vnd.openxmlformats-officedocument.drawingml.chart+xml"/>
  <Override PartName="/xl/drawings/drawing11.xml" ContentType="application/vnd.openxmlformats-officedocument.drawingml.chartshapes+xml"/>
  <Override PartName="/xl/drawings/drawing12.xml" ContentType="application/vnd.openxmlformats-officedocument.drawing+xml"/>
  <Override PartName="/xl/comments5.xml" ContentType="application/vnd.openxmlformats-officedocument.spreadsheetml.comments+xml"/>
  <Override PartName="/xl/drawings/drawing13.xml" ContentType="application/vnd.openxmlformats-officedocument.drawing+xml"/>
  <Override PartName="/xl/charts/chart6.xml" ContentType="application/vnd.openxmlformats-officedocument.drawingml.chart+xml"/>
  <Override PartName="/xl/drawings/drawing14.xml" ContentType="application/vnd.openxmlformats-officedocument.drawingml.chartshapes+xml"/>
  <Override PartName="/xl/drawings/drawing15.xml" ContentType="application/vnd.openxmlformats-officedocument.drawing+xml"/>
  <Override PartName="/xl/comments6.xml" ContentType="application/vnd.openxmlformats-officedocument.spreadsheetml.comments+xml"/>
  <Override PartName="/xl/drawings/drawing16.xml" ContentType="application/vnd.openxmlformats-officedocument.drawing+xml"/>
  <Override PartName="/xl/charts/chart7.xml" ContentType="application/vnd.openxmlformats-officedocument.drawingml.chart+xml"/>
  <Override PartName="/xl/drawings/drawing17.xml" ContentType="application/vnd.openxmlformats-officedocument.drawingml.chartshapes+xml"/>
  <Override PartName="/xl/comments7.xml" ContentType="application/vnd.openxmlformats-officedocument.spreadsheetml.comments+xml"/>
  <Override PartName="/xl/drawings/drawing18.xml" ContentType="application/vnd.openxmlformats-officedocument.drawing+xml"/>
  <Override PartName="/xl/charts/chart8.xml" ContentType="application/vnd.openxmlformats-officedocument.drawingml.chart+xml"/>
  <Override PartName="/xl/drawings/drawing19.xml" ContentType="application/vnd.openxmlformats-officedocument.drawingml.chartshapes+xml"/>
  <Override PartName="/xl/comments8.xml" ContentType="application/vnd.openxmlformats-officedocument.spreadsheetml.comments+xml"/>
  <Override PartName="/xl/drawings/drawing20.xml" ContentType="application/vnd.openxmlformats-officedocument.drawing+xml"/>
  <Override PartName="/xl/charts/chart9.xml" ContentType="application/vnd.openxmlformats-officedocument.drawingml.chart+xml"/>
  <Override PartName="/xl/drawings/drawing21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F:\P-S&amp;Q\_Área Comum\1. Documentos\Implantação de Obras\MO-IMOB-02 Laboratório de Controle Tecnólogico\Formulários - Em revisão\"/>
    </mc:Choice>
  </mc:AlternateContent>
  <xr:revisionPtr revIDLastSave="0" documentId="13_ncr:1_{BDAE5ED1-83FA-4884-B53E-46F3DA316B4B}" xr6:coauthVersionLast="47" xr6:coauthVersionMax="47" xr10:uidLastSave="{00000000-0000-0000-0000-000000000000}"/>
  <bookViews>
    <workbookView xWindow="-28910" yWindow="-1730" windowWidth="29020" windowHeight="15820" tabRatio="884" xr2:uid="{00000000-000D-0000-FFFF-FFFF00000000}"/>
  </bookViews>
  <sheets>
    <sheet name="FR-IMOB-42_Rev00" sheetId="208" r:id="rId1"/>
    <sheet name="Amostra 1" sheetId="207" state="hidden" r:id="rId2"/>
    <sheet name="A. Natural " sheetId="14" state="hidden" r:id="rId3"/>
    <sheet name="Gráf A.Natural" sheetId="15" state="hidden" r:id="rId4"/>
    <sheet name="A. Artificial C.Força" sheetId="172" state="hidden" r:id="rId5"/>
    <sheet name="Gráf A.Artificial C. Força" sheetId="173" state="hidden" r:id="rId6"/>
    <sheet name="A. Artificial Pedreira" sheetId="183" state="hidden" r:id="rId7"/>
    <sheet name="Gráf A. Artificial Pedreira" sheetId="185" state="hidden" r:id="rId8"/>
    <sheet name="Brita 0 Pedreira" sheetId="174" state="hidden" r:id="rId9"/>
    <sheet name="Gráf Brita 0 Pedreira" sheetId="175" state="hidden" r:id="rId10"/>
    <sheet name="Brita 1 C. Força" sheetId="176" state="hidden" r:id="rId11"/>
    <sheet name="Gráf Brita 1 C.Força" sheetId="177" state="hidden" r:id="rId12"/>
    <sheet name="Brita 1 Pedreira" sheetId="184" state="hidden" r:id="rId13"/>
    <sheet name="Gráf Brita 1 Pedreira" sheetId="186" state="hidden" r:id="rId14"/>
    <sheet name="Brita 2 Pedreira" sheetId="195" state="hidden" r:id="rId15"/>
    <sheet name="Gráf Brita 2" sheetId="196" state="hidden" r:id="rId16"/>
    <sheet name="Brita 2 C.Força" sheetId="187" state="hidden" r:id="rId17"/>
    <sheet name="Gráf Brita 2 C.Força" sheetId="188" state="hidden" r:id="rId18"/>
  </sheets>
  <externalReferences>
    <externalReference r:id="rId19"/>
  </externalReferences>
  <definedNames>
    <definedName name="__1__123Graph_ACHART_1" hidden="1">[1]CP1ens1!$B$9:$B$45</definedName>
    <definedName name="__2__123Graph_BCHART_1" hidden="1">[1]CP1ens1!$L$9:$L$45</definedName>
    <definedName name="__B106440" localSheetId="6">#REF!</definedName>
    <definedName name="__B106440" localSheetId="12">#REF!</definedName>
    <definedName name="__B106440" localSheetId="16">#REF!</definedName>
    <definedName name="__B106440" localSheetId="0">#REF!</definedName>
    <definedName name="__B106440">#REF!</definedName>
    <definedName name="__B106441" localSheetId="6">#REF!</definedName>
    <definedName name="__B106441" localSheetId="12">#REF!</definedName>
    <definedName name="__B106441" localSheetId="16">#REF!</definedName>
    <definedName name="__B106441" localSheetId="0">#REF!</definedName>
    <definedName name="__B106441">#REF!</definedName>
    <definedName name="_1__123Graph_ACHART_1" hidden="1">[1]CP1ens1!$B$9:$B$45</definedName>
    <definedName name="_2__123Graph_BCHART_1" hidden="1">[1]CP1ens1!$L$9:$L$45</definedName>
    <definedName name="_b" localSheetId="12">#REF!</definedName>
    <definedName name="_b" localSheetId="16">#REF!</definedName>
    <definedName name="_b" localSheetId="0">#REF!</definedName>
    <definedName name="_b">#REF!</definedName>
    <definedName name="_B106440" localSheetId="6">#REF!</definedName>
    <definedName name="_B106440" localSheetId="12">#REF!</definedName>
    <definedName name="_B106440" localSheetId="16">#REF!</definedName>
    <definedName name="_B106440" localSheetId="0">#REF!</definedName>
    <definedName name="_B106440">#REF!</definedName>
    <definedName name="_B106441" localSheetId="6">#REF!</definedName>
    <definedName name="_B106441" localSheetId="12">#REF!</definedName>
    <definedName name="_B106441" localSheetId="16">#REF!</definedName>
    <definedName name="_B106441" localSheetId="0">#REF!</definedName>
    <definedName name="_B106441">#REF!</definedName>
    <definedName name="_B106442" localSheetId="12">#REF!</definedName>
    <definedName name="_B106442" localSheetId="16">#REF!</definedName>
    <definedName name="_B106442" localSheetId="0">#REF!</definedName>
    <definedName name="_B106442">#REF!</definedName>
    <definedName name="abril" localSheetId="6">#REF!</definedName>
    <definedName name="abril" localSheetId="12">#REF!</definedName>
    <definedName name="abril" localSheetId="16">#REF!</definedName>
    <definedName name="abril" localSheetId="0">#REF!</definedName>
    <definedName name="abril">#REF!</definedName>
    <definedName name="_xlnm.Print_Area" localSheetId="4">'A. Artificial C.Força'!$A$1:$U$39</definedName>
    <definedName name="_xlnm.Print_Area" localSheetId="6">'A. Artificial Pedreira'!$A$1:$U$39</definedName>
    <definedName name="_xlnm.Print_Area" localSheetId="2">'A. Natural '!$A$1:$V$39</definedName>
    <definedName name="_xlnm.Print_Area" localSheetId="1">'Amostra 1'!$B$1:$K$48</definedName>
    <definedName name="_xlnm.Print_Area" localSheetId="8">'Brita 0 Pedreira'!$A$1:$R$39</definedName>
    <definedName name="_xlnm.Print_Area" localSheetId="10">'Brita 1 C. Força'!$A$1:$T$39</definedName>
    <definedName name="_xlnm.Print_Area" localSheetId="12">'Brita 1 Pedreira'!$A$1:$T$39</definedName>
    <definedName name="_xlnm.Print_Area" localSheetId="16">'Brita 2 C.Força'!$A$1:$S$39</definedName>
    <definedName name="_xlnm.Print_Area" localSheetId="14">'Brita 2 Pedreira'!$A$1:$S$39</definedName>
    <definedName name="_xlnm.Print_Area" localSheetId="0">'FR-IMOB-42_Rev00'!$A$1:$Z$182</definedName>
    <definedName name="cd" localSheetId="16">#REF!</definedName>
    <definedName name="cd" localSheetId="0">#REF!</definedName>
    <definedName name="cd">#REF!</definedName>
    <definedName name="CE">[1]CP1ens1!$J$20</definedName>
    <definedName name="CEE">[1]CP1ens1!$J$21</definedName>
    <definedName name="K">[1]CP1ens1!$J$19</definedName>
    <definedName name="_xlnm.Print_Titles" localSheetId="4">'A. Artificial C.Força'!$1:$6</definedName>
    <definedName name="_xlnm.Print_Titles" localSheetId="6">'A. Artificial Pedreira'!$1:$6</definedName>
    <definedName name="_xlnm.Print_Titles" localSheetId="2">'A. Natural '!$1:$6</definedName>
    <definedName name="_xlnm.Print_Titles" localSheetId="8">'Brita 0 Pedreira'!$1:$6</definedName>
    <definedName name="_xlnm.Print_Titles" localSheetId="10">'Brita 1 C. Força'!$1:$6</definedName>
    <definedName name="_xlnm.Print_Titles" localSheetId="12">'Brita 1 Pedreira'!$1:$6</definedName>
    <definedName name="_xlnm.Print_Titles" localSheetId="16">'Brita 2 C.Força'!$1:$6</definedName>
    <definedName name="_xlnm.Print_Titles" localSheetId="14">'Brita 2 Pedreira'!$1:$6</definedName>
    <definedName name="_xlnm.Print_Titles" localSheetId="0">'FR-IMOB-42_Rev00'!$7:$12</definedName>
    <definedName name="Z_75CAE800_00A7_11D8_89C6_E283A506403D_.wvu.PrintArea" localSheetId="1" hidden="1">'Amostra 1'!$B$1:$K$48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174" i="208" l="1"/>
  <c r="V174" i="208"/>
  <c r="W174" i="208"/>
  <c r="U175" i="208"/>
  <c r="V175" i="208"/>
  <c r="W175" i="208"/>
  <c r="U176" i="208"/>
  <c r="V176" i="208"/>
  <c r="W176" i="208"/>
  <c r="U177" i="208"/>
  <c r="V177" i="208"/>
  <c r="W177" i="208"/>
  <c r="P174" i="208"/>
  <c r="P175" i="208"/>
  <c r="P176" i="208"/>
  <c r="P177" i="208"/>
  <c r="U173" i="208"/>
  <c r="V173" i="208"/>
  <c r="W173" i="208"/>
  <c r="P173" i="208"/>
  <c r="X177" i="208"/>
  <c r="T177" i="208"/>
  <c r="S177" i="208"/>
  <c r="R177" i="208"/>
  <c r="N177" i="208"/>
  <c r="M177" i="208"/>
  <c r="L177" i="208"/>
  <c r="K177" i="208"/>
  <c r="J177" i="208"/>
  <c r="I177" i="208"/>
  <c r="H177" i="208"/>
  <c r="G177" i="208"/>
  <c r="F177" i="208"/>
  <c r="E177" i="208"/>
  <c r="X176" i="208"/>
  <c r="T176" i="208"/>
  <c r="S176" i="208"/>
  <c r="R176" i="208"/>
  <c r="N176" i="208"/>
  <c r="M176" i="208"/>
  <c r="L176" i="208"/>
  <c r="K176" i="208"/>
  <c r="J176" i="208"/>
  <c r="I176" i="208"/>
  <c r="H176" i="208"/>
  <c r="G176" i="208"/>
  <c r="F176" i="208"/>
  <c r="E176" i="208"/>
  <c r="X175" i="208"/>
  <c r="T175" i="208"/>
  <c r="S175" i="208"/>
  <c r="R175" i="208"/>
  <c r="N175" i="208"/>
  <c r="M175" i="208"/>
  <c r="L175" i="208"/>
  <c r="K175" i="208"/>
  <c r="J175" i="208"/>
  <c r="I175" i="208"/>
  <c r="H175" i="208"/>
  <c r="G175" i="208"/>
  <c r="F175" i="208"/>
  <c r="E175" i="208"/>
  <c r="X174" i="208"/>
  <c r="T174" i="208"/>
  <c r="S174" i="208"/>
  <c r="R174" i="208"/>
  <c r="N174" i="208"/>
  <c r="M174" i="208"/>
  <c r="L174" i="208"/>
  <c r="K174" i="208"/>
  <c r="J174" i="208"/>
  <c r="I174" i="208"/>
  <c r="H174" i="208"/>
  <c r="G174" i="208"/>
  <c r="F174" i="208"/>
  <c r="E174" i="208"/>
  <c r="X173" i="208"/>
  <c r="T173" i="208"/>
  <c r="S173" i="208"/>
  <c r="R173" i="208"/>
  <c r="N173" i="208"/>
  <c r="M173" i="208"/>
  <c r="L173" i="208"/>
  <c r="K173" i="208"/>
  <c r="J173" i="208"/>
  <c r="I173" i="208"/>
  <c r="H173" i="208"/>
  <c r="G173" i="208"/>
  <c r="F173" i="208"/>
  <c r="E173" i="208"/>
  <c r="Q172" i="208"/>
  <c r="O172" i="208"/>
  <c r="Q171" i="208"/>
  <c r="O171" i="208"/>
  <c r="Q170" i="208"/>
  <c r="O170" i="208"/>
  <c r="Q169" i="208"/>
  <c r="O169" i="208"/>
  <c r="Q168" i="208"/>
  <c r="O168" i="208"/>
  <c r="Q167" i="208"/>
  <c r="O167" i="208"/>
  <c r="Q166" i="208"/>
  <c r="O166" i="208"/>
  <c r="Q165" i="208"/>
  <c r="O165" i="208"/>
  <c r="Q164" i="208"/>
  <c r="O164" i="208"/>
  <c r="Q163" i="208"/>
  <c r="O163" i="208"/>
  <c r="Q162" i="208"/>
  <c r="O162" i="208"/>
  <c r="Q161" i="208"/>
  <c r="O161" i="208"/>
  <c r="Q160" i="208"/>
  <c r="O160" i="208"/>
  <c r="Q159" i="208"/>
  <c r="O159" i="208"/>
  <c r="Q158" i="208"/>
  <c r="O158" i="208"/>
  <c r="Q157" i="208"/>
  <c r="O157" i="208"/>
  <c r="Q156" i="208"/>
  <c r="O156" i="208"/>
  <c r="Q155" i="208"/>
  <c r="O155" i="208"/>
  <c r="Q154" i="208"/>
  <c r="O154" i="208"/>
  <c r="Q153" i="208"/>
  <c r="O153" i="208"/>
  <c r="Q152" i="208"/>
  <c r="O152" i="208"/>
  <c r="Q151" i="208"/>
  <c r="O151" i="208"/>
  <c r="Q150" i="208"/>
  <c r="O150" i="208"/>
  <c r="Q149" i="208"/>
  <c r="O149" i="208"/>
  <c r="Q148" i="208"/>
  <c r="O148" i="208"/>
  <c r="Q147" i="208"/>
  <c r="O147" i="208"/>
  <c r="Q146" i="208"/>
  <c r="O146" i="208"/>
  <c r="Q145" i="208"/>
  <c r="O145" i="208"/>
  <c r="Q144" i="208"/>
  <c r="O144" i="208"/>
  <c r="Q143" i="208"/>
  <c r="O143" i="208"/>
  <c r="Q142" i="208"/>
  <c r="O142" i="208"/>
  <c r="Q141" i="208"/>
  <c r="O141" i="208"/>
  <c r="Q140" i="208"/>
  <c r="O140" i="208"/>
  <c r="Q139" i="208"/>
  <c r="O139" i="208"/>
  <c r="Q138" i="208"/>
  <c r="O138" i="208"/>
  <c r="Q137" i="208"/>
  <c r="O137" i="208"/>
  <c r="Q136" i="208"/>
  <c r="O136" i="208"/>
  <c r="Q135" i="208"/>
  <c r="O135" i="208"/>
  <c r="Q134" i="208"/>
  <c r="O134" i="208"/>
  <c r="Q133" i="208"/>
  <c r="O133" i="208"/>
  <c r="Q132" i="208"/>
  <c r="O132" i="208"/>
  <c r="Q131" i="208"/>
  <c r="O131" i="208"/>
  <c r="Q130" i="208"/>
  <c r="O130" i="208"/>
  <c r="Q129" i="208"/>
  <c r="O129" i="208"/>
  <c r="Q128" i="208"/>
  <c r="O128" i="208"/>
  <c r="Q127" i="208"/>
  <c r="O127" i="208"/>
  <c r="Q126" i="208"/>
  <c r="O126" i="208"/>
  <c r="Q125" i="208"/>
  <c r="O125" i="208"/>
  <c r="Q124" i="208"/>
  <c r="O124" i="208"/>
  <c r="Q123" i="208"/>
  <c r="O123" i="208"/>
  <c r="Q122" i="208"/>
  <c r="O122" i="208"/>
  <c r="Q121" i="208"/>
  <c r="O121" i="208"/>
  <c r="Q120" i="208"/>
  <c r="O120" i="208"/>
  <c r="Q119" i="208"/>
  <c r="O119" i="208"/>
  <c r="Q118" i="208"/>
  <c r="O118" i="208"/>
  <c r="Q117" i="208"/>
  <c r="O117" i="208"/>
  <c r="Q116" i="208"/>
  <c r="O116" i="208"/>
  <c r="Q115" i="208"/>
  <c r="O115" i="208"/>
  <c r="Q114" i="208"/>
  <c r="O114" i="208"/>
  <c r="Q113" i="208"/>
  <c r="O113" i="208"/>
  <c r="Q112" i="208"/>
  <c r="O112" i="208"/>
  <c r="Q111" i="208"/>
  <c r="O111" i="208"/>
  <c r="Q110" i="208"/>
  <c r="O110" i="208"/>
  <c r="Q109" i="208"/>
  <c r="O109" i="208"/>
  <c r="Q108" i="208"/>
  <c r="O108" i="208"/>
  <c r="Q107" i="208"/>
  <c r="O107" i="208"/>
  <c r="Q106" i="208"/>
  <c r="O106" i="208"/>
  <c r="Q105" i="208"/>
  <c r="O105" i="208"/>
  <c r="Q104" i="208"/>
  <c r="O104" i="208"/>
  <c r="Q103" i="208"/>
  <c r="O103" i="208"/>
  <c r="Q102" i="208"/>
  <c r="O102" i="208"/>
  <c r="Q101" i="208"/>
  <c r="O101" i="208"/>
  <c r="Q100" i="208"/>
  <c r="O100" i="208"/>
  <c r="Q99" i="208"/>
  <c r="O99" i="208"/>
  <c r="Q98" i="208"/>
  <c r="O98" i="208"/>
  <c r="Q97" i="208"/>
  <c r="O97" i="208"/>
  <c r="Q96" i="208"/>
  <c r="O96" i="208"/>
  <c r="Q95" i="208"/>
  <c r="O95" i="208"/>
  <c r="Q94" i="208"/>
  <c r="O94" i="208"/>
  <c r="Q93" i="208"/>
  <c r="O93" i="208"/>
  <c r="Q92" i="208"/>
  <c r="O92" i="208"/>
  <c r="Q91" i="208"/>
  <c r="O91" i="208"/>
  <c r="Q90" i="208"/>
  <c r="O90" i="208"/>
  <c r="Q89" i="208"/>
  <c r="O89" i="208"/>
  <c r="Q88" i="208"/>
  <c r="O88" i="208"/>
  <c r="Q87" i="208"/>
  <c r="O87" i="208"/>
  <c r="Q86" i="208"/>
  <c r="O86" i="208"/>
  <c r="Q85" i="208"/>
  <c r="O85" i="208"/>
  <c r="Q84" i="208"/>
  <c r="O84" i="208"/>
  <c r="Q83" i="208"/>
  <c r="O83" i="208"/>
  <c r="Q82" i="208"/>
  <c r="O82" i="208"/>
  <c r="Q81" i="208"/>
  <c r="O81" i="208"/>
  <c r="Q80" i="208"/>
  <c r="O80" i="208"/>
  <c r="Q79" i="208"/>
  <c r="O79" i="208"/>
  <c r="Q78" i="208"/>
  <c r="O78" i="208"/>
  <c r="Q77" i="208"/>
  <c r="O77" i="208"/>
  <c r="Q76" i="208"/>
  <c r="O76" i="208"/>
  <c r="Q75" i="208"/>
  <c r="O75" i="208"/>
  <c r="Q74" i="208"/>
  <c r="O74" i="208"/>
  <c r="Q73" i="208"/>
  <c r="O73" i="208"/>
  <c r="Q72" i="208"/>
  <c r="O72" i="208"/>
  <c r="Q71" i="208"/>
  <c r="O71" i="208"/>
  <c r="Q70" i="208"/>
  <c r="O70" i="208"/>
  <c r="Q69" i="208"/>
  <c r="O69" i="208"/>
  <c r="Q68" i="208"/>
  <c r="O68" i="208"/>
  <c r="Q67" i="208"/>
  <c r="O67" i="208"/>
  <c r="Q66" i="208"/>
  <c r="O66" i="208"/>
  <c r="Q65" i="208"/>
  <c r="O65" i="208"/>
  <c r="Q64" i="208"/>
  <c r="O64" i="208"/>
  <c r="Q63" i="208"/>
  <c r="O63" i="208"/>
  <c r="Q62" i="208"/>
  <c r="O62" i="208"/>
  <c r="Q61" i="208"/>
  <c r="O61" i="208"/>
  <c r="Q60" i="208"/>
  <c r="O60" i="208"/>
  <c r="Q59" i="208"/>
  <c r="O59" i="208"/>
  <c r="Q58" i="208"/>
  <c r="O58" i="208"/>
  <c r="Q57" i="208"/>
  <c r="O57" i="208"/>
  <c r="Q56" i="208"/>
  <c r="O56" i="208"/>
  <c r="Q55" i="208"/>
  <c r="O55" i="208"/>
  <c r="Q54" i="208"/>
  <c r="O54" i="208"/>
  <c r="Q53" i="208"/>
  <c r="O53" i="208"/>
  <c r="Q52" i="208"/>
  <c r="O52" i="208"/>
  <c r="Q51" i="208"/>
  <c r="O51" i="208"/>
  <c r="Q50" i="208"/>
  <c r="O50" i="208"/>
  <c r="Q49" i="208"/>
  <c r="O49" i="208"/>
  <c r="Q48" i="208"/>
  <c r="O48" i="208" a="1"/>
  <c r="O48" i="208" s="1"/>
  <c r="Q47" i="208"/>
  <c r="O47" i="208"/>
  <c r="Q46" i="208"/>
  <c r="O46" i="208"/>
  <c r="Q45" i="208"/>
  <c r="O45" i="208"/>
  <c r="Q44" i="208"/>
  <c r="O44" i="208"/>
  <c r="Q43" i="208"/>
  <c r="O43" i="208"/>
  <c r="Q42" i="208"/>
  <c r="O42" i="208"/>
  <c r="Q41" i="208"/>
  <c r="O41" i="208"/>
  <c r="Q40" i="208"/>
  <c r="O40" i="208"/>
  <c r="Q39" i="208"/>
  <c r="O39" i="208"/>
  <c r="Q38" i="208"/>
  <c r="O38" i="208"/>
  <c r="Q37" i="208"/>
  <c r="O37" i="208"/>
  <c r="Q36" i="208"/>
  <c r="O36" i="208"/>
  <c r="Q35" i="208"/>
  <c r="O35" i="208"/>
  <c r="Q34" i="208"/>
  <c r="O34" i="208"/>
  <c r="Q33" i="208"/>
  <c r="O33" i="208"/>
  <c r="Q32" i="208"/>
  <c r="O32" i="208"/>
  <c r="Q31" i="208"/>
  <c r="O31" i="208"/>
  <c r="Q30" i="208"/>
  <c r="O30" i="208"/>
  <c r="Q29" i="208"/>
  <c r="O29" i="208"/>
  <c r="Q28" i="208"/>
  <c r="O28" i="208"/>
  <c r="Q27" i="208"/>
  <c r="O27" i="208"/>
  <c r="Q26" i="208"/>
  <c r="O26" i="208"/>
  <c r="Q25" i="208"/>
  <c r="O25" i="208"/>
  <c r="Q24" i="208"/>
  <c r="O24" i="208"/>
  <c r="Q23" i="208"/>
  <c r="O23" i="208"/>
  <c r="Q22" i="208"/>
  <c r="O22" i="208"/>
  <c r="Q21" i="208"/>
  <c r="O21" i="208"/>
  <c r="Q20" i="208"/>
  <c r="O20" i="208"/>
  <c r="Q19" i="208"/>
  <c r="O19" i="208"/>
  <c r="Q18" i="208"/>
  <c r="O18" i="208"/>
  <c r="Q17" i="208"/>
  <c r="O17" i="208"/>
  <c r="Q16" i="208"/>
  <c r="O16" i="208"/>
  <c r="Q15" i="208"/>
  <c r="O15" i="208"/>
  <c r="Q14" i="208"/>
  <c r="O14" i="208"/>
  <c r="Q13" i="208" a="1"/>
  <c r="Q13" i="208" s="1"/>
  <c r="O13" i="208" a="1"/>
  <c r="O13" i="208" s="1"/>
  <c r="E44" i="207"/>
  <c r="F20" i="207"/>
  <c r="Z13" i="207" s="1"/>
  <c r="E19" i="207"/>
  <c r="E17" i="207"/>
  <c r="D17" i="207"/>
  <c r="D19" i="207" s="1"/>
  <c r="C17" i="207"/>
  <c r="C19" i="207" s="1"/>
  <c r="F19" i="207" s="1"/>
  <c r="Y13" i="207" s="1"/>
  <c r="J16" i="207"/>
  <c r="J17" i="207" s="1"/>
  <c r="AG13" i="207"/>
  <c r="AF13" i="207"/>
  <c r="AE13" i="207"/>
  <c r="AD13" i="207"/>
  <c r="AC13" i="207"/>
  <c r="AB13" i="207"/>
  <c r="AA13" i="207"/>
  <c r="T12" i="207"/>
  <c r="S12" i="207"/>
  <c r="R12" i="207"/>
  <c r="Q12" i="207"/>
  <c r="P12" i="207"/>
  <c r="O12" i="207"/>
  <c r="N12" i="207"/>
  <c r="M12" i="207"/>
  <c r="Y10" i="207"/>
  <c r="X10" i="207"/>
  <c r="V10" i="207"/>
  <c r="Y9" i="207"/>
  <c r="X9" i="207"/>
  <c r="V9" i="207"/>
  <c r="K9" i="207"/>
  <c r="K10" i="207" s="1"/>
  <c r="E9" i="207"/>
  <c r="E10" i="207" s="1"/>
  <c r="E13" i="207" s="1"/>
  <c r="D9" i="207"/>
  <c r="D10" i="207" s="1"/>
  <c r="D13" i="207" s="1"/>
  <c r="C9" i="207"/>
  <c r="C10" i="207" s="1"/>
  <c r="Y8" i="207"/>
  <c r="X8" i="207"/>
  <c r="V8" i="207"/>
  <c r="Y7" i="207"/>
  <c r="X7" i="207"/>
  <c r="V7" i="207"/>
  <c r="K7" i="207"/>
  <c r="Y6" i="207"/>
  <c r="X6" i="207"/>
  <c r="V6" i="207"/>
  <c r="Y5" i="207"/>
  <c r="X5" i="207"/>
  <c r="V5" i="207"/>
  <c r="Y4" i="207"/>
  <c r="X4" i="207"/>
  <c r="V4" i="207"/>
  <c r="Q4" i="207"/>
  <c r="Y3" i="207"/>
  <c r="X3" i="207"/>
  <c r="V3" i="207"/>
  <c r="Q2" i="207"/>
  <c r="O173" i="208" l="1"/>
  <c r="O176" i="208"/>
  <c r="Q176" i="208"/>
  <c r="O174" i="208"/>
  <c r="O175" i="208"/>
  <c r="O177" i="208"/>
  <c r="Q177" i="208"/>
  <c r="Q173" i="208"/>
  <c r="Q175" i="208"/>
  <c r="Q174" i="208"/>
  <c r="K17" i="207"/>
  <c r="J18" i="207"/>
  <c r="C13" i="207"/>
  <c r="F10" i="207"/>
  <c r="V13" i="207" s="1"/>
  <c r="N8" i="207"/>
  <c r="U13" i="207"/>
  <c r="K16" i="207"/>
  <c r="H43" i="195"/>
  <c r="G43" i="195"/>
  <c r="F43" i="195"/>
  <c r="E43" i="195"/>
  <c r="D43" i="195"/>
  <c r="H42" i="195"/>
  <c r="G42" i="195"/>
  <c r="F42" i="195"/>
  <c r="E42" i="195"/>
  <c r="D42" i="195"/>
  <c r="Q39" i="195"/>
  <c r="P39" i="195"/>
  <c r="O39" i="195"/>
  <c r="N39" i="195"/>
  <c r="M39" i="195"/>
  <c r="L39" i="195"/>
  <c r="I39" i="195"/>
  <c r="H39" i="195"/>
  <c r="G39" i="195"/>
  <c r="F39" i="195"/>
  <c r="E39" i="195"/>
  <c r="D39" i="195"/>
  <c r="Q38" i="195"/>
  <c r="P38" i="195"/>
  <c r="O38" i="195"/>
  <c r="N38" i="195"/>
  <c r="M38" i="195"/>
  <c r="L38" i="195"/>
  <c r="I38" i="195"/>
  <c r="H38" i="195"/>
  <c r="G38" i="195"/>
  <c r="F38" i="195"/>
  <c r="E38" i="195"/>
  <c r="D38" i="195"/>
  <c r="Q37" i="195"/>
  <c r="P37" i="195"/>
  <c r="O37" i="195"/>
  <c r="N37" i="195"/>
  <c r="M37" i="195"/>
  <c r="L37" i="195"/>
  <c r="I37" i="195"/>
  <c r="H37" i="195"/>
  <c r="G37" i="195"/>
  <c r="F37" i="195"/>
  <c r="E37" i="195"/>
  <c r="D37" i="195"/>
  <c r="Q36" i="195"/>
  <c r="P36" i="195"/>
  <c r="O36" i="195"/>
  <c r="N36" i="195"/>
  <c r="M36" i="195"/>
  <c r="L36" i="195"/>
  <c r="I36" i="195"/>
  <c r="H36" i="195"/>
  <c r="G36" i="195"/>
  <c r="F36" i="195"/>
  <c r="E36" i="195"/>
  <c r="D36" i="195"/>
  <c r="K35" i="195"/>
  <c r="J35" i="195"/>
  <c r="K34" i="195"/>
  <c r="J34" i="195"/>
  <c r="K33" i="195"/>
  <c r="J33" i="195"/>
  <c r="K32" i="195"/>
  <c r="J32" i="195"/>
  <c r="K31" i="195"/>
  <c r="J31" i="195"/>
  <c r="K30" i="195"/>
  <c r="J30" i="195"/>
  <c r="K29" i="195"/>
  <c r="J29" i="195"/>
  <c r="K28" i="195"/>
  <c r="J28" i="195"/>
  <c r="K27" i="195"/>
  <c r="J27" i="195"/>
  <c r="K26" i="195"/>
  <c r="J26" i="195"/>
  <c r="K25" i="195"/>
  <c r="J25" i="195"/>
  <c r="K24" i="195"/>
  <c r="J24" i="195"/>
  <c r="K22" i="195"/>
  <c r="J22" i="195"/>
  <c r="K21" i="195"/>
  <c r="J21" i="195"/>
  <c r="K20" i="195"/>
  <c r="J20" i="195"/>
  <c r="K19" i="195"/>
  <c r="J19" i="195"/>
  <c r="K18" i="195"/>
  <c r="J18" i="195"/>
  <c r="K17" i="195"/>
  <c r="J17" i="195"/>
  <c r="K16" i="195"/>
  <c r="J16" i="195"/>
  <c r="K15" i="195"/>
  <c r="J15" i="195"/>
  <c r="K14" i="195"/>
  <c r="J14" i="195"/>
  <c r="K13" i="195"/>
  <c r="J13" i="195"/>
  <c r="K12" i="195"/>
  <c r="J12" i="195"/>
  <c r="K11" i="195"/>
  <c r="J11" i="195"/>
  <c r="K10" i="195"/>
  <c r="J10" i="195"/>
  <c r="K9" i="195"/>
  <c r="J9" i="195"/>
  <c r="K7" i="195"/>
  <c r="K38" i="195" s="1"/>
  <c r="J7" i="195"/>
  <c r="K8" i="187"/>
  <c r="J8" i="187"/>
  <c r="K7" i="187"/>
  <c r="J7" i="187"/>
  <c r="L8" i="184"/>
  <c r="K8" i="184"/>
  <c r="L7" i="184"/>
  <c r="K7" i="184"/>
  <c r="L8" i="176"/>
  <c r="K8" i="176"/>
  <c r="L7" i="176"/>
  <c r="K7" i="176"/>
  <c r="K8" i="174"/>
  <c r="J8" i="174"/>
  <c r="K7" i="174"/>
  <c r="J7" i="174"/>
  <c r="N8" i="183"/>
  <c r="M8" i="183"/>
  <c r="N7" i="183"/>
  <c r="M7" i="183"/>
  <c r="K36" i="172"/>
  <c r="N8" i="172"/>
  <c r="M8" i="172"/>
  <c r="N7" i="172"/>
  <c r="M7" i="172"/>
  <c r="M7" i="14"/>
  <c r="N7" i="14"/>
  <c r="M8" i="14"/>
  <c r="N8" i="14"/>
  <c r="W3" i="207" l="1"/>
  <c r="M13" i="207"/>
  <c r="Q5" i="207"/>
  <c r="Q6" i="207"/>
  <c r="Q7" i="207"/>
  <c r="Q3" i="207"/>
  <c r="J19" i="207"/>
  <c r="K18" i="207"/>
  <c r="J37" i="195"/>
  <c r="K36" i="195"/>
  <c r="K37" i="195"/>
  <c r="K39" i="195"/>
  <c r="N13" i="207" l="1"/>
  <c r="W4" i="207"/>
  <c r="K19" i="207"/>
  <c r="J20" i="207"/>
  <c r="Q8" i="207"/>
  <c r="P8" i="207" s="1"/>
  <c r="F36" i="14"/>
  <c r="I36" i="183"/>
  <c r="K9" i="187"/>
  <c r="K10" i="187"/>
  <c r="K11" i="187"/>
  <c r="K12" i="187"/>
  <c r="K13" i="187"/>
  <c r="K14" i="187"/>
  <c r="K15" i="187"/>
  <c r="K16" i="187"/>
  <c r="K17" i="187"/>
  <c r="K18" i="187"/>
  <c r="K19" i="187"/>
  <c r="K20" i="187"/>
  <c r="K21" i="187"/>
  <c r="K22" i="187"/>
  <c r="K23" i="187"/>
  <c r="K24" i="187"/>
  <c r="K25" i="187"/>
  <c r="K26" i="187"/>
  <c r="K27" i="187"/>
  <c r="K28" i="187"/>
  <c r="K29" i="187"/>
  <c r="K30" i="187"/>
  <c r="K31" i="187"/>
  <c r="K32" i="187"/>
  <c r="K33" i="187"/>
  <c r="K34" i="187"/>
  <c r="H43" i="187"/>
  <c r="G43" i="187"/>
  <c r="F43" i="187"/>
  <c r="E43" i="187"/>
  <c r="D43" i="187"/>
  <c r="H42" i="187"/>
  <c r="G42" i="187"/>
  <c r="F42" i="187"/>
  <c r="E42" i="187"/>
  <c r="D42" i="187"/>
  <c r="Q39" i="187"/>
  <c r="P39" i="187"/>
  <c r="O39" i="187"/>
  <c r="N39" i="187"/>
  <c r="M39" i="187"/>
  <c r="L39" i="187"/>
  <c r="I39" i="187"/>
  <c r="H39" i="187"/>
  <c r="G39" i="187"/>
  <c r="F39" i="187"/>
  <c r="E39" i="187"/>
  <c r="D39" i="187"/>
  <c r="Q38" i="187"/>
  <c r="P38" i="187"/>
  <c r="O38" i="187"/>
  <c r="N38" i="187"/>
  <c r="M38" i="187"/>
  <c r="L38" i="187"/>
  <c r="I38" i="187"/>
  <c r="H38" i="187"/>
  <c r="G38" i="187"/>
  <c r="F38" i="187"/>
  <c r="E38" i="187"/>
  <c r="D38" i="187"/>
  <c r="Q37" i="187"/>
  <c r="P37" i="187"/>
  <c r="O37" i="187"/>
  <c r="N37" i="187"/>
  <c r="M37" i="187"/>
  <c r="L37" i="187"/>
  <c r="I37" i="187"/>
  <c r="H37" i="187"/>
  <c r="G37" i="187"/>
  <c r="F37" i="187"/>
  <c r="E37" i="187"/>
  <c r="D37" i="187"/>
  <c r="Q36" i="187"/>
  <c r="P36" i="187"/>
  <c r="O36" i="187"/>
  <c r="N36" i="187"/>
  <c r="M36" i="187"/>
  <c r="L36" i="187"/>
  <c r="I36" i="187"/>
  <c r="H36" i="187"/>
  <c r="G36" i="187"/>
  <c r="F36" i="187"/>
  <c r="E36" i="187"/>
  <c r="D36" i="187"/>
  <c r="K35" i="187"/>
  <c r="J35" i="187"/>
  <c r="J34" i="187"/>
  <c r="J33" i="187"/>
  <c r="J32" i="187"/>
  <c r="J31" i="187"/>
  <c r="J30" i="187"/>
  <c r="J29" i="187"/>
  <c r="J28" i="187"/>
  <c r="J27" i="187"/>
  <c r="J26" i="187"/>
  <c r="J25" i="187"/>
  <c r="J24" i="187"/>
  <c r="J22" i="187"/>
  <c r="J21" i="187"/>
  <c r="J20" i="187"/>
  <c r="J19" i="187"/>
  <c r="J18" i="187"/>
  <c r="J17" i="187"/>
  <c r="J16" i="187"/>
  <c r="J15" i="187"/>
  <c r="J14" i="187"/>
  <c r="J13" i="187"/>
  <c r="J12" i="187"/>
  <c r="J11" i="187"/>
  <c r="J10" i="187"/>
  <c r="J9" i="187"/>
  <c r="I36" i="184"/>
  <c r="I43" i="184"/>
  <c r="H43" i="184"/>
  <c r="G43" i="184"/>
  <c r="F43" i="184"/>
  <c r="E43" i="184"/>
  <c r="D43" i="184"/>
  <c r="I42" i="184"/>
  <c r="H42" i="184"/>
  <c r="G42" i="184"/>
  <c r="F42" i="184"/>
  <c r="E42" i="184"/>
  <c r="D42" i="184"/>
  <c r="R39" i="184"/>
  <c r="Q39" i="184"/>
  <c r="P39" i="184"/>
  <c r="O39" i="184"/>
  <c r="N39" i="184"/>
  <c r="M39" i="184"/>
  <c r="J39" i="184"/>
  <c r="I39" i="184"/>
  <c r="H39" i="184"/>
  <c r="G39" i="184"/>
  <c r="F39" i="184"/>
  <c r="E39" i="184"/>
  <c r="D39" i="184"/>
  <c r="R38" i="184"/>
  <c r="Q38" i="184"/>
  <c r="P38" i="184"/>
  <c r="O38" i="184"/>
  <c r="N38" i="184"/>
  <c r="M38" i="184"/>
  <c r="J38" i="184"/>
  <c r="I38" i="184"/>
  <c r="H38" i="184"/>
  <c r="G38" i="184"/>
  <c r="F38" i="184"/>
  <c r="E38" i="184"/>
  <c r="D38" i="184"/>
  <c r="R37" i="184"/>
  <c r="Q37" i="184"/>
  <c r="P37" i="184"/>
  <c r="O37" i="184"/>
  <c r="N37" i="184"/>
  <c r="M37" i="184"/>
  <c r="J37" i="184"/>
  <c r="I37" i="184"/>
  <c r="H37" i="184"/>
  <c r="G37" i="184"/>
  <c r="F37" i="184"/>
  <c r="E37" i="184"/>
  <c r="D37" i="184"/>
  <c r="R36" i="184"/>
  <c r="Q36" i="184"/>
  <c r="P36" i="184"/>
  <c r="O36" i="184"/>
  <c r="N36" i="184"/>
  <c r="M36" i="184"/>
  <c r="J36" i="184"/>
  <c r="H36" i="184"/>
  <c r="G36" i="184"/>
  <c r="F36" i="184"/>
  <c r="E36" i="184"/>
  <c r="D36" i="184"/>
  <c r="L35" i="184"/>
  <c r="K35" i="184"/>
  <c r="L34" i="184"/>
  <c r="K34" i="184"/>
  <c r="L33" i="184"/>
  <c r="K33" i="184"/>
  <c r="L31" i="184"/>
  <c r="K31" i="184"/>
  <c r="L30" i="184"/>
  <c r="K30" i="184"/>
  <c r="L29" i="184"/>
  <c r="K29" i="184"/>
  <c r="L28" i="184"/>
  <c r="K28" i="184"/>
  <c r="L27" i="184"/>
  <c r="K27" i="184"/>
  <c r="L26" i="184"/>
  <c r="K26" i="184"/>
  <c r="L24" i="184"/>
  <c r="K24" i="184"/>
  <c r="L23" i="184"/>
  <c r="K23" i="184"/>
  <c r="L22" i="184"/>
  <c r="K22" i="184"/>
  <c r="L21" i="184"/>
  <c r="K21" i="184"/>
  <c r="L20" i="184"/>
  <c r="K20" i="184"/>
  <c r="L19" i="184"/>
  <c r="K19" i="184"/>
  <c r="L18" i="184"/>
  <c r="K18" i="184"/>
  <c r="L17" i="184"/>
  <c r="K17" i="184"/>
  <c r="L16" i="184"/>
  <c r="K16" i="184"/>
  <c r="L15" i="184"/>
  <c r="K15" i="184"/>
  <c r="L14" i="184"/>
  <c r="K14" i="184"/>
  <c r="L13" i="184"/>
  <c r="K13" i="184"/>
  <c r="L12" i="184"/>
  <c r="K12" i="184"/>
  <c r="L11" i="184"/>
  <c r="K11" i="184"/>
  <c r="L10" i="184"/>
  <c r="K10" i="184"/>
  <c r="L9" i="184"/>
  <c r="K9" i="184"/>
  <c r="K45" i="183"/>
  <c r="J45" i="183"/>
  <c r="I45" i="183"/>
  <c r="H45" i="183"/>
  <c r="G45" i="183"/>
  <c r="F45" i="183"/>
  <c r="E45" i="183"/>
  <c r="D45" i="183"/>
  <c r="K44" i="183"/>
  <c r="J44" i="183"/>
  <c r="I44" i="183"/>
  <c r="H44" i="183"/>
  <c r="G44" i="183"/>
  <c r="F44" i="183"/>
  <c r="E44" i="183"/>
  <c r="D44" i="183"/>
  <c r="K43" i="183"/>
  <c r="J43" i="183"/>
  <c r="I43" i="183"/>
  <c r="H43" i="183"/>
  <c r="G43" i="183"/>
  <c r="F43" i="183"/>
  <c r="E43" i="183"/>
  <c r="D43" i="183"/>
  <c r="K42" i="183"/>
  <c r="J42" i="183"/>
  <c r="I42" i="183"/>
  <c r="H42" i="183"/>
  <c r="G42" i="183"/>
  <c r="F42" i="183"/>
  <c r="E42" i="183"/>
  <c r="D42" i="183"/>
  <c r="S39" i="183"/>
  <c r="R39" i="183"/>
  <c r="Q39" i="183"/>
  <c r="P39" i="183"/>
  <c r="O39" i="183"/>
  <c r="L39" i="183"/>
  <c r="K39" i="183"/>
  <c r="J39" i="183"/>
  <c r="I39" i="183"/>
  <c r="H39" i="183"/>
  <c r="G39" i="183"/>
  <c r="F39" i="183"/>
  <c r="E39" i="183"/>
  <c r="D39" i="183"/>
  <c r="S38" i="183"/>
  <c r="R38" i="183"/>
  <c r="Q38" i="183"/>
  <c r="P38" i="183"/>
  <c r="O38" i="183"/>
  <c r="L38" i="183"/>
  <c r="K38" i="183"/>
  <c r="J38" i="183"/>
  <c r="I38" i="183"/>
  <c r="H38" i="183"/>
  <c r="G38" i="183"/>
  <c r="F38" i="183"/>
  <c r="E38" i="183"/>
  <c r="D38" i="183"/>
  <c r="S37" i="183"/>
  <c r="R37" i="183"/>
  <c r="Q37" i="183"/>
  <c r="P37" i="183"/>
  <c r="O37" i="183"/>
  <c r="L37" i="183"/>
  <c r="K37" i="183"/>
  <c r="J37" i="183"/>
  <c r="I37" i="183"/>
  <c r="H37" i="183"/>
  <c r="G37" i="183"/>
  <c r="F37" i="183"/>
  <c r="E37" i="183"/>
  <c r="D37" i="183"/>
  <c r="S36" i="183"/>
  <c r="R36" i="183"/>
  <c r="Q36" i="183"/>
  <c r="P36" i="183"/>
  <c r="O36" i="183"/>
  <c r="L36" i="183"/>
  <c r="K36" i="183"/>
  <c r="J36" i="183"/>
  <c r="H36" i="183"/>
  <c r="G36" i="183"/>
  <c r="F36" i="183"/>
  <c r="E36" i="183"/>
  <c r="D36" i="183"/>
  <c r="N35" i="183"/>
  <c r="M35" i="183"/>
  <c r="N34" i="183"/>
  <c r="M34" i="183"/>
  <c r="N33" i="183"/>
  <c r="M33" i="183"/>
  <c r="N32" i="183"/>
  <c r="M32" i="183"/>
  <c r="N30" i="183"/>
  <c r="M30" i="183"/>
  <c r="N29" i="183"/>
  <c r="M29" i="183"/>
  <c r="N28" i="183"/>
  <c r="M28" i="183"/>
  <c r="N27" i="183"/>
  <c r="M27" i="183"/>
  <c r="N25" i="183"/>
  <c r="M25" i="183"/>
  <c r="N24" i="183"/>
  <c r="M24" i="183"/>
  <c r="N23" i="183"/>
  <c r="M23" i="183"/>
  <c r="N22" i="183"/>
  <c r="M22" i="183"/>
  <c r="N21" i="183"/>
  <c r="M21" i="183"/>
  <c r="N20" i="183"/>
  <c r="M20" i="183"/>
  <c r="N19" i="183"/>
  <c r="M19" i="183"/>
  <c r="N18" i="183"/>
  <c r="M18" i="183"/>
  <c r="N17" i="183"/>
  <c r="M17" i="183"/>
  <c r="N16" i="183"/>
  <c r="M16" i="183"/>
  <c r="N15" i="183"/>
  <c r="M15" i="183"/>
  <c r="N14" i="183"/>
  <c r="M14" i="183"/>
  <c r="N13" i="183"/>
  <c r="M13" i="183"/>
  <c r="N12" i="183"/>
  <c r="M12" i="183"/>
  <c r="N11" i="183"/>
  <c r="M11" i="183"/>
  <c r="N10" i="183"/>
  <c r="M10" i="183"/>
  <c r="N9" i="183"/>
  <c r="M9" i="183"/>
  <c r="M35" i="172"/>
  <c r="M30" i="14"/>
  <c r="N30" i="14"/>
  <c r="M31" i="14"/>
  <c r="N31" i="14"/>
  <c r="M32" i="14"/>
  <c r="N32" i="14"/>
  <c r="P36" i="172"/>
  <c r="P37" i="172"/>
  <c r="P38" i="172"/>
  <c r="P39" i="172"/>
  <c r="N14" i="172"/>
  <c r="C11" i="207" l="1"/>
  <c r="C12" i="207" s="1"/>
  <c r="D11" i="207"/>
  <c r="D12" i="207" s="1"/>
  <c r="D14" i="207" s="1"/>
  <c r="D15" i="207" s="1"/>
  <c r="E11" i="207"/>
  <c r="E12" i="207" s="1"/>
  <c r="E14" i="207" s="1"/>
  <c r="E15" i="207" s="1"/>
  <c r="O13" i="207"/>
  <c r="W5" i="207"/>
  <c r="J21" i="207"/>
  <c r="K20" i="207"/>
  <c r="M37" i="183"/>
  <c r="N39" i="183"/>
  <c r="J37" i="187"/>
  <c r="K39" i="187"/>
  <c r="K36" i="187"/>
  <c r="K37" i="187"/>
  <c r="K38" i="187"/>
  <c r="K37" i="184"/>
  <c r="L39" i="184"/>
  <c r="L36" i="184"/>
  <c r="L37" i="184"/>
  <c r="L38" i="184"/>
  <c r="N36" i="183"/>
  <c r="N37" i="183"/>
  <c r="N38" i="183"/>
  <c r="K21" i="176"/>
  <c r="L21" i="176"/>
  <c r="W6" i="207" l="1"/>
  <c r="P13" i="207"/>
  <c r="K21" i="207"/>
  <c r="J22" i="207"/>
  <c r="C14" i="207"/>
  <c r="C15" i="207" s="1"/>
  <c r="F15" i="207" s="1"/>
  <c r="X13" i="207" s="1"/>
  <c r="F12" i="207"/>
  <c r="W13" i="207" s="1"/>
  <c r="L9" i="176"/>
  <c r="L11" i="176"/>
  <c r="L10" i="176"/>
  <c r="L39" i="176" s="1"/>
  <c r="L12" i="176"/>
  <c r="L13" i="176"/>
  <c r="L14" i="176"/>
  <c r="L15" i="176"/>
  <c r="L16" i="176"/>
  <c r="L17" i="176"/>
  <c r="L18" i="176"/>
  <c r="L19" i="176"/>
  <c r="L20" i="176"/>
  <c r="L22" i="176"/>
  <c r="L23" i="176"/>
  <c r="L24" i="176"/>
  <c r="L25" i="176"/>
  <c r="L26" i="176"/>
  <c r="L27" i="176"/>
  <c r="L28" i="176"/>
  <c r="L29" i="176"/>
  <c r="L30" i="176"/>
  <c r="L31" i="176"/>
  <c r="L33" i="176"/>
  <c r="L34" i="176"/>
  <c r="L35" i="176"/>
  <c r="K9" i="174"/>
  <c r="K10" i="174"/>
  <c r="K11" i="174"/>
  <c r="K13" i="174"/>
  <c r="K14" i="174"/>
  <c r="K15" i="174"/>
  <c r="K16" i="174"/>
  <c r="K17" i="174"/>
  <c r="K18" i="174"/>
  <c r="K19" i="174"/>
  <c r="K20" i="174"/>
  <c r="K21" i="174"/>
  <c r="K22" i="174"/>
  <c r="K23" i="174"/>
  <c r="K24" i="174"/>
  <c r="K25" i="174"/>
  <c r="K26" i="174"/>
  <c r="K27" i="174"/>
  <c r="K28" i="174"/>
  <c r="K30" i="174"/>
  <c r="K31" i="174"/>
  <c r="K32" i="174"/>
  <c r="K33" i="174"/>
  <c r="K34" i="174"/>
  <c r="K35" i="174"/>
  <c r="M30" i="172"/>
  <c r="N9" i="172"/>
  <c r="N10" i="172"/>
  <c r="N11" i="172"/>
  <c r="N12" i="172"/>
  <c r="N13" i="172"/>
  <c r="N15" i="172"/>
  <c r="N16" i="172"/>
  <c r="N17" i="172"/>
  <c r="N18" i="172"/>
  <c r="N19" i="172"/>
  <c r="N20" i="172"/>
  <c r="N21" i="172"/>
  <c r="N22" i="172"/>
  <c r="N23" i="172"/>
  <c r="N24" i="172"/>
  <c r="N25" i="172"/>
  <c r="N26" i="172"/>
  <c r="N27" i="172"/>
  <c r="N28" i="172"/>
  <c r="N29" i="172"/>
  <c r="N30" i="172"/>
  <c r="N32" i="172"/>
  <c r="N33" i="172"/>
  <c r="N34" i="172"/>
  <c r="N35" i="172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3" i="14"/>
  <c r="N34" i="14"/>
  <c r="N35" i="14"/>
  <c r="K11" i="176"/>
  <c r="K9" i="176"/>
  <c r="K10" i="176"/>
  <c r="K12" i="176"/>
  <c r="K13" i="176"/>
  <c r="K14" i="176"/>
  <c r="K15" i="176"/>
  <c r="K16" i="176"/>
  <c r="K17" i="176"/>
  <c r="K18" i="176"/>
  <c r="K19" i="176"/>
  <c r="K20" i="176"/>
  <c r="K22" i="176"/>
  <c r="K23" i="176"/>
  <c r="K24" i="176"/>
  <c r="K25" i="176"/>
  <c r="K26" i="176"/>
  <c r="K27" i="176"/>
  <c r="K28" i="176"/>
  <c r="K29" i="176"/>
  <c r="K30" i="176"/>
  <c r="K31" i="176"/>
  <c r="K33" i="176"/>
  <c r="K34" i="176"/>
  <c r="K35" i="176"/>
  <c r="F42" i="176"/>
  <c r="G42" i="176"/>
  <c r="H42" i="176"/>
  <c r="I42" i="176"/>
  <c r="F43" i="176"/>
  <c r="G43" i="176"/>
  <c r="H43" i="176"/>
  <c r="I43" i="176"/>
  <c r="G37" i="176"/>
  <c r="G36" i="176"/>
  <c r="G38" i="176"/>
  <c r="G39" i="176"/>
  <c r="R36" i="176"/>
  <c r="R37" i="176"/>
  <c r="R38" i="176"/>
  <c r="R39" i="176"/>
  <c r="E43" i="176"/>
  <c r="D43" i="176"/>
  <c r="E42" i="176"/>
  <c r="D42" i="176"/>
  <c r="Q39" i="176"/>
  <c r="P39" i="176"/>
  <c r="O39" i="176"/>
  <c r="N39" i="176"/>
  <c r="M39" i="176"/>
  <c r="J39" i="176"/>
  <c r="I39" i="176"/>
  <c r="H39" i="176"/>
  <c r="F39" i="176"/>
  <c r="E39" i="176"/>
  <c r="D39" i="176"/>
  <c r="Q38" i="176"/>
  <c r="P38" i="176"/>
  <c r="O38" i="176"/>
  <c r="N38" i="176"/>
  <c r="M38" i="176"/>
  <c r="J38" i="176"/>
  <c r="I38" i="176"/>
  <c r="H38" i="176"/>
  <c r="F38" i="176"/>
  <c r="E38" i="176"/>
  <c r="D38" i="176"/>
  <c r="Q37" i="176"/>
  <c r="P37" i="176"/>
  <c r="O37" i="176"/>
  <c r="N37" i="176"/>
  <c r="M37" i="176"/>
  <c r="J37" i="176"/>
  <c r="I37" i="176"/>
  <c r="H37" i="176"/>
  <c r="F37" i="176"/>
  <c r="E37" i="176"/>
  <c r="D37" i="176"/>
  <c r="Q36" i="176"/>
  <c r="P36" i="176"/>
  <c r="O36" i="176"/>
  <c r="N36" i="176"/>
  <c r="M36" i="176"/>
  <c r="J36" i="176"/>
  <c r="I36" i="176"/>
  <c r="H36" i="176"/>
  <c r="F36" i="176"/>
  <c r="E36" i="176"/>
  <c r="D36" i="176"/>
  <c r="M36" i="174"/>
  <c r="M37" i="174"/>
  <c r="M38" i="174"/>
  <c r="M39" i="174"/>
  <c r="J11" i="174"/>
  <c r="J13" i="174"/>
  <c r="J14" i="174"/>
  <c r="J15" i="174"/>
  <c r="J16" i="174"/>
  <c r="J17" i="174"/>
  <c r="J18" i="174"/>
  <c r="J19" i="174"/>
  <c r="J20" i="174"/>
  <c r="J21" i="174"/>
  <c r="J22" i="174"/>
  <c r="J23" i="174"/>
  <c r="J24" i="174"/>
  <c r="J25" i="174"/>
  <c r="J26" i="174"/>
  <c r="J27" i="174"/>
  <c r="J28" i="174"/>
  <c r="J30" i="174"/>
  <c r="J31" i="174"/>
  <c r="J32" i="174"/>
  <c r="J33" i="174"/>
  <c r="J34" i="174"/>
  <c r="J35" i="174"/>
  <c r="J10" i="174"/>
  <c r="J9" i="174"/>
  <c r="H43" i="174"/>
  <c r="G43" i="174"/>
  <c r="F43" i="174"/>
  <c r="E43" i="174"/>
  <c r="D43" i="174"/>
  <c r="H42" i="174"/>
  <c r="G42" i="174"/>
  <c r="F42" i="174"/>
  <c r="E42" i="174"/>
  <c r="D42" i="174"/>
  <c r="P39" i="174"/>
  <c r="O39" i="174"/>
  <c r="N39" i="174"/>
  <c r="L39" i="174"/>
  <c r="I39" i="174"/>
  <c r="H39" i="174"/>
  <c r="G39" i="174"/>
  <c r="F39" i="174"/>
  <c r="E39" i="174"/>
  <c r="D39" i="174"/>
  <c r="P38" i="174"/>
  <c r="O38" i="174"/>
  <c r="N38" i="174"/>
  <c r="L38" i="174"/>
  <c r="I38" i="174"/>
  <c r="H38" i="174"/>
  <c r="G38" i="174"/>
  <c r="F38" i="174"/>
  <c r="E38" i="174"/>
  <c r="D38" i="174"/>
  <c r="P37" i="174"/>
  <c r="O37" i="174"/>
  <c r="N37" i="174"/>
  <c r="L37" i="174"/>
  <c r="K37" i="174"/>
  <c r="I37" i="174"/>
  <c r="H37" i="174"/>
  <c r="G37" i="174"/>
  <c r="F37" i="174"/>
  <c r="E37" i="174"/>
  <c r="D37" i="174"/>
  <c r="P36" i="174"/>
  <c r="O36" i="174"/>
  <c r="N36" i="174"/>
  <c r="L36" i="174"/>
  <c r="Q13" i="207" l="1"/>
  <c r="W7" i="207"/>
  <c r="J23" i="207"/>
  <c r="K22" i="207"/>
  <c r="K39" i="174"/>
  <c r="K37" i="176"/>
  <c r="K38" i="174"/>
  <c r="L36" i="176"/>
  <c r="L37" i="176"/>
  <c r="L38" i="176"/>
  <c r="K36" i="174"/>
  <c r="I36" i="174"/>
  <c r="H36" i="174"/>
  <c r="G36" i="174"/>
  <c r="F36" i="174"/>
  <c r="E36" i="174"/>
  <c r="D36" i="174"/>
  <c r="J37" i="174"/>
  <c r="K45" i="172"/>
  <c r="J45" i="172"/>
  <c r="I45" i="172"/>
  <c r="H45" i="172"/>
  <c r="G45" i="172"/>
  <c r="F45" i="172"/>
  <c r="E45" i="172"/>
  <c r="D45" i="172"/>
  <c r="K44" i="172"/>
  <c r="J44" i="172"/>
  <c r="I44" i="172"/>
  <c r="H44" i="172"/>
  <c r="G44" i="172"/>
  <c r="F44" i="172"/>
  <c r="E44" i="172"/>
  <c r="D44" i="172"/>
  <c r="K43" i="172"/>
  <c r="J43" i="172"/>
  <c r="I43" i="172"/>
  <c r="H43" i="172"/>
  <c r="G43" i="172"/>
  <c r="F43" i="172"/>
  <c r="E43" i="172"/>
  <c r="D43" i="172"/>
  <c r="K42" i="172"/>
  <c r="J42" i="172"/>
  <c r="I42" i="172"/>
  <c r="H42" i="172"/>
  <c r="G42" i="172"/>
  <c r="F42" i="172"/>
  <c r="E42" i="172"/>
  <c r="D42" i="172"/>
  <c r="S39" i="172"/>
  <c r="R39" i="172"/>
  <c r="Q39" i="172"/>
  <c r="O39" i="172"/>
  <c r="L39" i="172"/>
  <c r="K39" i="172"/>
  <c r="J39" i="172"/>
  <c r="I39" i="172"/>
  <c r="H39" i="172"/>
  <c r="G39" i="172"/>
  <c r="F39" i="172"/>
  <c r="E39" i="172"/>
  <c r="D39" i="172"/>
  <c r="S38" i="172"/>
  <c r="R38" i="172"/>
  <c r="Q38" i="172"/>
  <c r="O38" i="172"/>
  <c r="L38" i="172"/>
  <c r="K38" i="172"/>
  <c r="J38" i="172"/>
  <c r="I38" i="172"/>
  <c r="H38" i="172"/>
  <c r="G38" i="172"/>
  <c r="F38" i="172"/>
  <c r="E38" i="172"/>
  <c r="D38" i="172"/>
  <c r="S37" i="172"/>
  <c r="R37" i="172"/>
  <c r="Q37" i="172"/>
  <c r="O37" i="172"/>
  <c r="L37" i="172"/>
  <c r="K37" i="172"/>
  <c r="J37" i="172"/>
  <c r="I37" i="172"/>
  <c r="H37" i="172"/>
  <c r="G37" i="172"/>
  <c r="F37" i="172"/>
  <c r="E37" i="172"/>
  <c r="D37" i="172"/>
  <c r="S36" i="172"/>
  <c r="R36" i="172"/>
  <c r="Q36" i="172"/>
  <c r="O36" i="172"/>
  <c r="L36" i="172"/>
  <c r="J36" i="172"/>
  <c r="I36" i="172"/>
  <c r="H36" i="172"/>
  <c r="G36" i="172"/>
  <c r="F36" i="172"/>
  <c r="E36" i="172"/>
  <c r="D36" i="172"/>
  <c r="M34" i="172"/>
  <c r="N39" i="172"/>
  <c r="M33" i="172"/>
  <c r="M32" i="172"/>
  <c r="M29" i="172"/>
  <c r="M28" i="172"/>
  <c r="M27" i="172"/>
  <c r="M26" i="172"/>
  <c r="M25" i="172"/>
  <c r="M24" i="172"/>
  <c r="M23" i="172"/>
  <c r="M22" i="172"/>
  <c r="M21" i="172"/>
  <c r="M20" i="172"/>
  <c r="M19" i="172"/>
  <c r="M18" i="172"/>
  <c r="M17" i="172"/>
  <c r="M16" i="172"/>
  <c r="M15" i="172"/>
  <c r="M14" i="172"/>
  <c r="M13" i="172"/>
  <c r="M12" i="172"/>
  <c r="M11" i="172"/>
  <c r="M10" i="172"/>
  <c r="M9" i="172"/>
  <c r="J45" i="14"/>
  <c r="I45" i="14"/>
  <c r="H45" i="14"/>
  <c r="G45" i="14"/>
  <c r="F45" i="14"/>
  <c r="E45" i="14"/>
  <c r="D45" i="14"/>
  <c r="J44" i="14"/>
  <c r="I44" i="14"/>
  <c r="H44" i="14"/>
  <c r="G44" i="14"/>
  <c r="F44" i="14"/>
  <c r="E44" i="14"/>
  <c r="D44" i="14"/>
  <c r="J43" i="14"/>
  <c r="I43" i="14"/>
  <c r="H43" i="14"/>
  <c r="G43" i="14"/>
  <c r="F43" i="14"/>
  <c r="E43" i="14"/>
  <c r="D43" i="14"/>
  <c r="J42" i="14"/>
  <c r="I42" i="14"/>
  <c r="H42" i="14"/>
  <c r="G42" i="14"/>
  <c r="F42" i="14"/>
  <c r="E42" i="14"/>
  <c r="D42" i="14"/>
  <c r="T39" i="14"/>
  <c r="S39" i="14"/>
  <c r="R39" i="14"/>
  <c r="Q39" i="14"/>
  <c r="P39" i="14"/>
  <c r="O39" i="14"/>
  <c r="N39" i="14"/>
  <c r="L39" i="14"/>
  <c r="K39" i="14"/>
  <c r="J39" i="14"/>
  <c r="I39" i="14"/>
  <c r="H39" i="14"/>
  <c r="G39" i="14"/>
  <c r="F39" i="14"/>
  <c r="E39" i="14"/>
  <c r="D39" i="14"/>
  <c r="T38" i="14"/>
  <c r="S38" i="14"/>
  <c r="R38" i="14"/>
  <c r="Q38" i="14"/>
  <c r="P38" i="14"/>
  <c r="O38" i="14"/>
  <c r="N38" i="14"/>
  <c r="L38" i="14"/>
  <c r="K38" i="14"/>
  <c r="J38" i="14"/>
  <c r="I38" i="14"/>
  <c r="H38" i="14"/>
  <c r="G38" i="14"/>
  <c r="F38" i="14"/>
  <c r="E38" i="14"/>
  <c r="D38" i="14"/>
  <c r="T37" i="14"/>
  <c r="S37" i="14"/>
  <c r="R37" i="14"/>
  <c r="Q37" i="14"/>
  <c r="P37" i="14"/>
  <c r="O37" i="14"/>
  <c r="N37" i="14"/>
  <c r="L37" i="14"/>
  <c r="K37" i="14"/>
  <c r="J37" i="14"/>
  <c r="I37" i="14"/>
  <c r="H37" i="14"/>
  <c r="G37" i="14"/>
  <c r="F37" i="14"/>
  <c r="E37" i="14"/>
  <c r="D37" i="14"/>
  <c r="T36" i="14"/>
  <c r="S36" i="14"/>
  <c r="R36" i="14"/>
  <c r="Q36" i="14"/>
  <c r="P36" i="14"/>
  <c r="O36" i="14"/>
  <c r="N36" i="14"/>
  <c r="L36" i="14"/>
  <c r="K36" i="14"/>
  <c r="J36" i="14"/>
  <c r="I36" i="14"/>
  <c r="H36" i="14"/>
  <c r="G36" i="14"/>
  <c r="E36" i="14"/>
  <c r="D36" i="14"/>
  <c r="M35" i="14"/>
  <c r="M34" i="14"/>
  <c r="M33" i="14"/>
  <c r="M29" i="14"/>
  <c r="M28" i="14"/>
  <c r="M27" i="14"/>
  <c r="M26" i="14"/>
  <c r="M25" i="14"/>
  <c r="M24" i="14"/>
  <c r="M23" i="14"/>
  <c r="M22" i="14"/>
  <c r="M21" i="14"/>
  <c r="M20" i="14"/>
  <c r="M19" i="14"/>
  <c r="M18" i="14"/>
  <c r="M17" i="14"/>
  <c r="M16" i="14"/>
  <c r="M15" i="14"/>
  <c r="M14" i="14"/>
  <c r="M13" i="14"/>
  <c r="M12" i="14"/>
  <c r="M11" i="14"/>
  <c r="M10" i="14"/>
  <c r="M9" i="14"/>
  <c r="W8" i="207" l="1"/>
  <c r="R13" i="207"/>
  <c r="J24" i="207"/>
  <c r="K24" i="207" s="1"/>
  <c r="K23" i="207"/>
  <c r="M36" i="172"/>
  <c r="M37" i="14"/>
  <c r="M37" i="172"/>
  <c r="N36" i="172"/>
  <c r="N37" i="172"/>
  <c r="N38" i="172"/>
  <c r="S13" i="207" l="1"/>
  <c r="W9" i="207"/>
  <c r="T13" i="207"/>
  <c r="W10" i="20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M4" authorId="0" shapeId="0" xr:uid="{00000000-0006-0000-0900-000001000000}">
      <text>
        <r>
          <rPr>
            <b/>
            <sz val="10"/>
            <color indexed="81"/>
            <rFont val="Tahoma"/>
            <family val="2"/>
          </rPr>
          <t>Cálculo automático</t>
        </r>
      </text>
    </comment>
    <comment ref="N4" authorId="0" shapeId="0" xr:uid="{00000000-0006-0000-0900-000002000000}">
      <text>
        <r>
          <rPr>
            <b/>
            <sz val="11"/>
            <color indexed="81"/>
            <rFont val="Tahoma"/>
            <family val="2"/>
          </rPr>
          <t>Cálculo automático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M4" authorId="0" shapeId="0" xr:uid="{00000000-0006-0000-0B00-000001000000}">
      <text>
        <r>
          <rPr>
            <b/>
            <sz val="10"/>
            <color indexed="81"/>
            <rFont val="Tahoma"/>
            <family val="2"/>
          </rPr>
          <t>Cálculo automático</t>
        </r>
      </text>
    </comment>
    <comment ref="N4" authorId="0" shapeId="0" xr:uid="{00000000-0006-0000-0B00-000002000000}">
      <text>
        <r>
          <rPr>
            <b/>
            <sz val="11"/>
            <color indexed="81"/>
            <rFont val="Tahoma"/>
            <family val="2"/>
          </rPr>
          <t>Cálculo automático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M4" authorId="0" shapeId="0" xr:uid="{00000000-0006-0000-0D00-000001000000}">
      <text>
        <r>
          <rPr>
            <b/>
            <sz val="10"/>
            <color indexed="81"/>
            <rFont val="Tahoma"/>
            <family val="2"/>
          </rPr>
          <t>Cálculo automático</t>
        </r>
      </text>
    </comment>
    <comment ref="N4" authorId="0" shapeId="0" xr:uid="{00000000-0006-0000-0D00-000002000000}">
      <text>
        <r>
          <rPr>
            <b/>
            <sz val="11"/>
            <color indexed="81"/>
            <rFont val="Tahoma"/>
            <family val="2"/>
          </rPr>
          <t>Cálculo automático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J4" authorId="0" shapeId="0" xr:uid="{00000000-0006-0000-0F00-000001000000}">
      <text>
        <r>
          <rPr>
            <b/>
            <sz val="10"/>
            <color indexed="81"/>
            <rFont val="Tahoma"/>
            <family val="2"/>
          </rPr>
          <t>Cálculo automático</t>
        </r>
      </text>
    </comment>
    <comment ref="K4" authorId="0" shapeId="0" xr:uid="{00000000-0006-0000-0F00-000002000000}">
      <text>
        <r>
          <rPr>
            <b/>
            <sz val="11"/>
            <color indexed="81"/>
            <rFont val="Tahoma"/>
            <family val="2"/>
          </rPr>
          <t>Cálculo automático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K4" authorId="0" shapeId="0" xr:uid="{00000000-0006-0000-1100-000001000000}">
      <text>
        <r>
          <rPr>
            <b/>
            <sz val="10"/>
            <color indexed="81"/>
            <rFont val="Tahoma"/>
            <family val="2"/>
          </rPr>
          <t>Cálculo automático</t>
        </r>
      </text>
    </comment>
    <comment ref="L4" authorId="0" shapeId="0" xr:uid="{00000000-0006-0000-1100-000002000000}">
      <text>
        <r>
          <rPr>
            <b/>
            <sz val="11"/>
            <color indexed="81"/>
            <rFont val="Tahoma"/>
            <family val="2"/>
          </rPr>
          <t>Cálculo automático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K4" authorId="0" shapeId="0" xr:uid="{00000000-0006-0000-1300-000001000000}">
      <text>
        <r>
          <rPr>
            <b/>
            <sz val="10"/>
            <color indexed="81"/>
            <rFont val="Tahoma"/>
            <family val="2"/>
          </rPr>
          <t>Cálculo automático</t>
        </r>
      </text>
    </comment>
    <comment ref="L4" authorId="0" shapeId="0" xr:uid="{00000000-0006-0000-1300-000002000000}">
      <text>
        <r>
          <rPr>
            <b/>
            <sz val="11"/>
            <color indexed="81"/>
            <rFont val="Tahoma"/>
            <family val="2"/>
          </rPr>
          <t>Cálculo automático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J4" authorId="0" shapeId="0" xr:uid="{00000000-0006-0000-1500-000001000000}">
      <text>
        <r>
          <rPr>
            <b/>
            <sz val="10"/>
            <color indexed="81"/>
            <rFont val="Tahoma"/>
            <family val="2"/>
          </rPr>
          <t>Cálculo automático</t>
        </r>
      </text>
    </comment>
    <comment ref="K4" authorId="0" shapeId="0" xr:uid="{00000000-0006-0000-1500-000002000000}">
      <text>
        <r>
          <rPr>
            <b/>
            <sz val="11"/>
            <color indexed="81"/>
            <rFont val="Tahoma"/>
            <family val="2"/>
          </rPr>
          <t>Cálculo automático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 xml:space="preserve"> </author>
  </authors>
  <commentList>
    <comment ref="J4" authorId="0" shapeId="0" xr:uid="{00000000-0006-0000-1700-000001000000}">
      <text>
        <r>
          <rPr>
            <b/>
            <sz val="10"/>
            <color indexed="81"/>
            <rFont val="Tahoma"/>
            <family val="2"/>
          </rPr>
          <t>Cálculo automático</t>
        </r>
      </text>
    </comment>
    <comment ref="K4" authorId="0" shapeId="0" xr:uid="{00000000-0006-0000-1700-000002000000}">
      <text>
        <r>
          <rPr>
            <b/>
            <sz val="11"/>
            <color indexed="81"/>
            <rFont val="Tahoma"/>
            <family val="2"/>
          </rPr>
          <t>Cálculo automático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<sst xmlns="http://schemas.openxmlformats.org/spreadsheetml/2006/main" count="975" uniqueCount="235">
  <si>
    <t>Média</t>
  </si>
  <si>
    <t>Desvio Padrão</t>
  </si>
  <si>
    <t>Mês</t>
  </si>
  <si>
    <t>Amostra</t>
  </si>
  <si>
    <t>Peneiras (% retida acumulada)</t>
  </si>
  <si>
    <t>Módulo de Finura</t>
  </si>
  <si>
    <t>Procedência</t>
  </si>
  <si>
    <t>3/8"</t>
  </si>
  <si>
    <t>1/4"</t>
  </si>
  <si>
    <t>n°4</t>
  </si>
  <si>
    <t>n°8</t>
  </si>
  <si>
    <t>n°16</t>
  </si>
  <si>
    <t>n°30</t>
  </si>
  <si>
    <t>n°50</t>
  </si>
  <si>
    <t>n°100</t>
  </si>
  <si>
    <t>fundo</t>
  </si>
  <si>
    <t>1/2"</t>
  </si>
  <si>
    <t>1"</t>
  </si>
  <si>
    <t>3/4"</t>
  </si>
  <si>
    <t>Data da coleta</t>
  </si>
  <si>
    <t>Local da Coleta</t>
  </si>
  <si>
    <t>Teor de Material Pulverulento (%)</t>
  </si>
  <si>
    <t>Impureza Orgânica (ppm)</t>
  </si>
  <si>
    <t>n°200</t>
  </si>
  <si>
    <t>-</t>
  </si>
  <si>
    <t>Mínimo</t>
  </si>
  <si>
    <t>Máximo</t>
  </si>
  <si>
    <t xml:space="preserve">Ensaios Granulométricos - Agregado Miúdo - Areia Natural </t>
  </si>
  <si>
    <t>Absorção (%)</t>
  </si>
  <si>
    <t>Diâmetro Máximo (mm)</t>
  </si>
  <si>
    <t>Torrões de Argila (%)</t>
  </si>
  <si>
    <r>
      <t>Massa Unitária  (kg/dm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</si>
  <si>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Dmáx 4,75 mm</t>
  </si>
  <si>
    <t>da ordem de 0,8 a 1,0%</t>
  </si>
  <si>
    <t>Valores referenciais para comparação</t>
  </si>
  <si>
    <t>Material Passante Acumulado (Zona ótima)</t>
  </si>
  <si>
    <t>Material Passante Acumulado (Zona Utilizável)</t>
  </si>
  <si>
    <t>Material Retido Acumulado (Zona ótima)</t>
  </si>
  <si>
    <t>Material Retido Acumulado (Zona Utilizável)</t>
  </si>
  <si>
    <t>Limites de Granulometria NBR 7211:2005</t>
  </si>
  <si>
    <t>Máx 1,5% (Especificação Técnica) e 3,0% na NBR 7211</t>
  </si>
  <si>
    <t>&lt; 300 (ou solução mais clara que a padrão NBR NM 49)</t>
  </si>
  <si>
    <t>Normas de ensaio</t>
  </si>
  <si>
    <t>NM 248</t>
  </si>
  <si>
    <t>NM 46</t>
  </si>
  <si>
    <t>NBR 7218</t>
  </si>
  <si>
    <t>NM 30</t>
  </si>
  <si>
    <t>NM 49</t>
  </si>
  <si>
    <t>NM 52</t>
  </si>
  <si>
    <t>NBR 7251</t>
  </si>
  <si>
    <t>Máx 3% p/ concretos submetidos a desgaste superficial e 5% p/ concretos protegidos do desgaste superficial</t>
  </si>
  <si>
    <t>De acordo com o processo de beneficiamento</t>
  </si>
  <si>
    <t>depende do tipo de rocha (recomenda-se maior ou igual a 2,6)</t>
  </si>
  <si>
    <t>Material Passante Acumulado (Zona 4,75/12,5)</t>
  </si>
  <si>
    <t>Material Retido Acumulado (Zona 4,75/12,5)</t>
  </si>
  <si>
    <t>Máx 1% (de natureza argilosa ou argilo-siltosa)</t>
  </si>
  <si>
    <t>NM 53</t>
  </si>
  <si>
    <t>Máx 1% p/ concreto aparente, 2% para concreto sujeito a desgaste superficial e 3% p/ outros concretos</t>
  </si>
  <si>
    <t>* Em cada zona granulométrica deve ser aceita uma variação de no máximo 5% em apenas um dos limites marcados com *. Essa variação pode também estar distribuída em vários desses limites.</t>
  </si>
  <si>
    <t>Índice de Forma</t>
  </si>
  <si>
    <t>menor que 3</t>
  </si>
  <si>
    <t>NBR 7809</t>
  </si>
  <si>
    <t>Ensaios Granulométricos - Agregado Graúdo - Brita 0</t>
  </si>
  <si>
    <t>Material Passante Acumulado (Zona 9,5/25)</t>
  </si>
  <si>
    <t>Material Retido Acumulado (Zona 9,5/25)</t>
  </si>
  <si>
    <t>da ordem de 2,640</t>
  </si>
  <si>
    <r>
      <t>Massa Específica  (kg/dm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</si>
  <si>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Massa Específica   (kg/dm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</si>
  <si>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da ordem de 1,500</t>
  </si>
  <si>
    <t>Correia do Britador</t>
  </si>
  <si>
    <t>1. 1/4</t>
  </si>
  <si>
    <t>Material Retido Acumulado (Zona 19/31,5)</t>
  </si>
  <si>
    <t>Material Passante Acumulado (Zona 19/31,5)</t>
  </si>
  <si>
    <t>Esc. Casa de Força</t>
  </si>
  <si>
    <t>Escavação Casa de Força</t>
  </si>
  <si>
    <t>Pedreira</t>
  </si>
  <si>
    <t>out-08</t>
  </si>
  <si>
    <t>Areal do Quim</t>
  </si>
  <si>
    <t xml:space="preserve">Lavador de Areia </t>
  </si>
  <si>
    <t xml:space="preserve"> UHE GOVE - RELATÓRIO MENSAL</t>
  </si>
  <si>
    <t>UHE GOVE - RELATÓRIO MENSAL</t>
  </si>
  <si>
    <t xml:space="preserve"> Correia do britador</t>
  </si>
  <si>
    <t>Deposito da Britagem</t>
  </si>
  <si>
    <t>Deposito do britador</t>
  </si>
  <si>
    <t>Correia do britador</t>
  </si>
  <si>
    <t xml:space="preserve">Escavação casa de força </t>
  </si>
  <si>
    <t>PEDREIRA DESATIVADA</t>
  </si>
  <si>
    <t>PREDEIRA DESATIVADA</t>
  </si>
  <si>
    <t>Ensaios Granulométricos - Agregado Graúdo - Brita 2 (Casa de Força)</t>
  </si>
  <si>
    <t>Ensaios Granulométricos - Agregado Graúdo - Brita 2 (Pedreira)</t>
  </si>
  <si>
    <t>Ensaios Granulométricos - Agregado Graúdo - Brita 1 (Pedreira)</t>
  </si>
  <si>
    <t>Ensaios Granulométricos - Agregado Graúdo - Brita 1 (Escavação da Casa de Força)</t>
  </si>
  <si>
    <t>Ensaios Granulométricos - Agregado Miúdo - Areia Artificial (Pedreira)</t>
  </si>
  <si>
    <t>Ensaios Granulométricos - Agregado Miúdo - Areia Artificial (Escavação da Casa de Força)</t>
  </si>
  <si>
    <t>PEDREIRA DESATIVDA</t>
  </si>
  <si>
    <t>Análise Global</t>
  </si>
  <si>
    <t>Quadro Resumo de Ensaios</t>
  </si>
  <si>
    <t>19,1 mm</t>
  </si>
  <si>
    <t>12,5 mm</t>
  </si>
  <si>
    <t>25,4 mm</t>
  </si>
  <si>
    <t>n°10</t>
  </si>
  <si>
    <t>n°40</t>
  </si>
  <si>
    <t>n°80</t>
  </si>
  <si>
    <t>Peneiras (% passante acumulada)</t>
  </si>
  <si>
    <t xml:space="preserve"> CONSTRUTORA QUEIROZ GALVÃO S/A</t>
  </si>
  <si>
    <t>Nº 4</t>
  </si>
  <si>
    <t>Nº 10</t>
  </si>
  <si>
    <t>Nº 40</t>
  </si>
  <si>
    <t>Nº 80</t>
  </si>
  <si>
    <t>Nº 200</t>
  </si>
  <si>
    <t>TEOR (%)</t>
  </si>
  <si>
    <t>DENSIDADE</t>
  </si>
  <si>
    <t>VOL VAZIOS</t>
  </si>
  <si>
    <t>RBV</t>
  </si>
  <si>
    <t>ESTABILIDADE</t>
  </si>
  <si>
    <t>FLUÊNCIA</t>
  </si>
  <si>
    <t>TEMP CAP-50/60</t>
  </si>
  <si>
    <t>Dens CP sonda</t>
  </si>
  <si>
    <t>GC</t>
  </si>
  <si>
    <t>TEMP. COMP</t>
  </si>
  <si>
    <t>MÉDIA</t>
  </si>
  <si>
    <t>Estabilidade (Kgf)</t>
  </si>
  <si>
    <t>Fluência (mm)</t>
  </si>
  <si>
    <t>TRAÇO SECO</t>
  </si>
  <si>
    <t>TIPO</t>
  </si>
  <si>
    <t>%  MISTURA</t>
  </si>
  <si>
    <t>DENS. REAL</t>
  </si>
  <si>
    <t>CURVA OBTIDA NA MISTURA</t>
  </si>
  <si>
    <t>FAIXA DE TOLERÂNCIA</t>
  </si>
  <si>
    <t>FAIXA DE PROJETO</t>
  </si>
  <si>
    <t>GRANULOMETRIA DE PROJETO</t>
  </si>
  <si>
    <t>OBRA: BR-316 / MA</t>
  </si>
  <si>
    <t>TRECHO: ENTR. MA-008(ZÉ CHICÃO / DIVISA MA - PI (TIMON )</t>
  </si>
  <si>
    <t>Tipo de CBUQ:   FAIXA  "C"</t>
  </si>
  <si>
    <t>AGREGADO</t>
  </si>
  <si>
    <t>B- 3/4"</t>
  </si>
  <si>
    <t>PENERAS (mm)</t>
  </si>
  <si>
    <t>MISTURA</t>
  </si>
  <si>
    <t>FAIXA DA MISTURA</t>
  </si>
  <si>
    <t>FAIXA "C" DNER  ES-313/97</t>
  </si>
  <si>
    <t>OBTIDO</t>
  </si>
  <si>
    <t>CONTROLE DE CONCRETO BETUMINOSO USINADO A QUENTE</t>
  </si>
  <si>
    <t>GRAÚDO</t>
  </si>
  <si>
    <t>B- 1/2" CORR.</t>
  </si>
  <si>
    <t>ENSAIO MARSHALL</t>
  </si>
  <si>
    <t>EXTRAÇÃO DE BETUME</t>
  </si>
  <si>
    <t>AREIA - RIO</t>
  </si>
  <si>
    <t>C.P. Nº</t>
  </si>
  <si>
    <t>TARA</t>
  </si>
  <si>
    <t>MIÚDO</t>
  </si>
  <si>
    <t>A. - CAMPO</t>
  </si>
  <si>
    <t>PESO AO AR</t>
  </si>
  <si>
    <t>AMOSTRA + TARA</t>
  </si>
  <si>
    <t>FILLER</t>
  </si>
  <si>
    <t>P.IMERSO + CESTO</t>
  </si>
  <si>
    <t xml:space="preserve">AMOSTRA </t>
  </si>
  <si>
    <t xml:space="preserve"> </t>
  </si>
  <si>
    <t>CAP-50/60</t>
  </si>
  <si>
    <t>P.CESTO IMERSO</t>
  </si>
  <si>
    <t>INSOLÚVEL + TARA</t>
  </si>
  <si>
    <t>CAP 50/60</t>
  </si>
  <si>
    <t>VOLUME cm3</t>
  </si>
  <si>
    <t>SOLÚVEL</t>
  </si>
  <si>
    <t>DENS. APARENTE</t>
  </si>
  <si>
    <t>TEOR DE BETUME (%)</t>
  </si>
  <si>
    <t>DENS.TEÓRICA</t>
  </si>
  <si>
    <t>GRANULOMETRIA</t>
  </si>
  <si>
    <t>% VAZIOS</t>
  </si>
  <si>
    <t>PENEIRAS</t>
  </si>
  <si>
    <t>PESO</t>
  </si>
  <si>
    <t xml:space="preserve">% </t>
  </si>
  <si>
    <t>TEMP MIST</t>
  </si>
  <si>
    <t>TEMP SILO Q</t>
  </si>
  <si>
    <t>ESP.</t>
  </si>
  <si>
    <t>% V.C.B.</t>
  </si>
  <si>
    <t>POL.</t>
  </si>
  <si>
    <t>mm.</t>
  </si>
  <si>
    <t>RETIDO</t>
  </si>
  <si>
    <t>PASSANDO</t>
  </si>
  <si>
    <t>% V.A.M.</t>
  </si>
  <si>
    <t>2"</t>
  </si>
  <si>
    <t>% R.B.V.</t>
  </si>
  <si>
    <t>1 1/2"</t>
  </si>
  <si>
    <t>S</t>
  </si>
  <si>
    <t>LEIT. DEFLECT.</t>
  </si>
  <si>
    <t>EST. ENCONTRADA</t>
  </si>
  <si>
    <t>DENS.  SONDAGEM  (PISTA)   E   G.C %</t>
  </si>
  <si>
    <t>FATOR CORREÇÃO</t>
  </si>
  <si>
    <t>EST. CORRIGIDA</t>
  </si>
  <si>
    <t>ESPESSURA  C.P</t>
  </si>
  <si>
    <t>FLUÊNCIA (mm)</t>
  </si>
  <si>
    <t>TEMP. MOLDAGEM</t>
  </si>
  <si>
    <t>TEMPERATURA DA MOLDAGEM:</t>
  </si>
  <si>
    <t>ºC</t>
  </si>
  <si>
    <t>TEMPERATURA NO MISTURADOR:</t>
  </si>
  <si>
    <t>TEMPERATURA DO CAP-50/60</t>
  </si>
  <si>
    <t>TEMPERATURA DO SILO QUENTE:</t>
  </si>
  <si>
    <t>F.C. DO ANEL:</t>
  </si>
  <si>
    <t>FUNDO</t>
  </si>
  <si>
    <t>RESULTADO DA SONDA ROTATIVA</t>
  </si>
  <si>
    <t xml:space="preserve">OBS.:  </t>
  </si>
  <si>
    <t>DENS. DE PROJETO</t>
  </si>
  <si>
    <t>ESTACA :</t>
  </si>
  <si>
    <t>LE</t>
  </si>
  <si>
    <t>DENS. DO C P EXTRAIDO C/ SONDA ROTATIVA</t>
  </si>
  <si>
    <t>GRAU DE COMPACTAÇÃO</t>
  </si>
  <si>
    <t>DATA:</t>
  </si>
  <si>
    <t>ESPESSURA DO C P DA SONDA ROTATIVA ( cm )</t>
  </si>
  <si>
    <t>TEMPERATURA DE COMPRESSÃO ( ºC )</t>
  </si>
  <si>
    <t>FISCAL:</t>
  </si>
  <si>
    <t>Teor de ligante (%)</t>
  </si>
  <si>
    <t>Volume de vazios  (%)</t>
  </si>
  <si>
    <t>R B V (%)</t>
  </si>
  <si>
    <t>V A M (%)</t>
  </si>
  <si>
    <t>Resistência a tração  (Mpa)</t>
  </si>
  <si>
    <t>Faixa III DERSA</t>
  </si>
  <si>
    <t>Faixa de Trabalho</t>
  </si>
  <si>
    <t>Limites de Granulometria DERSA ET P 0027 FAIXA III</t>
  </si>
  <si>
    <t xml:space="preserve">Média Período </t>
  </si>
  <si>
    <t>Densidade Máxima Medida (kg/dm³)</t>
  </si>
  <si>
    <t>Densidade aparente   (kg/dm³)</t>
  </si>
  <si>
    <t>Normas de ensaio DNIT ( ME - 043) - (ME - 428) - (ME - 412) - (ME - 427) - (ME - 136) - (ME - 158)</t>
  </si>
  <si>
    <r>
      <rPr>
        <sz val="12"/>
        <color theme="1"/>
        <rFont val="Tahoma"/>
        <family val="2"/>
      </rPr>
      <t xml:space="preserve"> Título: </t>
    </r>
    <r>
      <rPr>
        <b/>
        <sz val="12"/>
        <color theme="1"/>
        <rFont val="Tahoma"/>
        <family val="2"/>
      </rPr>
      <t>Caracterização do CBUQ fresco</t>
    </r>
  </si>
  <si>
    <r>
      <rPr>
        <sz val="12"/>
        <rFont val="Tahoma"/>
        <family val="2"/>
      </rPr>
      <t>Codificação</t>
    </r>
    <r>
      <rPr>
        <b/>
        <sz val="12"/>
        <rFont val="Tahoma"/>
        <family val="2"/>
      </rPr>
      <t xml:space="preserve">: FR-IMOB-42 </t>
    </r>
  </si>
  <si>
    <r>
      <rPr>
        <sz val="12"/>
        <rFont val="Tahoma"/>
        <family val="2"/>
      </rPr>
      <t>Versão:</t>
    </r>
    <r>
      <rPr>
        <b/>
        <sz val="12"/>
        <rFont val="Tahoma"/>
        <family val="2"/>
      </rPr>
      <t xml:space="preserve"> 00</t>
    </r>
  </si>
  <si>
    <r>
      <rPr>
        <sz val="12"/>
        <color rgb="FF000000"/>
        <rFont val="Tahoma"/>
        <family val="2"/>
      </rPr>
      <t>Nível:</t>
    </r>
    <r>
      <rPr>
        <b/>
        <sz val="12"/>
        <color indexed="8"/>
        <rFont val="Tahoma"/>
        <family val="2"/>
      </rPr>
      <t xml:space="preserve"> Operacional</t>
    </r>
  </si>
  <si>
    <r>
      <rPr>
        <sz val="12"/>
        <color rgb="FF000000"/>
        <rFont val="Tahoma"/>
        <family val="2"/>
      </rPr>
      <t xml:space="preserve">Fase: </t>
    </r>
    <r>
      <rPr>
        <b/>
        <sz val="12"/>
        <color indexed="8"/>
        <rFont val="Tahoma"/>
        <family val="2"/>
      </rPr>
      <t>Vigente</t>
    </r>
  </si>
  <si>
    <r>
      <rPr>
        <sz val="12"/>
        <color theme="1"/>
        <rFont val="Tahoma"/>
        <family val="2"/>
      </rPr>
      <t>Tipo de Documento:</t>
    </r>
    <r>
      <rPr>
        <b/>
        <sz val="12"/>
        <color theme="1"/>
        <rFont val="Tahoma"/>
        <family val="2"/>
      </rPr>
      <t xml:space="preserve"> Formulário</t>
    </r>
  </si>
  <si>
    <t xml:space="preserve">Elaborado por: </t>
  </si>
  <si>
    <t xml:space="preserve">Revisado por: </t>
  </si>
  <si>
    <t>Aprovado por:</t>
  </si>
  <si>
    <t>Samara Rodrigues</t>
  </si>
  <si>
    <r>
      <rPr>
        <sz val="12"/>
        <rFont val="Tahoma"/>
        <family val="2"/>
      </rPr>
      <t>Data de Vigência:</t>
    </r>
    <r>
      <rPr>
        <b/>
        <sz val="12"/>
        <rFont val="Tahoma"/>
        <family val="2"/>
      </rPr>
      <t xml:space="preserve"> 16/02/2026</t>
    </r>
  </si>
  <si>
    <t xml:space="preserve">Thyago Biasin </t>
  </si>
  <si>
    <t>Rheno Tormin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</si>
</sst>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0.0"/>
    <numFmt numFmtId="165" formatCode="0.000"/>
    <numFmt numFmtId="166" formatCode="000"/>
    <numFmt numFmtId="167" formatCode="dd/mm/yy;@"/>
    <numFmt numFmtId="168" formatCode="[$-416]mmm\-yy;@"/>
    <numFmt numFmtId="169" formatCode="0.00#\ &quot;mm&quot;"/>
    <numFmt numFmtId="170" formatCode="0.0#\ &quot;mm&quot;"/>
    <numFmt numFmtId="171" formatCode="0.0\ &quot;mm&quot;"/>
    <numFmt numFmtId="172" formatCode="0\ &quot;mm&quot;"/>
    <numFmt numFmtId="173" formatCode="_(* #,##0.00_);_(* \(#,##0.00\);_(* &quot;-&quot;??_);_(@_)"/>
    <numFmt numFmtId="174" formatCode="#,##0.0_);\(#,##0.0\)"/>
    <numFmt numFmtId="175" formatCode="_(* #,##0.0_);_(* \(#,##0.0\);_(* &quot;-&quot;??_);_(@_)"/>
    <numFmt numFmtId="176" formatCode="#,##0.0"/>
    <numFmt numFmtId="177" formatCode="#,##0.000"/>
    <numFmt numFmtId="178" formatCode="_(* #,##0.000_);_(* \(#,##0.000\);_(* &quot;-&quot;??_);_(@_)"/>
    <numFmt numFmtId="179" formatCode="#,##0.000_);\(#,##0.000\)"/>
    <numFmt numFmtId="180" formatCode="_(* #,##0_);_(* \(#,##0\);_(* &quot;-&quot;??_);_(@_)"/>
    <numFmt numFmtId="181" formatCode="0.000000"/>
  </numFmts>
  <fonts count="42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12"/>
      <name val="Comic Sans MS"/>
      <family val="4"/>
    </font>
    <font>
      <b/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vertAlign val="superscript"/>
      <sz val="10"/>
      <name val="Arial"/>
      <family val="2"/>
    </font>
    <font>
      <sz val="18"/>
      <name val="Comic Sans MS"/>
      <family val="4"/>
    </font>
    <font>
      <b/>
      <sz val="10"/>
      <color indexed="81"/>
      <name val="Tahoma"/>
      <family val="2"/>
    </font>
    <font>
      <b/>
      <sz val="11"/>
      <color indexed="81"/>
      <name val="Tahoma"/>
      <family val="2"/>
    </font>
    <font>
      <sz val="16"/>
      <name val="Arial"/>
      <family val="2"/>
    </font>
    <font>
      <sz val="10"/>
      <name val="Calibri"/>
      <family val="2"/>
      <scheme val="minor"/>
    </font>
    <font>
      <sz val="12"/>
      <color rgb="FFFF0000"/>
      <name val="Arial"/>
      <family val="2"/>
    </font>
    <font>
      <sz val="12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sz val="10"/>
      <color indexed="10"/>
      <name val="Arial"/>
      <family val="2"/>
    </font>
    <font>
      <sz val="8"/>
      <color indexed="10"/>
      <name val="Arial"/>
      <family val="2"/>
    </font>
    <font>
      <b/>
      <sz val="16"/>
      <name val="Arial"/>
      <family val="2"/>
    </font>
    <font>
      <b/>
      <sz val="10"/>
      <color indexed="10"/>
      <name val="Arial"/>
      <family val="2"/>
    </font>
    <font>
      <sz val="10"/>
      <color indexed="12"/>
      <name val="Arial"/>
      <family val="2"/>
    </font>
    <font>
      <b/>
      <sz val="12"/>
      <name val="Arial"/>
      <family val="2"/>
    </font>
    <font>
      <sz val="10"/>
      <color indexed="8"/>
      <name val="Arial"/>
      <family val="2"/>
    </font>
    <font>
      <b/>
      <sz val="12"/>
      <color indexed="10"/>
      <name val="Arial"/>
      <family val="2"/>
    </font>
    <font>
      <b/>
      <sz val="10"/>
      <name val="Arial"/>
      <family val="2"/>
    </font>
    <font>
      <b/>
      <sz val="8"/>
      <color indexed="12"/>
      <name val="Arial"/>
      <family val="2"/>
    </font>
    <font>
      <b/>
      <sz val="8"/>
      <color indexed="10"/>
      <name val="Arial"/>
      <family val="2"/>
    </font>
    <font>
      <b/>
      <sz val="9"/>
      <color indexed="12"/>
      <name val="Arial"/>
      <family val="2"/>
    </font>
    <font>
      <b/>
      <sz val="10"/>
      <color indexed="12"/>
      <name val="Arial"/>
      <family val="2"/>
    </font>
    <font>
      <sz val="7"/>
      <name val="Arial"/>
      <family val="2"/>
    </font>
    <font>
      <sz val="8"/>
      <color indexed="8"/>
      <name val="Arial"/>
      <family val="2"/>
    </font>
    <font>
      <sz val="12"/>
      <name val="Tahoma"/>
      <family val="2"/>
    </font>
    <font>
      <b/>
      <sz val="10"/>
      <color theme="0"/>
      <name val="Tahoma"/>
      <family val="2"/>
    </font>
    <font>
      <b/>
      <sz val="18"/>
      <color theme="0"/>
      <name val="Tahoma"/>
      <family val="2"/>
    </font>
    <font>
      <b/>
      <sz val="12"/>
      <color theme="0"/>
      <name val="Tahoma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b/>
      <sz val="12"/>
      <name val="Tahoma"/>
      <family val="2"/>
    </font>
    <font>
      <b/>
      <sz val="12"/>
      <color indexed="8"/>
      <name val="Tahoma"/>
      <family val="2"/>
    </font>
    <font>
      <sz val="12"/>
      <color rgb="FF000000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2060"/>
        <bgColor indexed="64"/>
      </patternFill>
    </fill>
  </fills>
  <borders count="1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double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double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0" fontId="2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173" fontId="15" fillId="0" borderId="0" applyFont="0" applyFill="0" applyBorder="0" applyAlignment="0" applyProtection="0"/>
    <xf numFmtId="0" fontId="1" fillId="0" borderId="0"/>
  </cellStyleXfs>
  <cellXfs count="506">
    <xf numFmtId="0" fontId="0" fillId="0" borderId="0" xfId="0"/>
    <xf numFmtId="0" fontId="1" fillId="0" borderId="0" xfId="2"/>
    <xf numFmtId="0" fontId="1" fillId="0" borderId="0" xfId="2" applyAlignment="1">
      <alignment horizontal="center"/>
    </xf>
    <xf numFmtId="165" fontId="1" fillId="0" borderId="0" xfId="2" applyNumberFormat="1"/>
    <xf numFmtId="0" fontId="4" fillId="0" borderId="0" xfId="2" applyFont="1" applyProtection="1">
      <protection hidden="1"/>
    </xf>
    <xf numFmtId="0" fontId="1" fillId="0" borderId="0" xfId="2" applyProtection="1">
      <protection hidden="1"/>
    </xf>
    <xf numFmtId="0" fontId="4" fillId="2" borderId="65" xfId="2" applyFont="1" applyFill="1" applyBorder="1" applyAlignment="1" applyProtection="1">
      <alignment horizontal="centerContinuous" vertical="center"/>
      <protection hidden="1"/>
    </xf>
    <xf numFmtId="0" fontId="4" fillId="2" borderId="5" xfId="2" applyFont="1" applyFill="1" applyBorder="1" applyAlignment="1" applyProtection="1">
      <alignment horizontal="centerContinuous" vertical="center"/>
      <protection hidden="1"/>
    </xf>
    <xf numFmtId="170" fontId="4" fillId="2" borderId="59" xfId="2" applyNumberFormat="1" applyFont="1" applyFill="1" applyBorder="1" applyAlignment="1" applyProtection="1">
      <alignment horizontal="center" vertical="center"/>
      <protection hidden="1"/>
    </xf>
    <xf numFmtId="169" fontId="4" fillId="2" borderId="55" xfId="2" applyNumberFormat="1" applyFont="1" applyFill="1" applyBorder="1" applyAlignment="1" applyProtection="1">
      <alignment horizontal="center" vertical="center"/>
      <protection hidden="1"/>
    </xf>
    <xf numFmtId="2" fontId="5" fillId="0" borderId="1" xfId="3" applyNumberFormat="1" applyFont="1" applyFill="1" applyBorder="1" applyAlignment="1" applyProtection="1">
      <alignment horizontal="center" vertical="center"/>
      <protection hidden="1"/>
    </xf>
    <xf numFmtId="165" fontId="5" fillId="0" borderId="46" xfId="3" applyNumberFormat="1" applyFont="1" applyFill="1" applyBorder="1" applyAlignment="1" applyProtection="1">
      <alignment horizontal="center" vertical="center"/>
      <protection hidden="1"/>
    </xf>
    <xf numFmtId="0" fontId="5" fillId="0" borderId="47" xfId="2" applyFont="1" applyBorder="1" applyAlignment="1" applyProtection="1">
      <alignment horizontal="center" vertical="center"/>
      <protection hidden="1"/>
    </xf>
    <xf numFmtId="166" fontId="5" fillId="0" borderId="48" xfId="2" applyNumberFormat="1" applyFont="1" applyBorder="1" applyAlignment="1" applyProtection="1">
      <alignment horizontal="center" vertical="center"/>
      <protection hidden="1"/>
    </xf>
    <xf numFmtId="167" fontId="5" fillId="0" borderId="49" xfId="2" applyNumberFormat="1" applyFont="1" applyBorder="1" applyAlignment="1" applyProtection="1">
      <alignment horizontal="center" vertical="center"/>
      <protection hidden="1"/>
    </xf>
    <xf numFmtId="164" fontId="5" fillId="0" borderId="48" xfId="2" applyNumberFormat="1" applyFont="1" applyBorder="1" applyAlignment="1" applyProtection="1">
      <alignment horizontal="center" vertical="center"/>
      <protection hidden="1"/>
    </xf>
    <xf numFmtId="164" fontId="5" fillId="0" borderId="50" xfId="2" applyNumberFormat="1" applyFont="1" applyBorder="1" applyAlignment="1" applyProtection="1">
      <alignment horizontal="center" vertical="center"/>
      <protection hidden="1"/>
    </xf>
    <xf numFmtId="2" fontId="5" fillId="0" borderId="49" xfId="3" applyNumberFormat="1" applyFont="1" applyFill="1" applyBorder="1" applyAlignment="1" applyProtection="1">
      <alignment horizontal="center" vertical="center"/>
      <protection hidden="1"/>
    </xf>
    <xf numFmtId="165" fontId="5" fillId="0" borderId="49" xfId="3" applyNumberFormat="1" applyFont="1" applyFill="1" applyBorder="1" applyAlignment="1" applyProtection="1">
      <alignment horizontal="center" vertical="center"/>
      <protection hidden="1"/>
    </xf>
    <xf numFmtId="165" fontId="5" fillId="0" borderId="48" xfId="3" applyNumberFormat="1" applyFont="1" applyFill="1" applyBorder="1" applyAlignment="1" applyProtection="1">
      <alignment horizontal="center" vertical="center" wrapText="1"/>
      <protection hidden="1"/>
    </xf>
    <xf numFmtId="0" fontId="5" fillId="0" borderId="50" xfId="2" applyFont="1" applyBorder="1" applyAlignment="1" applyProtection="1">
      <alignment horizontal="center" vertical="center"/>
      <protection hidden="1"/>
    </xf>
    <xf numFmtId="164" fontId="6" fillId="3" borderId="42" xfId="2" applyNumberFormat="1" applyFont="1" applyFill="1" applyBorder="1" applyAlignment="1" applyProtection="1">
      <alignment horizontal="center" vertical="center"/>
      <protection hidden="1"/>
    </xf>
    <xf numFmtId="164" fontId="6" fillId="3" borderId="43" xfId="2" applyNumberFormat="1" applyFont="1" applyFill="1" applyBorder="1" applyAlignment="1" applyProtection="1">
      <alignment horizontal="center" vertical="center"/>
      <protection hidden="1"/>
    </xf>
    <xf numFmtId="164" fontId="6" fillId="3" borderId="45" xfId="2" applyNumberFormat="1" applyFont="1" applyFill="1" applyBorder="1" applyAlignment="1" applyProtection="1">
      <alignment horizontal="center" vertical="center"/>
      <protection hidden="1"/>
    </xf>
    <xf numFmtId="164" fontId="6" fillId="3" borderId="63" xfId="2" applyNumberFormat="1" applyFont="1" applyFill="1" applyBorder="1" applyAlignment="1" applyProtection="1">
      <alignment horizontal="center" vertical="center"/>
      <protection hidden="1"/>
    </xf>
    <xf numFmtId="2" fontId="6" fillId="3" borderId="43" xfId="2" applyNumberFormat="1" applyFont="1" applyFill="1" applyBorder="1" applyAlignment="1" applyProtection="1">
      <alignment horizontal="center" vertical="center"/>
      <protection hidden="1"/>
    </xf>
    <xf numFmtId="165" fontId="6" fillId="3" borderId="43" xfId="2" applyNumberFormat="1" applyFont="1" applyFill="1" applyBorder="1" applyAlignment="1" applyProtection="1">
      <alignment horizontal="center" vertical="center"/>
      <protection hidden="1"/>
    </xf>
    <xf numFmtId="2" fontId="6" fillId="3" borderId="51" xfId="2" applyNumberFormat="1" applyFont="1" applyFill="1" applyBorder="1" applyAlignment="1" applyProtection="1">
      <alignment vertical="center"/>
      <protection hidden="1"/>
    </xf>
    <xf numFmtId="2" fontId="6" fillId="3" borderId="52" xfId="2" applyNumberFormat="1" applyFont="1" applyFill="1" applyBorder="1" applyAlignment="1" applyProtection="1">
      <alignment vertical="center"/>
      <protection hidden="1"/>
    </xf>
    <xf numFmtId="164" fontId="6" fillId="3" borderId="38" xfId="2" applyNumberFormat="1" applyFont="1" applyFill="1" applyBorder="1" applyAlignment="1" applyProtection="1">
      <alignment horizontal="center" vertical="center"/>
      <protection hidden="1"/>
    </xf>
    <xf numFmtId="164" fontId="6" fillId="3" borderId="1" xfId="2" applyNumberFormat="1" applyFont="1" applyFill="1" applyBorder="1" applyAlignment="1" applyProtection="1">
      <alignment horizontal="center" vertical="center"/>
      <protection hidden="1"/>
    </xf>
    <xf numFmtId="164" fontId="6" fillId="3" borderId="3" xfId="2" applyNumberFormat="1" applyFont="1" applyFill="1" applyBorder="1" applyAlignment="1" applyProtection="1">
      <alignment horizontal="center" vertical="center"/>
      <protection hidden="1"/>
    </xf>
    <xf numFmtId="2" fontId="6" fillId="3" borderId="2" xfId="2" applyNumberFormat="1" applyFont="1" applyFill="1" applyBorder="1" applyAlignment="1" applyProtection="1">
      <alignment horizontal="center" vertical="center"/>
      <protection hidden="1"/>
    </xf>
    <xf numFmtId="2" fontId="6" fillId="3" borderId="1" xfId="2" applyNumberFormat="1" applyFont="1" applyFill="1" applyBorder="1" applyAlignment="1" applyProtection="1">
      <alignment horizontal="center" vertical="center"/>
      <protection hidden="1"/>
    </xf>
    <xf numFmtId="165" fontId="6" fillId="3" borderId="1" xfId="2" applyNumberFormat="1" applyFont="1" applyFill="1" applyBorder="1" applyAlignment="1" applyProtection="1">
      <alignment horizontal="center" vertical="center"/>
      <protection hidden="1"/>
    </xf>
    <xf numFmtId="2" fontId="6" fillId="3" borderId="12" xfId="2" applyNumberFormat="1" applyFont="1" applyFill="1" applyBorder="1" applyAlignment="1" applyProtection="1">
      <alignment vertical="center"/>
      <protection hidden="1"/>
    </xf>
    <xf numFmtId="2" fontId="6" fillId="3" borderId="29" xfId="2" applyNumberFormat="1" applyFont="1" applyFill="1" applyBorder="1" applyAlignment="1" applyProtection="1">
      <alignment vertical="center"/>
      <protection hidden="1"/>
    </xf>
    <xf numFmtId="164" fontId="6" fillId="3" borderId="2" xfId="2" applyNumberFormat="1" applyFont="1" applyFill="1" applyBorder="1" applyAlignment="1" applyProtection="1">
      <alignment horizontal="center" vertical="center"/>
      <protection hidden="1"/>
    </xf>
    <xf numFmtId="164" fontId="6" fillId="3" borderId="39" xfId="2" applyNumberFormat="1" applyFont="1" applyFill="1" applyBorder="1" applyAlignment="1" applyProtection="1">
      <alignment horizontal="center" vertical="center"/>
      <protection hidden="1"/>
    </xf>
    <xf numFmtId="164" fontId="6" fillId="3" borderId="40" xfId="2" applyNumberFormat="1" applyFont="1" applyFill="1" applyBorder="1" applyAlignment="1" applyProtection="1">
      <alignment horizontal="center" vertical="center"/>
      <protection hidden="1"/>
    </xf>
    <xf numFmtId="164" fontId="6" fillId="3" borderId="41" xfId="2" applyNumberFormat="1" applyFont="1" applyFill="1" applyBorder="1" applyAlignment="1" applyProtection="1">
      <alignment horizontal="center" vertical="center"/>
      <protection hidden="1"/>
    </xf>
    <xf numFmtId="164" fontId="6" fillId="3" borderId="64" xfId="2" applyNumberFormat="1" applyFont="1" applyFill="1" applyBorder="1" applyAlignment="1" applyProtection="1">
      <alignment horizontal="center" vertical="center"/>
      <protection hidden="1"/>
    </xf>
    <xf numFmtId="2" fontId="6" fillId="3" borderId="40" xfId="2" applyNumberFormat="1" applyFont="1" applyFill="1" applyBorder="1" applyAlignment="1" applyProtection="1">
      <alignment horizontal="center" vertical="center"/>
      <protection hidden="1"/>
    </xf>
    <xf numFmtId="165" fontId="6" fillId="3" borderId="40" xfId="2" applyNumberFormat="1" applyFont="1" applyFill="1" applyBorder="1" applyAlignment="1" applyProtection="1">
      <alignment horizontal="center" vertical="center"/>
      <protection hidden="1"/>
    </xf>
    <xf numFmtId="2" fontId="6" fillId="3" borderId="11" xfId="2" applyNumberFormat="1" applyFont="1" applyFill="1" applyBorder="1" applyAlignment="1" applyProtection="1">
      <alignment vertical="center"/>
      <protection hidden="1"/>
    </xf>
    <xf numFmtId="2" fontId="6" fillId="3" borderId="30" xfId="2" applyNumberFormat="1" applyFont="1" applyFill="1" applyBorder="1" applyAlignment="1" applyProtection="1">
      <alignment vertical="center"/>
      <protection hidden="1"/>
    </xf>
    <xf numFmtId="165" fontId="1" fillId="0" borderId="0" xfId="2" applyNumberFormat="1" applyAlignment="1" applyProtection="1">
      <alignment horizontal="center"/>
      <protection hidden="1"/>
    </xf>
    <xf numFmtId="2" fontId="1" fillId="0" borderId="0" xfId="2" applyNumberFormat="1" applyAlignment="1" applyProtection="1">
      <alignment horizontal="center"/>
      <protection hidden="1"/>
    </xf>
    <xf numFmtId="1" fontId="5" fillId="0" borderId="32" xfId="2" applyNumberFormat="1" applyFont="1" applyBorder="1" applyAlignment="1" applyProtection="1">
      <alignment horizontal="center" vertical="center"/>
      <protection hidden="1"/>
    </xf>
    <xf numFmtId="0" fontId="5" fillId="0" borderId="32" xfId="2" applyFont="1" applyBorder="1" applyAlignment="1" applyProtection="1">
      <alignment horizontal="center" vertical="center"/>
      <protection hidden="1"/>
    </xf>
    <xf numFmtId="0" fontId="5" fillId="0" borderId="26" xfId="2" applyFont="1" applyBorder="1" applyAlignment="1" applyProtection="1">
      <alignment horizontal="center" vertical="center"/>
      <protection hidden="1"/>
    </xf>
    <xf numFmtId="1" fontId="5" fillId="0" borderId="4" xfId="2" applyNumberFormat="1" applyFont="1" applyBorder="1" applyAlignment="1" applyProtection="1">
      <alignment horizontal="center" vertical="center"/>
      <protection hidden="1"/>
    </xf>
    <xf numFmtId="0" fontId="5" fillId="0" borderId="4" xfId="2" applyFont="1" applyBorder="1" applyAlignment="1" applyProtection="1">
      <alignment horizontal="center" vertical="center"/>
      <protection hidden="1"/>
    </xf>
    <xf numFmtId="0" fontId="5" fillId="0" borderId="60" xfId="2" applyFont="1" applyBorder="1" applyAlignment="1" applyProtection="1">
      <alignment horizontal="center" vertical="center"/>
      <protection hidden="1"/>
    </xf>
    <xf numFmtId="1" fontId="5" fillId="0" borderId="20" xfId="2" applyNumberFormat="1" applyFont="1" applyBorder="1" applyAlignment="1" applyProtection="1">
      <alignment horizontal="center" vertical="center"/>
      <protection hidden="1"/>
    </xf>
    <xf numFmtId="0" fontId="5" fillId="0" borderId="20" xfId="2" applyFont="1" applyBorder="1" applyAlignment="1" applyProtection="1">
      <alignment horizontal="center" vertical="center"/>
      <protection hidden="1"/>
    </xf>
    <xf numFmtId="0" fontId="5" fillId="0" borderId="66" xfId="2" applyFont="1" applyBorder="1" applyAlignment="1" applyProtection="1">
      <alignment horizontal="center" vertical="center"/>
      <protection hidden="1"/>
    </xf>
    <xf numFmtId="1" fontId="5" fillId="0" borderId="8" xfId="2" applyNumberFormat="1" applyFont="1" applyBorder="1" applyAlignment="1" applyProtection="1">
      <alignment horizontal="center" vertical="center"/>
      <protection hidden="1"/>
    </xf>
    <xf numFmtId="164" fontId="5" fillId="0" borderId="8" xfId="2" applyNumberFormat="1" applyFont="1" applyBorder="1" applyAlignment="1" applyProtection="1">
      <alignment horizontal="center" vertical="center"/>
      <protection hidden="1"/>
    </xf>
    <xf numFmtId="164" fontId="5" fillId="0" borderId="67" xfId="2" applyNumberFormat="1" applyFont="1" applyBorder="1" applyAlignment="1" applyProtection="1">
      <alignment horizontal="center" vertical="center"/>
      <protection hidden="1"/>
    </xf>
    <xf numFmtId="164" fontId="5" fillId="0" borderId="4" xfId="2" applyNumberFormat="1" applyFont="1" applyBorder="1" applyAlignment="1" applyProtection="1">
      <alignment horizontal="center" vertical="center"/>
      <protection hidden="1"/>
    </xf>
    <xf numFmtId="164" fontId="5" fillId="0" borderId="60" xfId="2" applyNumberFormat="1" applyFont="1" applyBorder="1" applyAlignment="1" applyProtection="1">
      <alignment horizontal="center" vertical="center"/>
      <protection hidden="1"/>
    </xf>
    <xf numFmtId="1" fontId="5" fillId="0" borderId="10" xfId="2" applyNumberFormat="1" applyFont="1" applyBorder="1" applyAlignment="1" applyProtection="1">
      <alignment horizontal="center" vertical="center"/>
      <protection hidden="1"/>
    </xf>
    <xf numFmtId="164" fontId="5" fillId="0" borderId="10" xfId="2" applyNumberFormat="1" applyFont="1" applyBorder="1" applyAlignment="1" applyProtection="1">
      <alignment horizontal="center" vertical="center"/>
      <protection hidden="1"/>
    </xf>
    <xf numFmtId="164" fontId="5" fillId="0" borderId="68" xfId="2" applyNumberFormat="1" applyFont="1" applyBorder="1" applyAlignment="1" applyProtection="1">
      <alignment horizontal="center" vertical="center"/>
      <protection hidden="1"/>
    </xf>
    <xf numFmtId="0" fontId="11" fillId="0" borderId="0" xfId="2" applyFont="1" applyAlignment="1" applyProtection="1">
      <alignment horizontal="center" vertical="center"/>
      <protection hidden="1"/>
    </xf>
    <xf numFmtId="0" fontId="12" fillId="0" borderId="11" xfId="2" applyFont="1" applyBorder="1" applyAlignment="1" applyProtection="1">
      <alignment horizontal="center" vertical="center"/>
      <protection hidden="1"/>
    </xf>
    <xf numFmtId="0" fontId="1" fillId="0" borderId="11" xfId="2" applyBorder="1" applyAlignment="1" applyProtection="1">
      <alignment horizontal="center" vertical="center"/>
      <protection hidden="1"/>
    </xf>
    <xf numFmtId="0" fontId="12" fillId="0" borderId="30" xfId="2" applyFont="1" applyBorder="1" applyAlignment="1" applyProtection="1">
      <alignment horizontal="center" vertical="center"/>
      <protection hidden="1"/>
    </xf>
    <xf numFmtId="168" fontId="5" fillId="0" borderId="37" xfId="2" applyNumberFormat="1" applyFont="1" applyBorder="1" applyAlignment="1" applyProtection="1">
      <alignment horizontal="center" vertical="center"/>
      <protection locked="0"/>
    </xf>
    <xf numFmtId="166" fontId="5" fillId="0" borderId="1" xfId="2" applyNumberFormat="1" applyFont="1" applyBorder="1" applyAlignment="1" applyProtection="1">
      <alignment horizontal="center" vertical="center"/>
      <protection locked="0"/>
    </xf>
    <xf numFmtId="167" fontId="5" fillId="0" borderId="46" xfId="2" applyNumberFormat="1" applyFont="1" applyBorder="1" applyAlignment="1" applyProtection="1">
      <alignment horizontal="center" vertical="center"/>
      <protection locked="0"/>
    </xf>
    <xf numFmtId="164" fontId="5" fillId="0" borderId="38" xfId="2" applyNumberFormat="1" applyFont="1" applyBorder="1" applyAlignment="1" applyProtection="1">
      <alignment horizontal="center" vertical="center"/>
      <protection locked="0"/>
    </xf>
    <xf numFmtId="164" fontId="5" fillId="0" borderId="1" xfId="2" applyNumberFormat="1" applyFont="1" applyBorder="1" applyAlignment="1" applyProtection="1">
      <alignment horizontal="center" vertical="center"/>
      <protection locked="0"/>
    </xf>
    <xf numFmtId="164" fontId="5" fillId="0" borderId="3" xfId="2" applyNumberFormat="1" applyFont="1" applyBorder="1" applyAlignment="1" applyProtection="1">
      <alignment horizontal="center" vertical="center"/>
      <protection locked="0"/>
    </xf>
    <xf numFmtId="0" fontId="5" fillId="0" borderId="2" xfId="2" applyFont="1" applyBorder="1" applyAlignment="1" applyProtection="1">
      <alignment horizontal="center" vertical="center"/>
      <protection locked="0"/>
    </xf>
    <xf numFmtId="2" fontId="5" fillId="0" borderId="1" xfId="3" applyNumberFormat="1" applyFont="1" applyFill="1" applyBorder="1" applyAlignment="1" applyProtection="1">
      <alignment horizontal="center" vertical="center"/>
      <protection locked="0"/>
    </xf>
    <xf numFmtId="2" fontId="5" fillId="0" borderId="46" xfId="3" applyNumberFormat="1" applyFont="1" applyFill="1" applyBorder="1" applyAlignment="1" applyProtection="1">
      <alignment horizontal="center" vertical="center"/>
      <protection locked="0"/>
    </xf>
    <xf numFmtId="165" fontId="5" fillId="0" borderId="46" xfId="3" applyNumberFormat="1" applyFont="1" applyFill="1" applyBorder="1" applyAlignment="1" applyProtection="1">
      <alignment horizontal="center" vertical="center"/>
      <protection locked="0"/>
    </xf>
    <xf numFmtId="165" fontId="5" fillId="0" borderId="1" xfId="3" applyNumberFormat="1" applyFont="1" applyFill="1" applyBorder="1" applyAlignment="1" applyProtection="1">
      <alignment horizontal="center" vertical="center" wrapText="1"/>
      <protection locked="0"/>
    </xf>
    <xf numFmtId="0" fontId="5" fillId="0" borderId="3" xfId="2" applyFont="1" applyBorder="1" applyAlignment="1" applyProtection="1">
      <alignment horizontal="center" vertical="center"/>
      <protection locked="0"/>
    </xf>
    <xf numFmtId="0" fontId="5" fillId="0" borderId="47" xfId="2" applyFont="1" applyBorder="1" applyAlignment="1" applyProtection="1">
      <alignment horizontal="center" vertical="center"/>
      <protection locked="0"/>
    </xf>
    <xf numFmtId="166" fontId="5" fillId="0" borderId="48" xfId="2" applyNumberFormat="1" applyFont="1" applyBorder="1" applyAlignment="1" applyProtection="1">
      <alignment horizontal="center" vertical="center"/>
      <protection locked="0"/>
    </xf>
    <xf numFmtId="167" fontId="5" fillId="0" borderId="49" xfId="2" applyNumberFormat="1" applyFont="1" applyBorder="1" applyAlignment="1" applyProtection="1">
      <alignment horizontal="center" vertical="center"/>
      <protection locked="0"/>
    </xf>
    <xf numFmtId="164" fontId="5" fillId="0" borderId="48" xfId="2" applyNumberFormat="1" applyFont="1" applyBorder="1" applyAlignment="1" applyProtection="1">
      <alignment horizontal="center" vertical="center"/>
      <protection locked="0"/>
    </xf>
    <xf numFmtId="164" fontId="5" fillId="0" borderId="50" xfId="2" applyNumberFormat="1" applyFont="1" applyBorder="1" applyAlignment="1" applyProtection="1">
      <alignment horizontal="center" vertical="center"/>
      <protection locked="0"/>
    </xf>
    <xf numFmtId="2" fontId="5" fillId="0" borderId="49" xfId="3" applyNumberFormat="1" applyFont="1" applyFill="1" applyBorder="1" applyAlignment="1" applyProtection="1">
      <alignment horizontal="center" vertical="center"/>
      <protection locked="0"/>
    </xf>
    <xf numFmtId="165" fontId="5" fillId="0" borderId="49" xfId="3" applyNumberFormat="1" applyFont="1" applyFill="1" applyBorder="1" applyAlignment="1" applyProtection="1">
      <alignment horizontal="center" vertical="center"/>
      <protection locked="0"/>
    </xf>
    <xf numFmtId="165" fontId="5" fillId="0" borderId="48" xfId="3" applyNumberFormat="1" applyFont="1" applyFill="1" applyBorder="1" applyAlignment="1" applyProtection="1">
      <alignment horizontal="center" vertical="center" wrapText="1"/>
      <protection locked="0"/>
    </xf>
    <xf numFmtId="0" fontId="5" fillId="0" borderId="50" xfId="2" applyFont="1" applyBorder="1" applyAlignment="1" applyProtection="1">
      <alignment horizontal="center" vertical="center"/>
      <protection locked="0"/>
    </xf>
    <xf numFmtId="171" fontId="4" fillId="2" borderId="59" xfId="2" applyNumberFormat="1" applyFont="1" applyFill="1" applyBorder="1" applyAlignment="1" applyProtection="1">
      <alignment horizontal="center" vertical="center"/>
      <protection hidden="1"/>
    </xf>
    <xf numFmtId="171" fontId="4" fillId="2" borderId="55" xfId="2" applyNumberFormat="1" applyFont="1" applyFill="1" applyBorder="1" applyAlignment="1" applyProtection="1">
      <alignment horizontal="center" vertical="center"/>
      <protection hidden="1"/>
    </xf>
    <xf numFmtId="164" fontId="5" fillId="0" borderId="47" xfId="2" applyNumberFormat="1" applyFont="1" applyBorder="1" applyAlignment="1" applyProtection="1">
      <alignment horizontal="center" vertical="center"/>
      <protection hidden="1"/>
    </xf>
    <xf numFmtId="0" fontId="5" fillId="0" borderId="8" xfId="2" applyFont="1" applyBorder="1" applyAlignment="1" applyProtection="1">
      <alignment horizontal="center" vertical="center" wrapText="1"/>
      <protection hidden="1"/>
    </xf>
    <xf numFmtId="0" fontId="5" fillId="0" borderId="4" xfId="2" applyFont="1" applyBorder="1" applyAlignment="1" applyProtection="1">
      <alignment horizontal="center" vertical="center" wrapText="1"/>
      <protection hidden="1"/>
    </xf>
    <xf numFmtId="0" fontId="5" fillId="0" borderId="10" xfId="2" applyFont="1" applyBorder="1" applyAlignment="1" applyProtection="1">
      <alignment horizontal="center" vertical="center" wrapText="1"/>
      <protection hidden="1"/>
    </xf>
    <xf numFmtId="164" fontId="5" fillId="0" borderId="47" xfId="2" applyNumberFormat="1" applyFont="1" applyBorder="1" applyAlignment="1" applyProtection="1">
      <alignment horizontal="center" vertical="center"/>
      <protection locked="0"/>
    </xf>
    <xf numFmtId="0" fontId="5" fillId="0" borderId="14" xfId="2" applyFont="1" applyBorder="1" applyAlignment="1" applyProtection="1">
      <alignment horizontal="center" vertical="center"/>
      <protection hidden="1"/>
    </xf>
    <xf numFmtId="0" fontId="5" fillId="0" borderId="7" xfId="2" applyFont="1" applyBorder="1" applyAlignment="1" applyProtection="1">
      <alignment horizontal="center" vertical="center"/>
      <protection hidden="1"/>
    </xf>
    <xf numFmtId="164" fontId="5" fillId="0" borderId="22" xfId="2" applyNumberFormat="1" applyFont="1" applyBorder="1" applyAlignment="1" applyProtection="1">
      <alignment horizontal="center" vertical="center"/>
      <protection hidden="1"/>
    </xf>
    <xf numFmtId="164" fontId="5" fillId="0" borderId="24" xfId="2" applyNumberFormat="1" applyFont="1" applyBorder="1" applyAlignment="1" applyProtection="1">
      <alignment horizontal="center" vertical="center"/>
      <protection hidden="1"/>
    </xf>
    <xf numFmtId="0" fontId="6" fillId="0" borderId="0" xfId="2" applyFont="1" applyAlignment="1" applyProtection="1">
      <alignment horizontal="center" vertical="center" textRotation="90" wrapText="1"/>
      <protection hidden="1"/>
    </xf>
    <xf numFmtId="0" fontId="12" fillId="0" borderId="70" xfId="2" applyFont="1" applyBorder="1" applyAlignment="1" applyProtection="1">
      <alignment horizontal="center" vertical="center"/>
      <protection hidden="1"/>
    </xf>
    <xf numFmtId="164" fontId="5" fillId="0" borderId="2" xfId="2" applyNumberFormat="1" applyFont="1" applyBorder="1" applyAlignment="1" applyProtection="1">
      <alignment horizontal="center" vertical="center"/>
      <protection locked="0"/>
    </xf>
    <xf numFmtId="0" fontId="4" fillId="2" borderId="5" xfId="2" applyFont="1" applyFill="1" applyBorder="1" applyAlignment="1" applyProtection="1">
      <alignment horizontal="center" vertical="center"/>
      <protection hidden="1"/>
    </xf>
    <xf numFmtId="172" fontId="4" fillId="2" borderId="59" xfId="2" applyNumberFormat="1" applyFont="1" applyFill="1" applyBorder="1" applyAlignment="1" applyProtection="1">
      <alignment horizontal="center" vertical="center"/>
      <protection hidden="1"/>
    </xf>
    <xf numFmtId="172" fontId="4" fillId="2" borderId="55" xfId="2" applyNumberFormat="1" applyFont="1" applyFill="1" applyBorder="1" applyAlignment="1" applyProtection="1">
      <alignment horizontal="center" vertical="center"/>
      <protection hidden="1"/>
    </xf>
    <xf numFmtId="1" fontId="5" fillId="0" borderId="2" xfId="2" applyNumberFormat="1" applyFont="1" applyBorder="1" applyAlignment="1" applyProtection="1">
      <alignment horizontal="center" vertical="center"/>
      <protection hidden="1"/>
    </xf>
    <xf numFmtId="164" fontId="5" fillId="0" borderId="49" xfId="3" applyNumberFormat="1" applyFont="1" applyFill="1" applyBorder="1" applyAlignment="1" applyProtection="1">
      <alignment horizontal="center" vertical="center"/>
      <protection hidden="1"/>
    </xf>
    <xf numFmtId="1" fontId="6" fillId="3" borderId="2" xfId="2" applyNumberFormat="1" applyFont="1" applyFill="1" applyBorder="1" applyAlignment="1" applyProtection="1">
      <alignment horizontal="center" vertical="center"/>
      <protection hidden="1"/>
    </xf>
    <xf numFmtId="0" fontId="12" fillId="0" borderId="10" xfId="2" applyFont="1" applyBorder="1" applyAlignment="1" applyProtection="1">
      <alignment horizontal="center" vertical="center"/>
      <protection hidden="1"/>
    </xf>
    <xf numFmtId="0" fontId="12" fillId="0" borderId="24" xfId="2" applyFont="1" applyBorder="1" applyAlignment="1" applyProtection="1">
      <alignment horizontal="center" vertical="center"/>
      <protection hidden="1"/>
    </xf>
    <xf numFmtId="1" fontId="5" fillId="0" borderId="2" xfId="2" applyNumberFormat="1" applyFont="1" applyBorder="1" applyAlignment="1" applyProtection="1">
      <alignment horizontal="center" vertical="center"/>
      <protection locked="0"/>
    </xf>
    <xf numFmtId="164" fontId="5" fillId="0" borderId="46" xfId="3" applyNumberFormat="1" applyFont="1" applyFill="1" applyBorder="1" applyAlignment="1" applyProtection="1">
      <alignment horizontal="center" vertical="center"/>
      <protection locked="0"/>
    </xf>
    <xf numFmtId="164" fontId="5" fillId="0" borderId="49" xfId="3" applyNumberFormat="1" applyFont="1" applyFill="1" applyBorder="1" applyAlignment="1" applyProtection="1">
      <alignment horizontal="center" vertical="center"/>
      <protection locked="0"/>
    </xf>
    <xf numFmtId="1" fontId="6" fillId="3" borderId="63" xfId="2" applyNumberFormat="1" applyFont="1" applyFill="1" applyBorder="1" applyAlignment="1" applyProtection="1">
      <alignment horizontal="center" vertical="center"/>
      <protection hidden="1"/>
    </xf>
    <xf numFmtId="1" fontId="5" fillId="4" borderId="2" xfId="2" applyNumberFormat="1" applyFont="1" applyFill="1" applyBorder="1" applyAlignment="1" applyProtection="1">
      <alignment horizontal="center" vertical="center"/>
      <protection locked="0"/>
    </xf>
    <xf numFmtId="2" fontId="5" fillId="4" borderId="1" xfId="3" applyNumberFormat="1" applyFont="1" applyFill="1" applyBorder="1" applyAlignment="1" applyProtection="1">
      <alignment horizontal="center" vertical="center"/>
      <protection locked="0"/>
    </xf>
    <xf numFmtId="164" fontId="14" fillId="0" borderId="38" xfId="2" applyNumberFormat="1" applyFont="1" applyBorder="1" applyAlignment="1" applyProtection="1">
      <alignment horizontal="center" vertical="center"/>
      <protection locked="0"/>
    </xf>
    <xf numFmtId="164" fontId="14" fillId="0" borderId="1" xfId="2" applyNumberFormat="1" applyFont="1" applyBorder="1" applyAlignment="1" applyProtection="1">
      <alignment horizontal="center" vertical="center"/>
      <protection locked="0"/>
    </xf>
    <xf numFmtId="164" fontId="14" fillId="0" borderId="3" xfId="2" applyNumberFormat="1" applyFont="1" applyBorder="1" applyAlignment="1" applyProtection="1">
      <alignment horizontal="center" vertical="center"/>
      <protection locked="0"/>
    </xf>
    <xf numFmtId="0" fontId="0" fillId="3" borderId="75" xfId="0" applyFill="1" applyBorder="1" applyProtection="1">
      <protection hidden="1"/>
    </xf>
    <xf numFmtId="0" fontId="0" fillId="3" borderId="73" xfId="0" applyFill="1" applyBorder="1" applyProtection="1">
      <protection hidden="1"/>
    </xf>
    <xf numFmtId="0" fontId="0" fillId="3" borderId="77" xfId="0" applyFill="1" applyBorder="1" applyProtection="1">
      <protection hidden="1"/>
    </xf>
    <xf numFmtId="0" fontId="6" fillId="3" borderId="74" xfId="0" applyFont="1" applyFill="1" applyBorder="1" applyAlignment="1" applyProtection="1">
      <alignment vertical="center"/>
      <protection hidden="1"/>
    </xf>
    <xf numFmtId="0" fontId="6" fillId="3" borderId="72" xfId="0" applyFont="1" applyFill="1" applyBorder="1" applyAlignment="1" applyProtection="1">
      <alignment vertical="center"/>
      <protection hidden="1"/>
    </xf>
    <xf numFmtId="0" fontId="6" fillId="3" borderId="76" xfId="0" applyFont="1" applyFill="1" applyBorder="1" applyAlignment="1" applyProtection="1">
      <alignment vertical="center"/>
      <protection hidden="1"/>
    </xf>
    <xf numFmtId="164" fontId="6" fillId="5" borderId="42" xfId="2" applyNumberFormat="1" applyFont="1" applyFill="1" applyBorder="1" applyAlignment="1" applyProtection="1">
      <alignment horizontal="center" vertical="center"/>
      <protection hidden="1"/>
    </xf>
    <xf numFmtId="164" fontId="6" fillId="5" borderId="43" xfId="2" applyNumberFormat="1" applyFont="1" applyFill="1" applyBorder="1" applyAlignment="1" applyProtection="1">
      <alignment horizontal="center" vertical="center"/>
      <protection hidden="1"/>
    </xf>
    <xf numFmtId="164" fontId="6" fillId="5" borderId="45" xfId="2" applyNumberFormat="1" applyFont="1" applyFill="1" applyBorder="1" applyAlignment="1" applyProtection="1">
      <alignment horizontal="center" vertical="center"/>
      <protection hidden="1"/>
    </xf>
    <xf numFmtId="2" fontId="6" fillId="5" borderId="43" xfId="2" applyNumberFormat="1" applyFont="1" applyFill="1" applyBorder="1" applyAlignment="1" applyProtection="1">
      <alignment horizontal="center" vertical="center"/>
      <protection hidden="1"/>
    </xf>
    <xf numFmtId="2" fontId="6" fillId="5" borderId="51" xfId="2" applyNumberFormat="1" applyFont="1" applyFill="1" applyBorder="1" applyAlignment="1" applyProtection="1">
      <alignment vertical="center"/>
      <protection hidden="1"/>
    </xf>
    <xf numFmtId="2" fontId="6" fillId="5" borderId="52" xfId="2" applyNumberFormat="1" applyFont="1" applyFill="1" applyBorder="1" applyAlignment="1" applyProtection="1">
      <alignment vertical="center"/>
      <protection hidden="1"/>
    </xf>
    <xf numFmtId="2" fontId="5" fillId="4" borderId="46" xfId="3" applyNumberFormat="1" applyFont="1" applyFill="1" applyBorder="1" applyAlignment="1" applyProtection="1">
      <alignment horizontal="center" vertical="center"/>
      <protection locked="0"/>
    </xf>
    <xf numFmtId="2" fontId="6" fillId="3" borderId="51" xfId="2" applyNumberFormat="1" applyFont="1" applyFill="1" applyBorder="1" applyAlignment="1" applyProtection="1">
      <alignment horizontal="center" vertical="center"/>
      <protection hidden="1"/>
    </xf>
    <xf numFmtId="0" fontId="0" fillId="0" borderId="4" xfId="0" applyBorder="1"/>
    <xf numFmtId="0" fontId="0" fillId="0" borderId="4" xfId="0" applyBorder="1" applyAlignment="1">
      <alignment horizontal="center"/>
    </xf>
    <xf numFmtId="0" fontId="16" fillId="0" borderId="4" xfId="0" applyFont="1" applyBorder="1" applyAlignment="1">
      <alignment horizontal="center"/>
    </xf>
    <xf numFmtId="164" fontId="0" fillId="0" borderId="4" xfId="0" applyNumberFormat="1" applyBorder="1"/>
    <xf numFmtId="0" fontId="0" fillId="0" borderId="0" xfId="0" applyAlignment="1">
      <alignment horizontal="center"/>
    </xf>
    <xf numFmtId="0" fontId="0" fillId="0" borderId="95" xfId="0" applyBorder="1"/>
    <xf numFmtId="0" fontId="5" fillId="0" borderId="4" xfId="0" applyFont="1" applyBorder="1" applyAlignment="1">
      <alignment vertical="center"/>
    </xf>
    <xf numFmtId="175" fontId="17" fillId="0" borderId="4" xfId="5" applyNumberFormat="1" applyFont="1" applyBorder="1" applyAlignment="1" applyProtection="1">
      <alignment vertical="center"/>
      <protection locked="0"/>
    </xf>
    <xf numFmtId="49" fontId="16" fillId="0" borderId="102" xfId="0" applyNumberFormat="1" applyFont="1" applyBorder="1" applyAlignment="1" applyProtection="1">
      <alignment horizontal="left" vertical="center"/>
      <protection locked="0"/>
    </xf>
    <xf numFmtId="0" fontId="16" fillId="0" borderId="103" xfId="0" applyFont="1" applyBorder="1" applyAlignment="1" applyProtection="1">
      <alignment vertical="center"/>
      <protection locked="0"/>
    </xf>
    <xf numFmtId="0" fontId="16" fillId="0" borderId="83" xfId="0" applyFont="1" applyBorder="1" applyAlignment="1" applyProtection="1">
      <alignment vertical="center"/>
      <protection locked="0"/>
    </xf>
    <xf numFmtId="0" fontId="16" fillId="0" borderId="104" xfId="0" applyFont="1" applyBorder="1" applyAlignment="1" applyProtection="1">
      <alignment vertical="center"/>
      <protection locked="0"/>
    </xf>
    <xf numFmtId="0" fontId="0" fillId="0" borderId="103" xfId="0" applyBorder="1" applyAlignment="1" applyProtection="1">
      <alignment vertical="center"/>
      <protection locked="0"/>
    </xf>
    <xf numFmtId="0" fontId="0" fillId="0" borderId="105" xfId="0" applyBorder="1" applyAlignment="1" applyProtection="1">
      <alignment vertical="center"/>
      <protection locked="0"/>
    </xf>
    <xf numFmtId="0" fontId="17" fillId="0" borderId="5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165" fontId="21" fillId="0" borderId="4" xfId="0" applyNumberFormat="1" applyFont="1" applyBorder="1"/>
    <xf numFmtId="0" fontId="0" fillId="0" borderId="106" xfId="0" applyBorder="1" applyAlignment="1">
      <alignment horizontal="centerContinuous"/>
    </xf>
    <xf numFmtId="0" fontId="0" fillId="0" borderId="92" xfId="0" applyBorder="1" applyAlignment="1">
      <alignment horizontal="centerContinuous"/>
    </xf>
    <xf numFmtId="0" fontId="22" fillId="0" borderId="106" xfId="0" applyFont="1" applyBorder="1" applyAlignment="1">
      <alignment horizontal="centerContinuous"/>
    </xf>
    <xf numFmtId="0" fontId="17" fillId="0" borderId="8" xfId="0" applyFont="1" applyBorder="1" applyAlignment="1">
      <alignment vertical="center"/>
    </xf>
    <xf numFmtId="164" fontId="21" fillId="0" borderId="4" xfId="0" applyNumberFormat="1" applyFont="1" applyBorder="1"/>
    <xf numFmtId="175" fontId="16" fillId="0" borderId="0" xfId="5" applyNumberFormat="1" applyFont="1" applyBorder="1" applyAlignment="1" applyProtection="1">
      <alignment vertical="center"/>
      <protection locked="0"/>
    </xf>
    <xf numFmtId="165" fontId="0" fillId="0" borderId="4" xfId="0" applyNumberFormat="1" applyBorder="1" applyAlignment="1">
      <alignment horizontal="centerContinuous" vertical="center"/>
    </xf>
    <xf numFmtId="37" fontId="24" fillId="0" borderId="4" xfId="5" applyNumberFormat="1" applyFont="1" applyBorder="1" applyAlignment="1" applyProtection="1">
      <alignment horizontal="center"/>
      <protection locked="0"/>
    </xf>
    <xf numFmtId="0" fontId="22" fillId="0" borderId="4" xfId="0" applyFont="1" applyBorder="1" applyAlignment="1" applyProtection="1">
      <alignment horizontal="center"/>
      <protection locked="0"/>
    </xf>
    <xf numFmtId="175" fontId="19" fillId="0" borderId="0" xfId="5" applyNumberFormat="1" applyFont="1" applyBorder="1" applyAlignment="1" applyProtection="1">
      <alignment vertical="center"/>
      <protection locked="0"/>
    </xf>
    <xf numFmtId="0" fontId="16" fillId="0" borderId="109" xfId="0" applyFont="1" applyBorder="1" applyAlignment="1">
      <alignment vertical="center"/>
    </xf>
    <xf numFmtId="0" fontId="19" fillId="0" borderId="20" xfId="0" applyFont="1" applyBorder="1" applyAlignment="1" applyProtection="1">
      <alignment horizontal="center" vertical="center"/>
      <protection locked="0"/>
    </xf>
    <xf numFmtId="0" fontId="16" fillId="0" borderId="110" xfId="0" applyFont="1" applyBorder="1" applyAlignment="1" applyProtection="1">
      <alignment horizontal="center" vertical="center"/>
      <protection locked="0"/>
    </xf>
    <xf numFmtId="0" fontId="16" fillId="0" borderId="111" xfId="0" applyFont="1" applyBorder="1" applyAlignment="1" applyProtection="1">
      <alignment vertical="center"/>
      <protection locked="0"/>
    </xf>
    <xf numFmtId="0" fontId="0" fillId="0" borderId="74" xfId="0" applyBorder="1" applyAlignment="1" applyProtection="1">
      <alignment vertical="center"/>
      <protection locked="0"/>
    </xf>
    <xf numFmtId="0" fontId="24" fillId="0" borderId="111" xfId="0" applyFont="1" applyBorder="1" applyAlignment="1" applyProtection="1">
      <alignment horizontal="centerContinuous" vertical="center"/>
      <protection locked="0"/>
    </xf>
    <xf numFmtId="176" fontId="19" fillId="0" borderId="112" xfId="5" applyNumberFormat="1" applyFont="1" applyBorder="1" applyAlignment="1" applyProtection="1">
      <alignment horizontal="right" vertical="center"/>
      <protection locked="0"/>
    </xf>
    <xf numFmtId="0" fontId="16" fillId="0" borderId="88" xfId="0" applyFont="1" applyBorder="1" applyAlignment="1">
      <alignment vertical="center"/>
    </xf>
    <xf numFmtId="176" fontId="19" fillId="0" borderId="51" xfId="5" applyNumberFormat="1" applyFont="1" applyBorder="1" applyAlignment="1" applyProtection="1">
      <alignment vertical="center"/>
      <protection locked="0"/>
    </xf>
    <xf numFmtId="176" fontId="0" fillId="2" borderId="90" xfId="0" applyNumberFormat="1" applyFill="1" applyBorder="1" applyAlignment="1">
      <alignment vertical="center"/>
    </xf>
    <xf numFmtId="0" fontId="16" fillId="0" borderId="113" xfId="0" applyFont="1" applyBorder="1" applyAlignment="1" applyProtection="1">
      <alignment vertical="center"/>
      <protection locked="0"/>
    </xf>
    <xf numFmtId="0" fontId="0" fillId="0" borderId="72" xfId="0" applyBorder="1" applyAlignment="1" applyProtection="1">
      <alignment vertical="center"/>
      <protection locked="0"/>
    </xf>
    <xf numFmtId="0" fontId="24" fillId="0" borderId="113" xfId="0" applyFont="1" applyBorder="1" applyAlignment="1" applyProtection="1">
      <alignment horizontal="centerContinuous" vertical="center"/>
      <protection locked="0"/>
    </xf>
    <xf numFmtId="176" fontId="19" fillId="0" borderId="114" xfId="5" applyNumberFormat="1" applyFont="1" applyBorder="1" applyAlignment="1" applyProtection="1">
      <alignment horizontal="right" vertical="center"/>
      <protection locked="0"/>
    </xf>
    <xf numFmtId="0" fontId="17" fillId="0" borderId="4" xfId="0" applyFont="1" applyBorder="1" applyAlignment="1">
      <alignment vertical="center"/>
    </xf>
    <xf numFmtId="0" fontId="16" fillId="0" borderId="113" xfId="0" applyFont="1" applyBorder="1" applyAlignment="1">
      <alignment vertical="center"/>
    </xf>
    <xf numFmtId="176" fontId="19" fillId="0" borderId="1" xfId="0" applyNumberFormat="1" applyFont="1" applyBorder="1" applyAlignment="1" applyProtection="1">
      <alignment vertical="center"/>
      <protection locked="0"/>
    </xf>
    <xf numFmtId="176" fontId="0" fillId="2" borderId="114" xfId="0" applyNumberFormat="1" applyFill="1" applyBorder="1" applyAlignment="1">
      <alignment vertical="center"/>
    </xf>
    <xf numFmtId="176" fontId="16" fillId="0" borderId="114" xfId="5" applyNumberFormat="1" applyFont="1" applyBorder="1" applyAlignment="1" applyProtection="1">
      <alignment horizontal="right" vertical="center"/>
    </xf>
    <xf numFmtId="0" fontId="16" fillId="0" borderId="0" xfId="0" applyFont="1" applyAlignment="1">
      <alignment vertical="center"/>
    </xf>
    <xf numFmtId="0" fontId="19" fillId="0" borderId="0" xfId="0" applyFont="1" applyProtection="1">
      <protection locked="0"/>
    </xf>
    <xf numFmtId="0" fontId="27" fillId="2" borderId="4" xfId="0" applyFont="1" applyFill="1" applyBorder="1" applyAlignment="1" applyProtection="1">
      <alignment horizontal="center"/>
      <protection locked="0"/>
    </xf>
    <xf numFmtId="0" fontId="21" fillId="0" borderId="33" xfId="0" applyFont="1" applyBorder="1"/>
    <xf numFmtId="176" fontId="28" fillId="0" borderId="1" xfId="0" applyNumberFormat="1" applyFont="1" applyBorder="1" applyAlignment="1" applyProtection="1">
      <alignment horizontal="center" vertical="center"/>
      <protection locked="0"/>
    </xf>
    <xf numFmtId="0" fontId="29" fillId="2" borderId="4" xfId="0" applyFont="1" applyFill="1" applyBorder="1" applyAlignment="1">
      <alignment vertical="center"/>
    </xf>
    <xf numFmtId="174" fontId="27" fillId="2" borderId="4" xfId="0" applyNumberFormat="1" applyFont="1" applyFill="1" applyBorder="1" applyProtection="1">
      <protection locked="0"/>
    </xf>
    <xf numFmtId="164" fontId="29" fillId="2" borderId="4" xfId="0" applyNumberFormat="1" applyFont="1" applyFill="1" applyBorder="1" applyProtection="1">
      <protection locked="0"/>
    </xf>
    <xf numFmtId="0" fontId="30" fillId="2" borderId="4" xfId="0" applyFont="1" applyFill="1" applyBorder="1"/>
    <xf numFmtId="176" fontId="16" fillId="0" borderId="1" xfId="0" applyNumberFormat="1" applyFont="1" applyBorder="1" applyAlignment="1">
      <alignment vertical="center"/>
    </xf>
    <xf numFmtId="0" fontId="0" fillId="0" borderId="113" xfId="0" applyBorder="1" applyAlignment="1" applyProtection="1">
      <alignment horizontal="centerContinuous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right" vertical="center"/>
      <protection locked="0"/>
    </xf>
    <xf numFmtId="177" fontId="16" fillId="0" borderId="1" xfId="0" applyNumberFormat="1" applyFont="1" applyBorder="1" applyAlignment="1">
      <alignment vertical="center"/>
    </xf>
    <xf numFmtId="177" fontId="16" fillId="0" borderId="114" xfId="5" applyNumberFormat="1" applyFont="1" applyBorder="1" applyAlignment="1" applyProtection="1">
      <alignment vertical="center"/>
    </xf>
    <xf numFmtId="0" fontId="16" fillId="0" borderId="115" xfId="0" applyFont="1" applyBorder="1" applyAlignment="1" applyProtection="1">
      <alignment vertical="center"/>
      <protection locked="0"/>
    </xf>
    <xf numFmtId="0" fontId="0" fillId="0" borderId="116" xfId="0" applyBorder="1" applyAlignment="1" applyProtection="1">
      <alignment vertical="center"/>
      <protection locked="0"/>
    </xf>
    <xf numFmtId="0" fontId="0" fillId="0" borderId="115" xfId="0" applyBorder="1" applyAlignment="1" applyProtection="1">
      <alignment horizontal="centerContinuous" vertical="center"/>
      <protection locked="0"/>
    </xf>
    <xf numFmtId="174" fontId="16" fillId="0" borderId="117" xfId="5" applyNumberFormat="1" applyFont="1" applyBorder="1" applyAlignment="1" applyProtection="1">
      <alignment horizontal="right" vertical="center"/>
    </xf>
    <xf numFmtId="175" fontId="19" fillId="0" borderId="0" xfId="5" applyNumberFormat="1" applyFont="1" applyBorder="1" applyAlignment="1" applyProtection="1">
      <alignment horizontal="center" vertical="center"/>
      <protection locked="0"/>
    </xf>
    <xf numFmtId="177" fontId="0" fillId="2" borderId="114" xfId="0" applyNumberFormat="1" applyFill="1" applyBorder="1" applyAlignment="1">
      <alignment vertical="center"/>
    </xf>
    <xf numFmtId="4" fontId="16" fillId="0" borderId="1" xfId="0" applyNumberFormat="1" applyFont="1" applyBorder="1" applyAlignment="1">
      <alignment vertical="center"/>
    </xf>
    <xf numFmtId="4" fontId="16" fillId="0" borderId="114" xfId="0" applyNumberFormat="1" applyFont="1" applyBorder="1" applyAlignment="1">
      <alignment vertical="center"/>
    </xf>
    <xf numFmtId="0" fontId="16" fillId="0" borderId="120" xfId="0" applyFont="1" applyBorder="1" applyAlignment="1" applyProtection="1">
      <alignment horizontal="center" vertical="center"/>
      <protection locked="0"/>
    </xf>
    <xf numFmtId="0" fontId="16" fillId="0" borderId="90" xfId="0" applyFont="1" applyBorder="1" applyAlignment="1" applyProtection="1">
      <alignment horizontal="center" vertical="center"/>
      <protection locked="0"/>
    </xf>
    <xf numFmtId="0" fontId="16" fillId="0" borderId="4" xfId="0" applyFont="1" applyBorder="1" applyAlignment="1">
      <alignment horizontal="right"/>
    </xf>
    <xf numFmtId="4" fontId="0" fillId="2" borderId="114" xfId="0" applyNumberFormat="1" applyFill="1" applyBorder="1" applyAlignment="1">
      <alignment vertical="center"/>
    </xf>
    <xf numFmtId="0" fontId="16" fillId="0" borderId="109" xfId="0" applyFont="1" applyBorder="1" applyAlignment="1" applyProtection="1">
      <alignment horizontal="centerContinuous" vertical="center"/>
      <protection locked="0"/>
    </xf>
    <xf numFmtId="0" fontId="16" fillId="0" borderId="20" xfId="0" applyFont="1" applyBorder="1" applyAlignment="1" applyProtection="1">
      <alignment horizontal="centerContinuous" vertical="center"/>
      <protection locked="0"/>
    </xf>
    <xf numFmtId="0" fontId="16" fillId="0" borderId="84" xfId="0" applyFont="1" applyBorder="1" applyAlignment="1" applyProtection="1">
      <alignment horizontal="center" vertical="center"/>
      <protection locked="0"/>
    </xf>
    <xf numFmtId="0" fontId="31" fillId="0" borderId="84" xfId="0" applyFont="1" applyBorder="1" applyAlignment="1" applyProtection="1">
      <alignment horizontal="center" vertical="center"/>
      <protection locked="0"/>
    </xf>
    <xf numFmtId="0" fontId="31" fillId="0" borderId="121" xfId="0" applyFont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/>
      <protection locked="0"/>
    </xf>
    <xf numFmtId="164" fontId="16" fillId="0" borderId="4" xfId="0" applyNumberFormat="1" applyFont="1" applyBorder="1"/>
    <xf numFmtId="2" fontId="16" fillId="0" borderId="4" xfId="0" applyNumberFormat="1" applyFont="1" applyBorder="1"/>
    <xf numFmtId="165" fontId="16" fillId="0" borderId="4" xfId="0" applyNumberFormat="1" applyFont="1" applyBorder="1"/>
    <xf numFmtId="1" fontId="16" fillId="0" borderId="4" xfId="0" applyNumberFormat="1" applyFont="1" applyBorder="1"/>
    <xf numFmtId="0" fontId="16" fillId="0" borderId="122" xfId="0" applyFont="1" applyBorder="1" applyAlignment="1">
      <alignment horizontal="centerContinuous" vertical="center"/>
    </xf>
    <xf numFmtId="178" fontId="16" fillId="0" borderId="43" xfId="5" applyNumberFormat="1" applyFont="1" applyBorder="1" applyAlignment="1" applyProtection="1">
      <alignment vertical="center"/>
    </xf>
    <xf numFmtId="0" fontId="19" fillId="0" borderId="43" xfId="0" applyFont="1" applyBorder="1" applyAlignment="1" applyProtection="1">
      <alignment vertical="center"/>
      <protection locked="0"/>
    </xf>
    <xf numFmtId="0" fontId="16" fillId="0" borderId="43" xfId="0" applyFont="1" applyBorder="1" applyAlignment="1" applyProtection="1">
      <alignment vertical="center"/>
      <protection locked="0"/>
    </xf>
    <xf numFmtId="0" fontId="16" fillId="0" borderId="123" xfId="0" applyFont="1" applyBorder="1" applyAlignment="1" applyProtection="1">
      <alignment vertical="center"/>
      <protection locked="0"/>
    </xf>
    <xf numFmtId="0" fontId="16" fillId="0" borderId="124" xfId="0" applyFont="1" applyBorder="1" applyAlignment="1">
      <alignment horizontal="centerContinuous" vertical="center"/>
    </xf>
    <xf numFmtId="178" fontId="16" fillId="0" borderId="1" xfId="5" applyNumberFormat="1" applyFont="1" applyBorder="1" applyAlignment="1" applyProtection="1">
      <alignment horizontal="centerContinuous" vertical="center"/>
    </xf>
    <xf numFmtId="0" fontId="19" fillId="0" borderId="1" xfId="0" applyFont="1" applyBorder="1" applyAlignment="1" applyProtection="1">
      <alignment vertical="center"/>
      <protection locked="0"/>
    </xf>
    <xf numFmtId="0" fontId="16" fillId="0" borderId="1" xfId="0" applyFont="1" applyBorder="1" applyAlignment="1" applyProtection="1">
      <alignment vertical="center"/>
      <protection locked="0"/>
    </xf>
    <xf numFmtId="0" fontId="16" fillId="0" borderId="125" xfId="0" applyFont="1" applyBorder="1" applyAlignment="1" applyProtection="1">
      <alignment vertical="center"/>
      <protection locked="0"/>
    </xf>
    <xf numFmtId="0" fontId="1" fillId="0" borderId="126" xfId="0" applyFont="1" applyBorder="1" applyAlignment="1" applyProtection="1">
      <alignment horizontal="center" vertical="center"/>
      <protection locked="0"/>
    </xf>
    <xf numFmtId="0" fontId="18" fillId="0" borderId="100" xfId="0" applyFont="1" applyBorder="1" applyAlignment="1" applyProtection="1">
      <alignment horizontal="center" vertical="center"/>
      <protection locked="0"/>
    </xf>
    <xf numFmtId="0" fontId="16" fillId="0" borderId="95" xfId="0" applyFont="1" applyBorder="1" applyAlignment="1" applyProtection="1">
      <alignment horizontal="center" vertical="center"/>
      <protection locked="0"/>
    </xf>
    <xf numFmtId="0" fontId="16" fillId="0" borderId="0" xfId="0" applyFont="1" applyAlignment="1" applyProtection="1">
      <alignment horizontal="center" vertical="center"/>
      <protection locked="0"/>
    </xf>
    <xf numFmtId="176" fontId="19" fillId="0" borderId="1" xfId="5" applyNumberFormat="1" applyFont="1" applyBorder="1" applyAlignment="1" applyProtection="1">
      <alignment vertical="center"/>
      <protection locked="0"/>
    </xf>
    <xf numFmtId="176" fontId="16" fillId="0" borderId="1" xfId="0" applyNumberFormat="1" applyFont="1" applyBorder="1" applyAlignment="1" applyProtection="1">
      <alignment vertical="center"/>
      <protection locked="0"/>
    </xf>
    <xf numFmtId="164" fontId="16" fillId="0" borderId="125" xfId="0" applyNumberFormat="1" applyFont="1" applyBorder="1" applyAlignment="1" applyProtection="1">
      <alignment vertical="center"/>
      <protection locked="0"/>
    </xf>
    <xf numFmtId="0" fontId="1" fillId="0" borderId="127" xfId="0" applyFont="1" applyBorder="1" applyAlignment="1" applyProtection="1">
      <alignment horizontal="center" vertical="center"/>
      <protection locked="0"/>
    </xf>
    <xf numFmtId="0" fontId="1" fillId="0" borderId="95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6" fillId="0" borderId="0" xfId="0" applyFont="1" applyAlignment="1">
      <alignment horizontal="right"/>
    </xf>
    <xf numFmtId="0" fontId="16" fillId="0" borderId="0" xfId="0" applyFont="1" applyAlignment="1">
      <alignment horizontal="center"/>
    </xf>
    <xf numFmtId="4" fontId="32" fillId="0" borderId="1" xfId="0" applyNumberFormat="1" applyFont="1" applyBorder="1" applyAlignment="1">
      <alignment vertical="center"/>
    </xf>
    <xf numFmtId="0" fontId="18" fillId="0" borderId="128" xfId="0" applyFont="1" applyBorder="1" applyAlignment="1" applyProtection="1">
      <alignment horizontal="center" vertical="center"/>
      <protection locked="0"/>
    </xf>
    <xf numFmtId="2" fontId="16" fillId="0" borderId="0" xfId="0" applyNumberFormat="1" applyFont="1"/>
    <xf numFmtId="4" fontId="19" fillId="0" borderId="1" xfId="0" applyNumberFormat="1" applyFont="1" applyBorder="1" applyAlignment="1" applyProtection="1">
      <alignment vertical="center"/>
      <protection locked="0"/>
    </xf>
    <xf numFmtId="0" fontId="18" fillId="0" borderId="127" xfId="0" applyFont="1" applyBorder="1" applyAlignment="1" applyProtection="1">
      <alignment horizontal="center" vertical="center"/>
      <protection locked="0"/>
    </xf>
    <xf numFmtId="0" fontId="16" fillId="0" borderId="95" xfId="0" applyFont="1" applyBorder="1" applyAlignment="1">
      <alignment horizontal="centerContinuous"/>
    </xf>
    <xf numFmtId="0" fontId="16" fillId="0" borderId="0" xfId="0" applyFont="1" applyAlignment="1">
      <alignment horizontal="centerContinuous"/>
    </xf>
    <xf numFmtId="175" fontId="1" fillId="0" borderId="126" xfId="5" applyNumberFormat="1" applyFont="1" applyBorder="1" applyAlignment="1" applyProtection="1">
      <alignment vertical="center"/>
      <protection locked="0"/>
    </xf>
    <xf numFmtId="2" fontId="16" fillId="0" borderId="95" xfId="0" applyNumberFormat="1" applyFont="1" applyBorder="1"/>
    <xf numFmtId="0" fontId="16" fillId="0" borderId="0" xfId="0" applyFont="1"/>
    <xf numFmtId="179" fontId="19" fillId="0" borderId="0" xfId="0" applyNumberFormat="1" applyFont="1" applyProtection="1">
      <protection locked="0"/>
    </xf>
    <xf numFmtId="0" fontId="16" fillId="0" borderId="97" xfId="0" applyFont="1" applyBorder="1" applyAlignment="1">
      <alignment vertical="center"/>
    </xf>
    <xf numFmtId="4" fontId="19" fillId="0" borderId="55" xfId="0" applyNumberFormat="1" applyFont="1" applyBorder="1" applyAlignment="1" applyProtection="1">
      <alignment vertical="center"/>
      <protection locked="0"/>
    </xf>
    <xf numFmtId="4" fontId="16" fillId="0" borderId="98" xfId="0" applyNumberFormat="1" applyFont="1" applyBorder="1" applyAlignment="1">
      <alignment vertical="center"/>
    </xf>
    <xf numFmtId="0" fontId="16" fillId="0" borderId="88" xfId="0" applyFont="1" applyBorder="1" applyAlignment="1" applyProtection="1">
      <alignment vertical="center"/>
      <protection locked="0"/>
    </xf>
    <xf numFmtId="0" fontId="0" fillId="0" borderId="89" xfId="0" applyBorder="1" applyAlignment="1" applyProtection="1">
      <alignment vertical="center"/>
      <protection locked="0"/>
    </xf>
    <xf numFmtId="180" fontId="19" fillId="0" borderId="89" xfId="0" applyNumberFormat="1" applyFont="1" applyBorder="1" applyAlignment="1" applyProtection="1">
      <alignment vertical="center"/>
      <protection locked="0"/>
    </xf>
    <xf numFmtId="0" fontId="19" fillId="0" borderId="89" xfId="0" applyFont="1" applyBorder="1" applyAlignment="1" applyProtection="1">
      <alignment vertical="center"/>
      <protection locked="0"/>
    </xf>
    <xf numFmtId="0" fontId="0" fillId="0" borderId="90" xfId="0" applyBorder="1" applyAlignment="1" applyProtection="1">
      <alignment vertical="center"/>
      <protection locked="0"/>
    </xf>
    <xf numFmtId="180" fontId="19" fillId="0" borderId="72" xfId="0" applyNumberFormat="1" applyFont="1" applyBorder="1" applyAlignment="1" applyProtection="1">
      <alignment vertical="center"/>
      <protection locked="0"/>
    </xf>
    <xf numFmtId="0" fontId="19" fillId="0" borderId="72" xfId="0" applyFont="1" applyBorder="1" applyAlignment="1" applyProtection="1">
      <alignment vertical="center"/>
      <protection locked="0"/>
    </xf>
    <xf numFmtId="0" fontId="0" fillId="0" borderId="114" xfId="0" applyBorder="1" applyAlignment="1" applyProtection="1">
      <alignment vertical="center"/>
      <protection locked="0"/>
    </xf>
    <xf numFmtId="179" fontId="19" fillId="6" borderId="0" xfId="0" applyNumberFormat="1" applyFont="1" applyFill="1" applyProtection="1">
      <protection locked="0"/>
    </xf>
    <xf numFmtId="0" fontId="26" fillId="0" borderId="72" xfId="0" applyFont="1" applyBorder="1" applyAlignment="1" applyProtection="1">
      <alignment vertical="center"/>
      <protection locked="0"/>
    </xf>
    <xf numFmtId="0" fontId="19" fillId="0" borderId="114" xfId="0" applyFont="1" applyBorder="1" applyAlignment="1" applyProtection="1">
      <alignment horizontal="center" vertical="center"/>
      <protection locked="0"/>
    </xf>
    <xf numFmtId="0" fontId="0" fillId="0" borderId="97" xfId="0" applyBorder="1" applyAlignment="1" applyProtection="1">
      <alignment vertical="center"/>
      <protection locked="0"/>
    </xf>
    <xf numFmtId="0" fontId="0" fillId="0" borderId="87" xfId="0" applyBorder="1" applyAlignment="1" applyProtection="1">
      <alignment vertical="center"/>
      <protection locked="0"/>
    </xf>
    <xf numFmtId="0" fontId="16" fillId="0" borderId="72" xfId="0" applyFont="1" applyBorder="1" applyAlignment="1" applyProtection="1">
      <alignment horizontal="right" vertical="center"/>
      <protection locked="0"/>
    </xf>
    <xf numFmtId="0" fontId="16" fillId="0" borderId="115" xfId="0" applyFont="1" applyBorder="1" applyAlignment="1" applyProtection="1">
      <alignment horizontal="centerContinuous" vertical="center"/>
      <protection locked="0"/>
    </xf>
    <xf numFmtId="0" fontId="16" fillId="0" borderId="129" xfId="0" applyFont="1" applyBorder="1" applyAlignment="1" applyProtection="1">
      <alignment horizontal="centerContinuous" vertical="center"/>
      <protection locked="0"/>
    </xf>
    <xf numFmtId="176" fontId="16" fillId="0" borderId="48" xfId="5" applyNumberFormat="1" applyFont="1" applyBorder="1" applyAlignment="1" applyProtection="1">
      <alignment vertical="center"/>
    </xf>
    <xf numFmtId="176" fontId="16" fillId="0" borderId="130" xfId="5" applyNumberFormat="1" applyFont="1" applyBorder="1" applyAlignment="1" applyProtection="1">
      <alignment vertical="center"/>
    </xf>
    <xf numFmtId="0" fontId="0" fillId="0" borderId="88" xfId="0" applyBorder="1" applyProtection="1">
      <protection locked="0"/>
    </xf>
    <xf numFmtId="0" fontId="0" fillId="0" borderId="89" xfId="0" applyBorder="1" applyProtection="1">
      <protection locked="0"/>
    </xf>
    <xf numFmtId="0" fontId="0" fillId="0" borderId="90" xfId="0" applyBorder="1" applyProtection="1">
      <protection locked="0"/>
    </xf>
    <xf numFmtId="0" fontId="0" fillId="0" borderId="95" xfId="0" applyBorder="1" applyProtection="1">
      <protection locked="0"/>
    </xf>
    <xf numFmtId="0" fontId="0" fillId="0" borderId="0" xfId="0" applyProtection="1">
      <protection locked="0"/>
    </xf>
    <xf numFmtId="0" fontId="0" fillId="0" borderId="96" xfId="0" applyBorder="1" applyProtection="1">
      <protection locked="0"/>
    </xf>
    <xf numFmtId="165" fontId="16" fillId="0" borderId="0" xfId="0" applyNumberFormat="1" applyFont="1"/>
    <xf numFmtId="4" fontId="0" fillId="0" borderId="0" xfId="0" applyNumberFormat="1"/>
    <xf numFmtId="181" fontId="0" fillId="0" borderId="0" xfId="0" applyNumberFormat="1"/>
    <xf numFmtId="181" fontId="1" fillId="0" borderId="0" xfId="0" applyNumberFormat="1" applyFont="1"/>
    <xf numFmtId="0" fontId="0" fillId="0" borderId="97" xfId="0" applyBorder="1" applyProtection="1">
      <protection locked="0"/>
    </xf>
    <xf numFmtId="0" fontId="0" fillId="0" borderId="87" xfId="0" applyBorder="1" applyProtection="1">
      <protection locked="0"/>
    </xf>
    <xf numFmtId="0" fontId="0" fillId="0" borderId="98" xfId="0" applyBorder="1" applyProtection="1">
      <protection locked="0"/>
    </xf>
    <xf numFmtId="177" fontId="1" fillId="0" borderId="0" xfId="0" applyNumberFormat="1" applyFont="1"/>
    <xf numFmtId="0" fontId="16" fillId="0" borderId="111" xfId="0" applyFont="1" applyBorder="1" applyProtection="1">
      <protection locked="0"/>
    </xf>
    <xf numFmtId="0" fontId="19" fillId="0" borderId="74" xfId="0" applyFont="1" applyBorder="1" applyProtection="1">
      <protection locked="0"/>
    </xf>
    <xf numFmtId="0" fontId="19" fillId="0" borderId="74" xfId="0" applyFont="1" applyBorder="1" applyAlignment="1" applyProtection="1">
      <alignment horizontal="left"/>
      <protection locked="0"/>
    </xf>
    <xf numFmtId="0" fontId="16" fillId="0" borderId="74" xfId="0" applyFont="1" applyBorder="1" applyAlignment="1" applyProtection="1">
      <alignment horizontal="left"/>
      <protection locked="0"/>
    </xf>
    <xf numFmtId="0" fontId="16" fillId="0" borderId="74" xfId="0" applyFont="1" applyBorder="1" applyProtection="1">
      <protection locked="0"/>
    </xf>
    <xf numFmtId="0" fontId="16" fillId="0" borderId="112" xfId="0" applyFont="1" applyBorder="1" applyProtection="1">
      <protection locked="0"/>
    </xf>
    <xf numFmtId="0" fontId="16" fillId="0" borderId="131" xfId="0" applyFont="1" applyBorder="1" applyProtection="1">
      <protection locked="0"/>
    </xf>
    <xf numFmtId="0" fontId="19" fillId="0" borderId="132" xfId="0" applyFont="1" applyBorder="1" applyAlignment="1" applyProtection="1">
      <alignment horizontal="center"/>
      <protection locked="0"/>
    </xf>
    <xf numFmtId="0" fontId="19" fillId="0" borderId="133" xfId="0" applyFont="1" applyBorder="1" applyAlignment="1" applyProtection="1">
      <alignment horizontal="center"/>
      <protection locked="0"/>
    </xf>
    <xf numFmtId="177" fontId="19" fillId="0" borderId="134" xfId="0" applyNumberFormat="1" applyFont="1" applyBorder="1" applyAlignment="1" applyProtection="1">
      <alignment horizontal="right"/>
      <protection locked="0"/>
    </xf>
    <xf numFmtId="0" fontId="16" fillId="0" borderId="72" xfId="0" applyFont="1" applyBorder="1" applyProtection="1">
      <protection locked="0"/>
    </xf>
    <xf numFmtId="3" fontId="19" fillId="0" borderId="72" xfId="0" applyNumberFormat="1" applyFont="1" applyBorder="1" applyAlignment="1" applyProtection="1">
      <alignment horizontal="left"/>
      <protection locked="0"/>
    </xf>
    <xf numFmtId="0" fontId="19" fillId="0" borderId="72" xfId="0" applyFont="1" applyBorder="1" applyAlignment="1" applyProtection="1">
      <alignment horizontal="left"/>
      <protection locked="0"/>
    </xf>
    <xf numFmtId="0" fontId="16" fillId="0" borderId="114" xfId="0" applyFont="1" applyBorder="1" applyProtection="1">
      <protection locked="0"/>
    </xf>
    <xf numFmtId="0" fontId="16" fillId="0" borderId="135" xfId="0" applyFont="1" applyBorder="1" applyProtection="1">
      <protection locked="0"/>
    </xf>
    <xf numFmtId="173" fontId="19" fillId="0" borderId="85" xfId="5" applyFont="1" applyBorder="1" applyProtection="1">
      <protection locked="0"/>
    </xf>
    <xf numFmtId="173" fontId="19" fillId="0" borderId="86" xfId="5" applyFont="1" applyBorder="1" applyProtection="1">
      <protection locked="0"/>
    </xf>
    <xf numFmtId="177" fontId="19" fillId="0" borderId="136" xfId="0" applyNumberFormat="1" applyFont="1" applyBorder="1" applyAlignment="1" applyProtection="1">
      <alignment horizontal="right"/>
      <protection locked="0"/>
    </xf>
    <xf numFmtId="0" fontId="16" fillId="0" borderId="113" xfId="0" applyFont="1" applyBorder="1" applyProtection="1">
      <protection locked="0"/>
    </xf>
    <xf numFmtId="20" fontId="16" fillId="0" borderId="72" xfId="0" applyNumberFormat="1" applyFont="1" applyBorder="1" applyProtection="1">
      <protection locked="0"/>
    </xf>
    <xf numFmtId="173" fontId="19" fillId="0" borderId="72" xfId="5" applyFont="1" applyBorder="1" applyProtection="1">
      <protection locked="0"/>
    </xf>
    <xf numFmtId="173" fontId="19" fillId="0" borderId="2" xfId="5" applyFont="1" applyBorder="1" applyProtection="1">
      <protection locked="0"/>
    </xf>
    <xf numFmtId="164" fontId="16" fillId="0" borderId="125" xfId="0" applyNumberFormat="1" applyFont="1" applyBorder="1" applyAlignment="1" applyProtection="1">
      <alignment horizontal="right"/>
      <protection locked="0"/>
    </xf>
    <xf numFmtId="14" fontId="19" fillId="0" borderId="72" xfId="0" applyNumberFormat="1" applyFont="1" applyBorder="1" applyProtection="1">
      <protection locked="0"/>
    </xf>
    <xf numFmtId="173" fontId="16" fillId="0" borderId="72" xfId="5" applyFont="1" applyBorder="1" applyProtection="1"/>
    <xf numFmtId="173" fontId="16" fillId="0" borderId="2" xfId="5" applyFont="1" applyBorder="1" applyProtection="1"/>
    <xf numFmtId="4" fontId="19" fillId="0" borderId="114" xfId="5" applyNumberFormat="1" applyFont="1" applyBorder="1" applyAlignment="1" applyProtection="1">
      <alignment horizontal="right"/>
    </xf>
    <xf numFmtId="0" fontId="16" fillId="0" borderId="115" xfId="0" applyFont="1" applyBorder="1" applyProtection="1">
      <protection locked="0"/>
    </xf>
    <xf numFmtId="0" fontId="16" fillId="0" borderId="116" xfId="0" applyFont="1" applyBorder="1" applyProtection="1">
      <protection locked="0"/>
    </xf>
    <xf numFmtId="0" fontId="16" fillId="0" borderId="117" xfId="0" applyFont="1" applyBorder="1" applyProtection="1">
      <protection locked="0"/>
    </xf>
    <xf numFmtId="0" fontId="16" fillId="0" borderId="2" xfId="0" applyFont="1" applyBorder="1" applyProtection="1">
      <protection locked="0"/>
    </xf>
    <xf numFmtId="3" fontId="19" fillId="0" borderId="114" xfId="0" applyNumberFormat="1" applyFont="1" applyBorder="1" applyAlignment="1" applyProtection="1">
      <alignment horizontal="right"/>
      <protection locked="0"/>
    </xf>
    <xf numFmtId="0" fontId="16" fillId="0" borderId="0" xfId="0" applyFont="1" applyProtection="1">
      <protection locked="0"/>
    </xf>
    <xf numFmtId="0" fontId="16" fillId="0" borderId="96" xfId="0" applyFont="1" applyBorder="1" applyProtection="1">
      <protection locked="0"/>
    </xf>
    <xf numFmtId="0" fontId="16" fillId="0" borderId="114" xfId="0" applyFont="1" applyBorder="1" applyAlignment="1" applyProtection="1">
      <alignment horizontal="right"/>
      <protection locked="0"/>
    </xf>
    <xf numFmtId="14" fontId="16" fillId="0" borderId="0" xfId="0" applyNumberFormat="1" applyFont="1" applyProtection="1">
      <protection locked="0"/>
    </xf>
    <xf numFmtId="0" fontId="16" fillId="0" borderId="97" xfId="0" applyFont="1" applyBorder="1" applyProtection="1">
      <protection locked="0"/>
    </xf>
    <xf numFmtId="0" fontId="16" fillId="0" borderId="87" xfId="0" applyFont="1" applyBorder="1" applyProtection="1">
      <protection locked="0"/>
    </xf>
    <xf numFmtId="0" fontId="16" fillId="0" borderId="84" xfId="0" applyFont="1" applyBorder="1" applyProtection="1">
      <protection locked="0"/>
    </xf>
    <xf numFmtId="0" fontId="16" fillId="0" borderId="98" xfId="0" applyFont="1" applyBorder="1" applyAlignment="1" applyProtection="1">
      <alignment horizontal="right"/>
      <protection locked="0"/>
    </xf>
    <xf numFmtId="0" fontId="16" fillId="0" borderId="98" xfId="0" applyFont="1" applyBorder="1" applyProtection="1">
      <protection locked="0"/>
    </xf>
    <xf numFmtId="165" fontId="5" fillId="0" borderId="137" xfId="3" applyNumberFormat="1" applyFont="1" applyFill="1" applyBorder="1" applyAlignment="1" applyProtection="1">
      <alignment horizontal="center" vertical="center"/>
      <protection locked="0"/>
    </xf>
    <xf numFmtId="0" fontId="5" fillId="0" borderId="139" xfId="2" applyFont="1" applyBorder="1" applyAlignment="1" applyProtection="1">
      <alignment horizontal="center" vertical="center"/>
      <protection hidden="1"/>
    </xf>
    <xf numFmtId="0" fontId="5" fillId="0" borderId="91" xfId="2" applyFont="1" applyBorder="1" applyAlignment="1" applyProtection="1">
      <alignment horizontal="center" vertical="center"/>
      <protection hidden="1"/>
    </xf>
    <xf numFmtId="0" fontId="5" fillId="0" borderId="110" xfId="2" applyFont="1" applyBorder="1" applyAlignment="1" applyProtection="1">
      <alignment horizontal="center" vertical="center"/>
      <protection hidden="1"/>
    </xf>
    <xf numFmtId="0" fontId="34" fillId="7" borderId="65" xfId="2" applyFont="1" applyFill="1" applyBorder="1" applyAlignment="1" applyProtection="1">
      <alignment horizontal="centerContinuous" vertical="center"/>
      <protection hidden="1"/>
    </xf>
    <xf numFmtId="0" fontId="34" fillId="7" borderId="5" xfId="2" applyFont="1" applyFill="1" applyBorder="1" applyAlignment="1" applyProtection="1">
      <alignment horizontal="centerContinuous" vertical="center"/>
      <protection hidden="1"/>
    </xf>
    <xf numFmtId="171" fontId="34" fillId="7" borderId="59" xfId="2" applyNumberFormat="1" applyFont="1" applyFill="1" applyBorder="1" applyAlignment="1" applyProtection="1">
      <alignment horizontal="center" vertical="center"/>
      <protection hidden="1"/>
    </xf>
    <xf numFmtId="171" fontId="34" fillId="7" borderId="55" xfId="2" applyNumberFormat="1" applyFont="1" applyFill="1" applyBorder="1" applyAlignment="1" applyProtection="1">
      <alignment horizontal="center" vertical="center"/>
      <protection hidden="1"/>
    </xf>
    <xf numFmtId="169" fontId="34" fillId="7" borderId="55" xfId="2" applyNumberFormat="1" applyFont="1" applyFill="1" applyBorder="1" applyAlignment="1" applyProtection="1">
      <alignment horizontal="center" vertical="center"/>
      <protection hidden="1"/>
    </xf>
    <xf numFmtId="0" fontId="6" fillId="3" borderId="0" xfId="2" applyFont="1" applyFill="1" applyAlignment="1" applyProtection="1">
      <alignment horizontal="center" vertical="center" textRotation="90" wrapText="1"/>
      <protection hidden="1"/>
    </xf>
    <xf numFmtId="0" fontId="6" fillId="3" borderId="0" xfId="0" applyFont="1" applyFill="1" applyAlignment="1" applyProtection="1">
      <alignment vertical="center"/>
      <protection hidden="1"/>
    </xf>
    <xf numFmtId="0" fontId="0" fillId="3" borderId="0" xfId="0" applyFill="1" applyProtection="1">
      <protection hidden="1"/>
    </xf>
    <xf numFmtId="164" fontId="6" fillId="3" borderId="0" xfId="2" applyNumberFormat="1" applyFont="1" applyFill="1" applyAlignment="1" applyProtection="1">
      <alignment horizontal="center" vertical="center"/>
      <protection hidden="1"/>
    </xf>
    <xf numFmtId="2" fontId="6" fillId="3" borderId="0" xfId="2" applyNumberFormat="1" applyFont="1" applyFill="1" applyAlignment="1" applyProtection="1">
      <alignment horizontal="center" vertical="center"/>
      <protection hidden="1"/>
    </xf>
    <xf numFmtId="165" fontId="6" fillId="3" borderId="0" xfId="2" applyNumberFormat="1" applyFont="1" applyFill="1" applyAlignment="1" applyProtection="1">
      <alignment horizontal="center" vertical="center"/>
      <protection hidden="1"/>
    </xf>
    <xf numFmtId="2" fontId="6" fillId="3" borderId="0" xfId="2" applyNumberFormat="1" applyFont="1" applyFill="1" applyAlignment="1" applyProtection="1">
      <alignment vertical="center"/>
      <protection hidden="1"/>
    </xf>
    <xf numFmtId="0" fontId="6" fillId="4" borderId="9" xfId="2" applyFont="1" applyFill="1" applyBorder="1" applyAlignment="1" applyProtection="1">
      <alignment vertical="center" textRotation="90" wrapText="1"/>
      <protection hidden="1"/>
    </xf>
    <xf numFmtId="0" fontId="6" fillId="4" borderId="0" xfId="2" applyFont="1" applyFill="1" applyAlignment="1" applyProtection="1">
      <alignment vertical="center" textRotation="90" wrapText="1"/>
      <protection hidden="1"/>
    </xf>
    <xf numFmtId="0" fontId="5" fillId="0" borderId="6" xfId="2" applyFont="1" applyBorder="1" applyAlignment="1" applyProtection="1">
      <alignment horizontal="center" vertical="center" wrapText="1"/>
      <protection hidden="1"/>
    </xf>
    <xf numFmtId="0" fontId="5" fillId="0" borderId="4" xfId="2" applyFont="1" applyBorder="1" applyAlignment="1" applyProtection="1">
      <alignment horizontal="center" vertical="center" wrapText="1"/>
      <protection hidden="1"/>
    </xf>
    <xf numFmtId="0" fontId="5" fillId="0" borderId="19" xfId="2" applyFont="1" applyBorder="1" applyAlignment="1" applyProtection="1">
      <alignment horizontal="center" vertical="center" wrapText="1"/>
      <protection hidden="1"/>
    </xf>
    <xf numFmtId="0" fontId="5" fillId="0" borderId="20" xfId="2" applyFont="1" applyBorder="1" applyAlignment="1" applyProtection="1">
      <alignment horizontal="center" vertical="center" wrapText="1"/>
      <protection hidden="1"/>
    </xf>
    <xf numFmtId="0" fontId="34" fillId="7" borderId="13" xfId="2" applyFont="1" applyFill="1" applyBorder="1" applyAlignment="1" applyProtection="1">
      <alignment horizontal="center" vertical="center" wrapText="1"/>
      <protection hidden="1"/>
    </xf>
    <xf numFmtId="0" fontId="34" fillId="7" borderId="12" xfId="2" applyFont="1" applyFill="1" applyBorder="1" applyAlignment="1" applyProtection="1">
      <alignment horizontal="center" vertical="center" wrapText="1"/>
      <protection hidden="1"/>
    </xf>
    <xf numFmtId="0" fontId="34" fillId="7" borderId="55" xfId="2" applyFont="1" applyFill="1" applyBorder="1" applyAlignment="1" applyProtection="1">
      <alignment horizontal="center" vertical="center" wrapText="1"/>
      <protection hidden="1"/>
    </xf>
    <xf numFmtId="0" fontId="6" fillId="3" borderId="78" xfId="2" applyFont="1" applyFill="1" applyBorder="1" applyAlignment="1" applyProtection="1">
      <alignment horizontal="center" vertical="center" textRotation="90" wrapText="1"/>
      <protection hidden="1"/>
    </xf>
    <xf numFmtId="0" fontId="6" fillId="3" borderId="79" xfId="2" applyFont="1" applyFill="1" applyBorder="1" applyAlignment="1" applyProtection="1">
      <alignment horizontal="center" vertical="center" textRotation="90" wrapText="1"/>
      <protection hidden="1"/>
    </xf>
    <xf numFmtId="0" fontId="6" fillId="3" borderId="80" xfId="2" applyFont="1" applyFill="1" applyBorder="1" applyAlignment="1" applyProtection="1">
      <alignment horizontal="center" vertical="center" textRotation="90" wrapText="1"/>
      <protection hidden="1"/>
    </xf>
    <xf numFmtId="0" fontId="6" fillId="0" borderId="27" xfId="2" applyFont="1" applyBorder="1" applyAlignment="1" applyProtection="1">
      <alignment horizontal="center" vertical="center"/>
      <protection hidden="1"/>
    </xf>
    <xf numFmtId="0" fontId="6" fillId="0" borderId="9" xfId="2" applyFont="1" applyBorder="1" applyAlignment="1" applyProtection="1">
      <alignment horizontal="center" vertical="center"/>
      <protection hidden="1"/>
    </xf>
    <xf numFmtId="0" fontId="6" fillId="0" borderId="138" xfId="2" applyFont="1" applyBorder="1" applyAlignment="1" applyProtection="1">
      <alignment horizontal="center" vertical="center"/>
      <protection hidden="1"/>
    </xf>
    <xf numFmtId="0" fontId="6" fillId="0" borderId="0" xfId="2" applyFont="1" applyAlignment="1" applyProtection="1">
      <alignment horizontal="center" vertical="center"/>
      <protection hidden="1"/>
    </xf>
    <xf numFmtId="0" fontId="5" fillId="0" borderId="54" xfId="2" applyFont="1" applyBorder="1" applyAlignment="1" applyProtection="1">
      <alignment horizontal="center" vertical="center" wrapText="1"/>
      <protection hidden="1"/>
    </xf>
    <xf numFmtId="0" fontId="5" fillId="0" borderId="32" xfId="2" applyFont="1" applyBorder="1" applyAlignment="1" applyProtection="1">
      <alignment horizontal="center" vertical="center" wrapText="1"/>
      <protection hidden="1"/>
    </xf>
    <xf numFmtId="0" fontId="6" fillId="0" borderId="95" xfId="2" applyFont="1" applyBorder="1" applyAlignment="1" applyProtection="1">
      <alignment horizontal="center" vertical="center" textRotation="90" wrapText="1"/>
      <protection hidden="1"/>
    </xf>
    <xf numFmtId="0" fontId="6" fillId="0" borderId="0" xfId="2" applyFont="1" applyAlignment="1" applyProtection="1">
      <alignment horizontal="center" vertical="center" textRotation="90" wrapText="1"/>
      <protection hidden="1"/>
    </xf>
    <xf numFmtId="0" fontId="34" fillId="7" borderId="32" xfId="2" applyFont="1" applyFill="1" applyBorder="1" applyAlignment="1" applyProtection="1">
      <alignment horizontal="center" vertical="center" wrapText="1"/>
      <protection hidden="1"/>
    </xf>
    <xf numFmtId="0" fontId="34" fillId="7" borderId="4" xfId="2" applyFont="1" applyFill="1" applyBorder="1" applyAlignment="1" applyProtection="1">
      <alignment horizontal="center" vertical="center" wrapText="1"/>
      <protection hidden="1"/>
    </xf>
    <xf numFmtId="0" fontId="34" fillId="7" borderId="20" xfId="2" applyFont="1" applyFill="1" applyBorder="1" applyAlignment="1" applyProtection="1">
      <alignment horizontal="center" vertical="center" wrapText="1"/>
      <protection hidden="1"/>
    </xf>
    <xf numFmtId="0" fontId="34" fillId="7" borderId="14" xfId="2" applyFont="1" applyFill="1" applyBorder="1" applyAlignment="1" applyProtection="1">
      <alignment horizontal="center" vertical="center"/>
      <protection hidden="1"/>
    </xf>
    <xf numFmtId="0" fontId="34" fillId="7" borderId="7" xfId="2" applyFont="1" applyFill="1" applyBorder="1" applyAlignment="1" applyProtection="1">
      <alignment horizontal="center" vertical="center"/>
      <protection hidden="1"/>
    </xf>
    <xf numFmtId="0" fontId="34" fillId="7" borderId="58" xfId="2" applyFont="1" applyFill="1" applyBorder="1" applyAlignment="1" applyProtection="1">
      <alignment horizontal="center" vertical="center"/>
      <protection hidden="1"/>
    </xf>
    <xf numFmtId="0" fontId="6" fillId="5" borderId="42" xfId="2" applyFont="1" applyFill="1" applyBorder="1" applyAlignment="1" applyProtection="1">
      <alignment horizontal="center" vertical="center" wrapText="1"/>
      <protection hidden="1"/>
    </xf>
    <xf numFmtId="0" fontId="0" fillId="5" borderId="43" xfId="0" applyFill="1" applyBorder="1" applyProtection="1">
      <protection hidden="1"/>
    </xf>
    <xf numFmtId="0" fontId="0" fillId="5" borderId="44" xfId="0" applyFill="1" applyBorder="1" applyProtection="1">
      <protection hidden="1"/>
    </xf>
    <xf numFmtId="0" fontId="34" fillId="7" borderId="54" xfId="2" applyFont="1" applyFill="1" applyBorder="1" applyAlignment="1" applyProtection="1">
      <alignment horizontal="center" vertical="center"/>
      <protection hidden="1"/>
    </xf>
    <xf numFmtId="0" fontId="34" fillId="7" borderId="6" xfId="2" applyFont="1" applyFill="1" applyBorder="1" applyAlignment="1" applyProtection="1">
      <alignment horizontal="center" vertical="center"/>
      <protection hidden="1"/>
    </xf>
    <xf numFmtId="0" fontId="34" fillId="7" borderId="19" xfId="2" applyFont="1" applyFill="1" applyBorder="1" applyAlignment="1" applyProtection="1">
      <alignment horizontal="center" vertical="center"/>
      <protection hidden="1"/>
    </xf>
    <xf numFmtId="0" fontId="34" fillId="7" borderId="32" xfId="2" applyFont="1" applyFill="1" applyBorder="1" applyAlignment="1" applyProtection="1">
      <alignment horizontal="center" vertical="center"/>
      <protection hidden="1"/>
    </xf>
    <xf numFmtId="0" fontId="34" fillId="7" borderId="4" xfId="2" applyFont="1" applyFill="1" applyBorder="1" applyAlignment="1" applyProtection="1">
      <alignment horizontal="center" vertical="center"/>
      <protection hidden="1"/>
    </xf>
    <xf numFmtId="0" fontId="34" fillId="7" borderId="20" xfId="2" applyFont="1" applyFill="1" applyBorder="1" applyAlignment="1" applyProtection="1">
      <alignment horizontal="center" vertical="center"/>
      <protection hidden="1"/>
    </xf>
    <xf numFmtId="0" fontId="34" fillId="7" borderId="53" xfId="2" applyFont="1" applyFill="1" applyBorder="1" applyAlignment="1" applyProtection="1">
      <alignment horizontal="center" vertical="center" wrapText="1"/>
      <protection hidden="1"/>
    </xf>
    <xf numFmtId="0" fontId="34" fillId="7" borderId="15" xfId="2" applyFont="1" applyFill="1" applyBorder="1" applyAlignment="1" applyProtection="1">
      <alignment horizontal="center" vertical="center" wrapText="1"/>
      <protection hidden="1"/>
    </xf>
    <xf numFmtId="0" fontId="34" fillId="7" borderId="56" xfId="2" applyFont="1" applyFill="1" applyBorder="1" applyAlignment="1" applyProtection="1">
      <alignment horizontal="center" vertical="center" wrapText="1"/>
      <protection hidden="1"/>
    </xf>
    <xf numFmtId="0" fontId="34" fillId="7" borderId="27" xfId="2" applyFont="1" applyFill="1" applyBorder="1" applyAlignment="1" applyProtection="1">
      <alignment horizontal="center" vertical="center"/>
      <protection hidden="1"/>
    </xf>
    <xf numFmtId="0" fontId="34" fillId="7" borderId="9" xfId="2" applyFont="1" applyFill="1" applyBorder="1" applyAlignment="1" applyProtection="1">
      <alignment horizontal="center" vertical="center"/>
      <protection hidden="1"/>
    </xf>
    <xf numFmtId="0" fontId="34" fillId="7" borderId="28" xfId="2" applyFont="1" applyFill="1" applyBorder="1" applyAlignment="1" applyProtection="1">
      <alignment horizontal="center" vertical="center"/>
      <protection hidden="1"/>
    </xf>
    <xf numFmtId="0" fontId="34" fillId="7" borderId="31" xfId="2" applyFont="1" applyFill="1" applyBorder="1" applyAlignment="1" applyProtection="1">
      <alignment horizontal="center" vertical="center" wrapText="1"/>
      <protection hidden="1"/>
    </xf>
    <xf numFmtId="0" fontId="34" fillId="7" borderId="33" xfId="2" applyFont="1" applyFill="1" applyBorder="1" applyAlignment="1" applyProtection="1">
      <alignment horizontal="center" vertical="center" wrapText="1"/>
      <protection hidden="1"/>
    </xf>
    <xf numFmtId="0" fontId="34" fillId="7" borderId="62" xfId="2" applyFont="1" applyFill="1" applyBorder="1" applyAlignment="1" applyProtection="1">
      <alignment horizontal="center" vertical="center" wrapText="1"/>
      <protection hidden="1"/>
    </xf>
    <xf numFmtId="49" fontId="33" fillId="4" borderId="140" xfId="6" applyNumberFormat="1" applyFont="1" applyFill="1" applyBorder="1" applyAlignment="1" applyProtection="1">
      <alignment horizontal="center" vertical="center"/>
      <protection locked="0" hidden="1"/>
    </xf>
    <xf numFmtId="0" fontId="1" fillId="4" borderId="0" xfId="2" applyFill="1" applyAlignment="1">
      <alignment horizontal="center"/>
    </xf>
    <xf numFmtId="0" fontId="37" fillId="4" borderId="83" xfId="0" applyFont="1" applyFill="1" applyBorder="1" applyAlignment="1">
      <alignment horizontal="center" vertical="center" wrapText="1"/>
    </xf>
    <xf numFmtId="0" fontId="37" fillId="4" borderId="0" xfId="0" applyFont="1" applyFill="1" applyAlignment="1">
      <alignment horizontal="left" wrapText="1"/>
    </xf>
    <xf numFmtId="0" fontId="37" fillId="4" borderId="81" xfId="0" applyFont="1" applyFill="1" applyBorder="1" applyAlignment="1">
      <alignment horizontal="left" vertical="center" wrapText="1"/>
    </xf>
    <xf numFmtId="0" fontId="39" fillId="4" borderId="81" xfId="6" applyFont="1" applyFill="1" applyBorder="1" applyAlignment="1" applyProtection="1">
      <alignment horizontal="left" vertical="center" wrapText="1"/>
      <protection locked="0"/>
    </xf>
    <xf numFmtId="0" fontId="39" fillId="4" borderId="140" xfId="6" applyFont="1" applyFill="1" applyBorder="1" applyAlignment="1" applyProtection="1">
      <alignment horizontal="left" vertical="center"/>
      <protection locked="0" hidden="1"/>
    </xf>
    <xf numFmtId="0" fontId="33" fillId="4" borderId="81" xfId="6" applyFont="1" applyFill="1" applyBorder="1" applyAlignment="1" applyProtection="1">
      <alignment horizontal="center" vertical="center"/>
      <protection locked="0" hidden="1"/>
    </xf>
    <xf numFmtId="0" fontId="39" fillId="4" borderId="81" xfId="6" applyFont="1" applyFill="1" applyBorder="1" applyAlignment="1" applyProtection="1">
      <alignment horizontal="left" vertical="center"/>
      <protection locked="0" hidden="1"/>
    </xf>
    <xf numFmtId="0" fontId="40" fillId="4" borderId="81" xfId="6" applyFont="1" applyFill="1" applyBorder="1" applyAlignment="1" applyProtection="1">
      <alignment horizontal="left" vertical="center"/>
      <protection locked="0"/>
    </xf>
    <xf numFmtId="2" fontId="37" fillId="4" borderId="140" xfId="6" applyNumberFormat="1" applyFont="1" applyFill="1" applyBorder="1" applyAlignment="1" applyProtection="1">
      <alignment horizontal="left" vertical="center"/>
      <protection locked="0"/>
    </xf>
    <xf numFmtId="0" fontId="33" fillId="4" borderId="140" xfId="6" applyFont="1" applyFill="1" applyBorder="1" applyAlignment="1" applyProtection="1">
      <alignment horizontal="center" vertical="center"/>
      <protection locked="0" hidden="1"/>
    </xf>
    <xf numFmtId="0" fontId="35" fillId="7" borderId="0" xfId="1" applyFont="1" applyFill="1" applyAlignment="1" applyProtection="1">
      <alignment horizontal="center" vertical="center"/>
      <protection hidden="1"/>
    </xf>
    <xf numFmtId="0" fontId="36" fillId="7" borderId="0" xfId="1" applyFont="1" applyFill="1" applyAlignment="1" applyProtection="1">
      <alignment horizontal="center" vertical="center"/>
      <protection locked="0"/>
    </xf>
    <xf numFmtId="0" fontId="25" fillId="0" borderId="60" xfId="0" applyFont="1" applyBorder="1" applyAlignment="1" applyProtection="1">
      <alignment horizontal="center"/>
      <protection locked="0"/>
    </xf>
    <xf numFmtId="0" fontId="25" fillId="0" borderId="33" xfId="0" applyFont="1" applyBorder="1" applyAlignment="1" applyProtection="1">
      <alignment horizontal="center"/>
      <protection locked="0"/>
    </xf>
    <xf numFmtId="0" fontId="20" fillId="0" borderId="99" xfId="0" applyFont="1" applyBorder="1" applyAlignment="1" applyProtection="1">
      <alignment horizontal="center" vertical="center"/>
      <protection locked="0"/>
    </xf>
    <xf numFmtId="0" fontId="20" fillId="0" borderId="100" xfId="0" applyFont="1" applyBorder="1" applyAlignment="1" applyProtection="1">
      <alignment horizontal="center" vertical="center"/>
      <protection locked="0"/>
    </xf>
    <xf numFmtId="0" fontId="20" fillId="0" borderId="101" xfId="0" applyFont="1" applyBorder="1" applyAlignment="1" applyProtection="1">
      <alignment horizontal="center" vertical="center"/>
      <protection locked="0"/>
    </xf>
    <xf numFmtId="0" fontId="0" fillId="0" borderId="6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4" fillId="0" borderId="60" xfId="0" applyFont="1" applyBorder="1" applyAlignment="1">
      <alignment horizontal="center" vertical="justify"/>
    </xf>
    <xf numFmtId="0" fontId="4" fillId="0" borderId="33" xfId="0" applyFont="1" applyBorder="1" applyAlignment="1">
      <alignment horizontal="center" vertical="justify"/>
    </xf>
    <xf numFmtId="0" fontId="6" fillId="0" borderId="60" xfId="0" applyFont="1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23" fillId="0" borderId="93" xfId="0" applyFont="1" applyBorder="1" applyAlignment="1" applyProtection="1">
      <alignment horizontal="center" vertical="center"/>
      <protection locked="0"/>
    </xf>
    <xf numFmtId="0" fontId="23" fillId="0" borderId="81" xfId="0" applyFont="1" applyBorder="1" applyAlignment="1" applyProtection="1">
      <alignment horizontal="center" vertical="center"/>
      <protection locked="0"/>
    </xf>
    <xf numFmtId="0" fontId="23" fillId="0" borderId="94" xfId="0" applyFont="1" applyBorder="1" applyAlignment="1" applyProtection="1">
      <alignment horizontal="center" vertical="center"/>
      <protection locked="0"/>
    </xf>
    <xf numFmtId="0" fontId="26" fillId="0" borderId="107" xfId="0" applyFont="1" applyBorder="1" applyAlignment="1" applyProtection="1">
      <alignment horizontal="center" vertical="center"/>
      <protection locked="0"/>
    </xf>
    <xf numFmtId="0" fontId="26" fillId="0" borderId="82" xfId="0" applyFont="1" applyBorder="1" applyAlignment="1" applyProtection="1">
      <alignment horizontal="center" vertical="center"/>
      <protection locked="0"/>
    </xf>
    <xf numFmtId="0" fontId="26" fillId="0" borderId="62" xfId="0" applyFont="1" applyBorder="1" applyAlignment="1" applyProtection="1">
      <alignment horizontal="center" vertical="center"/>
      <protection locked="0"/>
    </xf>
    <xf numFmtId="0" fontId="26" fillId="0" borderId="66" xfId="0" applyFont="1" applyBorder="1" applyAlignment="1" applyProtection="1">
      <alignment horizontal="center" vertical="center"/>
      <protection locked="0"/>
    </xf>
    <xf numFmtId="0" fontId="26" fillId="0" borderId="108" xfId="0" applyFont="1" applyBorder="1" applyAlignment="1" applyProtection="1">
      <alignment horizontal="center" vertical="center"/>
      <protection locked="0"/>
    </xf>
    <xf numFmtId="0" fontId="16" fillId="0" borderId="118" xfId="0" applyFont="1" applyBorder="1" applyAlignment="1" applyProtection="1">
      <alignment horizontal="center" vertical="center"/>
      <protection locked="0"/>
    </xf>
    <xf numFmtId="0" fontId="16" fillId="0" borderId="119" xfId="0" applyFont="1" applyBorder="1" applyAlignment="1" applyProtection="1">
      <alignment horizontal="center" vertical="center"/>
      <protection locked="0"/>
    </xf>
    <xf numFmtId="0" fontId="1" fillId="0" borderId="128" xfId="0" applyFont="1" applyBorder="1" applyAlignment="1" applyProtection="1">
      <alignment horizontal="justify" vertical="justify" wrapText="1"/>
      <protection locked="0"/>
    </xf>
    <xf numFmtId="0" fontId="1" fillId="0" borderId="127" xfId="0" applyFont="1" applyBorder="1" applyAlignment="1" applyProtection="1">
      <alignment horizontal="justify" vertical="justify" wrapText="1"/>
      <protection locked="0"/>
    </xf>
    <xf numFmtId="0" fontId="19" fillId="0" borderId="116" xfId="0" applyFont="1" applyBorder="1" applyAlignment="1" applyProtection="1">
      <alignment horizontal="left" vertical="center"/>
      <protection locked="0"/>
    </xf>
    <xf numFmtId="0" fontId="19" fillId="0" borderId="117" xfId="0" applyFont="1" applyBorder="1" applyAlignment="1" applyProtection="1">
      <alignment horizontal="left" vertical="center"/>
      <protection locked="0"/>
    </xf>
    <xf numFmtId="0" fontId="16" fillId="0" borderId="118" xfId="0" applyFont="1" applyBorder="1" applyAlignment="1" applyProtection="1">
      <alignment horizontal="center"/>
      <protection locked="0"/>
    </xf>
    <xf numFmtId="0" fontId="16" fillId="0" borderId="103" xfId="0" applyFont="1" applyBorder="1" applyAlignment="1" applyProtection="1">
      <alignment horizontal="center"/>
      <protection locked="0"/>
    </xf>
    <xf numFmtId="0" fontId="16" fillId="0" borderId="105" xfId="0" applyFont="1" applyBorder="1" applyAlignment="1" applyProtection="1">
      <alignment horizontal="center"/>
      <protection locked="0"/>
    </xf>
    <xf numFmtId="0" fontId="16" fillId="0" borderId="99" xfId="0" applyFont="1" applyBorder="1" applyAlignment="1" applyProtection="1">
      <alignment horizontal="center" vertical="center"/>
      <protection locked="0"/>
    </xf>
    <xf numFmtId="0" fontId="16" fillId="0" borderId="100" xfId="0" applyFont="1" applyBorder="1" applyAlignment="1" applyProtection="1">
      <alignment horizontal="center" vertical="center"/>
      <protection locked="0"/>
    </xf>
    <xf numFmtId="0" fontId="16" fillId="0" borderId="101" xfId="0" applyFont="1" applyBorder="1" applyAlignment="1" applyProtection="1">
      <alignment horizontal="center" vertical="center"/>
      <protection locked="0"/>
    </xf>
    <xf numFmtId="0" fontId="6" fillId="0" borderId="8" xfId="2" applyFont="1" applyBorder="1" applyAlignment="1" applyProtection="1">
      <alignment horizontal="center" vertical="center" textRotation="90" wrapText="1"/>
      <protection hidden="1"/>
    </xf>
    <xf numFmtId="0" fontId="6" fillId="0" borderId="4" xfId="2" applyFont="1" applyBorder="1" applyAlignment="1" applyProtection="1">
      <alignment horizontal="center" vertical="center" textRotation="90" wrapText="1"/>
      <protection hidden="1"/>
    </xf>
    <xf numFmtId="0" fontId="6" fillId="0" borderId="10" xfId="2" applyFont="1" applyBorder="1" applyAlignment="1" applyProtection="1">
      <alignment horizontal="center" vertical="center" textRotation="90" wrapText="1"/>
      <protection hidden="1"/>
    </xf>
    <xf numFmtId="0" fontId="6" fillId="0" borderId="22" xfId="2" applyFont="1" applyBorder="1" applyAlignment="1" applyProtection="1">
      <alignment horizontal="center" vertical="center" textRotation="90" wrapText="1"/>
      <protection hidden="1"/>
    </xf>
    <xf numFmtId="0" fontId="6" fillId="0" borderId="7" xfId="2" applyFont="1" applyBorder="1" applyAlignment="1" applyProtection="1">
      <alignment horizontal="center" vertical="center" textRotation="90" wrapText="1"/>
      <protection hidden="1"/>
    </xf>
    <xf numFmtId="0" fontId="6" fillId="0" borderId="24" xfId="2" applyFont="1" applyBorder="1" applyAlignment="1" applyProtection="1">
      <alignment horizontal="center" vertical="center" textRotation="90" wrapText="1"/>
      <protection hidden="1"/>
    </xf>
    <xf numFmtId="0" fontId="4" fillId="2" borderId="7" xfId="2" applyFont="1" applyFill="1" applyBorder="1" applyAlignment="1" applyProtection="1">
      <alignment horizontal="center" vertical="center"/>
      <protection hidden="1"/>
    </xf>
    <xf numFmtId="0" fontId="4" fillId="2" borderId="58" xfId="2" applyFont="1" applyFill="1" applyBorder="1" applyAlignment="1" applyProtection="1">
      <alignment horizontal="center" vertical="center"/>
      <protection hidden="1"/>
    </xf>
    <xf numFmtId="0" fontId="4" fillId="2" borderId="27" xfId="2" applyFont="1" applyFill="1" applyBorder="1" applyAlignment="1" applyProtection="1">
      <alignment horizontal="center" vertical="center"/>
      <protection hidden="1"/>
    </xf>
    <xf numFmtId="0" fontId="4" fillId="2" borderId="9" xfId="2" applyFont="1" applyFill="1" applyBorder="1" applyAlignment="1" applyProtection="1">
      <alignment horizontal="center" vertical="center"/>
      <protection hidden="1"/>
    </xf>
    <xf numFmtId="0" fontId="4" fillId="2" borderId="28" xfId="2" applyFont="1" applyFill="1" applyBorder="1" applyAlignment="1" applyProtection="1">
      <alignment horizontal="center" vertical="center"/>
      <protection hidden="1"/>
    </xf>
    <xf numFmtId="0" fontId="6" fillId="0" borderId="34" xfId="2" applyFont="1" applyBorder="1" applyAlignment="1" applyProtection="1">
      <alignment horizontal="center" vertical="center"/>
      <protection hidden="1"/>
    </xf>
    <xf numFmtId="0" fontId="6" fillId="0" borderId="35" xfId="2" applyFont="1" applyBorder="1" applyAlignment="1" applyProtection="1">
      <alignment horizontal="center" vertical="center"/>
      <protection hidden="1"/>
    </xf>
    <xf numFmtId="0" fontId="6" fillId="0" borderId="57" xfId="2" applyFont="1" applyBorder="1" applyAlignment="1" applyProtection="1">
      <alignment horizontal="center" vertical="center"/>
      <protection hidden="1"/>
    </xf>
    <xf numFmtId="0" fontId="4" fillId="2" borderId="13" xfId="2" applyFont="1" applyFill="1" applyBorder="1" applyAlignment="1" applyProtection="1">
      <alignment horizontal="center" vertical="center" wrapText="1"/>
      <protection hidden="1"/>
    </xf>
    <xf numFmtId="0" fontId="4" fillId="2" borderId="12" xfId="2" applyFont="1" applyFill="1" applyBorder="1" applyAlignment="1" applyProtection="1">
      <alignment horizontal="center" vertical="center" wrapText="1"/>
      <protection hidden="1"/>
    </xf>
    <xf numFmtId="0" fontId="4" fillId="2" borderId="55" xfId="2" applyFont="1" applyFill="1" applyBorder="1" applyAlignment="1" applyProtection="1">
      <alignment horizontal="center" vertical="center" wrapText="1"/>
      <protection hidden="1"/>
    </xf>
    <xf numFmtId="0" fontId="6" fillId="3" borderId="38" xfId="2" applyFont="1" applyFill="1" applyBorder="1" applyAlignment="1" applyProtection="1">
      <alignment horizontal="center" vertical="center" wrapText="1"/>
      <protection hidden="1"/>
    </xf>
    <xf numFmtId="0" fontId="0" fillId="3" borderId="1" xfId="0" applyFill="1" applyBorder="1" applyProtection="1">
      <protection hidden="1"/>
    </xf>
    <xf numFmtId="0" fontId="0" fillId="3" borderId="46" xfId="0" applyFill="1" applyBorder="1" applyProtection="1">
      <protection hidden="1"/>
    </xf>
    <xf numFmtId="0" fontId="6" fillId="3" borderId="39" xfId="2" applyFont="1" applyFill="1" applyBorder="1" applyAlignment="1" applyProtection="1">
      <alignment horizontal="center" vertical="center" wrapText="1"/>
      <protection hidden="1"/>
    </xf>
    <xf numFmtId="0" fontId="0" fillId="3" borderId="40" xfId="0" applyFill="1" applyBorder="1" applyProtection="1">
      <protection hidden="1"/>
    </xf>
    <xf numFmtId="0" fontId="0" fillId="3" borderId="61" xfId="0" applyFill="1" applyBorder="1" applyProtection="1">
      <protection hidden="1"/>
    </xf>
    <xf numFmtId="0" fontId="6" fillId="3" borderId="42" xfId="2" applyFont="1" applyFill="1" applyBorder="1" applyAlignment="1" applyProtection="1">
      <alignment horizontal="center" vertical="center" wrapText="1"/>
      <protection hidden="1"/>
    </xf>
    <xf numFmtId="0" fontId="0" fillId="3" borderId="43" xfId="0" applyFill="1" applyBorder="1" applyProtection="1">
      <protection hidden="1"/>
    </xf>
    <xf numFmtId="0" fontId="0" fillId="3" borderId="44" xfId="0" applyFill="1" applyBorder="1" applyProtection="1">
      <protection hidden="1"/>
    </xf>
    <xf numFmtId="0" fontId="6" fillId="0" borderId="21" xfId="2" applyFont="1" applyBorder="1" applyAlignment="1" applyProtection="1">
      <alignment horizontal="center" vertical="center" textRotation="90" wrapText="1"/>
      <protection hidden="1"/>
    </xf>
    <xf numFmtId="0" fontId="6" fillId="0" borderId="6" xfId="2" applyFont="1" applyBorder="1" applyAlignment="1" applyProtection="1">
      <alignment horizontal="center" vertical="center" textRotation="90" wrapText="1"/>
      <protection hidden="1"/>
    </xf>
    <xf numFmtId="0" fontId="6" fillId="0" borderId="23" xfId="2" applyFont="1" applyBorder="1" applyAlignment="1" applyProtection="1">
      <alignment horizontal="center" vertical="center" textRotation="90" wrapText="1"/>
      <protection hidden="1"/>
    </xf>
    <xf numFmtId="0" fontId="5" fillId="0" borderId="23" xfId="2" applyFont="1" applyBorder="1" applyAlignment="1" applyProtection="1">
      <alignment horizontal="center" vertical="center" wrapText="1"/>
      <protection hidden="1"/>
    </xf>
    <xf numFmtId="0" fontId="5" fillId="0" borderId="10" xfId="2" applyFont="1" applyBorder="1" applyAlignment="1" applyProtection="1">
      <alignment horizontal="center" vertical="center" wrapText="1"/>
      <protection hidden="1"/>
    </xf>
    <xf numFmtId="0" fontId="5" fillId="0" borderId="21" xfId="2" applyFont="1" applyBorder="1" applyAlignment="1" applyProtection="1">
      <alignment horizontal="center" vertical="center" wrapText="1"/>
      <protection hidden="1"/>
    </xf>
    <xf numFmtId="0" fontId="5" fillId="0" borderId="8" xfId="2" applyFont="1" applyBorder="1" applyAlignment="1" applyProtection="1">
      <alignment horizontal="center" vertical="center" wrapText="1"/>
      <protection hidden="1"/>
    </xf>
    <xf numFmtId="0" fontId="6" fillId="0" borderId="16" xfId="2" applyFont="1" applyBorder="1" applyAlignment="1" applyProtection="1">
      <alignment horizontal="center" vertical="center"/>
      <protection hidden="1"/>
    </xf>
    <xf numFmtId="0" fontId="6" fillId="0" borderId="17" xfId="2" applyFont="1" applyBorder="1" applyAlignment="1" applyProtection="1">
      <alignment horizontal="center" vertical="center"/>
      <protection hidden="1"/>
    </xf>
    <xf numFmtId="0" fontId="6" fillId="0" borderId="18" xfId="2" applyFont="1" applyBorder="1" applyAlignment="1" applyProtection="1">
      <alignment horizontal="center" vertical="center"/>
      <protection hidden="1"/>
    </xf>
    <xf numFmtId="0" fontId="12" fillId="0" borderId="25" xfId="2" applyFont="1" applyBorder="1" applyAlignment="1" applyProtection="1">
      <alignment horizontal="center" vertical="center"/>
      <protection hidden="1"/>
    </xf>
    <xf numFmtId="0" fontId="12" fillId="0" borderId="11" xfId="2" applyFont="1" applyBorder="1" applyAlignment="1" applyProtection="1">
      <alignment horizontal="center" vertical="center"/>
      <protection hidden="1"/>
    </xf>
    <xf numFmtId="0" fontId="8" fillId="2" borderId="0" xfId="1" applyFont="1" applyFill="1" applyAlignment="1" applyProtection="1">
      <alignment horizontal="center" vertical="center"/>
      <protection hidden="1"/>
    </xf>
    <xf numFmtId="0" fontId="3" fillId="2" borderId="0" xfId="1" applyFont="1" applyFill="1" applyAlignment="1" applyProtection="1">
      <alignment horizontal="center" vertical="center"/>
      <protection locked="0"/>
    </xf>
    <xf numFmtId="0" fontId="4" fillId="2" borderId="14" xfId="2" applyFont="1" applyFill="1" applyBorder="1" applyAlignment="1" applyProtection="1">
      <alignment horizontal="center" vertical="center"/>
      <protection hidden="1"/>
    </xf>
    <xf numFmtId="0" fontId="4" fillId="2" borderId="32" xfId="2" applyFont="1" applyFill="1" applyBorder="1" applyAlignment="1" applyProtection="1">
      <alignment horizontal="center" vertical="center" wrapText="1"/>
      <protection hidden="1"/>
    </xf>
    <xf numFmtId="0" fontId="4" fillId="2" borderId="4" xfId="2" applyFont="1" applyFill="1" applyBorder="1" applyAlignment="1" applyProtection="1">
      <alignment horizontal="center" vertical="center" wrapText="1"/>
      <protection hidden="1"/>
    </xf>
    <xf numFmtId="0" fontId="4" fillId="2" borderId="20" xfId="2" applyFont="1" applyFill="1" applyBorder="1" applyAlignment="1" applyProtection="1">
      <alignment horizontal="center" vertical="center" wrapText="1"/>
      <protection hidden="1"/>
    </xf>
    <xf numFmtId="0" fontId="4" fillId="2" borderId="32" xfId="2" applyFont="1" applyFill="1" applyBorder="1" applyAlignment="1" applyProtection="1">
      <alignment horizontal="center" vertical="center"/>
      <protection hidden="1"/>
    </xf>
    <xf numFmtId="0" fontId="4" fillId="2" borderId="4" xfId="2" applyFont="1" applyFill="1" applyBorder="1" applyAlignment="1" applyProtection="1">
      <alignment horizontal="center" vertical="center"/>
      <protection hidden="1"/>
    </xf>
    <xf numFmtId="0" fontId="4" fillId="2" borderId="20" xfId="2" applyFont="1" applyFill="1" applyBorder="1" applyAlignment="1" applyProtection="1">
      <alignment horizontal="center" vertical="center"/>
      <protection hidden="1"/>
    </xf>
    <xf numFmtId="0" fontId="4" fillId="2" borderId="54" xfId="2" applyFont="1" applyFill="1" applyBorder="1" applyAlignment="1" applyProtection="1">
      <alignment horizontal="center" vertical="center"/>
      <protection hidden="1"/>
    </xf>
    <xf numFmtId="0" fontId="4" fillId="2" borderId="6" xfId="2" applyFont="1" applyFill="1" applyBorder="1" applyAlignment="1" applyProtection="1">
      <alignment horizontal="center" vertical="center"/>
      <protection hidden="1"/>
    </xf>
    <xf numFmtId="0" fontId="4" fillId="2" borderId="19" xfId="2" applyFont="1" applyFill="1" applyBorder="1" applyAlignment="1" applyProtection="1">
      <alignment horizontal="center" vertical="center"/>
      <protection hidden="1"/>
    </xf>
    <xf numFmtId="0" fontId="4" fillId="2" borderId="31" xfId="2" applyFont="1" applyFill="1" applyBorder="1" applyAlignment="1" applyProtection="1">
      <alignment horizontal="center" vertical="center" wrapText="1"/>
      <protection hidden="1"/>
    </xf>
    <xf numFmtId="0" fontId="4" fillId="2" borderId="33" xfId="2" applyFont="1" applyFill="1" applyBorder="1" applyAlignment="1" applyProtection="1">
      <alignment horizontal="center" vertical="center" wrapText="1"/>
      <protection hidden="1"/>
    </xf>
    <xf numFmtId="0" fontId="4" fillId="2" borderId="62" xfId="2" applyFont="1" applyFill="1" applyBorder="1" applyAlignment="1" applyProtection="1">
      <alignment horizontal="center" vertical="center" wrapText="1"/>
      <protection hidden="1"/>
    </xf>
    <xf numFmtId="0" fontId="4" fillId="2" borderId="53" xfId="2" applyFont="1" applyFill="1" applyBorder="1" applyAlignment="1" applyProtection="1">
      <alignment horizontal="center" vertical="center" wrapText="1"/>
      <protection hidden="1"/>
    </xf>
    <xf numFmtId="0" fontId="4" fillId="2" borderId="15" xfId="2" applyFont="1" applyFill="1" applyBorder="1" applyAlignment="1" applyProtection="1">
      <alignment horizontal="center" vertical="center" wrapText="1"/>
      <protection hidden="1"/>
    </xf>
    <xf numFmtId="0" fontId="4" fillId="2" borderId="56" xfId="2" applyFont="1" applyFill="1" applyBorder="1" applyAlignment="1" applyProtection="1">
      <alignment horizontal="center" vertical="center" wrapText="1"/>
      <protection hidden="1"/>
    </xf>
    <xf numFmtId="0" fontId="6" fillId="0" borderId="13" xfId="2" applyFont="1" applyBorder="1" applyAlignment="1" applyProtection="1">
      <alignment horizontal="center" vertical="center" textRotation="90" wrapText="1"/>
      <protection hidden="1"/>
    </xf>
    <xf numFmtId="0" fontId="6" fillId="0" borderId="12" xfId="2" applyFont="1" applyBorder="1" applyAlignment="1" applyProtection="1">
      <alignment horizontal="center" vertical="center" textRotation="90" wrapText="1"/>
      <protection hidden="1"/>
    </xf>
    <xf numFmtId="0" fontId="6" fillId="0" borderId="11" xfId="2" applyFont="1" applyBorder="1" applyAlignment="1" applyProtection="1">
      <alignment horizontal="center" vertical="center" textRotation="90" wrapText="1"/>
      <protection hidden="1"/>
    </xf>
    <xf numFmtId="164" fontId="13" fillId="0" borderId="71" xfId="2" applyNumberFormat="1" applyFont="1" applyBorder="1" applyAlignment="1" applyProtection="1">
      <alignment horizontal="center" vertical="center"/>
      <protection locked="0"/>
    </xf>
    <xf numFmtId="164" fontId="13" fillId="0" borderId="72" xfId="2" applyNumberFormat="1" applyFont="1" applyBorder="1" applyAlignment="1" applyProtection="1">
      <alignment horizontal="center" vertical="center"/>
      <protection locked="0"/>
    </xf>
    <xf numFmtId="164" fontId="13" fillId="0" borderId="73" xfId="2" applyNumberFormat="1" applyFont="1" applyBorder="1" applyAlignment="1" applyProtection="1">
      <alignment horizontal="center" vertical="center"/>
      <protection locked="0"/>
    </xf>
    <xf numFmtId="0" fontId="6" fillId="0" borderId="28" xfId="2" applyFont="1" applyBorder="1" applyAlignment="1" applyProtection="1">
      <alignment horizontal="center" vertical="center"/>
      <protection hidden="1"/>
    </xf>
    <xf numFmtId="0" fontId="5" fillId="0" borderId="9" xfId="2" applyFont="1" applyBorder="1" applyAlignment="1" applyProtection="1">
      <alignment horizontal="left" vertical="top" wrapText="1"/>
      <protection hidden="1"/>
    </xf>
    <xf numFmtId="0" fontId="1" fillId="0" borderId="69" xfId="2" applyBorder="1" applyAlignment="1" applyProtection="1">
      <alignment horizontal="center" vertical="center"/>
      <protection hidden="1"/>
    </xf>
    <xf numFmtId="0" fontId="1" fillId="0" borderId="35" xfId="2" applyBorder="1" applyAlignment="1" applyProtection="1">
      <alignment horizontal="center" vertical="center"/>
      <protection hidden="1"/>
    </xf>
    <xf numFmtId="0" fontId="1" fillId="0" borderId="36" xfId="2" applyBorder="1" applyAlignment="1" applyProtection="1">
      <alignment horizontal="center" vertical="center"/>
      <protection hidden="1"/>
    </xf>
    <xf numFmtId="0" fontId="6" fillId="0" borderId="54" xfId="2" applyFont="1" applyBorder="1" applyAlignment="1" applyProtection="1">
      <alignment horizontal="center" vertical="center"/>
      <protection hidden="1"/>
    </xf>
    <xf numFmtId="0" fontId="6" fillId="0" borderId="32" xfId="2" applyFont="1" applyBorder="1" applyAlignment="1" applyProtection="1">
      <alignment horizontal="center" vertical="center"/>
      <protection hidden="1"/>
    </xf>
    <xf numFmtId="0" fontId="6" fillId="0" borderId="14" xfId="2" applyFont="1" applyBorder="1" applyAlignment="1" applyProtection="1">
      <alignment horizontal="center" vertical="center"/>
      <protection hidden="1"/>
    </xf>
    <xf numFmtId="0" fontId="12" fillId="0" borderId="23" xfId="2" applyFont="1" applyBorder="1" applyAlignment="1" applyProtection="1">
      <alignment horizontal="center" vertical="center"/>
      <protection hidden="1"/>
    </xf>
    <xf numFmtId="0" fontId="12" fillId="0" borderId="10" xfId="2" applyFont="1" applyBorder="1" applyAlignment="1" applyProtection="1">
      <alignment horizontal="center" vertical="center"/>
      <protection hidden="1"/>
    </xf>
    <xf numFmtId="0" fontId="1" fillId="0" borderId="10" xfId="2" applyBorder="1" applyAlignment="1" applyProtection="1">
      <alignment horizontal="center" vertical="center"/>
      <protection hidden="1"/>
    </xf>
  </cellXfs>
  <cellStyles count="7">
    <cellStyle name="Normal" xfId="0" builtinId="0"/>
    <cellStyle name="Normal 2" xfId="4" xr:uid="{00000000-0005-0000-0000-000001000000}"/>
    <cellStyle name="Normal 2 2" xfId="6" xr:uid="{F64A1747-0D13-43DE-AE78-42D26CA3F00D}"/>
    <cellStyle name="Normal_CAND Modelo2" xfId="1" xr:uid="{00000000-0005-0000-0000-000002000000}"/>
    <cellStyle name="Normal_Granulometria Maio à Agosto 2000" xfId="2" xr:uid="{00000000-0005-0000-0000-000003000000}"/>
    <cellStyle name="Porcentagem" xfId="3" builtinId="5"/>
    <cellStyle name="Vírgula 2" xfId="5" xr:uid="{D686B9B2-F6EE-49AE-BB05-43BA47E83574}"/>
  </cellStyles>
  <dxfs count="12"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  <dxf>
      <fill>
        <patternFill>
          <bgColor rgb="FFFBF9C9"/>
        </patternFill>
      </fill>
    </dxf>
  </dxfs>
  <tableStyles count="0" defaultTableStyle="TableStyleMedium9" defaultPivotStyle="PivotStyleLight16"/>
  <colors>
    <mruColors>
      <color rgb="FFFBF9C9"/>
      <color rgb="FFFDFCE3"/>
      <color rgb="FFFCFB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3.xml"/><Relationship Id="rId13" Type="http://schemas.openxmlformats.org/officeDocument/2006/relationships/worksheet" Target="worksheets/sheet8.xml"/><Relationship Id="rId18" Type="http://schemas.openxmlformats.org/officeDocument/2006/relationships/chartsheet" Target="chartsheets/sheet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5.xml"/><Relationship Id="rId12" Type="http://schemas.openxmlformats.org/officeDocument/2006/relationships/chartsheet" Target="chartsheets/sheet5.xml"/><Relationship Id="rId17" Type="http://schemas.openxmlformats.org/officeDocument/2006/relationships/worksheet" Target="worksheets/sheet10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7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worksheet" Target="worksheets/sheet7.xml"/><Relationship Id="rId24" Type="http://schemas.openxmlformats.org/officeDocument/2006/relationships/calcChain" Target="calcChain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9.xml"/><Relationship Id="rId23" Type="http://schemas.openxmlformats.org/officeDocument/2006/relationships/sheetMetadata" Target="metadata.xml"/><Relationship Id="rId10" Type="http://schemas.openxmlformats.org/officeDocument/2006/relationships/chartsheet" Target="chartsheets/sheet4.xml"/><Relationship Id="rId19" Type="http://schemas.openxmlformats.org/officeDocument/2006/relationships/externalLink" Target="externalLinks/externalLink1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6.xml"/><Relationship Id="rId14" Type="http://schemas.openxmlformats.org/officeDocument/2006/relationships/chartsheet" Target="chartsheets/sheet6.xml"/><Relationship Id="rId22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4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7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9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5443841476055054E-2"/>
          <c:y val="0.14448669201520911"/>
          <c:w val="0.88313673257264458"/>
          <c:h val="0.59315589353612164"/>
        </c:manualLayout>
      </c:layout>
      <c:scatterChart>
        <c:scatterStyle val="lineMarker"/>
        <c:varyColors val="0"/>
        <c:ser>
          <c:idx val="0"/>
          <c:order val="0"/>
          <c:tx>
            <c:v>MISTURA</c:v>
          </c:tx>
          <c:spPr>
            <a:ln w="12700">
              <a:solidFill>
                <a:srgbClr val="000080"/>
              </a:solidFill>
              <a:prstDash val="sysDash"/>
            </a:ln>
          </c:spPr>
          <c:marker>
            <c:symbol val="circle"/>
            <c:size val="2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'Amostra 1'!$V$3:$V$10</c:f>
              <c:numCache>
                <c:formatCode>0.000</c:formatCode>
                <c:ptCount val="8"/>
                <c:pt idx="0">
                  <c:v>19.100000000000001</c:v>
                </c:pt>
                <c:pt idx="1">
                  <c:v>12.7</c:v>
                </c:pt>
                <c:pt idx="2">
                  <c:v>9.52</c:v>
                </c:pt>
                <c:pt idx="3">
                  <c:v>4.76</c:v>
                </c:pt>
                <c:pt idx="4">
                  <c:v>2</c:v>
                </c:pt>
                <c:pt idx="5">
                  <c:v>0.42</c:v>
                </c:pt>
                <c:pt idx="6">
                  <c:v>0.18</c:v>
                </c:pt>
                <c:pt idx="7">
                  <c:v>7.3999999999999996E-2</c:v>
                </c:pt>
              </c:numCache>
            </c:numRef>
          </c:xVal>
          <c:yVal>
            <c:numRef>
              <c:f>'Amostra 1'!$W$3:$W$10</c:f>
              <c:numCache>
                <c:formatCode>0.0</c:formatCode>
                <c:ptCount val="8"/>
                <c:pt idx="0">
                  <c:v>100</c:v>
                </c:pt>
                <c:pt idx="1">
                  <c:v>95.3</c:v>
                </c:pt>
                <c:pt idx="2">
                  <c:v>80.400000000000006</c:v>
                </c:pt>
                <c:pt idx="3">
                  <c:v>67.2</c:v>
                </c:pt>
                <c:pt idx="4">
                  <c:v>54.5</c:v>
                </c:pt>
                <c:pt idx="5">
                  <c:v>36.4</c:v>
                </c:pt>
                <c:pt idx="6">
                  <c:v>14.2</c:v>
                </c:pt>
                <c:pt idx="7">
                  <c:v>5.9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06-4307-B697-A70318D60441}"/>
            </c:ext>
          </c:extLst>
        </c:ser>
        <c:ser>
          <c:idx val="1"/>
          <c:order val="1"/>
          <c:tx>
            <c:v>FAIXA DA MISTURA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'Amostra 1'!$V$3:$V$10</c:f>
              <c:numCache>
                <c:formatCode>0.000</c:formatCode>
                <c:ptCount val="8"/>
                <c:pt idx="0">
                  <c:v>19.100000000000001</c:v>
                </c:pt>
                <c:pt idx="1">
                  <c:v>12.7</c:v>
                </c:pt>
                <c:pt idx="2">
                  <c:v>9.52</c:v>
                </c:pt>
                <c:pt idx="3">
                  <c:v>4.76</c:v>
                </c:pt>
                <c:pt idx="4">
                  <c:v>2</c:v>
                </c:pt>
                <c:pt idx="5">
                  <c:v>0.42</c:v>
                </c:pt>
                <c:pt idx="6">
                  <c:v>0.18</c:v>
                </c:pt>
                <c:pt idx="7">
                  <c:v>7.3999999999999996E-2</c:v>
                </c:pt>
              </c:numCache>
            </c:numRef>
          </c:xVal>
          <c:yVal>
            <c:numRef>
              <c:f>'Amostra 1'!$X$3:$X$10</c:f>
              <c:numCache>
                <c:formatCode>#,##0_);\(#,##0\)</c:formatCode>
                <c:ptCount val="8"/>
                <c:pt idx="0">
                  <c:v>100</c:v>
                </c:pt>
                <c:pt idx="1">
                  <c:v>85</c:v>
                </c:pt>
                <c:pt idx="2">
                  <c:v>75</c:v>
                </c:pt>
                <c:pt idx="3">
                  <c:v>63</c:v>
                </c:pt>
                <c:pt idx="4">
                  <c:v>50</c:v>
                </c:pt>
                <c:pt idx="5">
                  <c:v>30</c:v>
                </c:pt>
                <c:pt idx="6">
                  <c:v>12</c:v>
                </c:pt>
                <c:pt idx="7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06-4307-B697-A70318D60441}"/>
            </c:ext>
          </c:extLst>
        </c:ser>
        <c:ser>
          <c:idx val="2"/>
          <c:order val="2"/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2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'Amostra 1'!$V$3:$V$10</c:f>
              <c:numCache>
                <c:formatCode>0.000</c:formatCode>
                <c:ptCount val="8"/>
                <c:pt idx="0">
                  <c:v>19.100000000000001</c:v>
                </c:pt>
                <c:pt idx="1">
                  <c:v>12.7</c:v>
                </c:pt>
                <c:pt idx="2">
                  <c:v>9.52</c:v>
                </c:pt>
                <c:pt idx="3">
                  <c:v>4.76</c:v>
                </c:pt>
                <c:pt idx="4">
                  <c:v>2</c:v>
                </c:pt>
                <c:pt idx="5">
                  <c:v>0.42</c:v>
                </c:pt>
                <c:pt idx="6">
                  <c:v>0.18</c:v>
                </c:pt>
                <c:pt idx="7">
                  <c:v>7.3999999999999996E-2</c:v>
                </c:pt>
              </c:numCache>
            </c:numRef>
          </c:xVal>
          <c:yVal>
            <c:numRef>
              <c:f>'Amostra 1'!$Y$3:$Y$10</c:f>
              <c:numCache>
                <c:formatCode>#,##0_);\(#,##0\)</c:formatCode>
                <c:ptCount val="8"/>
                <c:pt idx="0">
                  <c:v>100</c:v>
                </c:pt>
                <c:pt idx="1">
                  <c:v>98</c:v>
                </c:pt>
                <c:pt idx="2">
                  <c:v>86</c:v>
                </c:pt>
                <c:pt idx="3">
                  <c:v>73</c:v>
                </c:pt>
                <c:pt idx="4">
                  <c:v>60</c:v>
                </c:pt>
                <c:pt idx="5">
                  <c:v>40</c:v>
                </c:pt>
                <c:pt idx="6">
                  <c:v>16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06-4307-B697-A70318D60441}"/>
            </c:ext>
          </c:extLst>
        </c:ser>
        <c:ser>
          <c:idx val="3"/>
          <c:order val="3"/>
          <c:tx>
            <c:strRef>
              <c:f>'Amostra 1'!$Z$2</c:f>
              <c:strCache>
                <c:ptCount val="1"/>
                <c:pt idx="0">
                  <c:v>FAIXA "C" DNER  ES-313/97</c:v>
                </c:pt>
              </c:strCache>
            </c:strRef>
          </c:tx>
          <c:spPr>
            <a:ln w="12700">
              <a:solidFill>
                <a:srgbClr val="3333CC"/>
              </a:solidFill>
              <a:prstDash val="solid"/>
            </a:ln>
          </c:spPr>
          <c:marker>
            <c:symbol val="square"/>
            <c:size val="2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'Amostra 1'!$V$3:$V$10</c:f>
              <c:numCache>
                <c:formatCode>0.000</c:formatCode>
                <c:ptCount val="8"/>
                <c:pt idx="0">
                  <c:v>19.100000000000001</c:v>
                </c:pt>
                <c:pt idx="1">
                  <c:v>12.7</c:v>
                </c:pt>
                <c:pt idx="2">
                  <c:v>9.52</c:v>
                </c:pt>
                <c:pt idx="3">
                  <c:v>4.76</c:v>
                </c:pt>
                <c:pt idx="4">
                  <c:v>2</c:v>
                </c:pt>
                <c:pt idx="5">
                  <c:v>0.42</c:v>
                </c:pt>
                <c:pt idx="6">
                  <c:v>0.18</c:v>
                </c:pt>
                <c:pt idx="7">
                  <c:v>7.3999999999999996E-2</c:v>
                </c:pt>
              </c:numCache>
            </c:numRef>
          </c:xVal>
          <c:yVal>
            <c:numRef>
              <c:f>'Amostra 1'!$Z$3:$Z$10</c:f>
              <c:numCache>
                <c:formatCode>General</c:formatCode>
                <c:ptCount val="8"/>
                <c:pt idx="0">
                  <c:v>100</c:v>
                </c:pt>
                <c:pt idx="1">
                  <c:v>85</c:v>
                </c:pt>
                <c:pt idx="2">
                  <c:v>75</c:v>
                </c:pt>
                <c:pt idx="3">
                  <c:v>50</c:v>
                </c:pt>
                <c:pt idx="4">
                  <c:v>30</c:v>
                </c:pt>
                <c:pt idx="5">
                  <c:v>15</c:v>
                </c:pt>
                <c:pt idx="6">
                  <c:v>8</c:v>
                </c:pt>
                <c:pt idx="7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06-4307-B697-A70318D60441}"/>
            </c:ext>
          </c:extLst>
        </c:ser>
        <c:ser>
          <c:idx val="4"/>
          <c:order val="4"/>
          <c:spPr>
            <a:ln w="12700">
              <a:solidFill>
                <a:srgbClr val="3333CC"/>
              </a:solidFill>
              <a:prstDash val="solid"/>
            </a:ln>
          </c:spPr>
          <c:marker>
            <c:symbol val="square"/>
            <c:size val="2"/>
            <c:spPr>
              <a:noFill/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'Amostra 1'!$V$3:$V$10</c:f>
              <c:numCache>
                <c:formatCode>0.000</c:formatCode>
                <c:ptCount val="8"/>
                <c:pt idx="0">
                  <c:v>19.100000000000001</c:v>
                </c:pt>
                <c:pt idx="1">
                  <c:v>12.7</c:v>
                </c:pt>
                <c:pt idx="2">
                  <c:v>9.52</c:v>
                </c:pt>
                <c:pt idx="3">
                  <c:v>4.76</c:v>
                </c:pt>
                <c:pt idx="4">
                  <c:v>2</c:v>
                </c:pt>
                <c:pt idx="5">
                  <c:v>0.42</c:v>
                </c:pt>
                <c:pt idx="6">
                  <c:v>0.18</c:v>
                </c:pt>
                <c:pt idx="7">
                  <c:v>7.3999999999999996E-2</c:v>
                </c:pt>
              </c:numCache>
            </c:numRef>
          </c:xVal>
          <c:yVal>
            <c:numRef>
              <c:f>'Amostra 1'!$AA$3:$AA$10</c:f>
              <c:numCache>
                <c:formatCode>General</c:formatCode>
                <c:ptCount val="8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85</c:v>
                </c:pt>
                <c:pt idx="4">
                  <c:v>75</c:v>
                </c:pt>
                <c:pt idx="5">
                  <c:v>40</c:v>
                </c:pt>
                <c:pt idx="6">
                  <c:v>30</c:v>
                </c:pt>
                <c:pt idx="7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B06-4307-B697-A70318D60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215055"/>
        <c:axId val="1"/>
      </c:scatterChart>
      <c:valAx>
        <c:axId val="186215055"/>
        <c:scaling>
          <c:logBase val="10"/>
          <c:orientation val="minMax"/>
        </c:scaling>
        <c:delete val="1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numFmt formatCode="0.000" sourceLinked="1"/>
        <c:majorTickMark val="out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186215055"/>
        <c:crossesAt val="0.01"/>
        <c:crossBetween val="midCat"/>
        <c:majorUnit val="10"/>
        <c:minorUnit val="2"/>
      </c:valAx>
      <c:spPr>
        <a:noFill/>
        <a:ln w="25400">
          <a:noFill/>
        </a:ln>
      </c:spPr>
    </c:plotArea>
    <c:legend>
      <c:legendPos val="b"/>
      <c:legendEntry>
        <c:idx val="2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14349127956638555"/>
          <c:y val="0.90114068441064643"/>
          <c:w val="0.7766278401590333"/>
          <c:h val="7.984790874524716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>
      <c:oddHeader>&amp;A</c:oddHeader>
      <c:oddFooter>Página &amp;P</c:oddFooter>
    </c:headerFooter>
    <c:pageMargins b="0.984251969" l="0.78740157499999996" r="0.78740157499999996" t="0.984251969" header="0.49212598499999999" footer="0.492125984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200">
                <a:solidFill>
                  <a:schemeClr val="tx2"/>
                </a:solidFill>
              </a:rPr>
              <a:t>Análise de Granulometria - Agregado Miúdo - Areia Natural </a:t>
            </a:r>
            <a:r>
              <a:rPr lang="pt-BR" sz="1100"/>
              <a:t>
Procedência: Areial</a:t>
            </a:r>
            <a:r>
              <a:rPr lang="pt-BR" sz="1100" baseline="0"/>
              <a:t> do Quim Período: Setembro a Outubro/2008</a:t>
            </a:r>
            <a:endParaRPr lang="pt-BR" sz="1100"/>
          </a:p>
        </c:rich>
      </c:tx>
      <c:layout>
        <c:manualLayout>
          <c:xMode val="edge"/>
          <c:yMode val="edge"/>
          <c:x val="0.27121947727127088"/>
          <c:y val="6.7872650078362115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9159933865899992E-2"/>
          <c:y val="8.6718374606157334E-2"/>
          <c:w val="0.8971773751933847"/>
          <c:h val="0.82086499648735489"/>
        </c:manualLayout>
      </c:layout>
      <c:lineChart>
        <c:grouping val="standard"/>
        <c:varyColors val="0"/>
        <c:ser>
          <c:idx val="0"/>
          <c:order val="0"/>
          <c:tx>
            <c:strRef>
              <c:f>'A. Natural '!$A$46</c:f>
              <c:strCache>
                <c:ptCount val="1"/>
                <c:pt idx="0">
                  <c:v>Material Retido Acumulado (Zona ótima)</c:v>
                </c:pt>
              </c:strCache>
            </c:strRef>
          </c:tx>
          <c:spPr>
            <a:ln w="19050">
              <a:solidFill>
                <a:srgbClr val="C00000"/>
              </a:solidFill>
              <a:prstDash val="lgDash"/>
            </a:ln>
          </c:spPr>
          <c:marker>
            <c:symbol val="none"/>
          </c:marker>
          <c:cat>
            <c:numRef>
              <c:f>'A. Natural '!$D$6:$J$6</c:f>
              <c:numCache>
                <c:formatCode>0.00#\ "mm"</c:formatCode>
                <c:ptCount val="7"/>
                <c:pt idx="0" formatCode="0.0#\ &quot;mm&quot;">
                  <c:v>6.3</c:v>
                </c:pt>
                <c:pt idx="1">
                  <c:v>4.75</c:v>
                </c:pt>
                <c:pt idx="2">
                  <c:v>2.36</c:v>
                </c:pt>
                <c:pt idx="3">
                  <c:v>1.18</c:v>
                </c:pt>
                <c:pt idx="4">
                  <c:v>0.6</c:v>
                </c:pt>
                <c:pt idx="5">
                  <c:v>0.3</c:v>
                </c:pt>
                <c:pt idx="6">
                  <c:v>0.15</c:v>
                </c:pt>
              </c:numCache>
            </c:numRef>
          </c:cat>
          <c:val>
            <c:numRef>
              <c:f>'A. Natural '!$D$46:$J$46</c:f>
              <c:numCache>
                <c:formatCode>0</c:formatCode>
                <c:ptCount val="7"/>
                <c:pt idx="0">
                  <c:v>0</c:v>
                </c:pt>
                <c:pt idx="1">
                  <c:v>5</c:v>
                </c:pt>
                <c:pt idx="2">
                  <c:v>20</c:v>
                </c:pt>
                <c:pt idx="3">
                  <c:v>30</c:v>
                </c:pt>
                <c:pt idx="4">
                  <c:v>55</c:v>
                </c:pt>
                <c:pt idx="5">
                  <c:v>85</c:v>
                </c:pt>
                <c:pt idx="6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0C-4E21-A452-5465D4FAF6E5}"/>
            </c:ext>
          </c:extLst>
        </c:ser>
        <c:ser>
          <c:idx val="1"/>
          <c:order val="1"/>
          <c:tx>
            <c:strRef>
              <c:f>'A. Natural '!$A$46</c:f>
              <c:strCache>
                <c:ptCount val="1"/>
                <c:pt idx="0">
                  <c:v>Material Retido Acumulado (Zona ótima)</c:v>
                </c:pt>
              </c:strCache>
            </c:strRef>
          </c:tx>
          <c:spPr>
            <a:ln w="19050">
              <a:solidFill>
                <a:srgbClr val="C00000"/>
              </a:solidFill>
              <a:prstDash val="lgDash"/>
            </a:ln>
          </c:spPr>
          <c:marker>
            <c:symbol val="none"/>
          </c:marker>
          <c:cat>
            <c:numRef>
              <c:f>'A. Natural '!$D$6:$J$6</c:f>
              <c:numCache>
                <c:formatCode>0.00#\ "mm"</c:formatCode>
                <c:ptCount val="7"/>
                <c:pt idx="0" formatCode="0.0#\ &quot;mm&quot;">
                  <c:v>6.3</c:v>
                </c:pt>
                <c:pt idx="1">
                  <c:v>4.75</c:v>
                </c:pt>
                <c:pt idx="2">
                  <c:v>2.36</c:v>
                </c:pt>
                <c:pt idx="3">
                  <c:v>1.18</c:v>
                </c:pt>
                <c:pt idx="4">
                  <c:v>0.6</c:v>
                </c:pt>
                <c:pt idx="5">
                  <c:v>0.3</c:v>
                </c:pt>
                <c:pt idx="6">
                  <c:v>0.15</c:v>
                </c:pt>
              </c:numCache>
            </c:numRef>
          </c:cat>
          <c:val>
            <c:numRef>
              <c:f>'A. Natural '!$D$47:$J$47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20</c:v>
                </c:pt>
                <c:pt idx="4">
                  <c:v>35</c:v>
                </c:pt>
                <c:pt idx="5">
                  <c:v>65</c:v>
                </c:pt>
                <c:pt idx="6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0C-4E21-A452-5465D4FAF6E5}"/>
            </c:ext>
          </c:extLst>
        </c:ser>
        <c:ser>
          <c:idx val="2"/>
          <c:order val="2"/>
          <c:tx>
            <c:strRef>
              <c:f>'A. Natural '!$A$48</c:f>
              <c:strCache>
                <c:ptCount val="1"/>
                <c:pt idx="0">
                  <c:v>Material Retido Acumulado (Zona Utilizável)</c:v>
                </c:pt>
              </c:strCache>
            </c:strRef>
          </c:tx>
          <c:spPr>
            <a:ln w="22225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'A. Natural '!$D$6:$J$6</c:f>
              <c:numCache>
                <c:formatCode>0.00#\ "mm"</c:formatCode>
                <c:ptCount val="7"/>
                <c:pt idx="0" formatCode="0.0#\ &quot;mm&quot;">
                  <c:v>6.3</c:v>
                </c:pt>
                <c:pt idx="1">
                  <c:v>4.75</c:v>
                </c:pt>
                <c:pt idx="2">
                  <c:v>2.36</c:v>
                </c:pt>
                <c:pt idx="3">
                  <c:v>1.18</c:v>
                </c:pt>
                <c:pt idx="4">
                  <c:v>0.6</c:v>
                </c:pt>
                <c:pt idx="5">
                  <c:v>0.3</c:v>
                </c:pt>
                <c:pt idx="6">
                  <c:v>0.15</c:v>
                </c:pt>
              </c:numCache>
            </c:numRef>
          </c:cat>
          <c:val>
            <c:numRef>
              <c:f>'A. Natural '!$D$48:$J$48</c:f>
              <c:numCache>
                <c:formatCode>0</c:formatCode>
                <c:ptCount val="7"/>
                <c:pt idx="0">
                  <c:v>7</c:v>
                </c:pt>
                <c:pt idx="1">
                  <c:v>10</c:v>
                </c:pt>
                <c:pt idx="2">
                  <c:v>25</c:v>
                </c:pt>
                <c:pt idx="3">
                  <c:v>50</c:v>
                </c:pt>
                <c:pt idx="4">
                  <c:v>70</c:v>
                </c:pt>
                <c:pt idx="5">
                  <c:v>95</c:v>
                </c:pt>
                <c:pt idx="6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0C-4E21-A452-5465D4FAF6E5}"/>
            </c:ext>
          </c:extLst>
        </c:ser>
        <c:ser>
          <c:idx val="3"/>
          <c:order val="3"/>
          <c:tx>
            <c:strRef>
              <c:f>'A. Natural '!$A$48</c:f>
              <c:strCache>
                <c:ptCount val="1"/>
                <c:pt idx="0">
                  <c:v>Material Retido Acumulado (Zona Utilizável)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'A. Natural '!$D$6:$J$6</c:f>
              <c:numCache>
                <c:formatCode>0.00#\ "mm"</c:formatCode>
                <c:ptCount val="7"/>
                <c:pt idx="0" formatCode="0.0#\ &quot;mm&quot;">
                  <c:v>6.3</c:v>
                </c:pt>
                <c:pt idx="1">
                  <c:v>4.75</c:v>
                </c:pt>
                <c:pt idx="2">
                  <c:v>2.36</c:v>
                </c:pt>
                <c:pt idx="3">
                  <c:v>1.18</c:v>
                </c:pt>
                <c:pt idx="4">
                  <c:v>0.6</c:v>
                </c:pt>
                <c:pt idx="5">
                  <c:v>0.3</c:v>
                </c:pt>
                <c:pt idx="6">
                  <c:v>0.15</c:v>
                </c:pt>
              </c:numCache>
            </c:numRef>
          </c:cat>
          <c:val>
            <c:numRef>
              <c:f>'A. Natural '!$D$49:$J$49</c:f>
              <c:numCache>
                <c:formatCode>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15</c:v>
                </c:pt>
                <c:pt idx="5">
                  <c:v>50</c:v>
                </c:pt>
                <c:pt idx="6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0C-4E21-A452-5465D4FAF6E5}"/>
            </c:ext>
          </c:extLst>
        </c:ser>
        <c:ser>
          <c:idx val="4"/>
          <c:order val="4"/>
          <c:tx>
            <c:strRef>
              <c:f>'A. Natural '!$A$36:$C$36</c:f>
              <c:strCache>
                <c:ptCount val="3"/>
                <c:pt idx="0">
                  <c:v>Média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diamond"/>
            <c:size val="6"/>
            <c:spPr>
              <a:solidFill>
                <a:schemeClr val="tx2">
                  <a:lumMod val="75000"/>
                </a:schemeClr>
              </a:solidFill>
            </c:spPr>
          </c:marker>
          <c:cat>
            <c:numRef>
              <c:f>'A. Natural '!$D$6:$J$6</c:f>
              <c:numCache>
                <c:formatCode>0.00#\ "mm"</c:formatCode>
                <c:ptCount val="7"/>
                <c:pt idx="0" formatCode="0.0#\ &quot;mm&quot;">
                  <c:v>6.3</c:v>
                </c:pt>
                <c:pt idx="1">
                  <c:v>4.75</c:v>
                </c:pt>
                <c:pt idx="2">
                  <c:v>2.36</c:v>
                </c:pt>
                <c:pt idx="3">
                  <c:v>1.18</c:v>
                </c:pt>
                <c:pt idx="4">
                  <c:v>0.6</c:v>
                </c:pt>
                <c:pt idx="5">
                  <c:v>0.3</c:v>
                </c:pt>
                <c:pt idx="6">
                  <c:v>0.15</c:v>
                </c:pt>
              </c:numCache>
            </c:numRef>
          </c:cat>
          <c:val>
            <c:numRef>
              <c:f>'A. Natural '!$D$36:$J$36</c:f>
              <c:numCache>
                <c:formatCode>0.0</c:formatCode>
                <c:ptCount val="7"/>
                <c:pt idx="0">
                  <c:v>0</c:v>
                </c:pt>
                <c:pt idx="1">
                  <c:v>0.23333333333333331</c:v>
                </c:pt>
                <c:pt idx="2">
                  <c:v>4.166666666666667</c:v>
                </c:pt>
                <c:pt idx="3">
                  <c:v>32.666666666666664</c:v>
                </c:pt>
                <c:pt idx="4">
                  <c:v>71.266666666666666</c:v>
                </c:pt>
                <c:pt idx="5">
                  <c:v>91.733333333333334</c:v>
                </c:pt>
                <c:pt idx="6">
                  <c:v>98.2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0C-4E21-A452-5465D4FA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117376"/>
        <c:axId val="84124032"/>
      </c:lineChart>
      <c:catAx>
        <c:axId val="84117376"/>
        <c:scaling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</a:t>
                </a:r>
              </a:p>
            </c:rich>
          </c:tx>
          <c:layout>
            <c:manualLayout>
              <c:xMode val="edge"/>
              <c:yMode val="edge"/>
              <c:x val="0.42004009986557478"/>
              <c:y val="0.9586838900039456"/>
            </c:manualLayout>
          </c:layout>
          <c:overlay val="0"/>
          <c:spPr>
            <a:noFill/>
            <a:ln w="25400">
              <a:noFill/>
            </a:ln>
          </c:spPr>
        </c:title>
        <c:numFmt formatCode="0.0#\ &quot;mm&quot;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4124032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84124032"/>
        <c:scaling>
          <c:orientation val="maxMin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Porcentagem Retida Acumulada (%)</a:t>
                </a:r>
              </a:p>
            </c:rich>
          </c:tx>
          <c:layout>
            <c:manualLayout>
              <c:xMode val="edge"/>
              <c:yMode val="edge"/>
              <c:x val="0.97402112540812635"/>
              <c:y val="0.3099511090525562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4117376"/>
        <c:crosses val="autoZero"/>
        <c:crossBetween val="midCat"/>
        <c:majorUnit val="20"/>
        <c:minorUnit val="10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58111531495879531"/>
          <c:y val="0.68790849673202614"/>
          <c:w val="0.29253263791335032"/>
          <c:h val="0.11444770384094145"/>
        </c:manualLayout>
      </c:layout>
      <c:overlay val="0"/>
      <c:spPr>
        <a:solidFill>
          <a:sysClr val="window" lastClr="FFFFFF"/>
        </a:solidFill>
        <a:ln w="25400" cap="flat" cmpd="sng" algn="ctr">
          <a:solidFill>
            <a:schemeClr val="accent1"/>
          </a:solidFill>
          <a:prstDash val="solid"/>
        </a:ln>
        <a:effectLst/>
      </c:spPr>
      <c:txPr>
        <a:bodyPr/>
        <a:lstStyle/>
        <a:p>
          <a:pPr>
            <a:defRPr lang="pt-BR" sz="10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200">
                <a:solidFill>
                  <a:schemeClr val="tx2"/>
                </a:solidFill>
              </a:rPr>
              <a:t>Análise de Granulometria - Agregado Miúdo - Areia Artificial  </a:t>
            </a:r>
            <a:r>
              <a:rPr lang="pt-BR" sz="1100"/>
              <a:t>
Procedência: Escv. Casa de Força</a:t>
            </a:r>
            <a:r>
              <a:rPr lang="pt-BR" sz="1100" baseline="0"/>
              <a:t>	Período: Setembro e Outubro/2008</a:t>
            </a:r>
            <a:endParaRPr lang="pt-BR" sz="1100"/>
          </a:p>
        </c:rich>
      </c:tx>
      <c:layout>
        <c:manualLayout>
          <c:xMode val="edge"/>
          <c:yMode val="edge"/>
          <c:x val="0.27121947727127088"/>
          <c:y val="6.787265007836212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9159933865899992E-2"/>
          <c:y val="8.6718374606157334E-2"/>
          <c:w val="0.8971773751933847"/>
          <c:h val="0.82086499648735489"/>
        </c:manualLayout>
      </c:layout>
      <c:lineChart>
        <c:grouping val="standard"/>
        <c:varyColors val="0"/>
        <c:ser>
          <c:idx val="0"/>
          <c:order val="0"/>
          <c:tx>
            <c:strRef>
              <c:f>'A. Artificial C.Força'!$A$46</c:f>
              <c:strCache>
                <c:ptCount val="1"/>
                <c:pt idx="0">
                  <c:v>Material Retido Acumulado (Zona ótima)</c:v>
                </c:pt>
              </c:strCache>
            </c:strRef>
          </c:tx>
          <c:spPr>
            <a:ln w="19050">
              <a:solidFill>
                <a:srgbClr val="C00000"/>
              </a:solidFill>
              <a:prstDash val="lgDash"/>
            </a:ln>
          </c:spPr>
          <c:marker>
            <c:symbol val="none"/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C.Força'!$D$46:$K$46</c:f>
              <c:numCache>
                <c:formatCode>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20</c:v>
                </c:pt>
                <c:pt idx="4">
                  <c:v>30</c:v>
                </c:pt>
                <c:pt idx="5">
                  <c:v>55</c:v>
                </c:pt>
                <c:pt idx="6">
                  <c:v>85</c:v>
                </c:pt>
                <c:pt idx="7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9A-4289-8AD5-7060989712A5}"/>
            </c:ext>
          </c:extLst>
        </c:ser>
        <c:ser>
          <c:idx val="1"/>
          <c:order val="1"/>
          <c:tx>
            <c:strRef>
              <c:f>'A. Artificial C.Força'!$A$46</c:f>
              <c:strCache>
                <c:ptCount val="1"/>
                <c:pt idx="0">
                  <c:v>Material Retido Acumulado (Zona ótima)</c:v>
                </c:pt>
              </c:strCache>
            </c:strRef>
          </c:tx>
          <c:spPr>
            <a:ln w="19050">
              <a:solidFill>
                <a:srgbClr val="C00000"/>
              </a:solidFill>
              <a:prstDash val="lgDash"/>
            </a:ln>
          </c:spPr>
          <c:marker>
            <c:symbol val="none"/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C.Força'!$D$47:$K$47</c:f>
              <c:numCache>
                <c:formatCode>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20</c:v>
                </c:pt>
                <c:pt idx="5">
                  <c:v>35</c:v>
                </c:pt>
                <c:pt idx="6">
                  <c:v>65</c:v>
                </c:pt>
                <c:pt idx="7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9A-4289-8AD5-7060989712A5}"/>
            </c:ext>
          </c:extLst>
        </c:ser>
        <c:ser>
          <c:idx val="2"/>
          <c:order val="2"/>
          <c:tx>
            <c:strRef>
              <c:f>'A. Artificial C.Força'!$A$48</c:f>
              <c:strCache>
                <c:ptCount val="1"/>
                <c:pt idx="0">
                  <c:v>Material Retido Acumulado (Zona Utilizável)</c:v>
                </c:pt>
              </c:strCache>
            </c:strRef>
          </c:tx>
          <c:spPr>
            <a:ln w="22225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C.Força'!$D$48:$K$48</c:f>
              <c:numCache>
                <c:formatCode>0</c:formatCode>
                <c:ptCount val="8"/>
                <c:pt idx="0" formatCode="General">
                  <c:v>0</c:v>
                </c:pt>
                <c:pt idx="1">
                  <c:v>7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70</c:v>
                </c:pt>
                <c:pt idx="6">
                  <c:v>95</c:v>
                </c:pt>
                <c:pt idx="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9A-4289-8AD5-7060989712A5}"/>
            </c:ext>
          </c:extLst>
        </c:ser>
        <c:ser>
          <c:idx val="3"/>
          <c:order val="3"/>
          <c:tx>
            <c:strRef>
              <c:f>'A. Artificial C.Força'!$A$48</c:f>
              <c:strCache>
                <c:ptCount val="1"/>
                <c:pt idx="0">
                  <c:v>Material Retido Acumulado (Zona Utilizável)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C.Força'!$D$49:$K$49</c:f>
              <c:numCache>
                <c:formatCode>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15</c:v>
                </c:pt>
                <c:pt idx="6">
                  <c:v>50</c:v>
                </c:pt>
                <c:pt idx="7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9A-4289-8AD5-7060989712A5}"/>
            </c:ext>
          </c:extLst>
        </c:ser>
        <c:ser>
          <c:idx val="4"/>
          <c:order val="4"/>
          <c:tx>
            <c:strRef>
              <c:f>'A. Artificial C.Força'!$A$36:$C$36</c:f>
              <c:strCache>
                <c:ptCount val="3"/>
                <c:pt idx="0">
                  <c:v>Média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diamond"/>
            <c:size val="6"/>
            <c:spPr>
              <a:solidFill>
                <a:schemeClr val="tx2">
                  <a:lumMod val="75000"/>
                </a:schemeClr>
              </a:solidFill>
            </c:spPr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C.Força'!$D$36:$K$36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0.72500000000000009</c:v>
                </c:pt>
                <c:pt idx="3">
                  <c:v>30.425000000000001</c:v>
                </c:pt>
                <c:pt idx="4">
                  <c:v>57.325000000000003</c:v>
                </c:pt>
                <c:pt idx="5">
                  <c:v>73.699999999999989</c:v>
                </c:pt>
                <c:pt idx="6">
                  <c:v>82.325000000000003</c:v>
                </c:pt>
                <c:pt idx="7">
                  <c:v>87.6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F9A-4289-8AD5-7060989712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936256"/>
        <c:axId val="89938560"/>
      </c:lineChart>
      <c:catAx>
        <c:axId val="89936256"/>
        <c:scaling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</a:t>
                </a:r>
              </a:p>
            </c:rich>
          </c:tx>
          <c:layout>
            <c:manualLayout>
              <c:xMode val="edge"/>
              <c:yMode val="edge"/>
              <c:x val="0.42004009986557483"/>
              <c:y val="0.9586838900039456"/>
            </c:manualLayout>
          </c:layout>
          <c:overlay val="0"/>
          <c:spPr>
            <a:noFill/>
            <a:ln w="25400">
              <a:noFill/>
            </a:ln>
          </c:spPr>
        </c:title>
        <c:numFmt formatCode="0.0\ &quot;mm&quot;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9938560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89938560"/>
        <c:scaling>
          <c:orientation val="maxMin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Porcentagem Retida Acumulada (%)</a:t>
                </a:r>
              </a:p>
            </c:rich>
          </c:tx>
          <c:layout>
            <c:manualLayout>
              <c:xMode val="edge"/>
              <c:yMode val="edge"/>
              <c:x val="0.97402112540812646"/>
              <c:y val="0.3099511090525563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9936256"/>
        <c:crosses val="autoZero"/>
        <c:crossBetween val="midCat"/>
        <c:majorUnit val="20"/>
        <c:minorUnit val="10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58111531495879531"/>
          <c:y val="0.68790849673202614"/>
          <c:w val="0.29253263791335032"/>
          <c:h val="0.11444770384094145"/>
        </c:manualLayout>
      </c:layout>
      <c:overlay val="0"/>
      <c:spPr>
        <a:solidFill>
          <a:sysClr val="window" lastClr="FFFFFF"/>
        </a:solidFill>
        <a:ln w="25400" cap="flat" cmpd="sng" algn="ctr">
          <a:solidFill>
            <a:schemeClr val="accent1"/>
          </a:solidFill>
          <a:prstDash val="solid"/>
        </a:ln>
        <a:effectLst/>
      </c:spPr>
      <c:txPr>
        <a:bodyPr/>
        <a:lstStyle/>
        <a:p>
          <a:pPr>
            <a:defRPr lang="pt-BR" sz="10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200">
                <a:solidFill>
                  <a:schemeClr val="tx2"/>
                </a:solidFill>
              </a:rPr>
              <a:t>Análise de Granulometria - Agregado Miúdo - Areia Artificial  </a:t>
            </a:r>
            <a:r>
              <a:rPr lang="pt-BR" sz="1100"/>
              <a:t>
Procedência: Central</a:t>
            </a:r>
            <a:r>
              <a:rPr lang="pt-BR" sz="1100" baseline="0"/>
              <a:t> de Britagem	Período: Setembro a  Janeiro/2009</a:t>
            </a:r>
            <a:endParaRPr lang="pt-BR" sz="1100"/>
          </a:p>
        </c:rich>
      </c:tx>
      <c:layout>
        <c:manualLayout>
          <c:xMode val="edge"/>
          <c:yMode val="edge"/>
          <c:x val="0.27121947727127088"/>
          <c:y val="6.787265007836212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9159933865899992E-2"/>
          <c:y val="8.6718374606157334E-2"/>
          <c:w val="0.8971773751933847"/>
          <c:h val="0.82086499648735489"/>
        </c:manualLayout>
      </c:layout>
      <c:lineChart>
        <c:grouping val="standard"/>
        <c:varyColors val="0"/>
        <c:ser>
          <c:idx val="0"/>
          <c:order val="0"/>
          <c:tx>
            <c:strRef>
              <c:f>'A. Artificial C.Força'!$A$46</c:f>
              <c:strCache>
                <c:ptCount val="1"/>
                <c:pt idx="0">
                  <c:v>Material Retido Acumulado (Zona ótima)</c:v>
                </c:pt>
              </c:strCache>
            </c:strRef>
          </c:tx>
          <c:spPr>
            <a:ln w="19050">
              <a:solidFill>
                <a:srgbClr val="C00000"/>
              </a:solidFill>
              <a:prstDash val="lgDash"/>
            </a:ln>
          </c:spPr>
          <c:marker>
            <c:symbol val="none"/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C.Força'!$D$46:$K$46</c:f>
              <c:numCache>
                <c:formatCode>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5</c:v>
                </c:pt>
                <c:pt idx="3">
                  <c:v>20</c:v>
                </c:pt>
                <c:pt idx="4">
                  <c:v>30</c:v>
                </c:pt>
                <c:pt idx="5">
                  <c:v>55</c:v>
                </c:pt>
                <c:pt idx="6">
                  <c:v>85</c:v>
                </c:pt>
                <c:pt idx="7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87-432C-B568-298D1E1E89B8}"/>
            </c:ext>
          </c:extLst>
        </c:ser>
        <c:ser>
          <c:idx val="1"/>
          <c:order val="1"/>
          <c:tx>
            <c:strRef>
              <c:f>'A. Artificial C.Força'!$A$46</c:f>
              <c:strCache>
                <c:ptCount val="1"/>
                <c:pt idx="0">
                  <c:v>Material Retido Acumulado (Zona ótima)</c:v>
                </c:pt>
              </c:strCache>
            </c:strRef>
          </c:tx>
          <c:spPr>
            <a:ln w="19050">
              <a:solidFill>
                <a:srgbClr val="C00000"/>
              </a:solidFill>
              <a:prstDash val="lgDash"/>
            </a:ln>
          </c:spPr>
          <c:marker>
            <c:symbol val="none"/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C.Força'!$D$47:$K$47</c:f>
              <c:numCache>
                <c:formatCode>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10</c:v>
                </c:pt>
                <c:pt idx="4">
                  <c:v>20</c:v>
                </c:pt>
                <c:pt idx="5">
                  <c:v>35</c:v>
                </c:pt>
                <c:pt idx="6">
                  <c:v>65</c:v>
                </c:pt>
                <c:pt idx="7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787-432C-B568-298D1E1E89B8}"/>
            </c:ext>
          </c:extLst>
        </c:ser>
        <c:ser>
          <c:idx val="2"/>
          <c:order val="2"/>
          <c:tx>
            <c:strRef>
              <c:f>'A. Artificial C.Força'!$A$48</c:f>
              <c:strCache>
                <c:ptCount val="1"/>
                <c:pt idx="0">
                  <c:v>Material Retido Acumulado (Zona Utilizável)</c:v>
                </c:pt>
              </c:strCache>
            </c:strRef>
          </c:tx>
          <c:spPr>
            <a:ln w="22225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C.Força'!$D$48:$K$48</c:f>
              <c:numCache>
                <c:formatCode>0</c:formatCode>
                <c:ptCount val="8"/>
                <c:pt idx="0" formatCode="General">
                  <c:v>0</c:v>
                </c:pt>
                <c:pt idx="1">
                  <c:v>7</c:v>
                </c:pt>
                <c:pt idx="2">
                  <c:v>10</c:v>
                </c:pt>
                <c:pt idx="3">
                  <c:v>25</c:v>
                </c:pt>
                <c:pt idx="4">
                  <c:v>50</c:v>
                </c:pt>
                <c:pt idx="5">
                  <c:v>70</c:v>
                </c:pt>
                <c:pt idx="6">
                  <c:v>95</c:v>
                </c:pt>
                <c:pt idx="7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87-432C-B568-298D1E1E89B8}"/>
            </c:ext>
          </c:extLst>
        </c:ser>
        <c:ser>
          <c:idx val="3"/>
          <c:order val="3"/>
          <c:tx>
            <c:strRef>
              <c:f>'A. Artificial C.Força'!$A$48</c:f>
              <c:strCache>
                <c:ptCount val="1"/>
                <c:pt idx="0">
                  <c:v>Material Retido Acumulado (Zona Utilizável)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C.Força'!$D$49:$K$49</c:f>
              <c:numCache>
                <c:formatCode>0</c:formatCode>
                <c:ptCount val="8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15</c:v>
                </c:pt>
                <c:pt idx="6">
                  <c:v>50</c:v>
                </c:pt>
                <c:pt idx="7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787-432C-B568-298D1E1E89B8}"/>
            </c:ext>
          </c:extLst>
        </c:ser>
        <c:ser>
          <c:idx val="4"/>
          <c:order val="4"/>
          <c:tx>
            <c:strRef>
              <c:f>'A. Artificial Pedreira'!$A$36:$C$36</c:f>
              <c:strCache>
                <c:ptCount val="3"/>
                <c:pt idx="0">
                  <c:v>Média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diamond"/>
            <c:size val="6"/>
            <c:spPr>
              <a:solidFill>
                <a:schemeClr val="tx2">
                  <a:lumMod val="75000"/>
                </a:schemeClr>
              </a:solidFill>
            </c:spPr>
          </c:marker>
          <c:cat>
            <c:numRef>
              <c:f>'A. Artificial C.Força'!$D$6:$K$6</c:f>
              <c:numCache>
                <c:formatCode>0.0\ "mm"</c:formatCode>
                <c:ptCount val="8"/>
                <c:pt idx="0">
                  <c:v>9.5</c:v>
                </c:pt>
                <c:pt idx="1">
                  <c:v>6.3</c:v>
                </c:pt>
                <c:pt idx="2" formatCode="0.00#\ &quot;mm&quot;">
                  <c:v>4.75</c:v>
                </c:pt>
                <c:pt idx="3" formatCode="0.00#\ &quot;mm&quot;">
                  <c:v>2.36</c:v>
                </c:pt>
                <c:pt idx="4" formatCode="0.00#\ &quot;mm&quot;">
                  <c:v>1.18</c:v>
                </c:pt>
                <c:pt idx="5" formatCode="0.00#\ &quot;mm&quot;">
                  <c:v>0.6</c:v>
                </c:pt>
                <c:pt idx="6" formatCode="0.00#\ &quot;mm&quot;">
                  <c:v>0.3</c:v>
                </c:pt>
                <c:pt idx="7" formatCode="0.00#\ &quot;mm&quot;">
                  <c:v>0.15</c:v>
                </c:pt>
              </c:numCache>
            </c:numRef>
          </c:cat>
          <c:val>
            <c:numRef>
              <c:f>'A. Artificial Pedreira'!$D$36:$K$36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0.26315789473684215</c:v>
                </c:pt>
                <c:pt idx="3">
                  <c:v>19.763157894736846</c:v>
                </c:pt>
                <c:pt idx="4">
                  <c:v>43.842105263157897</c:v>
                </c:pt>
                <c:pt idx="5">
                  <c:v>62.415789473684207</c:v>
                </c:pt>
                <c:pt idx="6">
                  <c:v>77.921052631578945</c:v>
                </c:pt>
                <c:pt idx="7">
                  <c:v>87.936842105263153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787-432C-B568-298D1E1E8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868928"/>
        <c:axId val="89883776"/>
      </c:lineChart>
      <c:catAx>
        <c:axId val="89868928"/>
        <c:scaling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</a:t>
                </a:r>
              </a:p>
            </c:rich>
          </c:tx>
          <c:layout>
            <c:manualLayout>
              <c:xMode val="edge"/>
              <c:yMode val="edge"/>
              <c:x val="0.42004009986557489"/>
              <c:y val="0.9586838900039456"/>
            </c:manualLayout>
          </c:layout>
          <c:overlay val="0"/>
          <c:spPr>
            <a:noFill/>
            <a:ln w="25400">
              <a:noFill/>
            </a:ln>
          </c:spPr>
        </c:title>
        <c:numFmt formatCode="0.0\ &quot;mm&quot;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9883776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89883776"/>
        <c:scaling>
          <c:orientation val="maxMin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Porcentagem Retida Acumulada (%)</a:t>
                </a:r>
              </a:p>
            </c:rich>
          </c:tx>
          <c:layout>
            <c:manualLayout>
              <c:xMode val="edge"/>
              <c:yMode val="edge"/>
              <c:x val="0.97402112540812669"/>
              <c:y val="0.309951109052556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9868928"/>
        <c:crosses val="autoZero"/>
        <c:crossBetween val="midCat"/>
        <c:majorUnit val="20"/>
        <c:minorUnit val="10"/>
      </c:valAx>
    </c:plotArea>
    <c:legend>
      <c:legendPos val="r"/>
      <c:legendEntry>
        <c:idx val="1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58111531495879531"/>
          <c:y val="0.68790849673202614"/>
          <c:w val="0.29253263791335032"/>
          <c:h val="0.11444770384094145"/>
        </c:manualLayout>
      </c:layout>
      <c:overlay val="0"/>
      <c:spPr>
        <a:solidFill>
          <a:sysClr val="window" lastClr="FFFFFF"/>
        </a:solidFill>
        <a:ln w="25400" cap="flat" cmpd="sng" algn="ctr">
          <a:solidFill>
            <a:schemeClr val="accent1"/>
          </a:solidFill>
          <a:prstDash val="solid"/>
        </a:ln>
        <a:effectLst/>
      </c:spPr>
      <c:txPr>
        <a:bodyPr/>
        <a:lstStyle/>
        <a:p>
          <a:pPr>
            <a:defRPr lang="pt-BR" sz="10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200">
                <a:solidFill>
                  <a:schemeClr val="tx2"/>
                </a:solidFill>
              </a:rPr>
              <a:t>Análise de Granulometria - Agregado Graúdo - Brita 0 (pedrisco)</a:t>
            </a:r>
          </a:p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100"/>
              <a:t>Procedência: Central de Britagem</a:t>
            </a:r>
            <a:r>
              <a:rPr lang="pt-BR" sz="1100" baseline="0"/>
              <a:t>	Período: Setembro e Dezembro/2008</a:t>
            </a:r>
            <a:endParaRPr lang="pt-BR" sz="1100"/>
          </a:p>
        </c:rich>
      </c:tx>
      <c:layout>
        <c:manualLayout>
          <c:xMode val="edge"/>
          <c:yMode val="edge"/>
          <c:x val="0.27121947727127088"/>
          <c:y val="6.787265007836212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9159933865899992E-2"/>
          <c:y val="8.6718374606157334E-2"/>
          <c:w val="0.8971773751933847"/>
          <c:h val="0.82086499648735489"/>
        </c:manualLayout>
      </c:layout>
      <c:lineChart>
        <c:grouping val="standard"/>
        <c:varyColors val="0"/>
        <c:ser>
          <c:idx val="4"/>
          <c:order val="0"/>
          <c:tx>
            <c:strRef>
              <c:f>'Brita 0 Pedreira'!$A$36:$C$36</c:f>
              <c:strCache>
                <c:ptCount val="3"/>
                <c:pt idx="0">
                  <c:v>Média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diamond"/>
            <c:size val="6"/>
            <c:spPr>
              <a:solidFill>
                <a:schemeClr val="tx2">
                  <a:lumMod val="75000"/>
                </a:schemeClr>
              </a:solidFill>
            </c:spPr>
          </c:marker>
          <c:cat>
            <c:numRef>
              <c:f>'Brita 0 Pedreira'!$D$6:$H$6</c:f>
              <c:numCache>
                <c:formatCode>0.0\ "mm"</c:formatCode>
                <c:ptCount val="5"/>
                <c:pt idx="0">
                  <c:v>12.5</c:v>
                </c:pt>
                <c:pt idx="1">
                  <c:v>9.5</c:v>
                </c:pt>
                <c:pt idx="2">
                  <c:v>6.3</c:v>
                </c:pt>
                <c:pt idx="3" formatCode="0.00#\ &quot;mm&quot;">
                  <c:v>4.75</c:v>
                </c:pt>
                <c:pt idx="4" formatCode="0.00#\ &quot;mm&quot;">
                  <c:v>2.36</c:v>
                </c:pt>
              </c:numCache>
            </c:numRef>
          </c:cat>
          <c:val>
            <c:numRef>
              <c:f>'Brita 0 Pedreira'!$D$36:$H$36</c:f>
              <c:numCache>
                <c:formatCode>0.0</c:formatCode>
                <c:ptCount val="5"/>
                <c:pt idx="0">
                  <c:v>0.36</c:v>
                </c:pt>
                <c:pt idx="1">
                  <c:v>1.1800000000000002</c:v>
                </c:pt>
                <c:pt idx="2">
                  <c:v>30.660000000000004</c:v>
                </c:pt>
                <c:pt idx="3">
                  <c:v>62.259999999999991</c:v>
                </c:pt>
                <c:pt idx="4">
                  <c:v>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48-4552-9115-358A1F1334E0}"/>
            </c:ext>
          </c:extLst>
        </c:ser>
        <c:ser>
          <c:idx val="0"/>
          <c:order val="1"/>
          <c:tx>
            <c:strRef>
              <c:f>'Brita 0 Pedreira'!$A$44</c:f>
              <c:strCache>
                <c:ptCount val="1"/>
                <c:pt idx="0">
                  <c:v>Material Retido Acumulado (Zona 4,75/12,5)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'Brita 0 Pedreira'!$D$6:$H$6</c:f>
              <c:numCache>
                <c:formatCode>0.0\ "mm"</c:formatCode>
                <c:ptCount val="5"/>
                <c:pt idx="0">
                  <c:v>12.5</c:v>
                </c:pt>
                <c:pt idx="1">
                  <c:v>9.5</c:v>
                </c:pt>
                <c:pt idx="2">
                  <c:v>6.3</c:v>
                </c:pt>
                <c:pt idx="3" formatCode="0.00#\ &quot;mm&quot;">
                  <c:v>4.75</c:v>
                </c:pt>
                <c:pt idx="4" formatCode="0.00#\ &quot;mm&quot;">
                  <c:v>2.36</c:v>
                </c:pt>
              </c:numCache>
            </c:numRef>
          </c:cat>
          <c:val>
            <c:numRef>
              <c:f>'Brita 0 Pedreira'!$D$44:$H$44</c:f>
              <c:numCache>
                <c:formatCode>0</c:formatCode>
                <c:ptCount val="5"/>
                <c:pt idx="0" formatCode="General">
                  <c:v>0</c:v>
                </c:pt>
                <c:pt idx="1">
                  <c:v>2</c:v>
                </c:pt>
                <c:pt idx="2">
                  <c:v>40</c:v>
                </c:pt>
                <c:pt idx="3">
                  <c:v>80</c:v>
                </c:pt>
                <c:pt idx="4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48-4552-9115-358A1F1334E0}"/>
            </c:ext>
          </c:extLst>
        </c:ser>
        <c:ser>
          <c:idx val="1"/>
          <c:order val="2"/>
          <c:tx>
            <c:strRef>
              <c:f>'Brita 0 Pedreira'!$A$44</c:f>
              <c:strCache>
                <c:ptCount val="1"/>
                <c:pt idx="0">
                  <c:v>Material Retido Acumulado (Zona 4,75/12,5)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'Brita 0 Pedreira'!$D$6:$H$6</c:f>
              <c:numCache>
                <c:formatCode>0.0\ "mm"</c:formatCode>
                <c:ptCount val="5"/>
                <c:pt idx="0">
                  <c:v>12.5</c:v>
                </c:pt>
                <c:pt idx="1">
                  <c:v>9.5</c:v>
                </c:pt>
                <c:pt idx="2">
                  <c:v>6.3</c:v>
                </c:pt>
                <c:pt idx="3" formatCode="0.00#\ &quot;mm&quot;">
                  <c:v>4.75</c:v>
                </c:pt>
                <c:pt idx="4" formatCode="0.00#\ &quot;mm&quot;">
                  <c:v>2.36</c:v>
                </c:pt>
              </c:numCache>
            </c:numRef>
          </c:cat>
          <c:val>
            <c:numRef>
              <c:f>'Brita 0 Pedreira'!$D$45:$H$45</c:f>
              <c:numCache>
                <c:formatCode>0</c:formatCode>
                <c:ptCount val="5"/>
                <c:pt idx="0" formatCode="General">
                  <c:v>5</c:v>
                </c:pt>
                <c:pt idx="1">
                  <c:v>15</c:v>
                </c:pt>
                <c:pt idx="2">
                  <c:v>65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48-4552-9115-358A1F133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544192"/>
        <c:axId val="89545728"/>
      </c:lineChart>
      <c:catAx>
        <c:axId val="89544192"/>
        <c:scaling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</a:t>
                </a:r>
              </a:p>
            </c:rich>
          </c:tx>
          <c:layout>
            <c:manualLayout>
              <c:xMode val="edge"/>
              <c:yMode val="edge"/>
              <c:x val="0.42004009986557489"/>
              <c:y val="0.9586838900039456"/>
            </c:manualLayout>
          </c:layout>
          <c:overlay val="0"/>
          <c:spPr>
            <a:noFill/>
            <a:ln w="25400">
              <a:noFill/>
            </a:ln>
          </c:spPr>
        </c:title>
        <c:numFmt formatCode="0.0\ &quot;mm&quot;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9545728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89545728"/>
        <c:scaling>
          <c:orientation val="maxMin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Porcentagem Retida Acumulada (%)</a:t>
                </a:r>
              </a:p>
            </c:rich>
          </c:tx>
          <c:layout>
            <c:manualLayout>
              <c:xMode val="edge"/>
              <c:yMode val="edge"/>
              <c:x val="0.97402112540812669"/>
              <c:y val="0.3099511090525564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9544192"/>
        <c:crosses val="autoZero"/>
        <c:crossBetween val="midCat"/>
        <c:majorUnit val="20"/>
        <c:minorUnit val="10"/>
      </c:valAx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8111527468934743"/>
          <c:y val="0.7067625057671022"/>
          <c:w val="0.27253453340656325"/>
          <c:h val="7.5763276586122114E-2"/>
        </c:manualLayout>
      </c:layout>
      <c:overlay val="0"/>
      <c:spPr>
        <a:solidFill>
          <a:sysClr val="window" lastClr="FFFFFF"/>
        </a:solidFill>
        <a:ln w="25400" cap="flat" cmpd="sng" algn="ctr">
          <a:solidFill>
            <a:schemeClr val="accent1"/>
          </a:solidFill>
          <a:prstDash val="solid"/>
        </a:ln>
        <a:effectLst/>
      </c:spPr>
      <c:txPr>
        <a:bodyPr/>
        <a:lstStyle/>
        <a:p>
          <a:pPr>
            <a:defRPr lang="pt-BR" sz="10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200">
                <a:solidFill>
                  <a:schemeClr val="tx2"/>
                </a:solidFill>
              </a:rPr>
              <a:t>Análise de Granulometria - Agregado Graúdo - Brita 1</a:t>
            </a:r>
          </a:p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100"/>
              <a:t>Procedência: Escavação</a:t>
            </a:r>
            <a:r>
              <a:rPr lang="pt-BR" sz="1100" baseline="0"/>
              <a:t> da Casa de Força	Período: Setembro e Janeiro/2009</a:t>
            </a:r>
            <a:endParaRPr lang="pt-BR" sz="1100"/>
          </a:p>
        </c:rich>
      </c:tx>
      <c:layout>
        <c:manualLayout>
          <c:xMode val="edge"/>
          <c:yMode val="edge"/>
          <c:x val="0.19822508476681841"/>
          <c:y val="6.7873036226152464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9159933865899992E-2"/>
          <c:y val="8.6718374606157334E-2"/>
          <c:w val="0.8971773751933847"/>
          <c:h val="0.82086499648735489"/>
        </c:manualLayout>
      </c:layout>
      <c:lineChart>
        <c:grouping val="standard"/>
        <c:varyColors val="0"/>
        <c:ser>
          <c:idx val="4"/>
          <c:order val="0"/>
          <c:tx>
            <c:strRef>
              <c:f>'Brita 1 C. Força'!$A$36:$C$36</c:f>
              <c:strCache>
                <c:ptCount val="3"/>
                <c:pt idx="0">
                  <c:v>Média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diamond"/>
            <c:size val="6"/>
            <c:spPr>
              <a:solidFill>
                <a:schemeClr val="tx2">
                  <a:lumMod val="75000"/>
                </a:schemeClr>
              </a:solidFill>
            </c:spPr>
          </c:marker>
          <c:cat>
            <c:numRef>
              <c:f>'Brita 1 C. Força'!$D$6:$I$6</c:f>
              <c:numCache>
                <c:formatCode>0\ "mm"</c:formatCode>
                <c:ptCount val="6"/>
                <c:pt idx="0">
                  <c:v>25</c:v>
                </c:pt>
                <c:pt idx="1">
                  <c:v>19</c:v>
                </c:pt>
                <c:pt idx="2" formatCode="0.0\ &quot;mm&quot;">
                  <c:v>12.5</c:v>
                </c:pt>
                <c:pt idx="3" formatCode="0.0\ &quot;mm&quot;">
                  <c:v>9.5</c:v>
                </c:pt>
                <c:pt idx="4" formatCode="0.0\ &quot;mm&quot;">
                  <c:v>6.3</c:v>
                </c:pt>
                <c:pt idx="5" formatCode="0.00#\ &quot;mm&quot;">
                  <c:v>4.75</c:v>
                </c:pt>
              </c:numCache>
            </c:numRef>
          </c:cat>
          <c:val>
            <c:numRef>
              <c:f>'Brita 1 C. Força'!$D$36:$I$36</c:f>
              <c:numCache>
                <c:formatCode>0.0</c:formatCode>
                <c:ptCount val="6"/>
                <c:pt idx="0">
                  <c:v>0</c:v>
                </c:pt>
                <c:pt idx="1">
                  <c:v>1.3</c:v>
                </c:pt>
                <c:pt idx="2">
                  <c:v>49.216666666666669</c:v>
                </c:pt>
                <c:pt idx="3">
                  <c:v>75.916666666666671</c:v>
                </c:pt>
                <c:pt idx="4">
                  <c:v>96.183333333333337</c:v>
                </c:pt>
                <c:pt idx="5">
                  <c:v>97.649999999999991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B3-44FD-9548-593716E5EE0A}"/>
            </c:ext>
          </c:extLst>
        </c:ser>
        <c:ser>
          <c:idx val="0"/>
          <c:order val="1"/>
          <c:tx>
            <c:strRef>
              <c:f>'Brita 1 C. Força'!$A$44</c:f>
              <c:strCache>
                <c:ptCount val="1"/>
                <c:pt idx="0">
                  <c:v>Material Retido Acumulado (Zona 9,5/25)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'Brita 1 C. Força'!$D$6:$I$6</c:f>
              <c:numCache>
                <c:formatCode>0\ "mm"</c:formatCode>
                <c:ptCount val="6"/>
                <c:pt idx="0">
                  <c:v>25</c:v>
                </c:pt>
                <c:pt idx="1">
                  <c:v>19</c:v>
                </c:pt>
                <c:pt idx="2" formatCode="0.0\ &quot;mm&quot;">
                  <c:v>12.5</c:v>
                </c:pt>
                <c:pt idx="3" formatCode="0.0\ &quot;mm&quot;">
                  <c:v>9.5</c:v>
                </c:pt>
                <c:pt idx="4" formatCode="0.0\ &quot;mm&quot;">
                  <c:v>6.3</c:v>
                </c:pt>
                <c:pt idx="5" formatCode="0.00#\ &quot;mm&quot;">
                  <c:v>4.75</c:v>
                </c:pt>
              </c:numCache>
            </c:numRef>
          </c:cat>
          <c:val>
            <c:numRef>
              <c:f>'Brita 1 C. Força'!$D$44:$I$44</c:f>
              <c:numCache>
                <c:formatCode>0</c:formatCode>
                <c:ptCount val="6"/>
                <c:pt idx="0" formatCode="General">
                  <c:v>0</c:v>
                </c:pt>
                <c:pt idx="1">
                  <c:v>2</c:v>
                </c:pt>
                <c:pt idx="2">
                  <c:v>40</c:v>
                </c:pt>
                <c:pt idx="3">
                  <c:v>80</c:v>
                </c:pt>
                <c:pt idx="4">
                  <c:v>92</c:v>
                </c:pt>
                <c:pt idx="5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B3-44FD-9548-593716E5EE0A}"/>
            </c:ext>
          </c:extLst>
        </c:ser>
        <c:ser>
          <c:idx val="1"/>
          <c:order val="2"/>
          <c:tx>
            <c:strRef>
              <c:f>'Brita 1 C. Força'!$A$44</c:f>
              <c:strCache>
                <c:ptCount val="1"/>
                <c:pt idx="0">
                  <c:v>Material Retido Acumulado (Zona 9,5/25)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'Brita 1 C. Força'!$D$6:$I$6</c:f>
              <c:numCache>
                <c:formatCode>0\ "mm"</c:formatCode>
                <c:ptCount val="6"/>
                <c:pt idx="0">
                  <c:v>25</c:v>
                </c:pt>
                <c:pt idx="1">
                  <c:v>19</c:v>
                </c:pt>
                <c:pt idx="2" formatCode="0.0\ &quot;mm&quot;">
                  <c:v>12.5</c:v>
                </c:pt>
                <c:pt idx="3" formatCode="0.0\ &quot;mm&quot;">
                  <c:v>9.5</c:v>
                </c:pt>
                <c:pt idx="4" formatCode="0.0\ &quot;mm&quot;">
                  <c:v>6.3</c:v>
                </c:pt>
                <c:pt idx="5" formatCode="0.00#\ &quot;mm&quot;">
                  <c:v>4.75</c:v>
                </c:pt>
              </c:numCache>
            </c:numRef>
          </c:cat>
          <c:val>
            <c:numRef>
              <c:f>'Brita 1 C. Força'!$D$45:$I$45</c:f>
              <c:numCache>
                <c:formatCode>0</c:formatCode>
                <c:ptCount val="6"/>
                <c:pt idx="0" formatCode="General">
                  <c:v>5</c:v>
                </c:pt>
                <c:pt idx="1">
                  <c:v>15</c:v>
                </c:pt>
                <c:pt idx="2">
                  <c:v>65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B3-44FD-9548-593716E5E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475328"/>
        <c:axId val="89501696"/>
      </c:lineChart>
      <c:catAx>
        <c:axId val="89475328"/>
        <c:scaling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</a:t>
                </a:r>
              </a:p>
            </c:rich>
          </c:tx>
          <c:layout>
            <c:manualLayout>
              <c:xMode val="edge"/>
              <c:yMode val="edge"/>
              <c:x val="0.42004009986557495"/>
              <c:y val="0.9586838900039456"/>
            </c:manualLayout>
          </c:layout>
          <c:overlay val="0"/>
          <c:spPr>
            <a:noFill/>
            <a:ln w="25400">
              <a:noFill/>
            </a:ln>
          </c:spPr>
        </c:title>
        <c:numFmt formatCode="0\ &quot;mm&quot;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9501696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89501696"/>
        <c:scaling>
          <c:orientation val="maxMin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Porcentagem Retida Acumulada (%)</a:t>
                </a:r>
              </a:p>
            </c:rich>
          </c:tx>
          <c:layout>
            <c:manualLayout>
              <c:xMode val="edge"/>
              <c:yMode val="edge"/>
              <c:x val="0.9740211254081268"/>
              <c:y val="0.3099511090525564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89475328"/>
        <c:crosses val="autoZero"/>
        <c:crossBetween val="midCat"/>
        <c:majorUnit val="20"/>
        <c:minorUnit val="10"/>
      </c:valAx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8111527468934743"/>
          <c:y val="0.70676250576710209"/>
          <c:w val="0.27253453340656325"/>
          <c:h val="7.5763276586122114E-2"/>
        </c:manualLayout>
      </c:layout>
      <c:overlay val="0"/>
      <c:spPr>
        <a:solidFill>
          <a:sysClr val="window" lastClr="FFFFFF"/>
        </a:solidFill>
        <a:ln w="25400" cap="flat" cmpd="sng" algn="ctr">
          <a:solidFill>
            <a:schemeClr val="accent1"/>
          </a:solidFill>
          <a:prstDash val="solid"/>
        </a:ln>
        <a:effectLst/>
      </c:spPr>
      <c:txPr>
        <a:bodyPr/>
        <a:lstStyle/>
        <a:p>
          <a:pPr>
            <a:defRPr lang="pt-BR" sz="10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200">
                <a:solidFill>
                  <a:schemeClr val="tx2"/>
                </a:solidFill>
              </a:rPr>
              <a:t>Análise de Granulometria - Agregado Graúdo - Brita 1</a:t>
            </a:r>
          </a:p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100"/>
              <a:t>Procedência: Central</a:t>
            </a:r>
            <a:r>
              <a:rPr lang="pt-BR" sz="1100" baseline="0"/>
              <a:t> de Britagem (Pedreira)    Período: Setembro a Janeiro/2009</a:t>
            </a:r>
            <a:endParaRPr lang="pt-BR" sz="1100"/>
          </a:p>
        </c:rich>
      </c:tx>
      <c:layout>
        <c:manualLayout>
          <c:xMode val="edge"/>
          <c:yMode val="edge"/>
          <c:x val="0.19822508476681841"/>
          <c:y val="6.7873036226152473E-3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9159933865899992E-2"/>
          <c:y val="8.6718374606157334E-2"/>
          <c:w val="0.8971773751933847"/>
          <c:h val="0.82086499648735489"/>
        </c:manualLayout>
      </c:layout>
      <c:lineChart>
        <c:grouping val="standard"/>
        <c:varyColors val="0"/>
        <c:ser>
          <c:idx val="4"/>
          <c:order val="0"/>
          <c:tx>
            <c:strRef>
              <c:f>'Brita 1 Pedreira'!$A$36:$C$36</c:f>
              <c:strCache>
                <c:ptCount val="3"/>
                <c:pt idx="0">
                  <c:v>Média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diamond"/>
            <c:size val="6"/>
            <c:spPr>
              <a:solidFill>
                <a:schemeClr val="tx2">
                  <a:lumMod val="75000"/>
                </a:schemeClr>
              </a:solidFill>
            </c:spPr>
          </c:marker>
          <c:cat>
            <c:numRef>
              <c:f>'Brita 1 C. Força'!$D$6:$I$6</c:f>
              <c:numCache>
                <c:formatCode>0\ "mm"</c:formatCode>
                <c:ptCount val="6"/>
                <c:pt idx="0">
                  <c:v>25</c:v>
                </c:pt>
                <c:pt idx="1">
                  <c:v>19</c:v>
                </c:pt>
                <c:pt idx="2" formatCode="0.0\ &quot;mm&quot;">
                  <c:v>12.5</c:v>
                </c:pt>
                <c:pt idx="3" formatCode="0.0\ &quot;mm&quot;">
                  <c:v>9.5</c:v>
                </c:pt>
                <c:pt idx="4" formatCode="0.0\ &quot;mm&quot;">
                  <c:v>6.3</c:v>
                </c:pt>
                <c:pt idx="5" formatCode="0.00#\ &quot;mm&quot;">
                  <c:v>4.75</c:v>
                </c:pt>
              </c:numCache>
            </c:numRef>
          </c:cat>
          <c:val>
            <c:numRef>
              <c:f>'Brita 1 Pedreira'!$D$36:$I$36</c:f>
              <c:numCache>
                <c:formatCode>0.0</c:formatCode>
                <c:ptCount val="6"/>
                <c:pt idx="0">
                  <c:v>0</c:v>
                </c:pt>
                <c:pt idx="1">
                  <c:v>1.3944444444444448</c:v>
                </c:pt>
                <c:pt idx="2">
                  <c:v>50.81666666666667</c:v>
                </c:pt>
                <c:pt idx="3">
                  <c:v>78.216666666666654</c:v>
                </c:pt>
                <c:pt idx="4">
                  <c:v>97.111111111111086</c:v>
                </c:pt>
                <c:pt idx="5">
                  <c:v>98.50555555555556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AC-4EB5-95B1-550F7E633227}"/>
            </c:ext>
          </c:extLst>
        </c:ser>
        <c:ser>
          <c:idx val="0"/>
          <c:order val="1"/>
          <c:tx>
            <c:strRef>
              <c:f>'Brita 1 C. Força'!$A$44</c:f>
              <c:strCache>
                <c:ptCount val="1"/>
                <c:pt idx="0">
                  <c:v>Material Retido Acumulado (Zona 9,5/25)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'Brita 1 C. Força'!$D$6:$I$6</c:f>
              <c:numCache>
                <c:formatCode>0\ "mm"</c:formatCode>
                <c:ptCount val="6"/>
                <c:pt idx="0">
                  <c:v>25</c:v>
                </c:pt>
                <c:pt idx="1">
                  <c:v>19</c:v>
                </c:pt>
                <c:pt idx="2" formatCode="0.0\ &quot;mm&quot;">
                  <c:v>12.5</c:v>
                </c:pt>
                <c:pt idx="3" formatCode="0.0\ &quot;mm&quot;">
                  <c:v>9.5</c:v>
                </c:pt>
                <c:pt idx="4" formatCode="0.0\ &quot;mm&quot;">
                  <c:v>6.3</c:v>
                </c:pt>
                <c:pt idx="5" formatCode="0.00#\ &quot;mm&quot;">
                  <c:v>4.75</c:v>
                </c:pt>
              </c:numCache>
            </c:numRef>
          </c:cat>
          <c:val>
            <c:numRef>
              <c:f>'Brita 1 C. Força'!$D$44:$I$44</c:f>
              <c:numCache>
                <c:formatCode>0</c:formatCode>
                <c:ptCount val="6"/>
                <c:pt idx="0" formatCode="General">
                  <c:v>0</c:v>
                </c:pt>
                <c:pt idx="1">
                  <c:v>2</c:v>
                </c:pt>
                <c:pt idx="2">
                  <c:v>40</c:v>
                </c:pt>
                <c:pt idx="3">
                  <c:v>80</c:v>
                </c:pt>
                <c:pt idx="4">
                  <c:v>92</c:v>
                </c:pt>
                <c:pt idx="5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AC-4EB5-95B1-550F7E633227}"/>
            </c:ext>
          </c:extLst>
        </c:ser>
        <c:ser>
          <c:idx val="1"/>
          <c:order val="2"/>
          <c:tx>
            <c:strRef>
              <c:f>'Brita 1 C. Força'!$A$44</c:f>
              <c:strCache>
                <c:ptCount val="1"/>
                <c:pt idx="0">
                  <c:v>Material Retido Acumulado (Zona 9,5/25)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'Brita 1 C. Força'!$D$6:$I$6</c:f>
              <c:numCache>
                <c:formatCode>0\ "mm"</c:formatCode>
                <c:ptCount val="6"/>
                <c:pt idx="0">
                  <c:v>25</c:v>
                </c:pt>
                <c:pt idx="1">
                  <c:v>19</c:v>
                </c:pt>
                <c:pt idx="2" formatCode="0.0\ &quot;mm&quot;">
                  <c:v>12.5</c:v>
                </c:pt>
                <c:pt idx="3" formatCode="0.0\ &quot;mm&quot;">
                  <c:v>9.5</c:v>
                </c:pt>
                <c:pt idx="4" formatCode="0.0\ &quot;mm&quot;">
                  <c:v>6.3</c:v>
                </c:pt>
                <c:pt idx="5" formatCode="0.00#\ &quot;mm&quot;">
                  <c:v>4.75</c:v>
                </c:pt>
              </c:numCache>
            </c:numRef>
          </c:cat>
          <c:val>
            <c:numRef>
              <c:f>'Brita 1 C. Força'!$D$45:$I$45</c:f>
              <c:numCache>
                <c:formatCode>0</c:formatCode>
                <c:ptCount val="6"/>
                <c:pt idx="0" formatCode="General">
                  <c:v>5</c:v>
                </c:pt>
                <c:pt idx="1">
                  <c:v>15</c:v>
                </c:pt>
                <c:pt idx="2">
                  <c:v>65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AC-4EB5-95B1-550F7E633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8711808"/>
        <c:axId val="98718080"/>
      </c:lineChart>
      <c:catAx>
        <c:axId val="98711808"/>
        <c:scaling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</a:t>
                </a:r>
              </a:p>
            </c:rich>
          </c:tx>
          <c:layout>
            <c:manualLayout>
              <c:xMode val="edge"/>
              <c:yMode val="edge"/>
              <c:x val="0.420040099865575"/>
              <c:y val="0.9586838900039456"/>
            </c:manualLayout>
          </c:layout>
          <c:overlay val="0"/>
          <c:spPr>
            <a:noFill/>
            <a:ln w="25400">
              <a:noFill/>
            </a:ln>
          </c:spPr>
        </c:title>
        <c:numFmt formatCode="0\ &quot;mm&quot;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98718080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8718080"/>
        <c:scaling>
          <c:orientation val="maxMin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Porcentagem Retida Acumulada (%)</a:t>
                </a:r>
              </a:p>
            </c:rich>
          </c:tx>
          <c:layout>
            <c:manualLayout>
              <c:xMode val="edge"/>
              <c:yMode val="edge"/>
              <c:x val="0.97402112540812691"/>
              <c:y val="0.3099511090525565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98711808"/>
        <c:crosses val="autoZero"/>
        <c:crossBetween val="midCat"/>
        <c:majorUnit val="20"/>
        <c:minorUnit val="10"/>
      </c:valAx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8111527468934743"/>
          <c:y val="0.70676250576710198"/>
          <c:w val="0.27253453340656325"/>
          <c:h val="7.5763276586122114E-2"/>
        </c:manualLayout>
      </c:layout>
      <c:overlay val="0"/>
      <c:spPr>
        <a:solidFill>
          <a:sysClr val="window" lastClr="FFFFFF"/>
        </a:solidFill>
        <a:ln w="25400" cap="flat" cmpd="sng" algn="ctr">
          <a:solidFill>
            <a:schemeClr val="accent1"/>
          </a:solidFill>
          <a:prstDash val="solid"/>
        </a:ln>
        <a:effectLst/>
      </c:spPr>
      <c:txPr>
        <a:bodyPr/>
        <a:lstStyle/>
        <a:p>
          <a:pPr>
            <a:defRPr lang="pt-BR" sz="10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200">
                <a:solidFill>
                  <a:schemeClr val="tx2"/>
                </a:solidFill>
              </a:rPr>
              <a:t>Análise de Granulometria - Agregado Graúdo - Brita 2</a:t>
            </a:r>
          </a:p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100"/>
              <a:t>Procedência: Central</a:t>
            </a:r>
            <a:r>
              <a:rPr lang="pt-BR" sz="1100" baseline="0"/>
              <a:t> de Britagem (Pedreira)     Período: Agosto/2008</a:t>
            </a:r>
            <a:endParaRPr lang="pt-BR" sz="1100"/>
          </a:p>
        </c:rich>
      </c:tx>
      <c:layout>
        <c:manualLayout>
          <c:xMode val="edge"/>
          <c:yMode val="edge"/>
          <c:x val="0.27121947727127088"/>
          <c:y val="1.09770365877576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9159933865899992E-2"/>
          <c:y val="8.6718374606157334E-2"/>
          <c:w val="0.8971773751933847"/>
          <c:h val="0.82086499648735489"/>
        </c:manualLayout>
      </c:layout>
      <c:lineChart>
        <c:grouping val="standard"/>
        <c:varyColors val="0"/>
        <c:ser>
          <c:idx val="4"/>
          <c:order val="0"/>
          <c:tx>
            <c:strRef>
              <c:f>'Brita 2 Pedreira'!$A$36:$C$36</c:f>
              <c:strCache>
                <c:ptCount val="3"/>
                <c:pt idx="0">
                  <c:v>Média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diamond"/>
            <c:size val="6"/>
            <c:spPr>
              <a:solidFill>
                <a:schemeClr val="tx2">
                  <a:lumMod val="75000"/>
                </a:schemeClr>
              </a:solidFill>
            </c:spPr>
          </c:marker>
          <c:cat>
            <c:numRef>
              <c:f>'Brita 2 Pedreira'!$D$6:$H$6</c:f>
              <c:numCache>
                <c:formatCode>0.0\ "mm"</c:formatCode>
                <c:ptCount val="5"/>
                <c:pt idx="0">
                  <c:v>31.5</c:v>
                </c:pt>
                <c:pt idx="1">
                  <c:v>25</c:v>
                </c:pt>
                <c:pt idx="2">
                  <c:v>19</c:v>
                </c:pt>
                <c:pt idx="3">
                  <c:v>12.5</c:v>
                </c:pt>
                <c:pt idx="4">
                  <c:v>9.5</c:v>
                </c:pt>
              </c:numCache>
            </c:numRef>
          </c:cat>
          <c:val>
            <c:numRef>
              <c:f>'Brita 2 Pedreira'!$D$36:$H$36</c:f>
              <c:numCache>
                <c:formatCode>0.0</c:formatCode>
                <c:ptCount val="5"/>
                <c:pt idx="0">
                  <c:v>0</c:v>
                </c:pt>
                <c:pt idx="1">
                  <c:v>20.3</c:v>
                </c:pt>
                <c:pt idx="2">
                  <c:v>69.099999999999994</c:v>
                </c:pt>
                <c:pt idx="3">
                  <c:v>99</c:v>
                </c:pt>
                <c:pt idx="4">
                  <c:v>99.4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36-48DF-80B3-71968FD232C7}"/>
            </c:ext>
          </c:extLst>
        </c:ser>
        <c:ser>
          <c:idx val="0"/>
          <c:order val="1"/>
          <c:tx>
            <c:strRef>
              <c:f>'Brita 2 Pedreira'!$A$44</c:f>
              <c:strCache>
                <c:ptCount val="1"/>
                <c:pt idx="0">
                  <c:v>Material Retido Acumulado (Zona 19/31,5)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'Brita 2 Pedreira'!$D$6:$H$6</c:f>
              <c:numCache>
                <c:formatCode>0.0\ "mm"</c:formatCode>
                <c:ptCount val="5"/>
                <c:pt idx="0">
                  <c:v>31.5</c:v>
                </c:pt>
                <c:pt idx="1">
                  <c:v>25</c:v>
                </c:pt>
                <c:pt idx="2">
                  <c:v>19</c:v>
                </c:pt>
                <c:pt idx="3">
                  <c:v>12.5</c:v>
                </c:pt>
                <c:pt idx="4">
                  <c:v>9.5</c:v>
                </c:pt>
              </c:numCache>
            </c:numRef>
          </c:cat>
          <c:val>
            <c:numRef>
              <c:f>'Brita 2 Pedreira'!$D$44:$H$44</c:f>
              <c:numCache>
                <c:formatCode>0</c:formatCode>
                <c:ptCount val="5"/>
                <c:pt idx="0" formatCode="General">
                  <c:v>0</c:v>
                </c:pt>
                <c:pt idx="1">
                  <c:v>5</c:v>
                </c:pt>
                <c:pt idx="2">
                  <c:v>65</c:v>
                </c:pt>
                <c:pt idx="3">
                  <c:v>92</c:v>
                </c:pt>
                <c:pt idx="4">
                  <c:v>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36-48DF-80B3-71968FD232C7}"/>
            </c:ext>
          </c:extLst>
        </c:ser>
        <c:ser>
          <c:idx val="1"/>
          <c:order val="2"/>
          <c:tx>
            <c:strRef>
              <c:f>'Brita 2 Pedreira'!$A$44</c:f>
              <c:strCache>
                <c:ptCount val="1"/>
                <c:pt idx="0">
                  <c:v>Material Retido Acumulado (Zona 19/31,5)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cat>
            <c:numRef>
              <c:f>'Brita 2 Pedreira'!$D$6:$H$6</c:f>
              <c:numCache>
                <c:formatCode>0.0\ "mm"</c:formatCode>
                <c:ptCount val="5"/>
                <c:pt idx="0">
                  <c:v>31.5</c:v>
                </c:pt>
                <c:pt idx="1">
                  <c:v>25</c:v>
                </c:pt>
                <c:pt idx="2">
                  <c:v>19</c:v>
                </c:pt>
                <c:pt idx="3">
                  <c:v>12.5</c:v>
                </c:pt>
                <c:pt idx="4">
                  <c:v>9.5</c:v>
                </c:pt>
              </c:numCache>
            </c:numRef>
          </c:cat>
          <c:val>
            <c:numRef>
              <c:f>'Brita 2 Pedreira'!$D$45:$H$45</c:f>
              <c:numCache>
                <c:formatCode>0</c:formatCode>
                <c:ptCount val="5"/>
                <c:pt idx="0" formatCode="General">
                  <c:v>5</c:v>
                </c:pt>
                <c:pt idx="1">
                  <c:v>25</c:v>
                </c:pt>
                <c:pt idx="2">
                  <c:v>95</c:v>
                </c:pt>
                <c:pt idx="3">
                  <c:v>100</c:v>
                </c:pt>
                <c:pt idx="4">
                  <c:v>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36-48DF-80B3-71968FD232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327680"/>
        <c:axId val="90329856"/>
      </c:lineChart>
      <c:catAx>
        <c:axId val="90327680"/>
        <c:scaling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</a:t>
                </a:r>
              </a:p>
            </c:rich>
          </c:tx>
          <c:layout>
            <c:manualLayout>
              <c:xMode val="edge"/>
              <c:yMode val="edge"/>
              <c:x val="0.42004009986557489"/>
              <c:y val="0.9586838900039456"/>
            </c:manualLayout>
          </c:layout>
          <c:overlay val="0"/>
          <c:spPr>
            <a:noFill/>
            <a:ln w="25400">
              <a:noFill/>
            </a:ln>
          </c:spPr>
        </c:title>
        <c:numFmt formatCode="0.0\ &quot;mm&quot;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90329856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0329856"/>
        <c:scaling>
          <c:orientation val="maxMin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Porcentagem Retida Acumulada (%)</a:t>
                </a:r>
              </a:p>
            </c:rich>
          </c:tx>
          <c:layout>
            <c:manualLayout>
              <c:xMode val="edge"/>
              <c:yMode val="edge"/>
              <c:x val="0.97402112540812669"/>
              <c:y val="0.3099511090525564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90327680"/>
        <c:crosses val="autoZero"/>
        <c:crossBetween val="midCat"/>
        <c:majorUnit val="20"/>
        <c:minorUnit val="10"/>
      </c:valAx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8111527468934743"/>
          <c:y val="0.7067625057671022"/>
          <c:w val="0.27253453340656325"/>
          <c:h val="7.5763276586122114E-2"/>
        </c:manualLayout>
      </c:layout>
      <c:overlay val="0"/>
      <c:spPr>
        <a:solidFill>
          <a:sysClr val="window" lastClr="FFFFFF"/>
        </a:solidFill>
        <a:ln w="25400" cap="flat" cmpd="sng" algn="ctr">
          <a:solidFill>
            <a:schemeClr val="accent1"/>
          </a:solidFill>
          <a:prstDash val="solid"/>
        </a:ln>
        <a:effectLst/>
      </c:spPr>
      <c:txPr>
        <a:bodyPr/>
        <a:lstStyle/>
        <a:p>
          <a:pPr>
            <a:defRPr lang="pt-BR" sz="10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200">
                <a:solidFill>
                  <a:schemeClr val="tx2"/>
                </a:solidFill>
              </a:rPr>
              <a:t>Análise de Granulometria - Agregado Graúdo - Brita 2</a:t>
            </a:r>
          </a:p>
          <a:p>
            <a:pPr>
              <a:defRPr lang="pt-BR"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pt-BR" sz="1100"/>
              <a:t>Procedência: Central</a:t>
            </a:r>
            <a:r>
              <a:rPr lang="pt-BR" sz="1100" baseline="0"/>
              <a:t> de Britagem (Casa de Força)     Período: Janeiro/2009</a:t>
            </a:r>
            <a:endParaRPr lang="pt-BR" sz="1100"/>
          </a:p>
        </c:rich>
      </c:tx>
      <c:layout>
        <c:manualLayout>
          <c:xMode val="edge"/>
          <c:yMode val="edge"/>
          <c:x val="0.27121947727127088"/>
          <c:y val="1.097703658775765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9159933865899992E-2"/>
          <c:y val="8.6718374606157334E-2"/>
          <c:w val="0.8971773751933847"/>
          <c:h val="0.82086499648735489"/>
        </c:manualLayout>
      </c:layout>
      <c:lineChart>
        <c:grouping val="standard"/>
        <c:varyColors val="0"/>
        <c:ser>
          <c:idx val="4"/>
          <c:order val="0"/>
          <c:tx>
            <c:strRef>
              <c:f>'Brita 2 C.Força'!$A$36:$C$36</c:f>
              <c:strCache>
                <c:ptCount val="3"/>
                <c:pt idx="0">
                  <c:v>Média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diamond"/>
            <c:size val="6"/>
            <c:spPr>
              <a:solidFill>
                <a:schemeClr val="tx2">
                  <a:lumMod val="75000"/>
                </a:schemeClr>
              </a:solidFill>
            </c:spPr>
          </c:marker>
          <c:val>
            <c:numRef>
              <c:f>'Brita 2 C.Força'!$D$36:$H$36</c:f>
              <c:numCache>
                <c:formatCode>0.0</c:formatCode>
                <c:ptCount val="5"/>
                <c:pt idx="0">
                  <c:v>0</c:v>
                </c:pt>
                <c:pt idx="1">
                  <c:v>31.28</c:v>
                </c:pt>
                <c:pt idx="2">
                  <c:v>77.679999999999993</c:v>
                </c:pt>
                <c:pt idx="3">
                  <c:v>97.86</c:v>
                </c:pt>
                <c:pt idx="4">
                  <c:v>98.84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C1FF-4519-A922-E4A2CA39F52C}"/>
            </c:ext>
          </c:extLst>
        </c:ser>
        <c:ser>
          <c:idx val="0"/>
          <c:order val="1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C1FF-4519-A922-E4A2CA39F52C}"/>
            </c:ext>
          </c:extLst>
        </c:ser>
        <c:ser>
          <c:idx val="1"/>
          <c:order val="2"/>
          <c:tx>
            <c:strRef>
              <c:f>#REF!</c:f>
              <c:strCache>
                <c:ptCount val="1"/>
                <c:pt idx="0">
                  <c:v>#REF!</c:v>
                </c:pt>
              </c:strCache>
            </c:strRef>
          </c:tx>
          <c:spPr>
            <a:ln w="22225">
              <a:solidFill>
                <a:srgbClr val="C00000"/>
              </a:solidFill>
            </a:ln>
          </c:spPr>
          <c:marker>
            <c:symbol val="none"/>
          </c:marker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C1FF-4519-A922-E4A2CA39F5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0254336"/>
        <c:axId val="90264704"/>
      </c:lineChart>
      <c:catAx>
        <c:axId val="90254336"/>
        <c:scaling>
          <c:orientation val="maxMin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Abertura das Peneiras</a:t>
                </a:r>
              </a:p>
            </c:rich>
          </c:tx>
          <c:layout>
            <c:manualLayout>
              <c:xMode val="edge"/>
              <c:yMode val="edge"/>
              <c:x val="0.42004009986557506"/>
              <c:y val="0.9586838900039456"/>
            </c:manualLayout>
          </c:layout>
          <c:overlay val="0"/>
          <c:spPr>
            <a:noFill/>
            <a:ln w="25400">
              <a:noFill/>
            </a:ln>
          </c:spPr>
        </c:title>
        <c:numFmt formatCode="0.0\ &quot;mm&quot;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90264704"/>
        <c:crosses val="max"/>
        <c:auto val="0"/>
        <c:lblAlgn val="ctr"/>
        <c:lblOffset val="100"/>
        <c:tickLblSkip val="1"/>
        <c:tickMarkSkip val="1"/>
        <c:noMultiLvlLbl val="0"/>
      </c:catAx>
      <c:valAx>
        <c:axId val="90264704"/>
        <c:scaling>
          <c:orientation val="maxMin"/>
          <c:max val="100"/>
        </c:scaling>
        <c:delete val="0"/>
        <c:axPos val="r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lang="pt-BR"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pt-BR"/>
                  <a:t>Porcentagem Retida Acumulada (%)</a:t>
                </a:r>
              </a:p>
            </c:rich>
          </c:tx>
          <c:layout>
            <c:manualLayout>
              <c:xMode val="edge"/>
              <c:yMode val="edge"/>
              <c:x val="0.97402112540812702"/>
              <c:y val="0.3099511090525565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lang="pt-BR"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pt-BR"/>
          </a:p>
        </c:txPr>
        <c:crossAx val="90254336"/>
        <c:crosses val="autoZero"/>
        <c:crossBetween val="midCat"/>
        <c:majorUnit val="20"/>
        <c:minorUnit val="10"/>
      </c:valAx>
    </c:plotArea>
    <c:legend>
      <c:legendPos val="r"/>
      <c:legendEntry>
        <c:idx val="1"/>
        <c:delete val="1"/>
      </c:legendEntry>
      <c:layout>
        <c:manualLayout>
          <c:xMode val="edge"/>
          <c:yMode val="edge"/>
          <c:x val="0.58111527468934743"/>
          <c:y val="0.70676250576710187"/>
          <c:w val="0.27253453340656325"/>
          <c:h val="7.5763276586122114E-2"/>
        </c:manualLayout>
      </c:layout>
      <c:overlay val="0"/>
      <c:spPr>
        <a:solidFill>
          <a:sysClr val="window" lastClr="FFFFFF"/>
        </a:solidFill>
        <a:ln w="25400" cap="flat" cmpd="sng" algn="ctr">
          <a:solidFill>
            <a:schemeClr val="accent1"/>
          </a:solidFill>
          <a:prstDash val="solid"/>
        </a:ln>
        <a:effectLst/>
      </c:spPr>
      <c:txPr>
        <a:bodyPr/>
        <a:lstStyle/>
        <a:p>
          <a:pPr>
            <a:defRPr lang="pt-BR" sz="10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chart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chart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chart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chart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5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2.bin"/></Relationships>
</file>

<file path=xl/chart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8.vml"/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4.bin"/></Relationships>
</file>

<file path=xl/chart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1.vml"/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6.bin"/></Relationships>
</file>

<file path=xl/chart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4.vml"/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8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 codeName="Gráf17">
    <tabColor theme="1"/>
  </sheetPr>
  <sheetViews>
    <sheetView zoomScale="85" workbookViewId="0"/>
  </sheetViews>
  <pageMargins left="0.39370078740157483" right="0.39370078740157483" top="0.94488188976377963" bottom="0.62992125984251968" header="0.51181102362204722" footer="0.39370078740157483"/>
  <pageSetup paperSize="9" firstPageNumber="42" orientation="landscape" r:id="rId1"/>
  <headerFooter alignWithMargins="0">
    <oddHeader>&amp;L&amp;"Arial,Negrito"&amp;14&amp;K03+000UHE GOVE&amp;R&amp;G</oddHeader>
    <oddFooter>&amp;LLimites NBR 7211:2005&amp;C&amp;P&amp;R&amp;F</oddFooter>
  </headerFooter>
  <drawing r:id="rId2"/>
  <legacyDrawingHF r:id="rId3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>
    <tabColor theme="1"/>
  </sheetPr>
  <sheetViews>
    <sheetView zoomScale="85" workbookViewId="0"/>
  </sheetViews>
  <pageMargins left="0.39370078740157483" right="0.39370078740157483" top="0.94488188976377963" bottom="0.62992125984251968" header="0.51181102362204722" footer="0.39370078740157483"/>
  <pageSetup paperSize="9" firstPageNumber="42" orientation="landscape" r:id="rId1"/>
  <headerFooter alignWithMargins="0">
    <oddHeader>&amp;L&amp;"Arial,Negrito"&amp;14&amp;K03+000UHE GOVE&amp;R&amp;G</oddHeader>
    <oddFooter>&amp;LLimites NBR 7211:2005&amp;C&amp;P&amp;R&amp;F</oddFooter>
  </headerFooter>
  <drawing r:id="rId2"/>
  <legacyDrawingHF r:id="rId3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>
    <tabColor theme="1"/>
  </sheetPr>
  <sheetViews>
    <sheetView zoomScale="85" workbookViewId="0"/>
  </sheetViews>
  <pageMargins left="0.39370078740157483" right="0.39370078740157483" top="0.94488188976377963" bottom="0.62992125984251968" header="0.51181102362204722" footer="0.39370078740157483"/>
  <pageSetup paperSize="9" firstPageNumber="42" orientation="landscape" r:id="rId1"/>
  <headerFooter alignWithMargins="0">
    <oddHeader>&amp;L&amp;"Arial,Negrito"&amp;14&amp;K03+000UHE GOVE&amp;R&amp;G</oddHeader>
    <oddFooter>&amp;LLimites NBR 7211:2005&amp;C&amp;P&amp;R&amp;F</oddFooter>
  </headerFooter>
  <drawing r:id="rId2"/>
  <legacyDrawingHF r:id="rId3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>
    <tabColor theme="1"/>
  </sheetPr>
  <sheetViews>
    <sheetView zoomScale="85" workbookViewId="0"/>
  </sheetViews>
  <pageMargins left="0.39370078740157483" right="0.39370078740157483" top="0.94488188976377963" bottom="0.62992125984251968" header="0.51181102362204722" footer="0.39370078740157483"/>
  <pageSetup paperSize="9" firstPageNumber="42" orientation="landscape" r:id="rId1"/>
  <headerFooter alignWithMargins="0">
    <oddHeader>&amp;L&amp;"Arial,Negrito"&amp;14&amp;K03+000UHE GOVE&amp;R&amp;G</oddHeader>
    <oddFooter>&amp;LLimites NBR 7211:2005&amp;C&amp;P&amp;R&amp;F</oddFooter>
  </headerFooter>
  <drawing r:id="rId2"/>
  <legacyDrawingHF r:id="rId3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>
    <tabColor theme="1"/>
  </sheetPr>
  <sheetViews>
    <sheetView zoomScale="85" workbookViewId="0"/>
  </sheetViews>
  <pageMargins left="0.39370078740157483" right="0.39370078740157483" top="0.94488188976377963" bottom="0.62992125984251968" header="0.51181102362204722" footer="0.39370078740157483"/>
  <pageSetup paperSize="9" firstPageNumber="42" orientation="landscape" r:id="rId1"/>
  <headerFooter alignWithMargins="0">
    <oddHeader>&amp;L&amp;"Arial,Negrito"&amp;14&amp;K03+000UHE GOVE&amp;R&amp;G</oddHeader>
    <oddFooter>&amp;LLimites NBR 7211:2005&amp;C&amp;P&amp;R&amp;F</oddFooter>
  </headerFooter>
  <drawing r:id="rId2"/>
  <legacyDrawingHF r:id="rId3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>
    <tabColor theme="1"/>
  </sheetPr>
  <sheetViews>
    <sheetView zoomScale="85" workbookViewId="0"/>
  </sheetViews>
  <pageMargins left="0.39370078740157483" right="0.39370078740157483" top="0.94488188976377963" bottom="0.62992125984251968" header="0.51181102362204722" footer="0.39370078740157483"/>
  <pageSetup paperSize="9" firstPageNumber="42" orientation="landscape" r:id="rId1"/>
  <headerFooter alignWithMargins="0">
    <oddHeader>&amp;L&amp;"Arial,Negrito"&amp;14&amp;K03+000UHE GOVE&amp;R&amp;G</oddHeader>
    <oddFooter>&amp;LLimites NBR 7211:2005&amp;C&amp;P&amp;R&amp;F</oddFooter>
  </headerFooter>
  <drawing r:id="rId2"/>
  <legacyDrawingHF r:id="rId3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600-000000000000}">
  <sheetPr>
    <tabColor theme="1"/>
  </sheetPr>
  <sheetViews>
    <sheetView zoomScale="85" workbookViewId="0"/>
  </sheetViews>
  <pageMargins left="0.39370078740157483" right="0.39370078740157483" top="0.94488188976377963" bottom="0.62992125984251968" header="0.51181102362204722" footer="0.39370078740157483"/>
  <pageSetup paperSize="9" firstPageNumber="42" orientation="landscape" r:id="rId1"/>
  <headerFooter alignWithMargins="0">
    <oddHeader>&amp;L&amp;"Arial,Negrito"&amp;14&amp;K03+000UHE GOVE&amp;R&amp;G</oddHeader>
    <oddFooter>&amp;LLimites NBR 7211:2005&amp;C&amp;P&amp;R&amp;F</oddFooter>
  </headerFooter>
  <drawing r:id="rId2"/>
  <legacyDrawingHF r:id="rId3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800-000000000000}">
  <sheetPr>
    <tabColor theme="1"/>
  </sheetPr>
  <sheetViews>
    <sheetView zoomScale="85" workbookViewId="0"/>
  </sheetViews>
  <pageMargins left="0.39370078740157483" right="0.39370078740157483" top="0.94488188976377963" bottom="0.62992125984251968" header="0.51181102362204722" footer="0.39370078740157483"/>
  <pageSetup paperSize="9" firstPageNumber="42" orientation="landscape" r:id="rId1"/>
  <headerFooter alignWithMargins="0">
    <oddHeader>&amp;L&amp;"Arial,Negrito"&amp;14&amp;K03+000UHE GOVE&amp;R&amp;G</oddHeader>
    <oddFooter>&amp;LLimites NBR 7211:2005&amp;C&amp;P&amp;R&amp;F</oddFooter>
  </headerFooter>
  <drawing r:id="rId2"/>
  <legacyDrawingHF r:id="rId3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62713</xdr:colOff>
      <xdr:row>0</xdr:row>
      <xdr:rowOff>69370</xdr:rowOff>
    </xdr:from>
    <xdr:to>
      <xdr:col>12</xdr:col>
      <xdr:colOff>795256</xdr:colOff>
      <xdr:row>0</xdr:row>
      <xdr:rowOff>821284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2225F86-4419-4916-8740-6215CD10A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27642" y="69370"/>
          <a:ext cx="1467329" cy="7519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37</xdr:row>
      <xdr:rowOff>76200</xdr:rowOff>
    </xdr:from>
    <xdr:to>
      <xdr:col>8</xdr:col>
      <xdr:colOff>333375</xdr:colOff>
      <xdr:row>38</xdr:row>
      <xdr:rowOff>0</xdr:rowOff>
    </xdr:to>
    <xdr:sp macro="" textlink="">
      <xdr:nvSpPr>
        <xdr:cNvPr id="2" name="Texto 2">
          <a:extLst>
            <a:ext uri="{FF2B5EF4-FFF2-40B4-BE49-F238E27FC236}">
              <a16:creationId xmlns:a16="http://schemas.microsoft.com/office/drawing/2014/main" id="{B6715313-C84E-4DF7-98F6-21596745DF7A}"/>
            </a:ext>
          </a:extLst>
        </xdr:cNvPr>
        <xdr:cNvSpPr txBox="1">
          <a:spLocks noChangeArrowheads="1"/>
        </xdr:cNvSpPr>
      </xdr:nvSpPr>
      <xdr:spPr bwMode="auto">
        <a:xfrm>
          <a:off x="914400" y="7334250"/>
          <a:ext cx="4981575" cy="857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1143000</xdr:colOff>
      <xdr:row>37</xdr:row>
      <xdr:rowOff>38100</xdr:rowOff>
    </xdr:from>
    <xdr:to>
      <xdr:col>2</xdr:col>
      <xdr:colOff>180975</xdr:colOff>
      <xdr:row>38</xdr:row>
      <xdr:rowOff>38100</xdr:rowOff>
    </xdr:to>
    <xdr:sp macro="" textlink="">
      <xdr:nvSpPr>
        <xdr:cNvPr id="3" name="Texto 3">
          <a:extLst>
            <a:ext uri="{FF2B5EF4-FFF2-40B4-BE49-F238E27FC236}">
              <a16:creationId xmlns:a16="http://schemas.microsoft.com/office/drawing/2014/main" id="{035C7BC8-C100-4C5A-8234-C4DB120C1D9F}"/>
            </a:ext>
          </a:extLst>
        </xdr:cNvPr>
        <xdr:cNvSpPr txBox="1">
          <a:spLocks noChangeArrowheads="1"/>
        </xdr:cNvSpPr>
      </xdr:nvSpPr>
      <xdr:spPr bwMode="auto">
        <a:xfrm>
          <a:off x="1905000" y="7296150"/>
          <a:ext cx="25717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200</a:t>
          </a:r>
        </a:p>
      </xdr:txBody>
    </xdr:sp>
    <xdr:clientData/>
  </xdr:twoCellAnchor>
  <xdr:twoCellAnchor>
    <xdr:from>
      <xdr:col>2</xdr:col>
      <xdr:colOff>400050</xdr:colOff>
      <xdr:row>37</xdr:row>
      <xdr:rowOff>38100</xdr:rowOff>
    </xdr:from>
    <xdr:to>
      <xdr:col>3</xdr:col>
      <xdr:colOff>9525</xdr:colOff>
      <xdr:row>38</xdr:row>
      <xdr:rowOff>28575</xdr:rowOff>
    </xdr:to>
    <xdr:sp macro="" textlink="">
      <xdr:nvSpPr>
        <xdr:cNvPr id="4" name="Texto 5">
          <a:extLst>
            <a:ext uri="{FF2B5EF4-FFF2-40B4-BE49-F238E27FC236}">
              <a16:creationId xmlns:a16="http://schemas.microsoft.com/office/drawing/2014/main" id="{7E8F9552-5135-45E5-8328-4201BAE0A8F7}"/>
            </a:ext>
          </a:extLst>
        </xdr:cNvPr>
        <xdr:cNvSpPr txBox="1">
          <a:spLocks noChangeArrowheads="1"/>
        </xdr:cNvSpPr>
      </xdr:nvSpPr>
      <xdr:spPr bwMode="auto">
        <a:xfrm>
          <a:off x="2381250" y="7296150"/>
          <a:ext cx="228600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80</a:t>
          </a:r>
        </a:p>
      </xdr:txBody>
    </xdr:sp>
    <xdr:clientData/>
  </xdr:twoCellAnchor>
  <xdr:twoCellAnchor>
    <xdr:from>
      <xdr:col>3</xdr:col>
      <xdr:colOff>228600</xdr:colOff>
      <xdr:row>37</xdr:row>
      <xdr:rowOff>38100</xdr:rowOff>
    </xdr:from>
    <xdr:to>
      <xdr:col>3</xdr:col>
      <xdr:colOff>447675</xdr:colOff>
      <xdr:row>38</xdr:row>
      <xdr:rowOff>38100</xdr:rowOff>
    </xdr:to>
    <xdr:sp macro="" textlink="">
      <xdr:nvSpPr>
        <xdr:cNvPr id="5" name="Texto 6">
          <a:extLst>
            <a:ext uri="{FF2B5EF4-FFF2-40B4-BE49-F238E27FC236}">
              <a16:creationId xmlns:a16="http://schemas.microsoft.com/office/drawing/2014/main" id="{9B53E3B8-29CC-4E3E-851E-09C987E57B0C}"/>
            </a:ext>
          </a:extLst>
        </xdr:cNvPr>
        <xdr:cNvSpPr txBox="1">
          <a:spLocks noChangeArrowheads="1"/>
        </xdr:cNvSpPr>
      </xdr:nvSpPr>
      <xdr:spPr bwMode="auto">
        <a:xfrm>
          <a:off x="2828925" y="7296150"/>
          <a:ext cx="219075" cy="1619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40</a:t>
          </a:r>
        </a:p>
      </xdr:txBody>
    </xdr:sp>
    <xdr:clientData/>
  </xdr:twoCellAnchor>
  <xdr:twoCellAnchor>
    <xdr:from>
      <xdr:col>4</xdr:col>
      <xdr:colOff>438150</xdr:colOff>
      <xdr:row>37</xdr:row>
      <xdr:rowOff>38100</xdr:rowOff>
    </xdr:from>
    <xdr:to>
      <xdr:col>5</xdr:col>
      <xdr:colOff>0</xdr:colOff>
      <xdr:row>38</xdr:row>
      <xdr:rowOff>28575</xdr:rowOff>
    </xdr:to>
    <xdr:sp macro="" textlink="">
      <xdr:nvSpPr>
        <xdr:cNvPr id="6" name="Texto 7">
          <a:extLst>
            <a:ext uri="{FF2B5EF4-FFF2-40B4-BE49-F238E27FC236}">
              <a16:creationId xmlns:a16="http://schemas.microsoft.com/office/drawing/2014/main" id="{F15874C1-8618-4918-A59E-6DDD5CF69A57}"/>
            </a:ext>
          </a:extLst>
        </xdr:cNvPr>
        <xdr:cNvSpPr txBox="1">
          <a:spLocks noChangeArrowheads="1"/>
        </xdr:cNvSpPr>
      </xdr:nvSpPr>
      <xdr:spPr bwMode="auto">
        <a:xfrm>
          <a:off x="3657600" y="7296150"/>
          <a:ext cx="180975" cy="152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10</a:t>
          </a:r>
        </a:p>
      </xdr:txBody>
    </xdr:sp>
    <xdr:clientData/>
  </xdr:twoCellAnchor>
  <xdr:twoCellAnchor>
    <xdr:from>
      <xdr:col>5</xdr:col>
      <xdr:colOff>304800</xdr:colOff>
      <xdr:row>37</xdr:row>
      <xdr:rowOff>28575</xdr:rowOff>
    </xdr:from>
    <xdr:to>
      <xdr:col>5</xdr:col>
      <xdr:colOff>533400</xdr:colOff>
      <xdr:row>38</xdr:row>
      <xdr:rowOff>9525</xdr:rowOff>
    </xdr:to>
    <xdr:sp macro="" textlink="">
      <xdr:nvSpPr>
        <xdr:cNvPr id="7" name="Texto 8">
          <a:extLst>
            <a:ext uri="{FF2B5EF4-FFF2-40B4-BE49-F238E27FC236}">
              <a16:creationId xmlns:a16="http://schemas.microsoft.com/office/drawing/2014/main" id="{C74DCC64-931A-4B54-9303-D940CFA2E24A}"/>
            </a:ext>
          </a:extLst>
        </xdr:cNvPr>
        <xdr:cNvSpPr txBox="1">
          <a:spLocks noChangeArrowheads="1"/>
        </xdr:cNvSpPr>
      </xdr:nvSpPr>
      <xdr:spPr bwMode="auto">
        <a:xfrm>
          <a:off x="4143375" y="7286625"/>
          <a:ext cx="228600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4</a:t>
          </a:r>
        </a:p>
      </xdr:txBody>
    </xdr:sp>
    <xdr:clientData/>
  </xdr:twoCellAnchor>
  <xdr:twoCellAnchor>
    <xdr:from>
      <xdr:col>6</xdr:col>
      <xdr:colOff>0</xdr:colOff>
      <xdr:row>37</xdr:row>
      <xdr:rowOff>38100</xdr:rowOff>
    </xdr:from>
    <xdr:to>
      <xdr:col>6</xdr:col>
      <xdr:colOff>238125</xdr:colOff>
      <xdr:row>38</xdr:row>
      <xdr:rowOff>47625</xdr:rowOff>
    </xdr:to>
    <xdr:sp macro="" textlink="">
      <xdr:nvSpPr>
        <xdr:cNvPr id="8" name="Texto 9">
          <a:extLst>
            <a:ext uri="{FF2B5EF4-FFF2-40B4-BE49-F238E27FC236}">
              <a16:creationId xmlns:a16="http://schemas.microsoft.com/office/drawing/2014/main" id="{7E8F33C2-31FC-4BF1-B7C0-96A783D9AE87}"/>
            </a:ext>
          </a:extLst>
        </xdr:cNvPr>
        <xdr:cNvSpPr txBox="1">
          <a:spLocks noChangeArrowheads="1"/>
        </xdr:cNvSpPr>
      </xdr:nvSpPr>
      <xdr:spPr bwMode="auto">
        <a:xfrm>
          <a:off x="4457700" y="7296150"/>
          <a:ext cx="238125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3/8</a:t>
          </a:r>
        </a:p>
      </xdr:txBody>
    </xdr:sp>
    <xdr:clientData/>
  </xdr:twoCellAnchor>
  <xdr:twoCellAnchor>
    <xdr:from>
      <xdr:col>6</xdr:col>
      <xdr:colOff>180975</xdr:colOff>
      <xdr:row>37</xdr:row>
      <xdr:rowOff>38100</xdr:rowOff>
    </xdr:from>
    <xdr:to>
      <xdr:col>6</xdr:col>
      <xdr:colOff>400050</xdr:colOff>
      <xdr:row>38</xdr:row>
      <xdr:rowOff>19050</xdr:rowOff>
    </xdr:to>
    <xdr:sp macro="" textlink="">
      <xdr:nvSpPr>
        <xdr:cNvPr id="9" name="Texto 10">
          <a:extLst>
            <a:ext uri="{FF2B5EF4-FFF2-40B4-BE49-F238E27FC236}">
              <a16:creationId xmlns:a16="http://schemas.microsoft.com/office/drawing/2014/main" id="{251866B3-16D5-481F-998C-394472E4F580}"/>
            </a:ext>
          </a:extLst>
        </xdr:cNvPr>
        <xdr:cNvSpPr txBox="1">
          <a:spLocks noChangeArrowheads="1"/>
        </xdr:cNvSpPr>
      </xdr:nvSpPr>
      <xdr:spPr bwMode="auto">
        <a:xfrm>
          <a:off x="4638675" y="7296150"/>
          <a:ext cx="21907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1/2</a:t>
          </a:r>
        </a:p>
      </xdr:txBody>
    </xdr:sp>
    <xdr:clientData/>
  </xdr:twoCellAnchor>
  <xdr:twoCellAnchor>
    <xdr:from>
      <xdr:col>6</xdr:col>
      <xdr:colOff>381000</xdr:colOff>
      <xdr:row>37</xdr:row>
      <xdr:rowOff>38100</xdr:rowOff>
    </xdr:from>
    <xdr:to>
      <xdr:col>7</xdr:col>
      <xdr:colOff>66675</xdr:colOff>
      <xdr:row>38</xdr:row>
      <xdr:rowOff>19050</xdr:rowOff>
    </xdr:to>
    <xdr:sp macro="" textlink="">
      <xdr:nvSpPr>
        <xdr:cNvPr id="10" name="Texto 11">
          <a:extLst>
            <a:ext uri="{FF2B5EF4-FFF2-40B4-BE49-F238E27FC236}">
              <a16:creationId xmlns:a16="http://schemas.microsoft.com/office/drawing/2014/main" id="{CC2B543C-DEEA-4BEC-A5AE-96948276724B}"/>
            </a:ext>
          </a:extLst>
        </xdr:cNvPr>
        <xdr:cNvSpPr txBox="1">
          <a:spLocks noChangeArrowheads="1"/>
        </xdr:cNvSpPr>
      </xdr:nvSpPr>
      <xdr:spPr bwMode="auto">
        <a:xfrm>
          <a:off x="4838700" y="7296150"/>
          <a:ext cx="238125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3/4</a:t>
          </a:r>
        </a:p>
      </xdr:txBody>
    </xdr:sp>
    <xdr:clientData/>
  </xdr:twoCellAnchor>
  <xdr:twoCellAnchor>
    <xdr:from>
      <xdr:col>1</xdr:col>
      <xdr:colOff>9525</xdr:colOff>
      <xdr:row>25</xdr:row>
      <xdr:rowOff>9525</xdr:rowOff>
    </xdr:from>
    <xdr:to>
      <xdr:col>10</xdr:col>
      <xdr:colOff>542925</xdr:colOff>
      <xdr:row>39</xdr:row>
      <xdr:rowOff>161925</xdr:rowOff>
    </xdr:to>
    <xdr:graphicFrame macro="">
      <xdr:nvGraphicFramePr>
        <xdr:cNvPr id="11" name="Gráfico 12">
          <a:extLst>
            <a:ext uri="{FF2B5EF4-FFF2-40B4-BE49-F238E27FC236}">
              <a16:creationId xmlns:a16="http://schemas.microsoft.com/office/drawing/2014/main" id="{C1AC3E33-89C5-4BE1-A643-D391B551B3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314325</xdr:colOff>
      <xdr:row>37</xdr:row>
      <xdr:rowOff>47625</xdr:rowOff>
    </xdr:from>
    <xdr:to>
      <xdr:col>10</xdr:col>
      <xdr:colOff>9525</xdr:colOff>
      <xdr:row>38</xdr:row>
      <xdr:rowOff>19050</xdr:rowOff>
    </xdr:to>
    <xdr:sp macro="" textlink="">
      <xdr:nvSpPr>
        <xdr:cNvPr id="12" name="Texto 14">
          <a:extLst>
            <a:ext uri="{FF2B5EF4-FFF2-40B4-BE49-F238E27FC236}">
              <a16:creationId xmlns:a16="http://schemas.microsoft.com/office/drawing/2014/main" id="{AA82E2CC-940E-44DD-8C82-C947DDEF8010}"/>
            </a:ext>
          </a:extLst>
        </xdr:cNvPr>
        <xdr:cNvSpPr txBox="1">
          <a:spLocks noChangeArrowheads="1"/>
        </xdr:cNvSpPr>
      </xdr:nvSpPr>
      <xdr:spPr bwMode="auto">
        <a:xfrm>
          <a:off x="2295525" y="7305675"/>
          <a:ext cx="438150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800" b="0" i="0" u="none" strike="noStrike" baseline="0">
              <a:solidFill>
                <a:srgbClr val="000000"/>
              </a:solidFill>
              <a:latin typeface="Arial"/>
              <a:cs typeface="Arial"/>
            </a:rPr>
            <a:t>  200                80               40                              10                4          3/8     1/2   3/4</a:t>
          </a:r>
        </a:p>
      </xdr:txBody>
    </xdr:sp>
    <xdr:clientData/>
  </xdr:twoCellAnchor>
  <xdr:twoCellAnchor>
    <xdr:from>
      <xdr:col>17</xdr:col>
      <xdr:colOff>28575</xdr:colOff>
      <xdr:row>0</xdr:row>
      <xdr:rowOff>38100</xdr:rowOff>
    </xdr:from>
    <xdr:to>
      <xdr:col>20</xdr:col>
      <xdr:colOff>647700</xdr:colOff>
      <xdr:row>10</xdr:row>
      <xdr:rowOff>123825</xdr:rowOff>
    </xdr:to>
    <xdr:sp macro="" textlink="">
      <xdr:nvSpPr>
        <xdr:cNvPr id="13" name="Text Box 22">
          <a:extLst>
            <a:ext uri="{FF2B5EF4-FFF2-40B4-BE49-F238E27FC236}">
              <a16:creationId xmlns:a16="http://schemas.microsoft.com/office/drawing/2014/main" id="{28B64DF8-23FF-4C03-A697-318B86D8E0D8}"/>
            </a:ext>
          </a:extLst>
        </xdr:cNvPr>
        <xdr:cNvSpPr txBox="1">
          <a:spLocks noChangeArrowheads="1"/>
        </xdr:cNvSpPr>
      </xdr:nvSpPr>
      <xdr:spPr bwMode="auto">
        <a:xfrm>
          <a:off x="12668250" y="38100"/>
          <a:ext cx="2905125" cy="2457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DIGITE NO QUADRO AO LADO AS PORCENTAGENS DO TRAÇO QUE SERÁ USADO, </a:t>
          </a:r>
        </a:p>
        <a:p>
          <a:pPr algn="l" rtl="0"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NOTA : DIGITE AS PORCENTAGENS DO TRAÇO SECO REFERENTE A CADA AGREGADO E SUA  RESPECTIVA DENSIDADE REAL DE CADA AGREGADO. DIGITE TAMBÉM A DENSIDADE REAL DO LIGANTE BETUMINOSO CAP.</a:t>
          </a:r>
          <a:endParaRPr lang="pt-BR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TODOS OS DADOS A SEREM DIGITADOS ESTÃO NA FONTE DE COR VERMELHA.</a:t>
          </a:r>
        </a:p>
        <a:p>
          <a:pPr algn="l" rtl="0"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AS PLANILHAS NÃO ESTÃO PROTEGIDAS POR SENHA, </a:t>
          </a:r>
          <a:r>
            <a:rPr lang="pt-BR" sz="1000" b="0" i="0" u="none" strike="noStrike" baseline="0">
              <a:solidFill>
                <a:srgbClr val="FF0000"/>
              </a:solidFill>
              <a:latin typeface="Arial"/>
              <a:cs typeface="Arial"/>
            </a:rPr>
            <a:t>PARA NÃO DANIFICAR AS FORMULAS. DIGITE SOMENTE OS DADOS NA FONTE DE COR VERMELHA</a:t>
          </a:r>
        </a:p>
      </xdr:txBody>
    </xdr:sp>
    <xdr:clientData/>
  </xdr:twoCellAnchor>
  <xdr:twoCellAnchor>
    <xdr:from>
      <xdr:col>14</xdr:col>
      <xdr:colOff>200025</xdr:colOff>
      <xdr:row>13</xdr:row>
      <xdr:rowOff>142875</xdr:rowOff>
    </xdr:from>
    <xdr:to>
      <xdr:col>18</xdr:col>
      <xdr:colOff>304800</xdr:colOff>
      <xdr:row>19</xdr:row>
      <xdr:rowOff>9525</xdr:rowOff>
    </xdr:to>
    <xdr:sp macro="" textlink="">
      <xdr:nvSpPr>
        <xdr:cNvPr id="14" name="Text Box 24">
          <a:extLst>
            <a:ext uri="{FF2B5EF4-FFF2-40B4-BE49-F238E27FC236}">
              <a16:creationId xmlns:a16="http://schemas.microsoft.com/office/drawing/2014/main" id="{FF0EBC2C-1A28-4EAE-94C1-F5ED7FB2BA37}"/>
            </a:ext>
          </a:extLst>
        </xdr:cNvPr>
        <xdr:cNvSpPr txBox="1">
          <a:spLocks noChangeArrowheads="1"/>
        </xdr:cNvSpPr>
      </xdr:nvSpPr>
      <xdr:spPr bwMode="auto">
        <a:xfrm>
          <a:off x="10401300" y="3086100"/>
          <a:ext cx="3305175" cy="10096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PARA INSERIR OS DADOS PARA ANÁLISE ESTATISTICA </a:t>
          </a:r>
        </a:p>
        <a:p>
          <a:pPr algn="l" rtl="0">
            <a:lnSpc>
              <a:spcPts val="1100"/>
            </a:lnSpc>
            <a:defRPr sz="1000"/>
          </a:pPr>
          <a:r>
            <a:rPr lang="pt-BR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DIGITAR A LETRA "S". PARA NÃO INSERIR OS DADOS PARA ANÁLISE ESTATISTICA DIGITE A LETRA "N"</a:t>
          </a: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  <a:p>
          <a:pPr algn="l" rtl="0">
            <a:lnSpc>
              <a:spcPts val="1000"/>
            </a:lnSpc>
            <a:defRPr sz="1000"/>
          </a:pPr>
          <a:endParaRPr lang="pt-BR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lnSpc>
              <a:spcPts val="1000"/>
            </a:lnSpc>
            <a:defRPr sz="1000"/>
          </a:pPr>
          <a:r>
            <a:rPr lang="pt-BR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-1"/>
    <xdr:ext cx="9861176" cy="606238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0.6085</cdr:x>
      <cdr:y>0.51175</cdr:y>
    </cdr:from>
    <cdr:to>
      <cdr:x>0.62275</cdr:x>
      <cdr:y>0.57825</cdr:y>
    </cdr:to>
    <cdr:sp macro="" textlink="">
      <cdr:nvSpPr>
        <cdr:cNvPr id="112026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02325" y="2988019"/>
          <a:ext cx="128283" cy="3882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1425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-1"/>
    <xdr:ext cx="9861176" cy="606238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0.6085</cdr:x>
      <cdr:y>0.51175</cdr:y>
    </cdr:from>
    <cdr:to>
      <cdr:x>0.62275</cdr:x>
      <cdr:y>0.57825</cdr:y>
    </cdr:to>
    <cdr:sp macro="" textlink="">
      <cdr:nvSpPr>
        <cdr:cNvPr id="112026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02325" y="2988019"/>
          <a:ext cx="128283" cy="3882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1425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-1"/>
    <xdr:ext cx="9861176" cy="606238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0.6085</cdr:x>
      <cdr:y>0.51175</cdr:y>
    </cdr:from>
    <cdr:to>
      <cdr:x>0.62275</cdr:x>
      <cdr:y>0.57825</cdr:y>
    </cdr:to>
    <cdr:sp macro="" textlink="">
      <cdr:nvSpPr>
        <cdr:cNvPr id="112026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02325" y="2988019"/>
          <a:ext cx="128283" cy="3882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1425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421822</xdr:colOff>
      <xdr:row>43</xdr:row>
      <xdr:rowOff>68036</xdr:rowOff>
    </xdr:from>
    <xdr:to>
      <xdr:col>6</xdr:col>
      <xdr:colOff>707572</xdr:colOff>
      <xdr:row>43</xdr:row>
      <xdr:rowOff>299358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 txBox="1"/>
      </xdr:nvSpPr>
      <xdr:spPr>
        <a:xfrm flipH="1">
          <a:off x="6340929" y="14110607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  <xdr:twoCellAnchor>
    <xdr:from>
      <xdr:col>5</xdr:col>
      <xdr:colOff>424543</xdr:colOff>
      <xdr:row>44</xdr:row>
      <xdr:rowOff>70757</xdr:rowOff>
    </xdr:from>
    <xdr:to>
      <xdr:col>5</xdr:col>
      <xdr:colOff>710293</xdr:colOff>
      <xdr:row>44</xdr:row>
      <xdr:rowOff>302079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 txBox="1"/>
      </xdr:nvSpPr>
      <xdr:spPr>
        <a:xfrm flipH="1">
          <a:off x="5513614" y="14630400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  <xdr:twoCellAnchor>
    <xdr:from>
      <xdr:col>5</xdr:col>
      <xdr:colOff>427265</xdr:colOff>
      <xdr:row>43</xdr:row>
      <xdr:rowOff>87086</xdr:rowOff>
    </xdr:from>
    <xdr:to>
      <xdr:col>5</xdr:col>
      <xdr:colOff>713015</xdr:colOff>
      <xdr:row>43</xdr:row>
      <xdr:rowOff>318408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 txBox="1"/>
      </xdr:nvSpPr>
      <xdr:spPr>
        <a:xfrm flipH="1">
          <a:off x="5516336" y="14129657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  <xdr:twoCellAnchor>
    <xdr:from>
      <xdr:col>4</xdr:col>
      <xdr:colOff>416379</xdr:colOff>
      <xdr:row>44</xdr:row>
      <xdr:rowOff>48985</xdr:rowOff>
    </xdr:from>
    <xdr:to>
      <xdr:col>4</xdr:col>
      <xdr:colOff>702129</xdr:colOff>
      <xdr:row>44</xdr:row>
      <xdr:rowOff>280307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 txBox="1"/>
      </xdr:nvSpPr>
      <xdr:spPr>
        <a:xfrm flipH="1">
          <a:off x="4675415" y="14608628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-1"/>
    <xdr:ext cx="9861176" cy="606238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0.6085</cdr:x>
      <cdr:y>0.51175</cdr:y>
    </cdr:from>
    <cdr:to>
      <cdr:x>0.62275</cdr:x>
      <cdr:y>0.57825</cdr:y>
    </cdr:to>
    <cdr:sp macro="" textlink="">
      <cdr:nvSpPr>
        <cdr:cNvPr id="112026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02325" y="2988019"/>
          <a:ext cx="128283" cy="3882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1425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408214</xdr:colOff>
      <xdr:row>43</xdr:row>
      <xdr:rowOff>68036</xdr:rowOff>
    </xdr:from>
    <xdr:to>
      <xdr:col>6</xdr:col>
      <xdr:colOff>693964</xdr:colOff>
      <xdr:row>43</xdr:row>
      <xdr:rowOff>299358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SpPr txBox="1"/>
      </xdr:nvSpPr>
      <xdr:spPr>
        <a:xfrm flipH="1">
          <a:off x="5919107" y="14110607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  <xdr:twoCellAnchor>
    <xdr:from>
      <xdr:col>5</xdr:col>
      <xdr:colOff>424543</xdr:colOff>
      <xdr:row>44</xdr:row>
      <xdr:rowOff>70757</xdr:rowOff>
    </xdr:from>
    <xdr:to>
      <xdr:col>5</xdr:col>
      <xdr:colOff>710293</xdr:colOff>
      <xdr:row>44</xdr:row>
      <xdr:rowOff>302079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 txBox="1"/>
      </xdr:nvSpPr>
      <xdr:spPr>
        <a:xfrm flipH="1">
          <a:off x="5148943" y="14729732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  <xdr:twoCellAnchor>
    <xdr:from>
      <xdr:col>5</xdr:col>
      <xdr:colOff>427265</xdr:colOff>
      <xdr:row>43</xdr:row>
      <xdr:rowOff>87086</xdr:rowOff>
    </xdr:from>
    <xdr:to>
      <xdr:col>5</xdr:col>
      <xdr:colOff>713015</xdr:colOff>
      <xdr:row>43</xdr:row>
      <xdr:rowOff>318408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 txBox="1"/>
      </xdr:nvSpPr>
      <xdr:spPr>
        <a:xfrm flipH="1">
          <a:off x="5151665" y="14231711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  <xdr:twoCellAnchor>
    <xdr:from>
      <xdr:col>4</xdr:col>
      <xdr:colOff>416379</xdr:colOff>
      <xdr:row>44</xdr:row>
      <xdr:rowOff>48985</xdr:rowOff>
    </xdr:from>
    <xdr:to>
      <xdr:col>4</xdr:col>
      <xdr:colOff>702129</xdr:colOff>
      <xdr:row>44</xdr:row>
      <xdr:rowOff>280307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 txBox="1"/>
      </xdr:nvSpPr>
      <xdr:spPr>
        <a:xfrm flipH="1">
          <a:off x="4350204" y="14707960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-44824" y="0"/>
    <xdr:ext cx="9917206" cy="601755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c:userShapes xmlns:c="http://schemas.openxmlformats.org/drawingml/2006/chart">
  <cdr:relSizeAnchor xmlns:cdr="http://schemas.openxmlformats.org/drawingml/2006/chartDrawing">
    <cdr:from>
      <cdr:x>0.6085</cdr:x>
      <cdr:y>0.51175</cdr:y>
    </cdr:from>
    <cdr:to>
      <cdr:x>0.62275</cdr:x>
      <cdr:y>0.57825</cdr:y>
    </cdr:to>
    <cdr:sp macro="" textlink="">
      <cdr:nvSpPr>
        <cdr:cNvPr id="112026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02325" y="2988019"/>
          <a:ext cx="128283" cy="3882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1425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408214</xdr:colOff>
      <xdr:row>43</xdr:row>
      <xdr:rowOff>68036</xdr:rowOff>
    </xdr:from>
    <xdr:to>
      <xdr:col>6</xdr:col>
      <xdr:colOff>693964</xdr:colOff>
      <xdr:row>43</xdr:row>
      <xdr:rowOff>299358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SpPr txBox="1"/>
      </xdr:nvSpPr>
      <xdr:spPr>
        <a:xfrm flipH="1">
          <a:off x="5408839" y="14212661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  <xdr:twoCellAnchor>
    <xdr:from>
      <xdr:col>5</xdr:col>
      <xdr:colOff>424543</xdr:colOff>
      <xdr:row>44</xdr:row>
      <xdr:rowOff>70757</xdr:rowOff>
    </xdr:from>
    <xdr:to>
      <xdr:col>5</xdr:col>
      <xdr:colOff>710293</xdr:colOff>
      <xdr:row>44</xdr:row>
      <xdr:rowOff>302079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 txBox="1"/>
      </xdr:nvSpPr>
      <xdr:spPr>
        <a:xfrm flipH="1">
          <a:off x="4691743" y="14729732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  <xdr:twoCellAnchor>
    <xdr:from>
      <xdr:col>5</xdr:col>
      <xdr:colOff>427265</xdr:colOff>
      <xdr:row>43</xdr:row>
      <xdr:rowOff>87086</xdr:rowOff>
    </xdr:from>
    <xdr:to>
      <xdr:col>5</xdr:col>
      <xdr:colOff>713015</xdr:colOff>
      <xdr:row>43</xdr:row>
      <xdr:rowOff>318408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 txBox="1"/>
      </xdr:nvSpPr>
      <xdr:spPr>
        <a:xfrm flipH="1">
          <a:off x="4694465" y="14231711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  <xdr:twoCellAnchor>
    <xdr:from>
      <xdr:col>4</xdr:col>
      <xdr:colOff>416379</xdr:colOff>
      <xdr:row>44</xdr:row>
      <xdr:rowOff>48985</xdr:rowOff>
    </xdr:from>
    <xdr:to>
      <xdr:col>4</xdr:col>
      <xdr:colOff>702129</xdr:colOff>
      <xdr:row>44</xdr:row>
      <xdr:rowOff>280307</xdr:rowOff>
    </xdr:to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 txBox="1"/>
      </xdr:nvSpPr>
      <xdr:spPr>
        <a:xfrm flipH="1">
          <a:off x="3950154" y="14707960"/>
          <a:ext cx="285750" cy="2313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pt-BR" sz="1400"/>
            <a:t>*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-44824" y="0"/>
    <xdr:ext cx="9917206" cy="6017559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c:userShapes xmlns:c="http://schemas.openxmlformats.org/drawingml/2006/chart">
  <cdr:relSizeAnchor xmlns:cdr="http://schemas.openxmlformats.org/drawingml/2006/chartDrawing">
    <cdr:from>
      <cdr:x>0.6085</cdr:x>
      <cdr:y>0.51175</cdr:y>
    </cdr:from>
    <cdr:to>
      <cdr:x>0.62275</cdr:x>
      <cdr:y>0.57825</cdr:y>
    </cdr:to>
    <cdr:sp macro="" textlink="">
      <cdr:nvSpPr>
        <cdr:cNvPr id="112026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02325" y="2988019"/>
          <a:ext cx="128283" cy="3882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1425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-1"/>
    <xdr:ext cx="9861176" cy="606238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c:userShapes xmlns:c="http://schemas.openxmlformats.org/drawingml/2006/chart">
  <cdr:relSizeAnchor xmlns:cdr="http://schemas.openxmlformats.org/drawingml/2006/chartDrawing">
    <cdr:from>
      <cdr:x>0.6085</cdr:x>
      <cdr:y>0.51175</cdr:y>
    </cdr:from>
    <cdr:to>
      <cdr:x>0.62275</cdr:x>
      <cdr:y>0.57825</cdr:y>
    </cdr:to>
    <cdr:sp macro="" textlink="">
      <cdr:nvSpPr>
        <cdr:cNvPr id="112026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02325" y="2988019"/>
          <a:ext cx="128283" cy="3882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1425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-1"/>
    <xdr:ext cx="9861176" cy="6062383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1.xml><?xml version="1.0" encoding="utf-8"?>
<c:userShapes xmlns:c="http://schemas.openxmlformats.org/drawingml/2006/chart">
  <cdr:relSizeAnchor xmlns:cdr="http://schemas.openxmlformats.org/drawingml/2006/chartDrawing">
    <cdr:from>
      <cdr:x>0.6085</cdr:x>
      <cdr:y>0.51175</cdr:y>
    </cdr:from>
    <cdr:to>
      <cdr:x>0.62275</cdr:x>
      <cdr:y>0.57825</cdr:y>
    </cdr:to>
    <cdr:sp macro="" textlink="">
      <cdr:nvSpPr>
        <cdr:cNvPr id="1120266" name="Text Box 10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802325" y="2988019"/>
          <a:ext cx="128283" cy="38828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36576" tIns="27432" rIns="36576" bIns="27432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pt-BR" sz="1425" b="0" i="0" strike="noStrike">
              <a:solidFill>
                <a:srgbClr val="000000"/>
              </a:solidFill>
              <a:latin typeface="Arial"/>
              <a:cs typeface="Arial"/>
            </a:rPr>
            <a:t> 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CE_E-1188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1ens1"/>
      <sheetName val="CP1ens2"/>
      <sheetName val="CP1ens3"/>
      <sheetName val="CP2ens1"/>
      <sheetName val="CP2ens2"/>
      <sheetName val="CP2ens3"/>
      <sheetName val="CP3ens1"/>
      <sheetName val="CP3ens2"/>
      <sheetName val="CP3ens3"/>
      <sheetName val="gráfico"/>
      <sheetName val="1CP1ens1"/>
      <sheetName val="1CP1ns1"/>
      <sheetName val="1CP1s1"/>
      <sheetName val="1CP11"/>
      <sheetName val="1CP1"/>
      <sheetName val="Modelo Holanda CCV ic 28-90dias"/>
      <sheetName val="CCV idade de controle 28 e 90d"/>
    </sheetNames>
    <sheetDataSet>
      <sheetData sheetId="0" refreshError="1">
        <row r="9">
          <cell r="B9">
            <v>0</v>
          </cell>
          <cell r="L9">
            <v>26.232272483800003</v>
          </cell>
        </row>
        <row r="10">
          <cell r="B10">
            <v>5</v>
          </cell>
          <cell r="L10">
            <v>26.292301327820802</v>
          </cell>
        </row>
        <row r="11">
          <cell r="B11">
            <v>10</v>
          </cell>
          <cell r="L11">
            <v>26.242277278973802</v>
          </cell>
        </row>
        <row r="12">
          <cell r="B12">
            <v>15</v>
          </cell>
          <cell r="L12">
            <v>26.222267693494203</v>
          </cell>
        </row>
        <row r="13">
          <cell r="B13">
            <v>20</v>
          </cell>
          <cell r="L13">
            <v>26.282296508325</v>
          </cell>
        </row>
        <row r="14">
          <cell r="B14">
            <v>25</v>
          </cell>
          <cell r="L14">
            <v>26.272291693691201</v>
          </cell>
        </row>
        <row r="15">
          <cell r="B15">
            <v>30</v>
          </cell>
          <cell r="L15">
            <v>26.272291693691201</v>
          </cell>
        </row>
        <row r="16">
          <cell r="B16">
            <v>35</v>
          </cell>
          <cell r="L16">
            <v>27.773067560051203</v>
          </cell>
        </row>
        <row r="17">
          <cell r="B17">
            <v>40</v>
          </cell>
          <cell r="L17">
            <v>29.654188290918402</v>
          </cell>
        </row>
        <row r="18">
          <cell r="B18">
            <v>45</v>
          </cell>
          <cell r="L18">
            <v>31.085146683525</v>
          </cell>
        </row>
        <row r="19">
          <cell r="B19">
            <v>50</v>
          </cell>
          <cell r="L19">
            <v>32.756376619854393</v>
          </cell>
        </row>
        <row r="20">
          <cell r="B20">
            <v>55</v>
          </cell>
          <cell r="J20">
            <v>0.99739999999999995</v>
          </cell>
          <cell r="L20">
            <v>34.217545437337598</v>
          </cell>
        </row>
        <row r="21">
          <cell r="B21">
            <v>60</v>
          </cell>
          <cell r="L21">
            <v>35.638762224999994</v>
          </cell>
        </row>
        <row r="22">
          <cell r="B22">
            <v>65</v>
          </cell>
          <cell r="L22">
            <v>36.7197383427376</v>
          </cell>
        </row>
        <row r="23">
          <cell r="B23">
            <v>70</v>
          </cell>
          <cell r="L23">
            <v>38.191134322974996</v>
          </cell>
        </row>
        <row r="24">
          <cell r="B24">
            <v>75</v>
          </cell>
          <cell r="L24">
            <v>39.672614755164602</v>
          </cell>
        </row>
        <row r="25">
          <cell r="B25">
            <v>80</v>
          </cell>
          <cell r="L25">
            <v>40.793782705074996</v>
          </cell>
        </row>
        <row r="26">
          <cell r="B26">
            <v>85</v>
          </cell>
          <cell r="L26">
            <v>42.555696530095794</v>
          </cell>
        </row>
        <row r="27">
          <cell r="B27">
            <v>90</v>
          </cell>
          <cell r="L27">
            <v>43.706996153996798</v>
          </cell>
        </row>
        <row r="28">
          <cell r="B28">
            <v>95</v>
          </cell>
          <cell r="L28">
            <v>43.406653512404795</v>
          </cell>
        </row>
        <row r="29">
          <cell r="B29">
            <v>100</v>
          </cell>
          <cell r="L29">
            <v>43.086290815163196</v>
          </cell>
        </row>
        <row r="30">
          <cell r="B30">
            <v>105</v>
          </cell>
          <cell r="L30">
            <v>42.825998268633597</v>
          </cell>
        </row>
        <row r="31">
          <cell r="B31">
            <v>110</v>
          </cell>
          <cell r="L31">
            <v>42.625774555801598</v>
          </cell>
        </row>
        <row r="32">
          <cell r="B32">
            <v>115</v>
          </cell>
          <cell r="L32">
            <v>42.525663134145603</v>
          </cell>
        </row>
        <row r="33">
          <cell r="B33">
            <v>120</v>
          </cell>
          <cell r="L33">
            <v>42.3654854661904</v>
          </cell>
        </row>
        <row r="34">
          <cell r="B34">
            <v>125</v>
          </cell>
          <cell r="L34">
            <v>42.225330622617591</v>
          </cell>
        </row>
        <row r="35">
          <cell r="B35">
            <v>130</v>
          </cell>
          <cell r="L35">
            <v>42.135231385480203</v>
          </cell>
        </row>
        <row r="36">
          <cell r="B36">
            <v>135</v>
          </cell>
          <cell r="L36">
            <v>42.035121403346196</v>
          </cell>
        </row>
        <row r="37">
          <cell r="B37">
            <v>140</v>
          </cell>
          <cell r="L37">
            <v>41.935011718532195</v>
          </cell>
        </row>
        <row r="38">
          <cell r="B38">
            <v>145</v>
          </cell>
          <cell r="L38">
            <v>41.884956987995196</v>
          </cell>
        </row>
        <row r="39">
          <cell r="B39">
            <v>150</v>
          </cell>
          <cell r="L39">
            <v>41.794858661574999</v>
          </cell>
        </row>
        <row r="40">
          <cell r="B40">
            <v>155</v>
          </cell>
          <cell r="L40">
            <v>41.714771464421396</v>
          </cell>
        </row>
        <row r="41">
          <cell r="B41">
            <v>160</v>
          </cell>
          <cell r="L41">
            <v>41.604651883172799</v>
          </cell>
        </row>
        <row r="42">
          <cell r="B42">
            <v>165</v>
          </cell>
          <cell r="L42">
            <v>41.524565144785598</v>
          </cell>
        </row>
        <row r="43">
          <cell r="B43">
            <v>170</v>
          </cell>
          <cell r="L43">
            <v>41.474511031872595</v>
          </cell>
        </row>
        <row r="44">
          <cell r="B44">
            <v>175</v>
          </cell>
          <cell r="L44">
            <v>41.424456994969603</v>
          </cell>
        </row>
        <row r="45">
          <cell r="B45">
            <v>180</v>
          </cell>
          <cell r="L45">
            <v>41.334359920568197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5" Type="http://schemas.openxmlformats.org/officeDocument/2006/relationships/comments" Target="../comments4.xml"/><Relationship Id="rId4" Type="http://schemas.openxmlformats.org/officeDocument/2006/relationships/vmlDrawing" Target="../drawings/vmlDrawing11.v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3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Relationship Id="rId5" Type="http://schemas.openxmlformats.org/officeDocument/2006/relationships/comments" Target="../comments5.xml"/><Relationship Id="rId4" Type="http://schemas.openxmlformats.org/officeDocument/2006/relationships/vmlDrawing" Target="../drawings/vmlDrawing14.v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3.bin"/><Relationship Id="rId5" Type="http://schemas.openxmlformats.org/officeDocument/2006/relationships/comments" Target="../comments6.xml"/><Relationship Id="rId4" Type="http://schemas.openxmlformats.org/officeDocument/2006/relationships/vmlDrawing" Target="../drawings/vmlDrawing17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0.v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3.v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17.bin"/><Relationship Id="rId4" Type="http://schemas.openxmlformats.org/officeDocument/2006/relationships/comments" Target="../comments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D2FAA-F35B-492B-B365-E1B4FC41785A}">
  <sheetPr>
    <tabColor rgb="FF92D050"/>
    <pageSetUpPr fitToPage="1"/>
  </sheetPr>
  <dimension ref="B1:AE199"/>
  <sheetViews>
    <sheetView tabSelected="1" view="pageBreakPreview" zoomScale="70" zoomScaleNormal="70" zoomScaleSheetLayoutView="70" workbookViewId="0">
      <pane ySplit="12" topLeftCell="A13" activePane="bottomLeft" state="frozen"/>
      <selection activeCell="A167" sqref="A167:C167"/>
      <selection pane="bottomLeft" activeCell="R195" sqref="R195:R198"/>
    </sheetView>
  </sheetViews>
  <sheetFormatPr defaultColWidth="9.1796875" defaultRowHeight="12.5" x14ac:dyDescent="0.25"/>
  <cols>
    <col min="1" max="1" width="2.1796875" style="1" customWidth="1"/>
    <col min="2" max="2" width="11.453125" style="1" customWidth="1"/>
    <col min="3" max="4" width="13.81640625" style="1" customWidth="1"/>
    <col min="5" max="12" width="10.453125" style="1" customWidth="1"/>
    <col min="13" max="13" width="11.7265625" style="1" bestFit="1" customWidth="1"/>
    <col min="14" max="14" width="10.453125" style="1" customWidth="1"/>
    <col min="15" max="16" width="13.7265625" style="1" customWidth="1"/>
    <col min="17" max="17" width="14.1796875" style="1" customWidth="1"/>
    <col min="18" max="18" width="14.26953125" style="1" customWidth="1"/>
    <col min="19" max="23" width="13.7265625" style="1" customWidth="1"/>
    <col min="24" max="24" width="13.453125" style="1" customWidth="1"/>
    <col min="25" max="25" width="24.453125" style="1" customWidth="1"/>
    <col min="26" max="26" width="18.81640625" style="1" customWidth="1"/>
    <col min="27" max="30" width="9.1796875" style="1"/>
    <col min="31" max="31" width="15.453125" style="2" customWidth="1"/>
    <col min="32" max="32" width="13" style="1" customWidth="1"/>
    <col min="33" max="16384" width="9.1796875" style="1"/>
  </cols>
  <sheetData>
    <row r="1" spans="2:31" ht="66" customHeight="1" x14ac:dyDescent="0.3">
      <c r="B1" s="390" t="s">
        <v>222</v>
      </c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88"/>
      <c r="O1" s="388"/>
      <c r="P1" s="388"/>
      <c r="Q1" s="388"/>
      <c r="R1" s="388"/>
      <c r="S1" s="388"/>
      <c r="T1" s="388"/>
      <c r="U1" s="388"/>
      <c r="V1" s="388"/>
      <c r="W1" s="388"/>
      <c r="X1" s="388"/>
      <c r="Y1" s="388"/>
      <c r="Z1" s="388"/>
    </row>
    <row r="2" spans="2:31" ht="12.5" customHeight="1" x14ac:dyDescent="0.25">
      <c r="B2" s="389"/>
      <c r="C2" s="389"/>
      <c r="D2" s="389"/>
      <c r="E2" s="389"/>
      <c r="F2" s="389"/>
      <c r="G2" s="389"/>
      <c r="H2" s="389"/>
      <c r="I2" s="389"/>
      <c r="J2" s="389"/>
      <c r="K2" s="389"/>
      <c r="L2" s="389"/>
      <c r="M2" s="389"/>
      <c r="N2" s="388"/>
      <c r="O2" s="388"/>
      <c r="P2" s="388"/>
      <c r="Q2" s="388"/>
      <c r="R2" s="388"/>
      <c r="S2" s="388"/>
      <c r="T2" s="388"/>
      <c r="U2" s="388"/>
      <c r="V2" s="388"/>
      <c r="W2" s="388"/>
      <c r="X2" s="388"/>
      <c r="Y2" s="388"/>
      <c r="Z2" s="388"/>
    </row>
    <row r="3" spans="2:31" ht="30" customHeight="1" x14ac:dyDescent="0.25">
      <c r="B3" s="391" t="s">
        <v>227</v>
      </c>
      <c r="C3" s="391"/>
      <c r="D3" s="391"/>
      <c r="E3" s="391"/>
      <c r="F3" s="391"/>
      <c r="G3" s="391"/>
      <c r="H3" s="391"/>
      <c r="I3" s="392" t="s">
        <v>223</v>
      </c>
      <c r="J3" s="392"/>
      <c r="K3" s="392"/>
      <c r="L3" s="392"/>
      <c r="M3" s="392"/>
      <c r="N3" s="388"/>
      <c r="O3" s="388"/>
      <c r="P3" s="388"/>
      <c r="Q3" s="388"/>
      <c r="R3" s="388"/>
      <c r="S3" s="388"/>
      <c r="T3" s="388"/>
      <c r="U3" s="388"/>
      <c r="V3" s="388"/>
      <c r="W3" s="388"/>
      <c r="X3" s="388"/>
      <c r="Y3" s="388"/>
      <c r="Z3" s="388"/>
    </row>
    <row r="4" spans="2:31" ht="30" customHeight="1" x14ac:dyDescent="0.25">
      <c r="B4" s="392" t="s">
        <v>232</v>
      </c>
      <c r="C4" s="392"/>
      <c r="D4" s="392"/>
      <c r="E4" s="392"/>
      <c r="F4" s="392"/>
      <c r="G4" s="392"/>
      <c r="H4" s="392"/>
      <c r="I4" s="392" t="s">
        <v>224</v>
      </c>
      <c r="J4" s="392"/>
      <c r="K4" s="392"/>
      <c r="L4" s="392"/>
      <c r="M4" s="392"/>
      <c r="N4" s="388"/>
      <c r="O4" s="388"/>
      <c r="P4" s="388"/>
      <c r="Q4" s="388"/>
      <c r="R4" s="388"/>
      <c r="S4" s="388"/>
      <c r="T4" s="388"/>
      <c r="U4" s="388"/>
      <c r="V4" s="388"/>
      <c r="W4" s="388"/>
      <c r="X4" s="388"/>
      <c r="Y4" s="388"/>
      <c r="Z4" s="388"/>
    </row>
    <row r="5" spans="2:31" ht="31.5" customHeight="1" x14ac:dyDescent="0.25">
      <c r="B5" s="396" t="s">
        <v>226</v>
      </c>
      <c r="C5" s="396"/>
      <c r="D5" s="396"/>
      <c r="E5" s="396"/>
      <c r="F5" s="396"/>
      <c r="G5" s="396"/>
      <c r="H5" s="396"/>
      <c r="I5" s="396" t="s">
        <v>225</v>
      </c>
      <c r="J5" s="396"/>
      <c r="K5" s="396"/>
      <c r="L5" s="396"/>
      <c r="M5" s="396"/>
      <c r="N5" s="388"/>
      <c r="O5" s="388"/>
      <c r="P5" s="388"/>
      <c r="Q5" s="388"/>
      <c r="R5" s="388"/>
      <c r="S5" s="388"/>
      <c r="T5" s="388"/>
      <c r="U5" s="388"/>
      <c r="V5" s="388"/>
      <c r="W5" s="388"/>
      <c r="X5" s="388"/>
      <c r="Y5" s="388"/>
      <c r="Z5" s="388"/>
    </row>
    <row r="6" spans="2:31" ht="15" customHeight="1" x14ac:dyDescent="0.25">
      <c r="B6" s="388"/>
      <c r="C6" s="388"/>
      <c r="D6" s="388"/>
      <c r="E6" s="388"/>
      <c r="F6" s="388"/>
      <c r="G6" s="388"/>
      <c r="H6" s="388"/>
      <c r="I6" s="388"/>
      <c r="J6" s="388"/>
      <c r="K6" s="388"/>
      <c r="L6" s="388"/>
      <c r="M6" s="388"/>
      <c r="N6" s="388"/>
      <c r="O6" s="388"/>
      <c r="P6" s="388"/>
      <c r="Q6" s="388"/>
      <c r="R6" s="388"/>
      <c r="S6" s="388"/>
      <c r="T6" s="388"/>
      <c r="U6" s="388"/>
      <c r="V6" s="388"/>
      <c r="W6" s="388"/>
      <c r="X6" s="388"/>
      <c r="Y6" s="388"/>
      <c r="Z6" s="388"/>
    </row>
    <row r="7" spans="2:31" ht="31.5" customHeight="1" x14ac:dyDescent="0.25">
      <c r="B7" s="399" t="s">
        <v>96</v>
      </c>
      <c r="C7" s="399"/>
      <c r="D7" s="399"/>
      <c r="E7" s="399"/>
      <c r="F7" s="399"/>
      <c r="G7" s="399"/>
      <c r="H7" s="399"/>
      <c r="I7" s="399"/>
      <c r="J7" s="399"/>
      <c r="K7" s="399"/>
      <c r="L7" s="399"/>
      <c r="M7" s="399"/>
      <c r="N7" s="399"/>
      <c r="O7" s="399"/>
      <c r="P7" s="399"/>
      <c r="Q7" s="399"/>
      <c r="R7" s="399"/>
      <c r="S7" s="399"/>
      <c r="T7" s="399"/>
      <c r="U7" s="399"/>
      <c r="V7" s="399"/>
      <c r="W7" s="399"/>
      <c r="X7" s="399"/>
      <c r="Y7" s="399"/>
      <c r="Z7" s="399"/>
    </row>
    <row r="8" spans="2:31" ht="22.5" customHeight="1" x14ac:dyDescent="0.25">
      <c r="B8" s="399"/>
      <c r="C8" s="399"/>
      <c r="D8" s="399"/>
      <c r="E8" s="399"/>
      <c r="F8" s="399"/>
      <c r="G8" s="399"/>
      <c r="H8" s="399"/>
      <c r="I8" s="399"/>
      <c r="J8" s="399"/>
      <c r="K8" s="399"/>
      <c r="L8" s="399"/>
      <c r="M8" s="399"/>
      <c r="N8" s="399"/>
      <c r="O8" s="399"/>
      <c r="P8" s="399"/>
      <c r="Q8" s="399"/>
      <c r="R8" s="399"/>
      <c r="S8" s="399"/>
      <c r="T8" s="399"/>
      <c r="U8" s="399"/>
      <c r="V8" s="399"/>
      <c r="W8" s="399"/>
      <c r="X8" s="399"/>
      <c r="Y8" s="399"/>
      <c r="Z8" s="399"/>
    </row>
    <row r="9" spans="2:31" ht="14.25" customHeight="1" thickBot="1" x14ac:dyDescent="0.3">
      <c r="B9" s="400" t="s">
        <v>221</v>
      </c>
      <c r="C9" s="400"/>
      <c r="D9" s="400"/>
      <c r="E9" s="400"/>
      <c r="F9" s="400"/>
      <c r="G9" s="400"/>
      <c r="H9" s="400"/>
      <c r="I9" s="400"/>
      <c r="J9" s="400"/>
      <c r="K9" s="400"/>
      <c r="L9" s="400"/>
      <c r="M9" s="400"/>
      <c r="N9" s="400"/>
      <c r="O9" s="400"/>
      <c r="P9" s="400"/>
      <c r="Q9" s="400"/>
      <c r="R9" s="400"/>
      <c r="S9" s="400"/>
      <c r="T9" s="400"/>
      <c r="U9" s="400"/>
      <c r="V9" s="400"/>
      <c r="W9" s="400"/>
      <c r="X9" s="400"/>
      <c r="Y9" s="400"/>
      <c r="Z9" s="400"/>
    </row>
    <row r="10" spans="2:31" ht="31.5" customHeight="1" x14ac:dyDescent="0.25">
      <c r="B10" s="372" t="s">
        <v>2</v>
      </c>
      <c r="C10" s="375" t="s">
        <v>3</v>
      </c>
      <c r="D10" s="378" t="s">
        <v>19</v>
      </c>
      <c r="E10" s="381" t="s">
        <v>103</v>
      </c>
      <c r="F10" s="382"/>
      <c r="G10" s="382"/>
      <c r="H10" s="382"/>
      <c r="I10" s="382"/>
      <c r="J10" s="382"/>
      <c r="K10" s="382"/>
      <c r="L10" s="382"/>
      <c r="M10" s="382"/>
      <c r="N10" s="383"/>
      <c r="O10" s="384" t="s">
        <v>210</v>
      </c>
      <c r="P10" s="349" t="s">
        <v>220</v>
      </c>
      <c r="Q10" s="349" t="s">
        <v>219</v>
      </c>
      <c r="R10" s="349" t="s">
        <v>121</v>
      </c>
      <c r="S10" s="349" t="s">
        <v>122</v>
      </c>
      <c r="T10" s="349" t="s">
        <v>214</v>
      </c>
      <c r="U10" s="349" t="s">
        <v>211</v>
      </c>
      <c r="V10" s="349" t="s">
        <v>213</v>
      </c>
      <c r="W10" s="349" t="s">
        <v>212</v>
      </c>
      <c r="X10" s="349" t="s">
        <v>28</v>
      </c>
      <c r="Y10" s="363" t="s">
        <v>20</v>
      </c>
      <c r="Z10" s="366" t="s">
        <v>6</v>
      </c>
    </row>
    <row r="11" spans="2:31" ht="16.5" customHeight="1" x14ac:dyDescent="0.25">
      <c r="B11" s="373"/>
      <c r="C11" s="376"/>
      <c r="D11" s="379"/>
      <c r="E11" s="331" t="s">
        <v>17</v>
      </c>
      <c r="F11" s="332" t="s">
        <v>18</v>
      </c>
      <c r="G11" s="332" t="s">
        <v>16</v>
      </c>
      <c r="H11" s="332" t="s">
        <v>7</v>
      </c>
      <c r="I11" s="332" t="s">
        <v>9</v>
      </c>
      <c r="J11" s="332" t="s">
        <v>100</v>
      </c>
      <c r="K11" s="332" t="s">
        <v>101</v>
      </c>
      <c r="L11" s="332" t="s">
        <v>102</v>
      </c>
      <c r="M11" s="332" t="s">
        <v>23</v>
      </c>
      <c r="N11" s="367" t="s">
        <v>15</v>
      </c>
      <c r="O11" s="385"/>
      <c r="P11" s="350"/>
      <c r="Q11" s="350"/>
      <c r="R11" s="350"/>
      <c r="S11" s="350"/>
      <c r="T11" s="350"/>
      <c r="U11" s="350"/>
      <c r="V11" s="350"/>
      <c r="W11" s="350"/>
      <c r="X11" s="350"/>
      <c r="Y11" s="364"/>
      <c r="Z11" s="367"/>
    </row>
    <row r="12" spans="2:31" ht="16.5" customHeight="1" thickBot="1" x14ac:dyDescent="0.3">
      <c r="B12" s="374"/>
      <c r="C12" s="377"/>
      <c r="D12" s="380"/>
      <c r="E12" s="333" t="s">
        <v>99</v>
      </c>
      <c r="F12" s="334" t="s">
        <v>97</v>
      </c>
      <c r="G12" s="335" t="s">
        <v>98</v>
      </c>
      <c r="H12" s="335">
        <v>9.5</v>
      </c>
      <c r="I12" s="335">
        <v>4.75</v>
      </c>
      <c r="J12" s="335">
        <v>2</v>
      </c>
      <c r="K12" s="335">
        <v>0.42</v>
      </c>
      <c r="L12" s="335">
        <v>0.18</v>
      </c>
      <c r="M12" s="335">
        <v>7.4999999999999997E-2</v>
      </c>
      <c r="N12" s="368"/>
      <c r="O12" s="386"/>
      <c r="P12" s="351"/>
      <c r="Q12" s="351"/>
      <c r="R12" s="351"/>
      <c r="S12" s="351"/>
      <c r="T12" s="351"/>
      <c r="U12" s="351"/>
      <c r="V12" s="351"/>
      <c r="W12" s="351"/>
      <c r="X12" s="351"/>
      <c r="Y12" s="365"/>
      <c r="Z12" s="368"/>
    </row>
    <row r="13" spans="2:31" ht="30.75" customHeight="1" thickTop="1" x14ac:dyDescent="0.25">
      <c r="B13" s="69"/>
      <c r="C13" s="70"/>
      <c r="D13" s="71"/>
      <c r="E13" s="72"/>
      <c r="F13" s="73"/>
      <c r="G13" s="73"/>
      <c r="H13" s="73"/>
      <c r="I13" s="73"/>
      <c r="J13" s="73"/>
      <c r="K13" s="73"/>
      <c r="L13" s="73"/>
      <c r="M13" s="73"/>
      <c r="N13" s="74"/>
      <c r="O13" s="75" t="str" cm="1">
        <f t="array" ref="O13">IF(C13="","",IF(F13&gt;5,E$12,IF(G13&gt;5,F$12,IF(H13&gt;5,G$12,IF(I13&gt;5,H$12,IF(J13&gt;5,I$12,IF(K13:L13&gt;5,J$12,IF(M13&gt;5,K$12:M$12))))))))</f>
        <v/>
      </c>
      <c r="P13" s="75"/>
      <c r="Q13" s="76" t="str" cm="1">
        <f t="array" ref="Q13">IF(C13="","",(E13:F13+G13+H13+I13+J13+K13:L13+M13)/100)</f>
        <v/>
      </c>
      <c r="R13" s="77"/>
      <c r="S13" s="78"/>
      <c r="T13" s="78"/>
      <c r="U13" s="78"/>
      <c r="V13" s="78"/>
      <c r="W13" s="78"/>
      <c r="X13" s="77"/>
      <c r="Y13" s="79"/>
      <c r="Z13" s="80"/>
      <c r="AA13" s="3"/>
      <c r="AE13" s="1"/>
    </row>
    <row r="14" spans="2:31" ht="30.75" customHeight="1" x14ac:dyDescent="0.25">
      <c r="B14" s="69"/>
      <c r="C14" s="70"/>
      <c r="D14" s="71"/>
      <c r="E14" s="72"/>
      <c r="F14" s="73"/>
      <c r="G14" s="73"/>
      <c r="H14" s="73"/>
      <c r="I14" s="73"/>
      <c r="J14" s="73"/>
      <c r="K14" s="73"/>
      <c r="L14" s="73"/>
      <c r="M14" s="73"/>
      <c r="N14" s="74"/>
      <c r="O14" s="75" t="str">
        <f>IF(C14="","",IF(F14&gt;5,E$12,IF(G14&gt;5,F$12,IF(H14&gt;5,G$12,IF(I14&gt;5,H$12,IF(J14&gt;5,I$12,IF(K14&gt;5,J$12,IF(M14&gt;5,K$12))))))))</f>
        <v/>
      </c>
      <c r="P14" s="75"/>
      <c r="Q14" s="76" t="str">
        <f>IF(C14="","",(E14+G14+H14+I14+J14+K14+M14)/100)</f>
        <v/>
      </c>
      <c r="R14" s="77"/>
      <c r="S14" s="77"/>
      <c r="T14" s="77"/>
      <c r="U14" s="77"/>
      <c r="V14" s="77"/>
      <c r="W14" s="77"/>
      <c r="X14" s="77"/>
      <c r="Y14" s="79"/>
      <c r="Z14" s="80"/>
      <c r="AA14" s="3"/>
      <c r="AE14" s="1"/>
    </row>
    <row r="15" spans="2:31" ht="30.75" customHeight="1" x14ac:dyDescent="0.25">
      <c r="B15" s="69"/>
      <c r="C15" s="70"/>
      <c r="D15" s="71"/>
      <c r="E15" s="72"/>
      <c r="F15" s="73"/>
      <c r="G15" s="73"/>
      <c r="H15" s="73"/>
      <c r="I15" s="73"/>
      <c r="J15" s="73"/>
      <c r="K15" s="73"/>
      <c r="L15" s="73"/>
      <c r="M15" s="73"/>
      <c r="N15" s="74"/>
      <c r="O15" s="75" t="str">
        <f>IF(C15="","",IF(F15&gt;5,E$12,IF(G15&gt;5,F$12,IF(H15&gt;5,G$12,IF(I15&gt;5,H$12,IF(J15&gt;5,I$12,IF(K15&gt;5,J$12,IF(M15&gt;5,K$12))))))))</f>
        <v/>
      </c>
      <c r="P15" s="75"/>
      <c r="Q15" s="76" t="str">
        <f t="shared" ref="Q15:Q78" si="0">IF(C15="","",(E15+G15+H15+I15+J15+K15+M15)/100)</f>
        <v/>
      </c>
      <c r="R15" s="77"/>
      <c r="S15" s="77"/>
      <c r="T15" s="77"/>
      <c r="U15" s="77"/>
      <c r="V15" s="77"/>
      <c r="W15" s="77"/>
      <c r="X15" s="77"/>
      <c r="Y15" s="79"/>
      <c r="Z15" s="80"/>
      <c r="AA15" s="3"/>
      <c r="AE15" s="1"/>
    </row>
    <row r="16" spans="2:31" ht="30.75" customHeight="1" x14ac:dyDescent="0.25">
      <c r="B16" s="69"/>
      <c r="C16" s="70"/>
      <c r="D16" s="71"/>
      <c r="E16" s="72"/>
      <c r="F16" s="73"/>
      <c r="G16" s="73"/>
      <c r="H16" s="73"/>
      <c r="I16" s="73"/>
      <c r="J16" s="73"/>
      <c r="K16" s="73"/>
      <c r="L16" s="73"/>
      <c r="M16" s="73"/>
      <c r="N16" s="74"/>
      <c r="O16" s="75" t="str">
        <f>IF(C16="","",IF(F16&gt;5,E$12,IF(G16&gt;5,F$12,IF(H16&gt;5,G$12,IF(I16&gt;5,H$12,IF(J16&gt;5,I$12,IF(K16&gt;5,J$12,IF(M16&gt;5,K$12))))))))</f>
        <v/>
      </c>
      <c r="P16" s="75"/>
      <c r="Q16" s="76" t="str">
        <f t="shared" si="0"/>
        <v/>
      </c>
      <c r="R16" s="77"/>
      <c r="S16" s="77"/>
      <c r="T16" s="77"/>
      <c r="U16" s="77"/>
      <c r="V16" s="77"/>
      <c r="W16" s="77"/>
      <c r="X16" s="77"/>
      <c r="Y16" s="79"/>
      <c r="Z16" s="80"/>
      <c r="AA16" s="3"/>
      <c r="AE16" s="1"/>
    </row>
    <row r="17" spans="2:31" ht="30.75" customHeight="1" x14ac:dyDescent="0.25">
      <c r="B17" s="69"/>
      <c r="C17" s="70"/>
      <c r="D17" s="71"/>
      <c r="E17" s="72"/>
      <c r="F17" s="73"/>
      <c r="G17" s="73"/>
      <c r="H17" s="73"/>
      <c r="I17" s="73"/>
      <c r="J17" s="73"/>
      <c r="K17" s="73"/>
      <c r="L17" s="73"/>
      <c r="M17" s="73"/>
      <c r="N17" s="74"/>
      <c r="O17" s="75" t="str">
        <f t="shared" ref="O17:O47" si="1">IF(C17="","",IF(F17&gt;5,E$12,IF(G17&gt;5,F$12,IF(H17&gt;5,G$12,IF(I17&gt;5,H$12,IF(J17&gt;5,I$12,IF(K17&gt;5,J$12,IF(M17&gt;5,K$12))))))))</f>
        <v/>
      </c>
      <c r="P17" s="75"/>
      <c r="Q17" s="76" t="str">
        <f t="shared" si="0"/>
        <v/>
      </c>
      <c r="R17" s="77"/>
      <c r="S17" s="78"/>
      <c r="T17" s="78"/>
      <c r="U17" s="78"/>
      <c r="V17" s="78"/>
      <c r="W17" s="78"/>
      <c r="X17" s="78"/>
      <c r="Y17" s="79"/>
      <c r="Z17" s="80"/>
      <c r="AA17" s="3"/>
      <c r="AE17" s="1"/>
    </row>
    <row r="18" spans="2:31" ht="30.75" customHeight="1" x14ac:dyDescent="0.25">
      <c r="B18" s="69"/>
      <c r="C18" s="70"/>
      <c r="D18" s="71"/>
      <c r="E18" s="72"/>
      <c r="F18" s="73"/>
      <c r="G18" s="73"/>
      <c r="H18" s="73"/>
      <c r="I18" s="73"/>
      <c r="J18" s="73"/>
      <c r="K18" s="73"/>
      <c r="L18" s="73"/>
      <c r="M18" s="73"/>
      <c r="N18" s="74"/>
      <c r="O18" s="75" t="str">
        <f t="shared" si="1"/>
        <v/>
      </c>
      <c r="P18" s="75"/>
      <c r="Q18" s="76" t="str">
        <f t="shared" si="0"/>
        <v/>
      </c>
      <c r="R18" s="77"/>
      <c r="S18" s="78"/>
      <c r="T18" s="78"/>
      <c r="U18" s="78"/>
      <c r="V18" s="78"/>
      <c r="W18" s="78"/>
      <c r="X18" s="78"/>
      <c r="Y18" s="79"/>
      <c r="Z18" s="80"/>
      <c r="AA18" s="3"/>
      <c r="AE18" s="1"/>
    </row>
    <row r="19" spans="2:31" ht="30.75" customHeight="1" x14ac:dyDescent="0.25">
      <c r="B19" s="69"/>
      <c r="C19" s="70"/>
      <c r="D19" s="71"/>
      <c r="E19" s="72"/>
      <c r="F19" s="73"/>
      <c r="G19" s="73"/>
      <c r="H19" s="73"/>
      <c r="I19" s="73"/>
      <c r="J19" s="73"/>
      <c r="K19" s="73"/>
      <c r="L19" s="73"/>
      <c r="M19" s="73"/>
      <c r="N19" s="74"/>
      <c r="O19" s="75" t="str">
        <f t="shared" si="1"/>
        <v/>
      </c>
      <c r="P19" s="75"/>
      <c r="Q19" s="76" t="str">
        <f t="shared" si="0"/>
        <v/>
      </c>
      <c r="R19" s="77"/>
      <c r="S19" s="77"/>
      <c r="T19" s="77"/>
      <c r="U19" s="77"/>
      <c r="V19" s="77"/>
      <c r="W19" s="77"/>
      <c r="X19" s="77"/>
      <c r="Y19" s="79"/>
      <c r="Z19" s="80"/>
      <c r="AA19" s="3"/>
      <c r="AE19" s="1"/>
    </row>
    <row r="20" spans="2:31" ht="30.75" customHeight="1" x14ac:dyDescent="0.25">
      <c r="B20" s="69"/>
      <c r="C20" s="70"/>
      <c r="D20" s="71"/>
      <c r="E20" s="72"/>
      <c r="F20" s="73"/>
      <c r="G20" s="73"/>
      <c r="H20" s="73"/>
      <c r="I20" s="73"/>
      <c r="J20" s="73"/>
      <c r="K20" s="73"/>
      <c r="L20" s="73"/>
      <c r="M20" s="73"/>
      <c r="N20" s="74"/>
      <c r="O20" s="75" t="str">
        <f t="shared" si="1"/>
        <v/>
      </c>
      <c r="P20" s="75"/>
      <c r="Q20" s="76" t="str">
        <f>IF(C20="","",(E20+G20+H20+I20+J20+K20+M20)/100)</f>
        <v/>
      </c>
      <c r="R20" s="77"/>
      <c r="S20" s="77"/>
      <c r="T20" s="77"/>
      <c r="U20" s="77"/>
      <c r="V20" s="77"/>
      <c r="W20" s="77"/>
      <c r="X20" s="77"/>
      <c r="Y20" s="79"/>
      <c r="Z20" s="80"/>
      <c r="AA20" s="3"/>
      <c r="AE20" s="1"/>
    </row>
    <row r="21" spans="2:31" ht="30.75" customHeight="1" x14ac:dyDescent="0.25">
      <c r="B21" s="69"/>
      <c r="C21" s="70"/>
      <c r="D21" s="71"/>
      <c r="E21" s="72"/>
      <c r="F21" s="73"/>
      <c r="G21" s="73"/>
      <c r="H21" s="73"/>
      <c r="I21" s="73"/>
      <c r="J21" s="73"/>
      <c r="K21" s="73"/>
      <c r="L21" s="73"/>
      <c r="M21" s="73"/>
      <c r="N21" s="74"/>
      <c r="O21" s="75" t="str">
        <f t="shared" si="1"/>
        <v/>
      </c>
      <c r="P21" s="75"/>
      <c r="Q21" s="76" t="str">
        <f t="shared" si="0"/>
        <v/>
      </c>
      <c r="R21" s="77"/>
      <c r="S21" s="78"/>
      <c r="T21" s="78"/>
      <c r="U21" s="78"/>
      <c r="V21" s="78"/>
      <c r="W21" s="78"/>
      <c r="X21" s="77"/>
      <c r="Y21" s="79"/>
      <c r="Z21" s="80"/>
      <c r="AA21" s="3"/>
      <c r="AE21" s="1"/>
    </row>
    <row r="22" spans="2:31" ht="30.75" customHeight="1" x14ac:dyDescent="0.25">
      <c r="B22" s="69"/>
      <c r="C22" s="70"/>
      <c r="D22" s="71"/>
      <c r="E22" s="72"/>
      <c r="F22" s="73"/>
      <c r="G22" s="73"/>
      <c r="H22" s="73"/>
      <c r="I22" s="73"/>
      <c r="J22" s="73"/>
      <c r="K22" s="73"/>
      <c r="L22" s="73"/>
      <c r="M22" s="73"/>
      <c r="N22" s="74"/>
      <c r="O22" s="75" t="str">
        <f t="shared" si="1"/>
        <v/>
      </c>
      <c r="P22" s="75"/>
      <c r="Q22" s="76" t="str">
        <f t="shared" si="0"/>
        <v/>
      </c>
      <c r="R22" s="77"/>
      <c r="S22" s="77"/>
      <c r="T22" s="77"/>
      <c r="U22" s="77"/>
      <c r="V22" s="77"/>
      <c r="W22" s="77"/>
      <c r="X22" s="77"/>
      <c r="Y22" s="79"/>
      <c r="Z22" s="80"/>
      <c r="AA22" s="3"/>
      <c r="AE22" s="1"/>
    </row>
    <row r="23" spans="2:31" ht="30.75" customHeight="1" x14ac:dyDescent="0.25">
      <c r="B23" s="69"/>
      <c r="C23" s="70"/>
      <c r="D23" s="71"/>
      <c r="E23" s="72"/>
      <c r="F23" s="73"/>
      <c r="G23" s="73"/>
      <c r="H23" s="73"/>
      <c r="I23" s="73"/>
      <c r="J23" s="73"/>
      <c r="K23" s="73"/>
      <c r="L23" s="73"/>
      <c r="M23" s="73"/>
      <c r="N23" s="74"/>
      <c r="O23" s="75" t="str">
        <f t="shared" si="1"/>
        <v/>
      </c>
      <c r="P23" s="75"/>
      <c r="Q23" s="76" t="str">
        <f t="shared" si="0"/>
        <v/>
      </c>
      <c r="R23" s="77"/>
      <c r="S23" s="77"/>
      <c r="T23" s="77"/>
      <c r="U23" s="77"/>
      <c r="V23" s="77"/>
      <c r="W23" s="77"/>
      <c r="X23" s="77"/>
      <c r="Y23" s="79"/>
      <c r="Z23" s="80"/>
      <c r="AA23" s="3"/>
      <c r="AE23" s="1"/>
    </row>
    <row r="24" spans="2:31" ht="30.75" customHeight="1" x14ac:dyDescent="0.25">
      <c r="B24" s="69"/>
      <c r="C24" s="70"/>
      <c r="D24" s="71"/>
      <c r="E24" s="72"/>
      <c r="F24" s="73"/>
      <c r="G24" s="73"/>
      <c r="H24" s="73"/>
      <c r="I24" s="73"/>
      <c r="J24" s="73"/>
      <c r="K24" s="73"/>
      <c r="L24" s="73"/>
      <c r="M24" s="73"/>
      <c r="N24" s="74"/>
      <c r="O24" s="75" t="str">
        <f t="shared" si="1"/>
        <v/>
      </c>
      <c r="P24" s="75"/>
      <c r="Q24" s="76" t="str">
        <f t="shared" si="0"/>
        <v/>
      </c>
      <c r="R24" s="77"/>
      <c r="S24" s="77"/>
      <c r="T24" s="77"/>
      <c r="U24" s="77"/>
      <c r="V24" s="77"/>
      <c r="W24" s="77"/>
      <c r="X24" s="77"/>
      <c r="Y24" s="79"/>
      <c r="Z24" s="80"/>
      <c r="AA24" s="3"/>
      <c r="AE24" s="1"/>
    </row>
    <row r="25" spans="2:31" ht="30.75" customHeight="1" x14ac:dyDescent="0.25">
      <c r="B25" s="69"/>
      <c r="C25" s="70"/>
      <c r="D25" s="71"/>
      <c r="E25" s="72"/>
      <c r="F25" s="73"/>
      <c r="G25" s="73"/>
      <c r="H25" s="73"/>
      <c r="I25" s="73"/>
      <c r="J25" s="73"/>
      <c r="K25" s="73"/>
      <c r="L25" s="73"/>
      <c r="M25" s="73"/>
      <c r="N25" s="74"/>
      <c r="O25" s="75" t="str">
        <f t="shared" si="1"/>
        <v/>
      </c>
      <c r="P25" s="75"/>
      <c r="Q25" s="76" t="str">
        <f t="shared" si="0"/>
        <v/>
      </c>
      <c r="R25" s="77"/>
      <c r="S25" s="77"/>
      <c r="T25" s="77"/>
      <c r="U25" s="77"/>
      <c r="V25" s="77"/>
      <c r="W25" s="77"/>
      <c r="X25" s="77"/>
      <c r="Y25" s="79"/>
      <c r="Z25" s="80"/>
      <c r="AA25" s="3"/>
      <c r="AE25" s="1"/>
    </row>
    <row r="26" spans="2:31" ht="30.75" customHeight="1" x14ac:dyDescent="0.25">
      <c r="B26" s="69"/>
      <c r="C26" s="70"/>
      <c r="D26" s="71"/>
      <c r="E26" s="72"/>
      <c r="F26" s="73"/>
      <c r="G26" s="73"/>
      <c r="H26" s="73"/>
      <c r="I26" s="73"/>
      <c r="J26" s="73"/>
      <c r="K26" s="73"/>
      <c r="L26" s="73"/>
      <c r="M26" s="73"/>
      <c r="N26" s="74"/>
      <c r="O26" s="75" t="str">
        <f t="shared" si="1"/>
        <v/>
      </c>
      <c r="P26" s="75"/>
      <c r="Q26" s="76" t="str">
        <f t="shared" si="0"/>
        <v/>
      </c>
      <c r="R26" s="77"/>
      <c r="S26" s="77"/>
      <c r="T26" s="77"/>
      <c r="U26" s="77"/>
      <c r="V26" s="77"/>
      <c r="W26" s="77"/>
      <c r="X26" s="77"/>
      <c r="Y26" s="79"/>
      <c r="Z26" s="80"/>
      <c r="AA26" s="3"/>
      <c r="AE26" s="1"/>
    </row>
    <row r="27" spans="2:31" ht="30.75" customHeight="1" x14ac:dyDescent="0.25">
      <c r="B27" s="69"/>
      <c r="C27" s="70"/>
      <c r="D27" s="71"/>
      <c r="E27" s="72"/>
      <c r="F27" s="73"/>
      <c r="G27" s="73"/>
      <c r="H27" s="73"/>
      <c r="I27" s="73"/>
      <c r="J27" s="73"/>
      <c r="K27" s="73"/>
      <c r="L27" s="73"/>
      <c r="M27" s="73"/>
      <c r="N27" s="74"/>
      <c r="O27" s="75" t="str">
        <f t="shared" si="1"/>
        <v/>
      </c>
      <c r="P27" s="75"/>
      <c r="Q27" s="76" t="str">
        <f t="shared" si="0"/>
        <v/>
      </c>
      <c r="R27" s="77"/>
      <c r="S27" s="78"/>
      <c r="T27" s="78"/>
      <c r="U27" s="78"/>
      <c r="V27" s="78"/>
      <c r="W27" s="78"/>
      <c r="X27" s="77"/>
      <c r="Y27" s="79"/>
      <c r="Z27" s="80"/>
      <c r="AA27" s="3"/>
      <c r="AE27" s="1"/>
    </row>
    <row r="28" spans="2:31" ht="30.75" customHeight="1" x14ac:dyDescent="0.25">
      <c r="B28" s="69"/>
      <c r="C28" s="70"/>
      <c r="D28" s="71"/>
      <c r="E28" s="72"/>
      <c r="F28" s="73"/>
      <c r="G28" s="73"/>
      <c r="H28" s="73"/>
      <c r="I28" s="73"/>
      <c r="J28" s="73"/>
      <c r="K28" s="73"/>
      <c r="L28" s="73"/>
      <c r="M28" s="73"/>
      <c r="N28" s="74"/>
      <c r="O28" s="75" t="str">
        <f t="shared" si="1"/>
        <v/>
      </c>
      <c r="P28" s="75"/>
      <c r="Q28" s="76" t="str">
        <f t="shared" si="0"/>
        <v/>
      </c>
      <c r="R28" s="77"/>
      <c r="S28" s="77"/>
      <c r="T28" s="77"/>
      <c r="U28" s="77"/>
      <c r="V28" s="77"/>
      <c r="W28" s="77"/>
      <c r="X28" s="77"/>
      <c r="Y28" s="79"/>
      <c r="Z28" s="80"/>
      <c r="AA28" s="3"/>
      <c r="AE28" s="1"/>
    </row>
    <row r="29" spans="2:31" ht="30.75" customHeight="1" x14ac:dyDescent="0.25">
      <c r="B29" s="69"/>
      <c r="C29" s="70"/>
      <c r="D29" s="71"/>
      <c r="E29" s="72"/>
      <c r="F29" s="73"/>
      <c r="G29" s="73"/>
      <c r="H29" s="73"/>
      <c r="I29" s="73"/>
      <c r="J29" s="73"/>
      <c r="K29" s="73"/>
      <c r="L29" s="73"/>
      <c r="M29" s="73"/>
      <c r="N29" s="74"/>
      <c r="O29" s="75" t="str">
        <f t="shared" si="1"/>
        <v/>
      </c>
      <c r="P29" s="75"/>
      <c r="Q29" s="76" t="str">
        <f t="shared" si="0"/>
        <v/>
      </c>
      <c r="R29" s="77"/>
      <c r="S29" s="77"/>
      <c r="T29" s="77"/>
      <c r="U29" s="77"/>
      <c r="V29" s="77"/>
      <c r="W29" s="77"/>
      <c r="X29" s="77"/>
      <c r="Y29" s="79"/>
      <c r="Z29" s="80"/>
      <c r="AA29" s="3"/>
      <c r="AE29" s="1"/>
    </row>
    <row r="30" spans="2:31" ht="30.75" customHeight="1" x14ac:dyDescent="0.25">
      <c r="B30" s="69"/>
      <c r="C30" s="70"/>
      <c r="D30" s="71"/>
      <c r="E30" s="72"/>
      <c r="F30" s="73"/>
      <c r="G30" s="73"/>
      <c r="H30" s="73"/>
      <c r="I30" s="73"/>
      <c r="J30" s="73"/>
      <c r="K30" s="73"/>
      <c r="L30" s="73"/>
      <c r="M30" s="73"/>
      <c r="N30" s="74"/>
      <c r="O30" s="75" t="str">
        <f t="shared" si="1"/>
        <v/>
      </c>
      <c r="P30" s="75"/>
      <c r="Q30" s="76" t="str">
        <f t="shared" si="0"/>
        <v/>
      </c>
      <c r="R30" s="77"/>
      <c r="S30" s="77"/>
      <c r="T30" s="77"/>
      <c r="U30" s="77"/>
      <c r="V30" s="77"/>
      <c r="W30" s="77"/>
      <c r="X30" s="77"/>
      <c r="Y30" s="79"/>
      <c r="Z30" s="80"/>
      <c r="AA30" s="3"/>
      <c r="AE30" s="1"/>
    </row>
    <row r="31" spans="2:31" ht="30.75" customHeight="1" x14ac:dyDescent="0.25">
      <c r="B31" s="69"/>
      <c r="C31" s="70"/>
      <c r="D31" s="71"/>
      <c r="E31" s="72"/>
      <c r="F31" s="73"/>
      <c r="G31" s="73"/>
      <c r="H31" s="73"/>
      <c r="I31" s="73"/>
      <c r="J31" s="73"/>
      <c r="K31" s="73"/>
      <c r="L31" s="73"/>
      <c r="M31" s="73"/>
      <c r="N31" s="74"/>
      <c r="O31" s="75" t="str">
        <f t="shared" si="1"/>
        <v/>
      </c>
      <c r="P31" s="75"/>
      <c r="Q31" s="76" t="str">
        <f t="shared" si="0"/>
        <v/>
      </c>
      <c r="R31" s="77"/>
      <c r="S31" s="78"/>
      <c r="T31" s="78"/>
      <c r="U31" s="78"/>
      <c r="V31" s="78"/>
      <c r="W31" s="78"/>
      <c r="X31" s="77"/>
      <c r="Y31" s="79"/>
      <c r="Z31" s="80"/>
      <c r="AA31" s="3"/>
      <c r="AE31" s="1"/>
    </row>
    <row r="32" spans="2:31" ht="30.75" customHeight="1" x14ac:dyDescent="0.25">
      <c r="B32" s="69"/>
      <c r="C32" s="70"/>
      <c r="D32" s="71"/>
      <c r="E32" s="118"/>
      <c r="F32" s="119"/>
      <c r="G32" s="119"/>
      <c r="H32" s="119"/>
      <c r="I32" s="119"/>
      <c r="J32" s="119"/>
      <c r="K32" s="119"/>
      <c r="L32" s="119"/>
      <c r="M32" s="119"/>
      <c r="N32" s="120"/>
      <c r="O32" s="75" t="str">
        <f t="shared" si="1"/>
        <v/>
      </c>
      <c r="P32" s="75"/>
      <c r="Q32" s="76" t="str">
        <f t="shared" si="0"/>
        <v/>
      </c>
      <c r="R32" s="77"/>
      <c r="S32" s="77"/>
      <c r="T32" s="77"/>
      <c r="U32" s="77"/>
      <c r="V32" s="77"/>
      <c r="W32" s="77"/>
      <c r="X32" s="77"/>
      <c r="Y32" s="79"/>
      <c r="Z32" s="80"/>
      <c r="AA32" s="3"/>
      <c r="AE32" s="1"/>
    </row>
    <row r="33" spans="2:31" ht="30.75" customHeight="1" x14ac:dyDescent="0.25">
      <c r="B33" s="69"/>
      <c r="C33" s="70"/>
      <c r="D33" s="71"/>
      <c r="E33" s="118"/>
      <c r="F33" s="119"/>
      <c r="G33" s="119"/>
      <c r="H33" s="119"/>
      <c r="I33" s="119"/>
      <c r="J33" s="119"/>
      <c r="K33" s="119"/>
      <c r="L33" s="119"/>
      <c r="M33" s="119"/>
      <c r="N33" s="120"/>
      <c r="O33" s="75" t="str">
        <f t="shared" si="1"/>
        <v/>
      </c>
      <c r="P33" s="75"/>
      <c r="Q33" s="76" t="str">
        <f t="shared" si="0"/>
        <v/>
      </c>
      <c r="R33" s="77"/>
      <c r="S33" s="77"/>
      <c r="T33" s="77"/>
      <c r="U33" s="77"/>
      <c r="V33" s="77"/>
      <c r="W33" s="77"/>
      <c r="X33" s="77"/>
      <c r="Y33" s="79"/>
      <c r="Z33" s="80"/>
      <c r="AA33" s="3"/>
      <c r="AE33" s="1"/>
    </row>
    <row r="34" spans="2:31" ht="30.75" customHeight="1" x14ac:dyDescent="0.25">
      <c r="B34" s="69"/>
      <c r="C34" s="70"/>
      <c r="D34" s="71"/>
      <c r="E34" s="118"/>
      <c r="F34" s="119"/>
      <c r="G34" s="119"/>
      <c r="H34" s="119"/>
      <c r="I34" s="119"/>
      <c r="J34" s="119"/>
      <c r="K34" s="119"/>
      <c r="L34" s="119"/>
      <c r="M34" s="119"/>
      <c r="N34" s="120"/>
      <c r="O34" s="75" t="str">
        <f t="shared" si="1"/>
        <v/>
      </c>
      <c r="P34" s="75"/>
      <c r="Q34" s="76" t="str">
        <f t="shared" si="0"/>
        <v/>
      </c>
      <c r="R34" s="77"/>
      <c r="S34" s="78"/>
      <c r="T34" s="78"/>
      <c r="U34" s="78"/>
      <c r="V34" s="78"/>
      <c r="W34" s="78"/>
      <c r="X34" s="77"/>
      <c r="Y34" s="79"/>
      <c r="Z34" s="80"/>
      <c r="AA34" s="3"/>
      <c r="AE34" s="1"/>
    </row>
    <row r="35" spans="2:31" ht="30.75" customHeight="1" x14ac:dyDescent="0.25">
      <c r="B35" s="69"/>
      <c r="C35" s="70"/>
      <c r="D35" s="71"/>
      <c r="E35" s="118"/>
      <c r="F35" s="119"/>
      <c r="G35" s="119"/>
      <c r="H35" s="119"/>
      <c r="I35" s="119"/>
      <c r="J35" s="119"/>
      <c r="K35" s="119"/>
      <c r="L35" s="119"/>
      <c r="M35" s="119"/>
      <c r="N35" s="120"/>
      <c r="O35" s="75" t="str">
        <f t="shared" si="1"/>
        <v/>
      </c>
      <c r="P35" s="75"/>
      <c r="Q35" s="76" t="str">
        <f t="shared" si="0"/>
        <v/>
      </c>
      <c r="R35" s="77"/>
      <c r="S35" s="77"/>
      <c r="T35" s="77"/>
      <c r="U35" s="77"/>
      <c r="V35" s="77"/>
      <c r="W35" s="77"/>
      <c r="X35" s="77"/>
      <c r="Y35" s="79"/>
      <c r="Z35" s="80"/>
      <c r="AA35" s="3"/>
      <c r="AE35" s="1"/>
    </row>
    <row r="36" spans="2:31" ht="30.75" customHeight="1" x14ac:dyDescent="0.25">
      <c r="B36" s="69"/>
      <c r="C36" s="70"/>
      <c r="D36" s="71"/>
      <c r="E36" s="118"/>
      <c r="F36" s="119"/>
      <c r="G36" s="119"/>
      <c r="H36" s="119"/>
      <c r="I36" s="119"/>
      <c r="J36" s="119"/>
      <c r="K36" s="119"/>
      <c r="L36" s="119"/>
      <c r="M36" s="119"/>
      <c r="N36" s="120"/>
      <c r="O36" s="75" t="str">
        <f t="shared" si="1"/>
        <v/>
      </c>
      <c r="P36" s="75"/>
      <c r="Q36" s="76" t="str">
        <f t="shared" si="0"/>
        <v/>
      </c>
      <c r="R36" s="77"/>
      <c r="S36" s="77"/>
      <c r="T36" s="77"/>
      <c r="U36" s="77"/>
      <c r="V36" s="77"/>
      <c r="W36" s="77"/>
      <c r="X36" s="77"/>
      <c r="Y36" s="79"/>
      <c r="Z36" s="80"/>
      <c r="AA36" s="3"/>
      <c r="AE36" s="1"/>
    </row>
    <row r="37" spans="2:31" ht="30.75" customHeight="1" x14ac:dyDescent="0.25">
      <c r="B37" s="69"/>
      <c r="C37" s="70"/>
      <c r="D37" s="71"/>
      <c r="E37" s="118"/>
      <c r="F37" s="119"/>
      <c r="G37" s="119"/>
      <c r="H37" s="119"/>
      <c r="I37" s="119"/>
      <c r="J37" s="119"/>
      <c r="K37" s="119"/>
      <c r="L37" s="119"/>
      <c r="M37" s="119"/>
      <c r="N37" s="120"/>
      <c r="O37" s="75" t="str">
        <f t="shared" si="1"/>
        <v/>
      </c>
      <c r="P37" s="75"/>
      <c r="Q37" s="76" t="str">
        <f t="shared" si="0"/>
        <v/>
      </c>
      <c r="R37" s="77"/>
      <c r="S37" s="78"/>
      <c r="T37" s="78"/>
      <c r="U37" s="78"/>
      <c r="V37" s="78"/>
      <c r="W37" s="78"/>
      <c r="X37" s="77"/>
      <c r="Y37" s="79"/>
      <c r="Z37" s="80"/>
      <c r="AA37" s="3"/>
      <c r="AE37" s="1"/>
    </row>
    <row r="38" spans="2:31" ht="30.75" customHeight="1" x14ac:dyDescent="0.25">
      <c r="B38" s="69"/>
      <c r="C38" s="70"/>
      <c r="D38" s="71"/>
      <c r="E38" s="118"/>
      <c r="F38" s="119"/>
      <c r="G38" s="119"/>
      <c r="H38" s="119"/>
      <c r="I38" s="119"/>
      <c r="J38" s="119"/>
      <c r="K38" s="119"/>
      <c r="L38" s="119"/>
      <c r="M38" s="119"/>
      <c r="N38" s="120"/>
      <c r="O38" s="75" t="str">
        <f t="shared" si="1"/>
        <v/>
      </c>
      <c r="P38" s="75"/>
      <c r="Q38" s="76" t="str">
        <f t="shared" si="0"/>
        <v/>
      </c>
      <c r="R38" s="77"/>
      <c r="S38" s="77"/>
      <c r="T38" s="77"/>
      <c r="U38" s="77"/>
      <c r="V38" s="77"/>
      <c r="W38" s="77"/>
      <c r="X38" s="77"/>
      <c r="Y38" s="79"/>
      <c r="Z38" s="80"/>
      <c r="AA38" s="3"/>
      <c r="AE38" s="1"/>
    </row>
    <row r="39" spans="2:31" ht="30.75" customHeight="1" x14ac:dyDescent="0.25">
      <c r="B39" s="69"/>
      <c r="C39" s="70"/>
      <c r="D39" s="71"/>
      <c r="E39" s="118"/>
      <c r="F39" s="119"/>
      <c r="G39" s="119"/>
      <c r="H39" s="119"/>
      <c r="I39" s="119"/>
      <c r="J39" s="119"/>
      <c r="K39" s="119"/>
      <c r="L39" s="119"/>
      <c r="M39" s="119"/>
      <c r="N39" s="120"/>
      <c r="O39" s="75" t="str">
        <f t="shared" si="1"/>
        <v/>
      </c>
      <c r="P39" s="75"/>
      <c r="Q39" s="76" t="str">
        <f t="shared" si="0"/>
        <v/>
      </c>
      <c r="R39" s="77"/>
      <c r="S39" s="77"/>
      <c r="T39" s="77"/>
      <c r="U39" s="77"/>
      <c r="V39" s="77"/>
      <c r="W39" s="77"/>
      <c r="X39" s="77"/>
      <c r="Y39" s="79"/>
      <c r="Z39" s="80"/>
      <c r="AA39" s="3"/>
      <c r="AE39" s="1"/>
    </row>
    <row r="40" spans="2:31" ht="30.75" customHeight="1" x14ac:dyDescent="0.25">
      <c r="B40" s="69"/>
      <c r="C40" s="70"/>
      <c r="D40" s="71"/>
      <c r="E40" s="118"/>
      <c r="F40" s="119"/>
      <c r="G40" s="119"/>
      <c r="H40" s="119"/>
      <c r="I40" s="119"/>
      <c r="J40" s="119"/>
      <c r="K40" s="119"/>
      <c r="L40" s="119"/>
      <c r="M40" s="119"/>
      <c r="N40" s="120"/>
      <c r="O40" s="75" t="str">
        <f t="shared" si="1"/>
        <v/>
      </c>
      <c r="P40" s="75"/>
      <c r="Q40" s="76" t="str">
        <f t="shared" si="0"/>
        <v/>
      </c>
      <c r="R40" s="77"/>
      <c r="S40" s="77"/>
      <c r="T40" s="77"/>
      <c r="U40" s="77"/>
      <c r="V40" s="77"/>
      <c r="W40" s="77"/>
      <c r="X40" s="77"/>
      <c r="Y40" s="79"/>
      <c r="Z40" s="80"/>
      <c r="AA40" s="3"/>
      <c r="AE40" s="1"/>
    </row>
    <row r="41" spans="2:31" ht="30.75" customHeight="1" x14ac:dyDescent="0.25">
      <c r="B41" s="69"/>
      <c r="C41" s="70"/>
      <c r="D41" s="71"/>
      <c r="E41" s="118"/>
      <c r="F41" s="119"/>
      <c r="G41" s="119"/>
      <c r="H41" s="119"/>
      <c r="I41" s="119"/>
      <c r="J41" s="119"/>
      <c r="K41" s="119"/>
      <c r="L41" s="119"/>
      <c r="M41" s="119"/>
      <c r="N41" s="120"/>
      <c r="O41" s="75" t="str">
        <f t="shared" si="1"/>
        <v/>
      </c>
      <c r="P41" s="75"/>
      <c r="Q41" s="76" t="str">
        <f t="shared" si="0"/>
        <v/>
      </c>
      <c r="R41" s="77"/>
      <c r="S41" s="77"/>
      <c r="T41" s="77"/>
      <c r="U41" s="77"/>
      <c r="V41" s="77"/>
      <c r="W41" s="77"/>
      <c r="X41" s="77"/>
      <c r="Y41" s="79"/>
      <c r="Z41" s="80"/>
      <c r="AA41" s="3"/>
      <c r="AE41" s="1"/>
    </row>
    <row r="42" spans="2:31" ht="30.75" customHeight="1" x14ac:dyDescent="0.25">
      <c r="B42" s="69"/>
      <c r="C42" s="70"/>
      <c r="D42" s="71"/>
      <c r="E42" s="118"/>
      <c r="F42" s="119"/>
      <c r="G42" s="119"/>
      <c r="H42" s="119"/>
      <c r="I42" s="119"/>
      <c r="J42" s="119"/>
      <c r="K42" s="119"/>
      <c r="L42" s="119"/>
      <c r="M42" s="119"/>
      <c r="N42" s="120"/>
      <c r="O42" s="75" t="str">
        <f t="shared" si="1"/>
        <v/>
      </c>
      <c r="P42" s="75"/>
      <c r="Q42" s="76" t="str">
        <f t="shared" si="0"/>
        <v/>
      </c>
      <c r="R42" s="77"/>
      <c r="S42" s="77"/>
      <c r="T42" s="77"/>
      <c r="U42" s="77"/>
      <c r="V42" s="77"/>
      <c r="W42" s="77"/>
      <c r="X42" s="77"/>
      <c r="Y42" s="79"/>
      <c r="Z42" s="80"/>
      <c r="AA42" s="3"/>
      <c r="AE42" s="1"/>
    </row>
    <row r="43" spans="2:31" ht="30.75" customHeight="1" x14ac:dyDescent="0.25">
      <c r="B43" s="69"/>
      <c r="C43" s="70"/>
      <c r="D43" s="71"/>
      <c r="E43" s="118"/>
      <c r="F43" s="119"/>
      <c r="G43" s="119"/>
      <c r="H43" s="119"/>
      <c r="I43" s="119"/>
      <c r="J43" s="119"/>
      <c r="K43" s="119"/>
      <c r="L43" s="119"/>
      <c r="M43" s="119"/>
      <c r="N43" s="120"/>
      <c r="O43" s="75" t="str">
        <f t="shared" si="1"/>
        <v/>
      </c>
      <c r="P43" s="75"/>
      <c r="Q43" s="76" t="str">
        <f t="shared" si="0"/>
        <v/>
      </c>
      <c r="R43" s="77"/>
      <c r="S43" s="77"/>
      <c r="T43" s="77"/>
      <c r="U43" s="77"/>
      <c r="V43" s="77"/>
      <c r="W43" s="77"/>
      <c r="X43" s="77"/>
      <c r="Y43" s="79"/>
      <c r="Z43" s="80"/>
      <c r="AA43" s="3"/>
      <c r="AE43" s="1"/>
    </row>
    <row r="44" spans="2:31" ht="30.75" customHeight="1" x14ac:dyDescent="0.25">
      <c r="B44" s="69"/>
      <c r="C44" s="70"/>
      <c r="D44" s="71"/>
      <c r="E44" s="118"/>
      <c r="F44" s="119"/>
      <c r="G44" s="119"/>
      <c r="H44" s="119"/>
      <c r="I44" s="119"/>
      <c r="J44" s="119"/>
      <c r="K44" s="119"/>
      <c r="L44" s="119"/>
      <c r="M44" s="119"/>
      <c r="N44" s="120"/>
      <c r="O44" s="75" t="str">
        <f t="shared" si="1"/>
        <v/>
      </c>
      <c r="P44" s="75"/>
      <c r="Q44" s="76" t="str">
        <f t="shared" si="0"/>
        <v/>
      </c>
      <c r="R44" s="77"/>
      <c r="S44" s="77"/>
      <c r="T44" s="77"/>
      <c r="U44" s="77"/>
      <c r="V44" s="77"/>
      <c r="W44" s="77"/>
      <c r="X44" s="77"/>
      <c r="Y44" s="79"/>
      <c r="Z44" s="80"/>
      <c r="AA44" s="3"/>
      <c r="AE44" s="1"/>
    </row>
    <row r="45" spans="2:31" ht="30.75" customHeight="1" x14ac:dyDescent="0.25">
      <c r="B45" s="69"/>
      <c r="C45" s="70"/>
      <c r="D45" s="71"/>
      <c r="E45" s="118"/>
      <c r="F45" s="119"/>
      <c r="G45" s="119"/>
      <c r="H45" s="119"/>
      <c r="I45" s="119"/>
      <c r="J45" s="119"/>
      <c r="K45" s="119"/>
      <c r="L45" s="119"/>
      <c r="M45" s="119"/>
      <c r="N45" s="120"/>
      <c r="O45" s="75" t="str">
        <f t="shared" si="1"/>
        <v/>
      </c>
      <c r="P45" s="75"/>
      <c r="Q45" s="76" t="str">
        <f t="shared" si="0"/>
        <v/>
      </c>
      <c r="R45" s="77"/>
      <c r="S45" s="77"/>
      <c r="T45" s="77"/>
      <c r="U45" s="77"/>
      <c r="V45" s="77"/>
      <c r="W45" s="77"/>
      <c r="X45" s="77"/>
      <c r="Y45" s="79"/>
      <c r="Z45" s="80"/>
      <c r="AA45" s="3"/>
      <c r="AE45" s="1"/>
    </row>
    <row r="46" spans="2:31" ht="30.75" customHeight="1" x14ac:dyDescent="0.25">
      <c r="B46" s="69"/>
      <c r="C46" s="70"/>
      <c r="D46" s="71"/>
      <c r="E46" s="118"/>
      <c r="F46" s="119"/>
      <c r="G46" s="119"/>
      <c r="H46" s="119"/>
      <c r="I46" s="119"/>
      <c r="J46" s="119"/>
      <c r="K46" s="119"/>
      <c r="L46" s="119"/>
      <c r="M46" s="119"/>
      <c r="N46" s="120"/>
      <c r="O46" s="75" t="str">
        <f t="shared" si="1"/>
        <v/>
      </c>
      <c r="P46" s="75"/>
      <c r="Q46" s="76" t="str">
        <f t="shared" si="0"/>
        <v/>
      </c>
      <c r="R46" s="77"/>
      <c r="S46" s="77"/>
      <c r="T46" s="77"/>
      <c r="U46" s="77"/>
      <c r="V46" s="77"/>
      <c r="W46" s="77"/>
      <c r="X46" s="77"/>
      <c r="Y46" s="79"/>
      <c r="Z46" s="80"/>
      <c r="AA46" s="3"/>
      <c r="AE46" s="1"/>
    </row>
    <row r="47" spans="2:31" ht="30.75" customHeight="1" x14ac:dyDescent="0.25">
      <c r="B47" s="69"/>
      <c r="C47" s="70"/>
      <c r="D47" s="71"/>
      <c r="E47" s="118"/>
      <c r="F47" s="119"/>
      <c r="G47" s="119"/>
      <c r="H47" s="119"/>
      <c r="I47" s="119"/>
      <c r="J47" s="119"/>
      <c r="K47" s="119"/>
      <c r="L47" s="119"/>
      <c r="M47" s="119"/>
      <c r="N47" s="120"/>
      <c r="O47" s="75" t="str">
        <f t="shared" si="1"/>
        <v/>
      </c>
      <c r="P47" s="75"/>
      <c r="Q47" s="76" t="str">
        <f t="shared" si="0"/>
        <v/>
      </c>
      <c r="R47" s="77"/>
      <c r="S47" s="77"/>
      <c r="T47" s="77"/>
      <c r="U47" s="77"/>
      <c r="V47" s="77"/>
      <c r="W47" s="77"/>
      <c r="X47" s="77"/>
      <c r="Y47" s="79"/>
      <c r="Z47" s="80"/>
      <c r="AA47" s="3"/>
      <c r="AE47" s="1"/>
    </row>
    <row r="48" spans="2:31" ht="30.75" customHeight="1" x14ac:dyDescent="0.25">
      <c r="B48" s="69"/>
      <c r="C48" s="70"/>
      <c r="D48" s="71"/>
      <c r="E48" s="118"/>
      <c r="F48" s="119"/>
      <c r="G48" s="119"/>
      <c r="H48" s="119"/>
      <c r="I48" s="119"/>
      <c r="J48" s="119"/>
      <c r="K48" s="119"/>
      <c r="L48" s="119"/>
      <c r="M48" s="119"/>
      <c r="N48" s="120"/>
      <c r="O48" s="75" t="str" cm="1">
        <f t="array" ref="O48">IF(C48="","",IF(E48:F48&gt;5,E$12,IF(G48&gt;5,F$12,IF(H48&gt;5,G$12,IF(I48&gt;5,H$12,IF(J48&gt;5,I$12,IF(K48:L48&gt;5,J$12,IF(M48&gt;5,K$12:M$12))))))))</f>
        <v/>
      </c>
      <c r="P48" s="75"/>
      <c r="Q48" s="76" t="str">
        <f t="shared" si="0"/>
        <v/>
      </c>
      <c r="R48" s="77"/>
      <c r="S48" s="77"/>
      <c r="T48" s="77"/>
      <c r="U48" s="77"/>
      <c r="V48" s="77"/>
      <c r="W48" s="77"/>
      <c r="X48" s="77"/>
      <c r="Y48" s="79"/>
      <c r="Z48" s="80"/>
      <c r="AA48" s="3"/>
      <c r="AE48" s="1"/>
    </row>
    <row r="49" spans="2:31" ht="30.75" customHeight="1" x14ac:dyDescent="0.25">
      <c r="B49" s="69"/>
      <c r="C49" s="70"/>
      <c r="D49" s="71"/>
      <c r="E49" s="118"/>
      <c r="F49" s="119"/>
      <c r="G49" s="119"/>
      <c r="H49" s="119"/>
      <c r="I49" s="119"/>
      <c r="J49" s="119"/>
      <c r="K49" s="119"/>
      <c r="L49" s="119"/>
      <c r="M49" s="119"/>
      <c r="N49" s="120"/>
      <c r="O49" s="75" t="str">
        <f t="shared" ref="O49:O112" si="2">IF(C49="","",IF(F49&gt;5,E$12,IF(G49&gt;5,F$12,IF(H49&gt;5,G$12,IF(I49&gt;5,H$12,IF(J49&gt;5,I$12,IF(K49&gt;5,J$12,IF(M49&gt;5,K$12))))))))</f>
        <v/>
      </c>
      <c r="P49" s="75"/>
      <c r="Q49" s="76" t="str">
        <f t="shared" si="0"/>
        <v/>
      </c>
      <c r="R49" s="77"/>
      <c r="S49" s="77"/>
      <c r="T49" s="77"/>
      <c r="U49" s="77"/>
      <c r="V49" s="77"/>
      <c r="W49" s="77"/>
      <c r="X49" s="77"/>
      <c r="Y49" s="79"/>
      <c r="Z49" s="80"/>
      <c r="AA49" s="3"/>
      <c r="AE49" s="1"/>
    </row>
    <row r="50" spans="2:31" ht="30.75" customHeight="1" x14ac:dyDescent="0.25">
      <c r="B50" s="69"/>
      <c r="C50" s="70"/>
      <c r="D50" s="71"/>
      <c r="E50" s="118"/>
      <c r="F50" s="119"/>
      <c r="G50" s="119"/>
      <c r="H50" s="119"/>
      <c r="I50" s="119"/>
      <c r="J50" s="119"/>
      <c r="K50" s="119"/>
      <c r="L50" s="119"/>
      <c r="M50" s="119"/>
      <c r="N50" s="120"/>
      <c r="O50" s="75" t="str">
        <f t="shared" si="2"/>
        <v/>
      </c>
      <c r="P50" s="75"/>
      <c r="Q50" s="76" t="str">
        <f t="shared" si="0"/>
        <v/>
      </c>
      <c r="R50" s="77"/>
      <c r="S50" s="77"/>
      <c r="T50" s="77"/>
      <c r="U50" s="77"/>
      <c r="V50" s="77"/>
      <c r="W50" s="77"/>
      <c r="X50" s="77"/>
      <c r="Y50" s="79"/>
      <c r="Z50" s="80"/>
      <c r="AA50" s="3"/>
      <c r="AE50" s="1"/>
    </row>
    <row r="51" spans="2:31" ht="30.75" customHeight="1" x14ac:dyDescent="0.25">
      <c r="B51" s="69"/>
      <c r="C51" s="70"/>
      <c r="D51" s="71"/>
      <c r="E51" s="118"/>
      <c r="F51" s="119"/>
      <c r="G51" s="119"/>
      <c r="H51" s="119"/>
      <c r="I51" s="119"/>
      <c r="J51" s="119"/>
      <c r="K51" s="119"/>
      <c r="L51" s="119"/>
      <c r="M51" s="119"/>
      <c r="N51" s="120"/>
      <c r="O51" s="75" t="str">
        <f t="shared" si="2"/>
        <v/>
      </c>
      <c r="P51" s="75"/>
      <c r="Q51" s="76" t="str">
        <f t="shared" si="0"/>
        <v/>
      </c>
      <c r="R51" s="77"/>
      <c r="S51" s="77"/>
      <c r="T51" s="77"/>
      <c r="U51" s="77"/>
      <c r="V51" s="77"/>
      <c r="W51" s="77"/>
      <c r="X51" s="77"/>
      <c r="Y51" s="79"/>
      <c r="Z51" s="80"/>
      <c r="AA51" s="3"/>
      <c r="AE51" s="1"/>
    </row>
    <row r="52" spans="2:31" ht="30.75" customHeight="1" x14ac:dyDescent="0.25">
      <c r="B52" s="69"/>
      <c r="C52" s="70"/>
      <c r="D52" s="71"/>
      <c r="E52" s="118"/>
      <c r="F52" s="119"/>
      <c r="G52" s="119"/>
      <c r="H52" s="119"/>
      <c r="I52" s="119"/>
      <c r="J52" s="119"/>
      <c r="K52" s="119"/>
      <c r="L52" s="119"/>
      <c r="M52" s="119"/>
      <c r="N52" s="120"/>
      <c r="O52" s="75" t="str">
        <f t="shared" si="2"/>
        <v/>
      </c>
      <c r="P52" s="75"/>
      <c r="Q52" s="76" t="str">
        <f t="shared" si="0"/>
        <v/>
      </c>
      <c r="R52" s="77"/>
      <c r="S52" s="77"/>
      <c r="T52" s="77"/>
      <c r="U52" s="77"/>
      <c r="V52" s="77"/>
      <c r="W52" s="77"/>
      <c r="X52" s="77"/>
      <c r="Y52" s="79"/>
      <c r="Z52" s="80"/>
      <c r="AA52" s="3"/>
      <c r="AE52" s="1"/>
    </row>
    <row r="53" spans="2:31" ht="30.75" customHeight="1" x14ac:dyDescent="0.25">
      <c r="B53" s="69"/>
      <c r="C53" s="70"/>
      <c r="D53" s="71"/>
      <c r="E53" s="118"/>
      <c r="F53" s="119"/>
      <c r="G53" s="119"/>
      <c r="H53" s="119"/>
      <c r="I53" s="119"/>
      <c r="J53" s="119"/>
      <c r="K53" s="119"/>
      <c r="L53" s="119"/>
      <c r="M53" s="119"/>
      <c r="N53" s="120"/>
      <c r="O53" s="75" t="str">
        <f t="shared" si="2"/>
        <v/>
      </c>
      <c r="P53" s="75"/>
      <c r="Q53" s="76" t="str">
        <f t="shared" si="0"/>
        <v/>
      </c>
      <c r="R53" s="77"/>
      <c r="S53" s="77"/>
      <c r="T53" s="77"/>
      <c r="U53" s="77"/>
      <c r="V53" s="77"/>
      <c r="W53" s="77"/>
      <c r="X53" s="77"/>
      <c r="Y53" s="79"/>
      <c r="Z53" s="80"/>
      <c r="AA53" s="3"/>
      <c r="AE53" s="1"/>
    </row>
    <row r="54" spans="2:31" ht="30.75" customHeight="1" x14ac:dyDescent="0.25">
      <c r="B54" s="69"/>
      <c r="C54" s="70"/>
      <c r="D54" s="71"/>
      <c r="E54" s="118"/>
      <c r="F54" s="119"/>
      <c r="G54" s="119"/>
      <c r="H54" s="119"/>
      <c r="I54" s="119"/>
      <c r="J54" s="119"/>
      <c r="K54" s="119"/>
      <c r="L54" s="119"/>
      <c r="M54" s="119"/>
      <c r="N54" s="120"/>
      <c r="O54" s="75" t="str">
        <f t="shared" si="2"/>
        <v/>
      </c>
      <c r="P54" s="75"/>
      <c r="Q54" s="76" t="str">
        <f t="shared" si="0"/>
        <v/>
      </c>
      <c r="R54" s="77"/>
      <c r="S54" s="77"/>
      <c r="T54" s="77"/>
      <c r="U54" s="77"/>
      <c r="V54" s="77"/>
      <c r="W54" s="77"/>
      <c r="X54" s="77"/>
      <c r="Y54" s="79"/>
      <c r="Z54" s="80"/>
      <c r="AA54" s="3"/>
      <c r="AE54" s="1"/>
    </row>
    <row r="55" spans="2:31" ht="30.75" customHeight="1" x14ac:dyDescent="0.25">
      <c r="B55" s="69"/>
      <c r="C55" s="70"/>
      <c r="D55" s="71"/>
      <c r="E55" s="118"/>
      <c r="F55" s="119"/>
      <c r="G55" s="119"/>
      <c r="H55" s="119"/>
      <c r="I55" s="119"/>
      <c r="J55" s="119"/>
      <c r="K55" s="119"/>
      <c r="L55" s="119"/>
      <c r="M55" s="119"/>
      <c r="N55" s="120"/>
      <c r="O55" s="75" t="str">
        <f t="shared" si="2"/>
        <v/>
      </c>
      <c r="P55" s="75"/>
      <c r="Q55" s="76" t="str">
        <f t="shared" si="0"/>
        <v/>
      </c>
      <c r="R55" s="77"/>
      <c r="S55" s="77"/>
      <c r="T55" s="77"/>
      <c r="U55" s="77"/>
      <c r="V55" s="77"/>
      <c r="W55" s="77"/>
      <c r="X55" s="77"/>
      <c r="Y55" s="79"/>
      <c r="Z55" s="80"/>
      <c r="AA55" s="3"/>
      <c r="AE55" s="1"/>
    </row>
    <row r="56" spans="2:31" ht="30.75" customHeight="1" x14ac:dyDescent="0.25">
      <c r="B56" s="69"/>
      <c r="C56" s="70"/>
      <c r="D56" s="71"/>
      <c r="E56" s="118"/>
      <c r="F56" s="119"/>
      <c r="G56" s="119"/>
      <c r="H56" s="119"/>
      <c r="I56" s="119"/>
      <c r="J56" s="119"/>
      <c r="K56" s="119"/>
      <c r="L56" s="119"/>
      <c r="M56" s="119"/>
      <c r="N56" s="120"/>
      <c r="O56" s="75" t="str">
        <f t="shared" si="2"/>
        <v/>
      </c>
      <c r="P56" s="75"/>
      <c r="Q56" s="76" t="str">
        <f t="shared" si="0"/>
        <v/>
      </c>
      <c r="R56" s="77"/>
      <c r="S56" s="77"/>
      <c r="T56" s="77"/>
      <c r="U56" s="77"/>
      <c r="V56" s="77"/>
      <c r="W56" s="77"/>
      <c r="X56" s="77"/>
      <c r="Y56" s="79"/>
      <c r="Z56" s="80"/>
      <c r="AA56" s="3"/>
      <c r="AE56" s="1"/>
    </row>
    <row r="57" spans="2:31" ht="30.75" customHeight="1" x14ac:dyDescent="0.25">
      <c r="B57" s="69"/>
      <c r="C57" s="70"/>
      <c r="D57" s="71"/>
      <c r="E57" s="118"/>
      <c r="F57" s="119"/>
      <c r="G57" s="119"/>
      <c r="H57" s="119"/>
      <c r="I57" s="119"/>
      <c r="J57" s="119"/>
      <c r="K57" s="119"/>
      <c r="L57" s="119"/>
      <c r="M57" s="119"/>
      <c r="N57" s="120"/>
      <c r="O57" s="75" t="str">
        <f t="shared" si="2"/>
        <v/>
      </c>
      <c r="P57" s="75"/>
      <c r="Q57" s="76" t="str">
        <f t="shared" si="0"/>
        <v/>
      </c>
      <c r="R57" s="77"/>
      <c r="S57" s="77"/>
      <c r="T57" s="77"/>
      <c r="U57" s="77"/>
      <c r="V57" s="77"/>
      <c r="W57" s="77"/>
      <c r="X57" s="77"/>
      <c r="Y57" s="79"/>
      <c r="Z57" s="80"/>
      <c r="AA57" s="3"/>
      <c r="AE57" s="1"/>
    </row>
    <row r="58" spans="2:31" ht="30.75" customHeight="1" x14ac:dyDescent="0.25">
      <c r="B58" s="69"/>
      <c r="C58" s="70"/>
      <c r="D58" s="71"/>
      <c r="E58" s="118"/>
      <c r="F58" s="119"/>
      <c r="G58" s="119"/>
      <c r="H58" s="119"/>
      <c r="I58" s="119"/>
      <c r="J58" s="119"/>
      <c r="K58" s="119"/>
      <c r="L58" s="119"/>
      <c r="M58" s="119"/>
      <c r="N58" s="120"/>
      <c r="O58" s="75" t="str">
        <f t="shared" si="2"/>
        <v/>
      </c>
      <c r="P58" s="75"/>
      <c r="Q58" s="76" t="str">
        <f t="shared" si="0"/>
        <v/>
      </c>
      <c r="R58" s="77"/>
      <c r="S58" s="77"/>
      <c r="T58" s="77"/>
      <c r="U58" s="77"/>
      <c r="V58" s="77"/>
      <c r="W58" s="77"/>
      <c r="X58" s="77"/>
      <c r="Y58" s="79"/>
      <c r="Z58" s="80"/>
      <c r="AA58" s="3"/>
      <c r="AE58" s="1"/>
    </row>
    <row r="59" spans="2:31" ht="30.75" customHeight="1" x14ac:dyDescent="0.25">
      <c r="B59" s="69"/>
      <c r="C59" s="70"/>
      <c r="D59" s="71"/>
      <c r="E59" s="118"/>
      <c r="F59" s="119"/>
      <c r="G59" s="119"/>
      <c r="H59" s="119"/>
      <c r="I59" s="119"/>
      <c r="J59" s="119"/>
      <c r="K59" s="119"/>
      <c r="L59" s="119"/>
      <c r="M59" s="119"/>
      <c r="N59" s="120"/>
      <c r="O59" s="75" t="str">
        <f t="shared" si="2"/>
        <v/>
      </c>
      <c r="P59" s="75"/>
      <c r="Q59" s="76" t="str">
        <f t="shared" si="0"/>
        <v/>
      </c>
      <c r="R59" s="77"/>
      <c r="S59" s="77"/>
      <c r="T59" s="77"/>
      <c r="U59" s="77"/>
      <c r="V59" s="77"/>
      <c r="W59" s="77"/>
      <c r="X59" s="77"/>
      <c r="Y59" s="79"/>
      <c r="Z59" s="80"/>
      <c r="AA59" s="3"/>
      <c r="AE59" s="1"/>
    </row>
    <row r="60" spans="2:31" ht="30.75" customHeight="1" x14ac:dyDescent="0.25">
      <c r="B60" s="69"/>
      <c r="C60" s="70"/>
      <c r="D60" s="71"/>
      <c r="E60" s="118"/>
      <c r="F60" s="119"/>
      <c r="G60" s="119"/>
      <c r="H60" s="119"/>
      <c r="I60" s="119"/>
      <c r="J60" s="119"/>
      <c r="K60" s="119"/>
      <c r="L60" s="119"/>
      <c r="M60" s="119"/>
      <c r="N60" s="120"/>
      <c r="O60" s="75" t="str">
        <f t="shared" si="2"/>
        <v/>
      </c>
      <c r="P60" s="75"/>
      <c r="Q60" s="76" t="str">
        <f t="shared" si="0"/>
        <v/>
      </c>
      <c r="R60" s="77"/>
      <c r="S60" s="77"/>
      <c r="T60" s="77"/>
      <c r="U60" s="77"/>
      <c r="V60" s="77"/>
      <c r="W60" s="77"/>
      <c r="X60" s="77"/>
      <c r="Y60" s="79"/>
      <c r="Z60" s="80"/>
      <c r="AA60" s="3"/>
      <c r="AE60" s="1"/>
    </row>
    <row r="61" spans="2:31" ht="30.75" customHeight="1" x14ac:dyDescent="0.25">
      <c r="B61" s="69"/>
      <c r="C61" s="70"/>
      <c r="D61" s="71"/>
      <c r="E61" s="118"/>
      <c r="F61" s="119"/>
      <c r="G61" s="119"/>
      <c r="H61" s="119"/>
      <c r="I61" s="119"/>
      <c r="J61" s="119"/>
      <c r="K61" s="119"/>
      <c r="L61" s="119"/>
      <c r="M61" s="119"/>
      <c r="N61" s="120"/>
      <c r="O61" s="75" t="str">
        <f t="shared" si="2"/>
        <v/>
      </c>
      <c r="P61" s="75"/>
      <c r="Q61" s="76" t="str">
        <f t="shared" si="0"/>
        <v/>
      </c>
      <c r="R61" s="77"/>
      <c r="S61" s="77"/>
      <c r="T61" s="77"/>
      <c r="U61" s="77"/>
      <c r="V61" s="77"/>
      <c r="W61" s="77"/>
      <c r="X61" s="77"/>
      <c r="Y61" s="79"/>
      <c r="Z61" s="80"/>
      <c r="AA61" s="3"/>
      <c r="AE61" s="1"/>
    </row>
    <row r="62" spans="2:31" ht="30.75" customHeight="1" x14ac:dyDescent="0.25">
      <c r="B62" s="69"/>
      <c r="C62" s="70"/>
      <c r="D62" s="71"/>
      <c r="E62" s="118"/>
      <c r="F62" s="119"/>
      <c r="G62" s="119"/>
      <c r="H62" s="119"/>
      <c r="I62" s="119"/>
      <c r="J62" s="119"/>
      <c r="K62" s="119"/>
      <c r="L62" s="119"/>
      <c r="M62" s="119"/>
      <c r="N62" s="120"/>
      <c r="O62" s="75" t="str">
        <f t="shared" si="2"/>
        <v/>
      </c>
      <c r="P62" s="75"/>
      <c r="Q62" s="76" t="str">
        <f t="shared" si="0"/>
        <v/>
      </c>
      <c r="R62" s="77"/>
      <c r="S62" s="77"/>
      <c r="T62" s="77"/>
      <c r="U62" s="77"/>
      <c r="V62" s="77"/>
      <c r="W62" s="77"/>
      <c r="X62" s="77"/>
      <c r="Y62" s="79"/>
      <c r="Z62" s="80"/>
      <c r="AA62" s="3"/>
      <c r="AE62" s="1"/>
    </row>
    <row r="63" spans="2:31" ht="30.75" customHeight="1" x14ac:dyDescent="0.25">
      <c r="B63" s="69"/>
      <c r="C63" s="70"/>
      <c r="D63" s="71"/>
      <c r="E63" s="118"/>
      <c r="F63" s="119"/>
      <c r="G63" s="119"/>
      <c r="H63" s="119"/>
      <c r="I63" s="119"/>
      <c r="J63" s="119"/>
      <c r="K63" s="119"/>
      <c r="L63" s="119"/>
      <c r="M63" s="119"/>
      <c r="N63" s="120"/>
      <c r="O63" s="75" t="str">
        <f t="shared" si="2"/>
        <v/>
      </c>
      <c r="P63" s="75"/>
      <c r="Q63" s="76" t="str">
        <f t="shared" si="0"/>
        <v/>
      </c>
      <c r="R63" s="77"/>
      <c r="S63" s="77"/>
      <c r="T63" s="77"/>
      <c r="U63" s="77"/>
      <c r="V63" s="77"/>
      <c r="W63" s="77"/>
      <c r="X63" s="77"/>
      <c r="Y63" s="79"/>
      <c r="Z63" s="80"/>
      <c r="AA63" s="3"/>
      <c r="AE63" s="1"/>
    </row>
    <row r="64" spans="2:31" ht="30.75" customHeight="1" x14ac:dyDescent="0.25">
      <c r="B64" s="69"/>
      <c r="C64" s="70"/>
      <c r="D64" s="71"/>
      <c r="E64" s="118"/>
      <c r="F64" s="119"/>
      <c r="G64" s="119"/>
      <c r="H64" s="119"/>
      <c r="I64" s="119"/>
      <c r="J64" s="119"/>
      <c r="K64" s="119"/>
      <c r="L64" s="119"/>
      <c r="M64" s="119"/>
      <c r="N64" s="120"/>
      <c r="O64" s="75" t="str">
        <f t="shared" si="2"/>
        <v/>
      </c>
      <c r="P64" s="75"/>
      <c r="Q64" s="76" t="str">
        <f t="shared" si="0"/>
        <v/>
      </c>
      <c r="R64" s="77"/>
      <c r="S64" s="77"/>
      <c r="T64" s="77"/>
      <c r="U64" s="77"/>
      <c r="V64" s="77"/>
      <c r="W64" s="77"/>
      <c r="X64" s="77"/>
      <c r="Y64" s="79"/>
      <c r="Z64" s="80"/>
      <c r="AA64" s="3"/>
      <c r="AE64" s="1"/>
    </row>
    <row r="65" spans="2:31" ht="30.75" customHeight="1" x14ac:dyDescent="0.25">
      <c r="B65" s="69"/>
      <c r="C65" s="70"/>
      <c r="D65" s="71"/>
      <c r="E65" s="118"/>
      <c r="F65" s="119"/>
      <c r="G65" s="119"/>
      <c r="H65" s="119"/>
      <c r="I65" s="119"/>
      <c r="J65" s="119"/>
      <c r="K65" s="119"/>
      <c r="L65" s="119"/>
      <c r="M65" s="119"/>
      <c r="N65" s="120"/>
      <c r="O65" s="75" t="str">
        <f t="shared" si="2"/>
        <v/>
      </c>
      <c r="P65" s="75"/>
      <c r="Q65" s="76" t="str">
        <f t="shared" si="0"/>
        <v/>
      </c>
      <c r="R65" s="77"/>
      <c r="S65" s="77"/>
      <c r="T65" s="77"/>
      <c r="U65" s="77"/>
      <c r="V65" s="77"/>
      <c r="W65" s="77"/>
      <c r="X65" s="77"/>
      <c r="Y65" s="79"/>
      <c r="Z65" s="80"/>
      <c r="AA65" s="3"/>
      <c r="AE65" s="1"/>
    </row>
    <row r="66" spans="2:31" ht="30.75" customHeight="1" x14ac:dyDescent="0.25">
      <c r="B66" s="69"/>
      <c r="C66" s="70"/>
      <c r="D66" s="71"/>
      <c r="E66" s="118"/>
      <c r="F66" s="119"/>
      <c r="G66" s="119"/>
      <c r="H66" s="119"/>
      <c r="I66" s="119"/>
      <c r="J66" s="119"/>
      <c r="K66" s="119"/>
      <c r="L66" s="119"/>
      <c r="M66" s="119"/>
      <c r="N66" s="120"/>
      <c r="O66" s="75" t="str">
        <f t="shared" si="2"/>
        <v/>
      </c>
      <c r="P66" s="75"/>
      <c r="Q66" s="76" t="str">
        <f t="shared" si="0"/>
        <v/>
      </c>
      <c r="R66" s="77"/>
      <c r="S66" s="77"/>
      <c r="T66" s="77"/>
      <c r="U66" s="77"/>
      <c r="V66" s="77"/>
      <c r="W66" s="77"/>
      <c r="X66" s="77"/>
      <c r="Y66" s="79"/>
      <c r="Z66" s="80"/>
      <c r="AA66" s="3"/>
      <c r="AE66" s="1"/>
    </row>
    <row r="67" spans="2:31" ht="30.75" customHeight="1" x14ac:dyDescent="0.25">
      <c r="B67" s="69"/>
      <c r="C67" s="70"/>
      <c r="D67" s="71"/>
      <c r="E67" s="118"/>
      <c r="F67" s="119"/>
      <c r="G67" s="119"/>
      <c r="H67" s="119"/>
      <c r="I67" s="119"/>
      <c r="J67" s="119"/>
      <c r="K67" s="119"/>
      <c r="L67" s="119"/>
      <c r="M67" s="119"/>
      <c r="N67" s="120"/>
      <c r="O67" s="75" t="str">
        <f t="shared" si="2"/>
        <v/>
      </c>
      <c r="P67" s="75"/>
      <c r="Q67" s="76" t="str">
        <f t="shared" si="0"/>
        <v/>
      </c>
      <c r="R67" s="77"/>
      <c r="S67" s="77"/>
      <c r="T67" s="77"/>
      <c r="U67" s="77"/>
      <c r="V67" s="77"/>
      <c r="W67" s="77"/>
      <c r="X67" s="77"/>
      <c r="Y67" s="79"/>
      <c r="Z67" s="80"/>
      <c r="AA67" s="3"/>
      <c r="AE67" s="1"/>
    </row>
    <row r="68" spans="2:31" ht="30.75" customHeight="1" x14ac:dyDescent="0.25">
      <c r="B68" s="69"/>
      <c r="C68" s="70"/>
      <c r="D68" s="71"/>
      <c r="E68" s="118"/>
      <c r="F68" s="119"/>
      <c r="G68" s="119"/>
      <c r="H68" s="119"/>
      <c r="I68" s="119"/>
      <c r="J68" s="119"/>
      <c r="K68" s="119"/>
      <c r="L68" s="119"/>
      <c r="M68" s="119"/>
      <c r="N68" s="120"/>
      <c r="O68" s="75" t="str">
        <f t="shared" si="2"/>
        <v/>
      </c>
      <c r="P68" s="75"/>
      <c r="Q68" s="76" t="str">
        <f t="shared" si="0"/>
        <v/>
      </c>
      <c r="R68" s="77"/>
      <c r="S68" s="77"/>
      <c r="T68" s="77"/>
      <c r="U68" s="77"/>
      <c r="V68" s="77"/>
      <c r="W68" s="77"/>
      <c r="X68" s="77"/>
      <c r="Y68" s="79"/>
      <c r="Z68" s="80"/>
      <c r="AA68" s="3"/>
      <c r="AE68" s="1"/>
    </row>
    <row r="69" spans="2:31" ht="30.75" customHeight="1" x14ac:dyDescent="0.25">
      <c r="B69" s="69"/>
      <c r="C69" s="70"/>
      <c r="D69" s="71"/>
      <c r="E69" s="118"/>
      <c r="F69" s="119"/>
      <c r="G69" s="119"/>
      <c r="H69" s="119"/>
      <c r="I69" s="119"/>
      <c r="J69" s="119"/>
      <c r="K69" s="119"/>
      <c r="L69" s="119"/>
      <c r="M69" s="119"/>
      <c r="N69" s="120"/>
      <c r="O69" s="75" t="str">
        <f t="shared" si="2"/>
        <v/>
      </c>
      <c r="P69" s="75"/>
      <c r="Q69" s="76" t="str">
        <f t="shared" si="0"/>
        <v/>
      </c>
      <c r="R69" s="77"/>
      <c r="S69" s="77"/>
      <c r="T69" s="77"/>
      <c r="U69" s="77"/>
      <c r="V69" s="77"/>
      <c r="W69" s="77"/>
      <c r="X69" s="77"/>
      <c r="Y69" s="79"/>
      <c r="Z69" s="80"/>
      <c r="AA69" s="3"/>
      <c r="AE69" s="1"/>
    </row>
    <row r="70" spans="2:31" ht="30.75" customHeight="1" x14ac:dyDescent="0.25">
      <c r="B70" s="69"/>
      <c r="C70" s="70"/>
      <c r="D70" s="71"/>
      <c r="E70" s="118"/>
      <c r="F70" s="119"/>
      <c r="G70" s="119"/>
      <c r="H70" s="119"/>
      <c r="I70" s="119"/>
      <c r="J70" s="119"/>
      <c r="K70" s="119"/>
      <c r="L70" s="119"/>
      <c r="M70" s="119"/>
      <c r="N70" s="120"/>
      <c r="O70" s="75" t="str">
        <f t="shared" si="2"/>
        <v/>
      </c>
      <c r="P70" s="75"/>
      <c r="Q70" s="76" t="str">
        <f t="shared" si="0"/>
        <v/>
      </c>
      <c r="R70" s="77"/>
      <c r="S70" s="77"/>
      <c r="T70" s="77"/>
      <c r="U70" s="77"/>
      <c r="V70" s="77"/>
      <c r="W70" s="77"/>
      <c r="X70" s="77"/>
      <c r="Y70" s="79"/>
      <c r="Z70" s="80"/>
      <c r="AA70" s="3"/>
      <c r="AE70" s="1"/>
    </row>
    <row r="71" spans="2:31" ht="30.75" customHeight="1" x14ac:dyDescent="0.25">
      <c r="B71" s="69"/>
      <c r="C71" s="70"/>
      <c r="D71" s="71"/>
      <c r="E71" s="118"/>
      <c r="F71" s="119"/>
      <c r="G71" s="119"/>
      <c r="H71" s="119"/>
      <c r="I71" s="119"/>
      <c r="J71" s="119"/>
      <c r="K71" s="119"/>
      <c r="L71" s="119"/>
      <c r="M71" s="119"/>
      <c r="N71" s="120"/>
      <c r="O71" s="75" t="str">
        <f t="shared" si="2"/>
        <v/>
      </c>
      <c r="P71" s="75"/>
      <c r="Q71" s="76" t="str">
        <f t="shared" si="0"/>
        <v/>
      </c>
      <c r="R71" s="77"/>
      <c r="S71" s="77"/>
      <c r="T71" s="77"/>
      <c r="U71" s="77"/>
      <c r="V71" s="77"/>
      <c r="W71" s="77"/>
      <c r="X71" s="77"/>
      <c r="Y71" s="79"/>
      <c r="Z71" s="80"/>
      <c r="AA71" s="3"/>
      <c r="AE71" s="1"/>
    </row>
    <row r="72" spans="2:31" ht="30.75" customHeight="1" x14ac:dyDescent="0.25">
      <c r="B72" s="69"/>
      <c r="C72" s="70"/>
      <c r="D72" s="71"/>
      <c r="E72" s="118"/>
      <c r="F72" s="119"/>
      <c r="G72" s="119"/>
      <c r="H72" s="119"/>
      <c r="I72" s="119"/>
      <c r="J72" s="119"/>
      <c r="K72" s="119"/>
      <c r="L72" s="119"/>
      <c r="M72" s="119"/>
      <c r="N72" s="120"/>
      <c r="O72" s="75" t="str">
        <f t="shared" si="2"/>
        <v/>
      </c>
      <c r="P72" s="75"/>
      <c r="Q72" s="76" t="str">
        <f t="shared" si="0"/>
        <v/>
      </c>
      <c r="R72" s="77"/>
      <c r="S72" s="77"/>
      <c r="T72" s="77"/>
      <c r="U72" s="77"/>
      <c r="V72" s="77"/>
      <c r="W72" s="77"/>
      <c r="X72" s="77"/>
      <c r="Y72" s="79"/>
      <c r="Z72" s="80"/>
      <c r="AA72" s="3"/>
      <c r="AE72" s="1"/>
    </row>
    <row r="73" spans="2:31" ht="30.75" customHeight="1" x14ac:dyDescent="0.25">
      <c r="B73" s="69"/>
      <c r="C73" s="70"/>
      <c r="D73" s="71"/>
      <c r="E73" s="118"/>
      <c r="F73" s="119"/>
      <c r="G73" s="119"/>
      <c r="H73" s="119"/>
      <c r="I73" s="119"/>
      <c r="J73" s="119"/>
      <c r="K73" s="119"/>
      <c r="L73" s="119"/>
      <c r="M73" s="119"/>
      <c r="N73" s="120"/>
      <c r="O73" s="75" t="str">
        <f t="shared" si="2"/>
        <v/>
      </c>
      <c r="P73" s="75"/>
      <c r="Q73" s="76" t="str">
        <f t="shared" si="0"/>
        <v/>
      </c>
      <c r="R73" s="77"/>
      <c r="S73" s="77"/>
      <c r="T73" s="133"/>
      <c r="U73" s="133"/>
      <c r="V73" s="133"/>
      <c r="W73" s="133"/>
      <c r="X73" s="77"/>
      <c r="Y73" s="79"/>
      <c r="Z73" s="80"/>
      <c r="AA73" s="3"/>
      <c r="AE73" s="1"/>
    </row>
    <row r="74" spans="2:31" ht="30.75" customHeight="1" x14ac:dyDescent="0.25">
      <c r="B74" s="69"/>
      <c r="C74" s="70"/>
      <c r="D74" s="71"/>
      <c r="E74" s="118"/>
      <c r="F74" s="119"/>
      <c r="G74" s="119"/>
      <c r="H74" s="119"/>
      <c r="I74" s="119"/>
      <c r="J74" s="119"/>
      <c r="K74" s="119"/>
      <c r="L74" s="119"/>
      <c r="M74" s="119"/>
      <c r="N74" s="120"/>
      <c r="O74" s="75" t="str">
        <f t="shared" si="2"/>
        <v/>
      </c>
      <c r="P74" s="75"/>
      <c r="Q74" s="76" t="str">
        <f t="shared" si="0"/>
        <v/>
      </c>
      <c r="R74" s="77"/>
      <c r="S74" s="77"/>
      <c r="T74" s="77"/>
      <c r="U74" s="77"/>
      <c r="V74" s="77"/>
      <c r="W74" s="77"/>
      <c r="X74" s="77"/>
      <c r="Y74" s="79"/>
      <c r="Z74" s="80"/>
      <c r="AA74" s="3"/>
      <c r="AE74" s="1"/>
    </row>
    <row r="75" spans="2:31" ht="30.75" customHeight="1" x14ac:dyDescent="0.25">
      <c r="B75" s="69"/>
      <c r="C75" s="70"/>
      <c r="D75" s="71"/>
      <c r="E75" s="118"/>
      <c r="F75" s="119"/>
      <c r="G75" s="119"/>
      <c r="H75" s="119"/>
      <c r="I75" s="119"/>
      <c r="J75" s="119"/>
      <c r="K75" s="119"/>
      <c r="L75" s="119"/>
      <c r="M75" s="119"/>
      <c r="N75" s="120"/>
      <c r="O75" s="75" t="str">
        <f t="shared" si="2"/>
        <v/>
      </c>
      <c r="P75" s="75"/>
      <c r="Q75" s="76" t="str">
        <f t="shared" si="0"/>
        <v/>
      </c>
      <c r="R75" s="77"/>
      <c r="S75" s="77"/>
      <c r="T75" s="77"/>
      <c r="U75" s="77"/>
      <c r="V75" s="77"/>
      <c r="W75" s="77"/>
      <c r="X75" s="77"/>
      <c r="Y75" s="79"/>
      <c r="Z75" s="80"/>
      <c r="AA75" s="3"/>
      <c r="AE75" s="1"/>
    </row>
    <row r="76" spans="2:31" ht="30.75" customHeight="1" x14ac:dyDescent="0.25">
      <c r="B76" s="69"/>
      <c r="C76" s="70"/>
      <c r="D76" s="71"/>
      <c r="E76" s="118"/>
      <c r="F76" s="119"/>
      <c r="G76" s="119"/>
      <c r="H76" s="119"/>
      <c r="I76" s="119"/>
      <c r="J76" s="119"/>
      <c r="K76" s="119"/>
      <c r="L76" s="119"/>
      <c r="M76" s="119"/>
      <c r="N76" s="120"/>
      <c r="O76" s="75" t="str">
        <f t="shared" si="2"/>
        <v/>
      </c>
      <c r="P76" s="75"/>
      <c r="Q76" s="76" t="str">
        <f t="shared" si="0"/>
        <v/>
      </c>
      <c r="R76" s="77"/>
      <c r="S76" s="77"/>
      <c r="T76" s="77"/>
      <c r="U76" s="77"/>
      <c r="V76" s="77"/>
      <c r="W76" s="77"/>
      <c r="X76" s="77"/>
      <c r="Y76" s="79"/>
      <c r="Z76" s="80"/>
      <c r="AA76" s="3"/>
      <c r="AE76" s="1"/>
    </row>
    <row r="77" spans="2:31" ht="30.75" customHeight="1" x14ac:dyDescent="0.25">
      <c r="B77" s="69"/>
      <c r="C77" s="70"/>
      <c r="D77" s="71"/>
      <c r="E77" s="118"/>
      <c r="F77" s="119"/>
      <c r="G77" s="119"/>
      <c r="H77" s="119"/>
      <c r="I77" s="119"/>
      <c r="J77" s="119"/>
      <c r="K77" s="119"/>
      <c r="L77" s="119"/>
      <c r="M77" s="119"/>
      <c r="N77" s="120"/>
      <c r="O77" s="75" t="str">
        <f t="shared" si="2"/>
        <v/>
      </c>
      <c r="P77" s="75"/>
      <c r="Q77" s="76" t="str">
        <f t="shared" si="0"/>
        <v/>
      </c>
      <c r="R77" s="77"/>
      <c r="S77" s="77"/>
      <c r="T77" s="77"/>
      <c r="U77" s="77"/>
      <c r="V77" s="77"/>
      <c r="W77" s="77"/>
      <c r="X77" s="77"/>
      <c r="Y77" s="79"/>
      <c r="Z77" s="80"/>
      <c r="AA77" s="3"/>
      <c r="AE77" s="1"/>
    </row>
    <row r="78" spans="2:31" ht="30.75" customHeight="1" x14ac:dyDescent="0.25">
      <c r="B78" s="69"/>
      <c r="C78" s="70"/>
      <c r="D78" s="71"/>
      <c r="E78" s="118"/>
      <c r="F78" s="119"/>
      <c r="G78" s="119"/>
      <c r="H78" s="119"/>
      <c r="I78" s="119"/>
      <c r="J78" s="119"/>
      <c r="K78" s="119"/>
      <c r="L78" s="119"/>
      <c r="M78" s="119"/>
      <c r="N78" s="120"/>
      <c r="O78" s="75" t="str">
        <f t="shared" si="2"/>
        <v/>
      </c>
      <c r="P78" s="75"/>
      <c r="Q78" s="76" t="str">
        <f t="shared" si="0"/>
        <v/>
      </c>
      <c r="R78" s="77"/>
      <c r="S78" s="77"/>
      <c r="T78" s="77"/>
      <c r="U78" s="77"/>
      <c r="V78" s="77"/>
      <c r="W78" s="77"/>
      <c r="X78" s="77"/>
      <c r="Y78" s="79"/>
      <c r="Z78" s="80"/>
      <c r="AA78" s="3"/>
      <c r="AE78" s="1"/>
    </row>
    <row r="79" spans="2:31" ht="30.75" customHeight="1" x14ac:dyDescent="0.25">
      <c r="B79" s="69"/>
      <c r="C79" s="70"/>
      <c r="D79" s="71"/>
      <c r="E79" s="118"/>
      <c r="F79" s="119"/>
      <c r="G79" s="119"/>
      <c r="H79" s="119"/>
      <c r="I79" s="119"/>
      <c r="J79" s="119"/>
      <c r="K79" s="119"/>
      <c r="L79" s="119"/>
      <c r="M79" s="119"/>
      <c r="N79" s="120"/>
      <c r="O79" s="75" t="str">
        <f t="shared" si="2"/>
        <v/>
      </c>
      <c r="P79" s="75"/>
      <c r="Q79" s="76" t="str">
        <f t="shared" ref="Q79:Q172" si="3">IF(C79="","",(E79+G79+H79+I79+J79+K79+M79)/100)</f>
        <v/>
      </c>
      <c r="R79" s="77"/>
      <c r="S79" s="77"/>
      <c r="T79" s="77"/>
      <c r="U79" s="77"/>
      <c r="V79" s="77"/>
      <c r="W79" s="77"/>
      <c r="X79" s="77"/>
      <c r="Y79" s="79"/>
      <c r="Z79" s="80"/>
      <c r="AA79" s="3"/>
      <c r="AE79" s="1"/>
    </row>
    <row r="80" spans="2:31" ht="30.75" customHeight="1" x14ac:dyDescent="0.25">
      <c r="B80" s="69"/>
      <c r="C80" s="70"/>
      <c r="D80" s="71"/>
      <c r="E80" s="118"/>
      <c r="F80" s="119"/>
      <c r="G80" s="119"/>
      <c r="H80" s="119"/>
      <c r="I80" s="119"/>
      <c r="J80" s="119"/>
      <c r="K80" s="119"/>
      <c r="L80" s="119"/>
      <c r="M80" s="119"/>
      <c r="N80" s="120"/>
      <c r="O80" s="75" t="str">
        <f t="shared" si="2"/>
        <v/>
      </c>
      <c r="P80" s="75"/>
      <c r="Q80" s="76" t="str">
        <f t="shared" si="3"/>
        <v/>
      </c>
      <c r="R80" s="77"/>
      <c r="S80" s="77"/>
      <c r="T80" s="77"/>
      <c r="U80" s="77"/>
      <c r="V80" s="77"/>
      <c r="W80" s="77"/>
      <c r="X80" s="77"/>
      <c r="Y80" s="79"/>
      <c r="Z80" s="80"/>
      <c r="AA80" s="3"/>
      <c r="AE80" s="1"/>
    </row>
    <row r="81" spans="2:31" ht="30.75" customHeight="1" x14ac:dyDescent="0.25">
      <c r="B81" s="69"/>
      <c r="C81" s="70"/>
      <c r="D81" s="71"/>
      <c r="E81" s="118"/>
      <c r="F81" s="119"/>
      <c r="G81" s="119"/>
      <c r="H81" s="119"/>
      <c r="I81" s="119"/>
      <c r="J81" s="119"/>
      <c r="K81" s="119"/>
      <c r="L81" s="119"/>
      <c r="M81" s="119"/>
      <c r="N81" s="120"/>
      <c r="O81" s="75" t="str">
        <f t="shared" si="2"/>
        <v/>
      </c>
      <c r="P81" s="75"/>
      <c r="Q81" s="76" t="str">
        <f t="shared" si="3"/>
        <v/>
      </c>
      <c r="R81" s="77"/>
      <c r="S81" s="77"/>
      <c r="T81" s="77"/>
      <c r="U81" s="77"/>
      <c r="V81" s="77"/>
      <c r="W81" s="77"/>
      <c r="X81" s="77"/>
      <c r="Y81" s="79"/>
      <c r="Z81" s="80"/>
      <c r="AA81" s="3"/>
      <c r="AE81" s="1"/>
    </row>
    <row r="82" spans="2:31" ht="30.75" customHeight="1" x14ac:dyDescent="0.25">
      <c r="B82" s="69"/>
      <c r="C82" s="70"/>
      <c r="D82" s="71"/>
      <c r="E82" s="118"/>
      <c r="F82" s="119"/>
      <c r="G82" s="119"/>
      <c r="H82" s="119"/>
      <c r="I82" s="119"/>
      <c r="J82" s="119"/>
      <c r="K82" s="119"/>
      <c r="L82" s="119"/>
      <c r="M82" s="119"/>
      <c r="N82" s="120"/>
      <c r="O82" s="75" t="str">
        <f t="shared" si="2"/>
        <v/>
      </c>
      <c r="P82" s="75"/>
      <c r="Q82" s="76" t="str">
        <f t="shared" si="3"/>
        <v/>
      </c>
      <c r="R82" s="77"/>
      <c r="S82" s="77"/>
      <c r="T82" s="77"/>
      <c r="U82" s="77"/>
      <c r="V82" s="77"/>
      <c r="W82" s="77"/>
      <c r="X82" s="77"/>
      <c r="Y82" s="79"/>
      <c r="Z82" s="80"/>
      <c r="AA82" s="3"/>
      <c r="AE82" s="1"/>
    </row>
    <row r="83" spans="2:31" ht="30.75" customHeight="1" x14ac:dyDescent="0.25">
      <c r="B83" s="69"/>
      <c r="C83" s="70"/>
      <c r="D83" s="71"/>
      <c r="E83" s="118"/>
      <c r="F83" s="119"/>
      <c r="G83" s="119"/>
      <c r="H83" s="119"/>
      <c r="I83" s="119"/>
      <c r="J83" s="119"/>
      <c r="K83" s="119"/>
      <c r="L83" s="119"/>
      <c r="M83" s="119"/>
      <c r="N83" s="120"/>
      <c r="O83" s="75" t="str">
        <f t="shared" si="2"/>
        <v/>
      </c>
      <c r="P83" s="75"/>
      <c r="Q83" s="76" t="str">
        <f t="shared" si="3"/>
        <v/>
      </c>
      <c r="R83" s="77"/>
      <c r="S83" s="77"/>
      <c r="T83" s="77"/>
      <c r="U83" s="77"/>
      <c r="V83" s="77"/>
      <c r="W83" s="77"/>
      <c r="X83" s="77"/>
      <c r="Y83" s="79"/>
      <c r="Z83" s="80"/>
      <c r="AA83" s="3"/>
      <c r="AE83" s="1"/>
    </row>
    <row r="84" spans="2:31" ht="30.75" customHeight="1" x14ac:dyDescent="0.25">
      <c r="B84" s="69"/>
      <c r="C84" s="70"/>
      <c r="D84" s="71"/>
      <c r="E84" s="118"/>
      <c r="F84" s="119"/>
      <c r="G84" s="119"/>
      <c r="H84" s="119"/>
      <c r="I84" s="119"/>
      <c r="J84" s="119"/>
      <c r="K84" s="119"/>
      <c r="L84" s="119"/>
      <c r="M84" s="119"/>
      <c r="N84" s="120"/>
      <c r="O84" s="75" t="str">
        <f t="shared" si="2"/>
        <v/>
      </c>
      <c r="P84" s="75"/>
      <c r="Q84" s="76" t="str">
        <f t="shared" si="3"/>
        <v/>
      </c>
      <c r="R84" s="77"/>
      <c r="S84" s="77"/>
      <c r="T84" s="77"/>
      <c r="U84" s="77"/>
      <c r="V84" s="77"/>
      <c r="W84" s="77"/>
      <c r="X84" s="77"/>
      <c r="Y84" s="79"/>
      <c r="Z84" s="80"/>
      <c r="AA84" s="3"/>
      <c r="AE84" s="1"/>
    </row>
    <row r="85" spans="2:31" ht="30.75" customHeight="1" x14ac:dyDescent="0.25">
      <c r="B85" s="69"/>
      <c r="C85" s="70"/>
      <c r="D85" s="71"/>
      <c r="E85" s="118"/>
      <c r="F85" s="119"/>
      <c r="G85" s="119"/>
      <c r="H85" s="119"/>
      <c r="I85" s="119"/>
      <c r="J85" s="119"/>
      <c r="K85" s="119"/>
      <c r="L85" s="119"/>
      <c r="M85" s="119"/>
      <c r="N85" s="120"/>
      <c r="O85" s="75" t="str">
        <f t="shared" si="2"/>
        <v/>
      </c>
      <c r="P85" s="75"/>
      <c r="Q85" s="76" t="str">
        <f t="shared" si="3"/>
        <v/>
      </c>
      <c r="R85" s="77"/>
      <c r="S85" s="77"/>
      <c r="T85" s="77"/>
      <c r="U85" s="77"/>
      <c r="V85" s="77"/>
      <c r="W85" s="77"/>
      <c r="X85" s="77"/>
      <c r="Y85" s="79"/>
      <c r="Z85" s="80"/>
      <c r="AA85" s="3"/>
      <c r="AE85" s="1"/>
    </row>
    <row r="86" spans="2:31" ht="30.75" customHeight="1" x14ac:dyDescent="0.25">
      <c r="B86" s="69"/>
      <c r="C86" s="70"/>
      <c r="D86" s="71"/>
      <c r="E86" s="118"/>
      <c r="F86" s="119"/>
      <c r="G86" s="119"/>
      <c r="H86" s="119"/>
      <c r="I86" s="119"/>
      <c r="J86" s="119"/>
      <c r="K86" s="119"/>
      <c r="L86" s="119"/>
      <c r="M86" s="119"/>
      <c r="N86" s="120"/>
      <c r="O86" s="75" t="str">
        <f t="shared" si="2"/>
        <v/>
      </c>
      <c r="P86" s="75"/>
      <c r="Q86" s="76" t="str">
        <f t="shared" si="3"/>
        <v/>
      </c>
      <c r="R86" s="77"/>
      <c r="S86" s="77"/>
      <c r="T86" s="77"/>
      <c r="U86" s="77"/>
      <c r="V86" s="77"/>
      <c r="W86" s="77"/>
      <c r="X86" s="77"/>
      <c r="Y86" s="79"/>
      <c r="Z86" s="80"/>
      <c r="AA86" s="3"/>
      <c r="AE86" s="1"/>
    </row>
    <row r="87" spans="2:31" ht="30.75" customHeight="1" x14ac:dyDescent="0.25">
      <c r="B87" s="69"/>
      <c r="C87" s="70"/>
      <c r="D87" s="71"/>
      <c r="E87" s="118"/>
      <c r="F87" s="119"/>
      <c r="G87" s="119"/>
      <c r="H87" s="119"/>
      <c r="I87" s="119"/>
      <c r="J87" s="119"/>
      <c r="K87" s="119"/>
      <c r="L87" s="119"/>
      <c r="M87" s="119"/>
      <c r="N87" s="120"/>
      <c r="O87" s="75" t="str">
        <f t="shared" si="2"/>
        <v/>
      </c>
      <c r="P87" s="75"/>
      <c r="Q87" s="76" t="str">
        <f t="shared" si="3"/>
        <v/>
      </c>
      <c r="R87" s="77"/>
      <c r="S87" s="77"/>
      <c r="T87" s="77"/>
      <c r="U87" s="77"/>
      <c r="V87" s="77"/>
      <c r="W87" s="77"/>
      <c r="X87" s="77"/>
      <c r="Y87" s="79"/>
      <c r="Z87" s="80"/>
      <c r="AA87" s="3"/>
      <c r="AE87" s="1"/>
    </row>
    <row r="88" spans="2:31" ht="30.75" customHeight="1" x14ac:dyDescent="0.25">
      <c r="B88" s="69"/>
      <c r="C88" s="70"/>
      <c r="D88" s="71"/>
      <c r="E88" s="118"/>
      <c r="F88" s="119"/>
      <c r="G88" s="119"/>
      <c r="H88" s="119"/>
      <c r="I88" s="119"/>
      <c r="J88" s="119"/>
      <c r="K88" s="119"/>
      <c r="L88" s="119"/>
      <c r="M88" s="119"/>
      <c r="N88" s="120"/>
      <c r="O88" s="75" t="str">
        <f t="shared" si="2"/>
        <v/>
      </c>
      <c r="P88" s="75"/>
      <c r="Q88" s="76" t="str">
        <f t="shared" si="3"/>
        <v/>
      </c>
      <c r="R88" s="77"/>
      <c r="S88" s="77"/>
      <c r="T88" s="77"/>
      <c r="U88" s="77"/>
      <c r="V88" s="77"/>
      <c r="W88" s="77"/>
      <c r="X88" s="77"/>
      <c r="Y88" s="79"/>
      <c r="Z88" s="80"/>
      <c r="AA88" s="3"/>
      <c r="AE88" s="1"/>
    </row>
    <row r="89" spans="2:31" ht="30.75" customHeight="1" x14ac:dyDescent="0.25">
      <c r="B89" s="69"/>
      <c r="C89" s="70"/>
      <c r="D89" s="71"/>
      <c r="E89" s="118"/>
      <c r="F89" s="119"/>
      <c r="G89" s="119"/>
      <c r="H89" s="119"/>
      <c r="I89" s="119"/>
      <c r="J89" s="119"/>
      <c r="K89" s="119"/>
      <c r="L89" s="119"/>
      <c r="M89" s="119"/>
      <c r="N89" s="120"/>
      <c r="O89" s="75" t="str">
        <f t="shared" si="2"/>
        <v/>
      </c>
      <c r="P89" s="75"/>
      <c r="Q89" s="76" t="str">
        <f t="shared" si="3"/>
        <v/>
      </c>
      <c r="R89" s="77"/>
      <c r="S89" s="77"/>
      <c r="T89" s="77"/>
      <c r="U89" s="77"/>
      <c r="V89" s="77"/>
      <c r="W89" s="77"/>
      <c r="X89" s="77"/>
      <c r="Y89" s="79"/>
      <c r="Z89" s="80"/>
      <c r="AA89" s="3"/>
      <c r="AE89" s="1"/>
    </row>
    <row r="90" spans="2:31" ht="30.75" customHeight="1" x14ac:dyDescent="0.25">
      <c r="B90" s="69"/>
      <c r="C90" s="70"/>
      <c r="D90" s="71"/>
      <c r="E90" s="118"/>
      <c r="F90" s="119"/>
      <c r="G90" s="119"/>
      <c r="H90" s="119"/>
      <c r="I90" s="119"/>
      <c r="J90" s="119"/>
      <c r="K90" s="119"/>
      <c r="L90" s="119"/>
      <c r="M90" s="119"/>
      <c r="N90" s="120"/>
      <c r="O90" s="75" t="str">
        <f t="shared" si="2"/>
        <v/>
      </c>
      <c r="P90" s="75"/>
      <c r="Q90" s="76" t="str">
        <f t="shared" si="3"/>
        <v/>
      </c>
      <c r="R90" s="77"/>
      <c r="S90" s="77"/>
      <c r="T90" s="77"/>
      <c r="U90" s="77"/>
      <c r="V90" s="77"/>
      <c r="W90" s="77"/>
      <c r="X90" s="77"/>
      <c r="Y90" s="79"/>
      <c r="Z90" s="80"/>
      <c r="AA90" s="3"/>
      <c r="AE90" s="1"/>
    </row>
    <row r="91" spans="2:31" ht="30.75" customHeight="1" x14ac:dyDescent="0.25">
      <c r="B91" s="69"/>
      <c r="C91" s="70"/>
      <c r="D91" s="71"/>
      <c r="E91" s="118"/>
      <c r="F91" s="119"/>
      <c r="G91" s="119"/>
      <c r="H91" s="119"/>
      <c r="I91" s="119"/>
      <c r="J91" s="119"/>
      <c r="K91" s="119"/>
      <c r="L91" s="119"/>
      <c r="M91" s="119"/>
      <c r="N91" s="120"/>
      <c r="O91" s="75" t="str">
        <f t="shared" si="2"/>
        <v/>
      </c>
      <c r="P91" s="75"/>
      <c r="Q91" s="76" t="str">
        <f t="shared" si="3"/>
        <v/>
      </c>
      <c r="R91" s="77"/>
      <c r="S91" s="77"/>
      <c r="T91" s="77"/>
      <c r="U91" s="77"/>
      <c r="V91" s="77"/>
      <c r="W91" s="77"/>
      <c r="X91" s="77"/>
      <c r="Y91" s="79"/>
      <c r="Z91" s="80"/>
      <c r="AA91" s="3"/>
      <c r="AE91" s="1"/>
    </row>
    <row r="92" spans="2:31" ht="30.75" customHeight="1" x14ac:dyDescent="0.25">
      <c r="B92" s="69"/>
      <c r="C92" s="70"/>
      <c r="D92" s="71"/>
      <c r="E92" s="118"/>
      <c r="F92" s="119"/>
      <c r="G92" s="119"/>
      <c r="H92" s="119"/>
      <c r="I92" s="119"/>
      <c r="J92" s="119"/>
      <c r="K92" s="119"/>
      <c r="L92" s="119"/>
      <c r="M92" s="119"/>
      <c r="N92" s="120"/>
      <c r="O92" s="75" t="str">
        <f t="shared" si="2"/>
        <v/>
      </c>
      <c r="P92" s="75"/>
      <c r="Q92" s="76" t="str">
        <f t="shared" si="3"/>
        <v/>
      </c>
      <c r="R92" s="77"/>
      <c r="S92" s="77"/>
      <c r="T92" s="77"/>
      <c r="U92" s="77"/>
      <c r="V92" s="77"/>
      <c r="W92" s="77"/>
      <c r="X92" s="77"/>
      <c r="Y92" s="79"/>
      <c r="Z92" s="80"/>
      <c r="AA92" s="3"/>
      <c r="AE92" s="1"/>
    </row>
    <row r="93" spans="2:31" ht="30.75" customHeight="1" x14ac:dyDescent="0.25">
      <c r="B93" s="69"/>
      <c r="C93" s="70"/>
      <c r="D93" s="71"/>
      <c r="E93" s="118"/>
      <c r="F93" s="119"/>
      <c r="G93" s="119"/>
      <c r="H93" s="119"/>
      <c r="I93" s="119"/>
      <c r="J93" s="119"/>
      <c r="K93" s="119"/>
      <c r="L93" s="119"/>
      <c r="M93" s="119"/>
      <c r="N93" s="120"/>
      <c r="O93" s="75" t="str">
        <f t="shared" si="2"/>
        <v/>
      </c>
      <c r="P93" s="75"/>
      <c r="Q93" s="76" t="str">
        <f t="shared" si="3"/>
        <v/>
      </c>
      <c r="R93" s="77"/>
      <c r="S93" s="77"/>
      <c r="T93" s="77"/>
      <c r="U93" s="77"/>
      <c r="V93" s="77"/>
      <c r="W93" s="77"/>
      <c r="X93" s="77"/>
      <c r="Y93" s="79"/>
      <c r="Z93" s="80"/>
      <c r="AA93" s="3"/>
      <c r="AE93" s="1"/>
    </row>
    <row r="94" spans="2:31" ht="30.75" customHeight="1" x14ac:dyDescent="0.25">
      <c r="B94" s="69"/>
      <c r="C94" s="70"/>
      <c r="D94" s="71"/>
      <c r="E94" s="118"/>
      <c r="F94" s="119"/>
      <c r="G94" s="119"/>
      <c r="H94" s="119"/>
      <c r="I94" s="119"/>
      <c r="J94" s="119"/>
      <c r="K94" s="119"/>
      <c r="L94" s="119"/>
      <c r="M94" s="119"/>
      <c r="N94" s="120"/>
      <c r="O94" s="75" t="str">
        <f t="shared" si="2"/>
        <v/>
      </c>
      <c r="P94" s="75"/>
      <c r="Q94" s="76" t="str">
        <f t="shared" si="3"/>
        <v/>
      </c>
      <c r="R94" s="77"/>
      <c r="S94" s="77"/>
      <c r="T94" s="77"/>
      <c r="U94" s="77"/>
      <c r="V94" s="77"/>
      <c r="W94" s="77"/>
      <c r="X94" s="77"/>
      <c r="Y94" s="79"/>
      <c r="Z94" s="80"/>
      <c r="AA94" s="3"/>
      <c r="AE94" s="1"/>
    </row>
    <row r="95" spans="2:31" ht="30.75" customHeight="1" x14ac:dyDescent="0.25">
      <c r="B95" s="69"/>
      <c r="C95" s="70"/>
      <c r="D95" s="71"/>
      <c r="E95" s="118"/>
      <c r="F95" s="119"/>
      <c r="G95" s="119"/>
      <c r="H95" s="119"/>
      <c r="I95" s="119"/>
      <c r="J95" s="119"/>
      <c r="K95" s="119"/>
      <c r="L95" s="119"/>
      <c r="M95" s="119"/>
      <c r="N95" s="120"/>
      <c r="O95" s="75" t="str">
        <f t="shared" si="2"/>
        <v/>
      </c>
      <c r="P95" s="75"/>
      <c r="Q95" s="76" t="str">
        <f t="shared" si="3"/>
        <v/>
      </c>
      <c r="R95" s="77"/>
      <c r="S95" s="77"/>
      <c r="T95" s="77"/>
      <c r="U95" s="77"/>
      <c r="V95" s="77"/>
      <c r="W95" s="77"/>
      <c r="X95" s="77"/>
      <c r="Y95" s="79"/>
      <c r="Z95" s="80"/>
      <c r="AA95" s="3"/>
      <c r="AE95" s="1"/>
    </row>
    <row r="96" spans="2:31" ht="30.75" customHeight="1" x14ac:dyDescent="0.25">
      <c r="B96" s="69"/>
      <c r="C96" s="70"/>
      <c r="D96" s="71"/>
      <c r="E96" s="118"/>
      <c r="F96" s="119"/>
      <c r="G96" s="119"/>
      <c r="H96" s="119"/>
      <c r="I96" s="119"/>
      <c r="J96" s="119"/>
      <c r="K96" s="119"/>
      <c r="L96" s="119"/>
      <c r="M96" s="119"/>
      <c r="N96" s="120"/>
      <c r="O96" s="75" t="str">
        <f t="shared" si="2"/>
        <v/>
      </c>
      <c r="P96" s="75"/>
      <c r="Q96" s="76" t="str">
        <f t="shared" si="3"/>
        <v/>
      </c>
      <c r="R96" s="77"/>
      <c r="S96" s="77"/>
      <c r="T96" s="77"/>
      <c r="U96" s="77"/>
      <c r="V96" s="77"/>
      <c r="W96" s="77"/>
      <c r="X96" s="77"/>
      <c r="Y96" s="79"/>
      <c r="Z96" s="80"/>
      <c r="AA96" s="3"/>
      <c r="AE96" s="1"/>
    </row>
    <row r="97" spans="2:31" ht="30.75" customHeight="1" x14ac:dyDescent="0.25">
      <c r="B97" s="69"/>
      <c r="C97" s="70"/>
      <c r="D97" s="71"/>
      <c r="E97" s="118"/>
      <c r="F97" s="119"/>
      <c r="G97" s="119"/>
      <c r="H97" s="119"/>
      <c r="I97" s="119"/>
      <c r="J97" s="119"/>
      <c r="K97" s="119"/>
      <c r="L97" s="119"/>
      <c r="M97" s="119"/>
      <c r="N97" s="120"/>
      <c r="O97" s="75" t="str">
        <f t="shared" si="2"/>
        <v/>
      </c>
      <c r="P97" s="75"/>
      <c r="Q97" s="76" t="str">
        <f t="shared" si="3"/>
        <v/>
      </c>
      <c r="R97" s="77"/>
      <c r="S97" s="77"/>
      <c r="T97" s="77"/>
      <c r="U97" s="77"/>
      <c r="V97" s="77"/>
      <c r="W97" s="77"/>
      <c r="X97" s="77"/>
      <c r="Y97" s="79"/>
      <c r="Z97" s="80"/>
      <c r="AA97" s="3"/>
      <c r="AE97" s="1"/>
    </row>
    <row r="98" spans="2:31" ht="30.75" customHeight="1" x14ac:dyDescent="0.25">
      <c r="B98" s="69"/>
      <c r="C98" s="70"/>
      <c r="D98" s="71"/>
      <c r="E98" s="118"/>
      <c r="F98" s="119"/>
      <c r="G98" s="119"/>
      <c r="H98" s="119"/>
      <c r="I98" s="119"/>
      <c r="J98" s="119"/>
      <c r="K98" s="119"/>
      <c r="L98" s="119"/>
      <c r="M98" s="119"/>
      <c r="N98" s="120"/>
      <c r="O98" s="75" t="str">
        <f t="shared" si="2"/>
        <v/>
      </c>
      <c r="P98" s="75"/>
      <c r="Q98" s="76" t="str">
        <f t="shared" si="3"/>
        <v/>
      </c>
      <c r="R98" s="77"/>
      <c r="S98" s="77"/>
      <c r="T98" s="77"/>
      <c r="U98" s="77"/>
      <c r="V98" s="77"/>
      <c r="W98" s="77"/>
      <c r="X98" s="77"/>
      <c r="Y98" s="79"/>
      <c r="Z98" s="80"/>
      <c r="AA98" s="3"/>
      <c r="AE98" s="1"/>
    </row>
    <row r="99" spans="2:31" ht="30.75" customHeight="1" x14ac:dyDescent="0.25">
      <c r="B99" s="69"/>
      <c r="C99" s="70"/>
      <c r="D99" s="71"/>
      <c r="E99" s="118"/>
      <c r="F99" s="119"/>
      <c r="G99" s="119"/>
      <c r="H99" s="119"/>
      <c r="I99" s="119"/>
      <c r="J99" s="119"/>
      <c r="K99" s="119"/>
      <c r="L99" s="119"/>
      <c r="M99" s="119"/>
      <c r="N99" s="120"/>
      <c r="O99" s="75" t="str">
        <f t="shared" si="2"/>
        <v/>
      </c>
      <c r="P99" s="75"/>
      <c r="Q99" s="76" t="str">
        <f t="shared" si="3"/>
        <v/>
      </c>
      <c r="R99" s="77"/>
      <c r="S99" s="77"/>
      <c r="T99" s="77"/>
      <c r="U99" s="77"/>
      <c r="V99" s="77"/>
      <c r="W99" s="77"/>
      <c r="X99" s="77"/>
      <c r="Y99" s="79"/>
      <c r="Z99" s="80"/>
      <c r="AA99" s="3"/>
      <c r="AE99" s="1"/>
    </row>
    <row r="100" spans="2:31" ht="30.75" customHeight="1" x14ac:dyDescent="0.25">
      <c r="B100" s="69"/>
      <c r="C100" s="70"/>
      <c r="D100" s="71"/>
      <c r="E100" s="118"/>
      <c r="F100" s="119"/>
      <c r="G100" s="119"/>
      <c r="H100" s="119"/>
      <c r="I100" s="119"/>
      <c r="J100" s="119"/>
      <c r="K100" s="119"/>
      <c r="L100" s="119"/>
      <c r="M100" s="119"/>
      <c r="N100" s="120"/>
      <c r="O100" s="75" t="str">
        <f t="shared" si="2"/>
        <v/>
      </c>
      <c r="P100" s="75"/>
      <c r="Q100" s="76" t="str">
        <f t="shared" si="3"/>
        <v/>
      </c>
      <c r="R100" s="77"/>
      <c r="S100" s="77"/>
      <c r="T100" s="77"/>
      <c r="U100" s="77"/>
      <c r="V100" s="77"/>
      <c r="W100" s="77"/>
      <c r="X100" s="77"/>
      <c r="Y100" s="79"/>
      <c r="Z100" s="80"/>
      <c r="AA100" s="3"/>
      <c r="AE100" s="1"/>
    </row>
    <row r="101" spans="2:31" ht="30.75" customHeight="1" x14ac:dyDescent="0.25">
      <c r="B101" s="69"/>
      <c r="C101" s="70"/>
      <c r="D101" s="71"/>
      <c r="E101" s="118"/>
      <c r="F101" s="119"/>
      <c r="G101" s="119"/>
      <c r="H101" s="119"/>
      <c r="I101" s="119"/>
      <c r="J101" s="119"/>
      <c r="K101" s="119"/>
      <c r="L101" s="119"/>
      <c r="M101" s="119"/>
      <c r="N101" s="120"/>
      <c r="O101" s="75" t="str">
        <f t="shared" si="2"/>
        <v/>
      </c>
      <c r="P101" s="75"/>
      <c r="Q101" s="76" t="str">
        <f t="shared" si="3"/>
        <v/>
      </c>
      <c r="R101" s="77"/>
      <c r="S101" s="77"/>
      <c r="T101" s="77"/>
      <c r="U101" s="77"/>
      <c r="V101" s="77"/>
      <c r="W101" s="77"/>
      <c r="X101" s="77"/>
      <c r="Y101" s="79"/>
      <c r="Z101" s="80"/>
      <c r="AA101" s="3"/>
      <c r="AE101" s="1"/>
    </row>
    <row r="102" spans="2:31" ht="30.75" hidden="1" customHeight="1" x14ac:dyDescent="0.25">
      <c r="B102" s="69"/>
      <c r="C102" s="70"/>
      <c r="D102" s="71"/>
      <c r="E102" s="118"/>
      <c r="F102" s="119"/>
      <c r="G102" s="119"/>
      <c r="H102" s="119"/>
      <c r="I102" s="119"/>
      <c r="J102" s="119"/>
      <c r="K102" s="119"/>
      <c r="L102" s="119"/>
      <c r="M102" s="119"/>
      <c r="N102" s="120"/>
      <c r="O102" s="75" t="str">
        <f t="shared" si="2"/>
        <v/>
      </c>
      <c r="P102" s="75"/>
      <c r="Q102" s="76" t="str">
        <f t="shared" si="3"/>
        <v/>
      </c>
      <c r="R102" s="77"/>
      <c r="S102" s="77"/>
      <c r="T102" s="77"/>
      <c r="U102" s="77"/>
      <c r="V102" s="77"/>
      <c r="W102" s="77"/>
      <c r="X102" s="77"/>
      <c r="Y102" s="79"/>
      <c r="Z102" s="80"/>
      <c r="AA102" s="3"/>
      <c r="AE102" s="1"/>
    </row>
    <row r="103" spans="2:31" ht="30.75" hidden="1" customHeight="1" x14ac:dyDescent="0.25">
      <c r="B103" s="69"/>
      <c r="C103" s="70"/>
      <c r="D103" s="71"/>
      <c r="E103" s="118"/>
      <c r="F103" s="119"/>
      <c r="G103" s="119"/>
      <c r="H103" s="119"/>
      <c r="I103" s="119"/>
      <c r="J103" s="119"/>
      <c r="K103" s="119"/>
      <c r="L103" s="119"/>
      <c r="M103" s="119"/>
      <c r="N103" s="120"/>
      <c r="O103" s="75" t="str">
        <f t="shared" si="2"/>
        <v/>
      </c>
      <c r="P103" s="75"/>
      <c r="Q103" s="76" t="str">
        <f t="shared" si="3"/>
        <v/>
      </c>
      <c r="R103" s="77"/>
      <c r="S103" s="77"/>
      <c r="T103" s="77"/>
      <c r="U103" s="77"/>
      <c r="V103" s="77"/>
      <c r="W103" s="77"/>
      <c r="X103" s="77"/>
      <c r="Y103" s="79"/>
      <c r="Z103" s="80"/>
      <c r="AA103" s="3"/>
      <c r="AE103" s="1"/>
    </row>
    <row r="104" spans="2:31" ht="30.75" customHeight="1" x14ac:dyDescent="0.25">
      <c r="B104" s="69"/>
      <c r="C104" s="70"/>
      <c r="D104" s="71"/>
      <c r="E104" s="118"/>
      <c r="F104" s="119"/>
      <c r="G104" s="119"/>
      <c r="H104" s="119"/>
      <c r="I104" s="119"/>
      <c r="J104" s="119"/>
      <c r="K104" s="119"/>
      <c r="L104" s="119"/>
      <c r="M104" s="119"/>
      <c r="N104" s="120"/>
      <c r="O104" s="75" t="str">
        <f t="shared" si="2"/>
        <v/>
      </c>
      <c r="P104" s="75"/>
      <c r="Q104" s="76" t="str">
        <f t="shared" si="3"/>
        <v/>
      </c>
      <c r="R104" s="77"/>
      <c r="S104" s="77"/>
      <c r="T104" s="77"/>
      <c r="U104" s="77"/>
      <c r="V104" s="77"/>
      <c r="W104" s="77"/>
      <c r="X104" s="77"/>
      <c r="Y104" s="79"/>
      <c r="Z104" s="80"/>
      <c r="AA104" s="3"/>
      <c r="AE104" s="1"/>
    </row>
    <row r="105" spans="2:31" ht="30.75" customHeight="1" x14ac:dyDescent="0.25">
      <c r="B105" s="69"/>
      <c r="C105" s="70"/>
      <c r="D105" s="71"/>
      <c r="E105" s="118"/>
      <c r="F105" s="119"/>
      <c r="G105" s="119"/>
      <c r="H105" s="119"/>
      <c r="I105" s="119"/>
      <c r="J105" s="119"/>
      <c r="K105" s="119"/>
      <c r="L105" s="119"/>
      <c r="M105" s="119"/>
      <c r="N105" s="120"/>
      <c r="O105" s="75" t="str">
        <f t="shared" si="2"/>
        <v/>
      </c>
      <c r="P105" s="75"/>
      <c r="Q105" s="76" t="str">
        <f t="shared" si="3"/>
        <v/>
      </c>
      <c r="R105" s="77"/>
      <c r="S105" s="77"/>
      <c r="T105" s="77"/>
      <c r="U105" s="77"/>
      <c r="V105" s="77"/>
      <c r="W105" s="77"/>
      <c r="X105" s="77"/>
      <c r="Y105" s="79"/>
      <c r="Z105" s="80"/>
      <c r="AA105" s="3"/>
      <c r="AE105" s="1"/>
    </row>
    <row r="106" spans="2:31" ht="30.75" customHeight="1" x14ac:dyDescent="0.25">
      <c r="B106" s="69"/>
      <c r="C106" s="70"/>
      <c r="D106" s="71"/>
      <c r="E106" s="118"/>
      <c r="F106" s="119"/>
      <c r="G106" s="119"/>
      <c r="H106" s="119"/>
      <c r="I106" s="119"/>
      <c r="J106" s="119"/>
      <c r="K106" s="119"/>
      <c r="L106" s="119"/>
      <c r="M106" s="119"/>
      <c r="N106" s="120"/>
      <c r="O106" s="75" t="str">
        <f t="shared" si="2"/>
        <v/>
      </c>
      <c r="P106" s="75"/>
      <c r="Q106" s="76" t="str">
        <f t="shared" si="3"/>
        <v/>
      </c>
      <c r="R106" s="77"/>
      <c r="S106" s="77"/>
      <c r="T106" s="77"/>
      <c r="U106" s="77"/>
      <c r="V106" s="77"/>
      <c r="W106" s="77"/>
      <c r="X106" s="77"/>
      <c r="Y106" s="79"/>
      <c r="Z106" s="80"/>
      <c r="AA106" s="3"/>
      <c r="AE106" s="1"/>
    </row>
    <row r="107" spans="2:31" ht="30.75" customHeight="1" x14ac:dyDescent="0.25">
      <c r="B107" s="69"/>
      <c r="C107" s="70"/>
      <c r="D107" s="71"/>
      <c r="E107" s="118"/>
      <c r="F107" s="119"/>
      <c r="G107" s="119"/>
      <c r="H107" s="119"/>
      <c r="I107" s="119"/>
      <c r="J107" s="119"/>
      <c r="K107" s="119"/>
      <c r="L107" s="119"/>
      <c r="M107" s="119"/>
      <c r="N107" s="120"/>
      <c r="O107" s="75" t="str">
        <f t="shared" si="2"/>
        <v/>
      </c>
      <c r="P107" s="75"/>
      <c r="Q107" s="76" t="str">
        <f t="shared" si="3"/>
        <v/>
      </c>
      <c r="R107" s="77"/>
      <c r="S107" s="77"/>
      <c r="T107" s="77"/>
      <c r="U107" s="77"/>
      <c r="V107" s="77"/>
      <c r="W107" s="77"/>
      <c r="X107" s="77"/>
      <c r="Y107" s="79"/>
      <c r="Z107" s="80"/>
      <c r="AA107" s="3"/>
      <c r="AE107" s="1"/>
    </row>
    <row r="108" spans="2:31" ht="30.75" customHeight="1" x14ac:dyDescent="0.25">
      <c r="B108" s="69"/>
      <c r="C108" s="70"/>
      <c r="D108" s="71"/>
      <c r="E108" s="118"/>
      <c r="F108" s="119"/>
      <c r="G108" s="119"/>
      <c r="H108" s="119"/>
      <c r="I108" s="119"/>
      <c r="J108" s="119"/>
      <c r="K108" s="119"/>
      <c r="L108" s="119"/>
      <c r="M108" s="119"/>
      <c r="N108" s="120"/>
      <c r="O108" s="75" t="str">
        <f t="shared" si="2"/>
        <v/>
      </c>
      <c r="P108" s="75"/>
      <c r="Q108" s="76" t="str">
        <f t="shared" si="3"/>
        <v/>
      </c>
      <c r="R108" s="77"/>
      <c r="S108" s="77"/>
      <c r="T108" s="77"/>
      <c r="U108" s="77"/>
      <c r="V108" s="77"/>
      <c r="W108" s="77"/>
      <c r="X108" s="77"/>
      <c r="Y108" s="79"/>
      <c r="Z108" s="80"/>
      <c r="AA108" s="3"/>
      <c r="AE108" s="1"/>
    </row>
    <row r="109" spans="2:31" ht="30.75" customHeight="1" x14ac:dyDescent="0.25">
      <c r="B109" s="69"/>
      <c r="C109" s="70"/>
      <c r="D109" s="71"/>
      <c r="E109" s="118"/>
      <c r="F109" s="119"/>
      <c r="G109" s="119"/>
      <c r="H109" s="119"/>
      <c r="I109" s="119"/>
      <c r="J109" s="119"/>
      <c r="K109" s="119"/>
      <c r="L109" s="119"/>
      <c r="M109" s="119"/>
      <c r="N109" s="120"/>
      <c r="O109" s="75" t="str">
        <f t="shared" si="2"/>
        <v/>
      </c>
      <c r="P109" s="75"/>
      <c r="Q109" s="76" t="str">
        <f t="shared" si="3"/>
        <v/>
      </c>
      <c r="R109" s="77"/>
      <c r="S109" s="77"/>
      <c r="T109" s="77"/>
      <c r="U109" s="77"/>
      <c r="V109" s="77"/>
      <c r="W109" s="77"/>
      <c r="X109" s="77"/>
      <c r="Y109" s="79"/>
      <c r="Z109" s="80"/>
      <c r="AA109" s="3"/>
      <c r="AE109" s="1"/>
    </row>
    <row r="110" spans="2:31" ht="30.75" customHeight="1" x14ac:dyDescent="0.25">
      <c r="B110" s="69"/>
      <c r="C110" s="70"/>
      <c r="D110" s="71"/>
      <c r="E110" s="118"/>
      <c r="F110" s="119"/>
      <c r="G110" s="119"/>
      <c r="H110" s="119"/>
      <c r="I110" s="119"/>
      <c r="J110" s="119"/>
      <c r="K110" s="119"/>
      <c r="L110" s="119"/>
      <c r="M110" s="119"/>
      <c r="N110" s="120"/>
      <c r="O110" s="75" t="str">
        <f t="shared" si="2"/>
        <v/>
      </c>
      <c r="P110" s="75"/>
      <c r="Q110" s="76" t="str">
        <f t="shared" si="3"/>
        <v/>
      </c>
      <c r="R110" s="77"/>
      <c r="S110" s="77"/>
      <c r="T110" s="77"/>
      <c r="U110" s="77"/>
      <c r="V110" s="77"/>
      <c r="W110" s="77"/>
      <c r="X110" s="77"/>
      <c r="Y110" s="79"/>
      <c r="Z110" s="80"/>
      <c r="AA110" s="3"/>
      <c r="AE110" s="1"/>
    </row>
    <row r="111" spans="2:31" ht="30.75" customHeight="1" x14ac:dyDescent="0.25">
      <c r="B111" s="69"/>
      <c r="C111" s="70"/>
      <c r="D111" s="71"/>
      <c r="E111" s="118"/>
      <c r="F111" s="119"/>
      <c r="G111" s="119"/>
      <c r="H111" s="119"/>
      <c r="I111" s="119"/>
      <c r="J111" s="119"/>
      <c r="K111" s="119"/>
      <c r="L111" s="119"/>
      <c r="M111" s="119"/>
      <c r="N111" s="120"/>
      <c r="O111" s="75" t="str">
        <f t="shared" si="2"/>
        <v/>
      </c>
      <c r="P111" s="75"/>
      <c r="Q111" s="76" t="str">
        <f t="shared" si="3"/>
        <v/>
      </c>
      <c r="R111" s="77"/>
      <c r="S111" s="77"/>
      <c r="T111" s="77"/>
      <c r="U111" s="77"/>
      <c r="V111" s="77"/>
      <c r="W111" s="77"/>
      <c r="X111" s="77"/>
      <c r="Y111" s="79"/>
      <c r="Z111" s="80"/>
      <c r="AA111" s="3"/>
      <c r="AE111" s="1"/>
    </row>
    <row r="112" spans="2:31" ht="30.75" customHeight="1" x14ac:dyDescent="0.25">
      <c r="B112" s="69"/>
      <c r="C112" s="70"/>
      <c r="D112" s="71"/>
      <c r="E112" s="118"/>
      <c r="F112" s="119"/>
      <c r="G112" s="119"/>
      <c r="H112" s="119"/>
      <c r="I112" s="119"/>
      <c r="J112" s="119"/>
      <c r="K112" s="119"/>
      <c r="L112" s="119"/>
      <c r="M112" s="119"/>
      <c r="N112" s="120"/>
      <c r="O112" s="75" t="str">
        <f t="shared" si="2"/>
        <v/>
      </c>
      <c r="P112" s="75"/>
      <c r="Q112" s="76" t="str">
        <f t="shared" si="3"/>
        <v/>
      </c>
      <c r="R112" s="77"/>
      <c r="S112" s="77"/>
      <c r="T112" s="77"/>
      <c r="U112" s="77"/>
      <c r="V112" s="77"/>
      <c r="W112" s="77"/>
      <c r="X112" s="77"/>
      <c r="Y112" s="79"/>
      <c r="Z112" s="80"/>
      <c r="AA112" s="3"/>
      <c r="AE112" s="1"/>
    </row>
    <row r="113" spans="2:31" ht="30.75" customHeight="1" x14ac:dyDescent="0.25">
      <c r="B113" s="69"/>
      <c r="C113" s="70"/>
      <c r="D113" s="71"/>
      <c r="E113" s="118"/>
      <c r="F113" s="119"/>
      <c r="G113" s="119"/>
      <c r="H113" s="119"/>
      <c r="I113" s="119"/>
      <c r="J113" s="119"/>
      <c r="K113" s="119"/>
      <c r="L113" s="119"/>
      <c r="M113" s="119"/>
      <c r="N113" s="120"/>
      <c r="O113" s="75" t="str">
        <f t="shared" ref="O113:O172" si="4">IF(C113="","",IF(F113&gt;5,E$12,IF(G113&gt;5,F$12,IF(H113&gt;5,G$12,IF(I113&gt;5,H$12,IF(J113&gt;5,I$12,IF(K113&gt;5,J$12,IF(M113&gt;5,K$12))))))))</f>
        <v/>
      </c>
      <c r="P113" s="75"/>
      <c r="Q113" s="76" t="str">
        <f t="shared" si="3"/>
        <v/>
      </c>
      <c r="R113" s="77"/>
      <c r="S113" s="77"/>
      <c r="T113" s="77"/>
      <c r="U113" s="77"/>
      <c r="V113" s="77"/>
      <c r="W113" s="77"/>
      <c r="X113" s="77"/>
      <c r="Y113" s="79"/>
      <c r="Z113" s="80"/>
      <c r="AA113" s="3"/>
      <c r="AE113" s="1"/>
    </row>
    <row r="114" spans="2:31" ht="30.75" customHeight="1" x14ac:dyDescent="0.25">
      <c r="B114" s="69"/>
      <c r="C114" s="70"/>
      <c r="D114" s="71"/>
      <c r="E114" s="118"/>
      <c r="F114" s="119"/>
      <c r="G114" s="119"/>
      <c r="H114" s="119"/>
      <c r="I114" s="119"/>
      <c r="J114" s="119"/>
      <c r="K114" s="119"/>
      <c r="L114" s="119"/>
      <c r="M114" s="119"/>
      <c r="N114" s="120"/>
      <c r="O114" s="75" t="str">
        <f t="shared" si="4"/>
        <v/>
      </c>
      <c r="P114" s="75"/>
      <c r="Q114" s="76" t="str">
        <f t="shared" si="3"/>
        <v/>
      </c>
      <c r="R114" s="77"/>
      <c r="S114" s="77"/>
      <c r="T114" s="77"/>
      <c r="U114" s="77"/>
      <c r="V114" s="77"/>
      <c r="W114" s="77"/>
      <c r="X114" s="77"/>
      <c r="Y114" s="79"/>
      <c r="Z114" s="80"/>
      <c r="AA114" s="3"/>
      <c r="AE114" s="1"/>
    </row>
    <row r="115" spans="2:31" ht="30.75" customHeight="1" x14ac:dyDescent="0.25">
      <c r="B115" s="69"/>
      <c r="C115" s="70"/>
      <c r="D115" s="71"/>
      <c r="E115" s="118"/>
      <c r="F115" s="119"/>
      <c r="G115" s="119"/>
      <c r="H115" s="119"/>
      <c r="I115" s="119"/>
      <c r="J115" s="119"/>
      <c r="K115" s="119"/>
      <c r="L115" s="119"/>
      <c r="M115" s="119"/>
      <c r="N115" s="120"/>
      <c r="O115" s="75" t="str">
        <f t="shared" si="4"/>
        <v/>
      </c>
      <c r="P115" s="75"/>
      <c r="Q115" s="76" t="str">
        <f t="shared" si="3"/>
        <v/>
      </c>
      <c r="R115" s="77"/>
      <c r="S115" s="77"/>
      <c r="T115" s="77"/>
      <c r="U115" s="77"/>
      <c r="V115" s="77"/>
      <c r="W115" s="77"/>
      <c r="X115" s="77"/>
      <c r="Y115" s="79"/>
      <c r="Z115" s="80"/>
      <c r="AA115" s="3"/>
      <c r="AE115" s="1"/>
    </row>
    <row r="116" spans="2:31" ht="30.75" customHeight="1" x14ac:dyDescent="0.25">
      <c r="B116" s="69"/>
      <c r="C116" s="70"/>
      <c r="D116" s="71"/>
      <c r="E116" s="118"/>
      <c r="F116" s="119"/>
      <c r="G116" s="119"/>
      <c r="H116" s="119"/>
      <c r="I116" s="119"/>
      <c r="J116" s="119"/>
      <c r="K116" s="119"/>
      <c r="L116" s="119"/>
      <c r="M116" s="119"/>
      <c r="N116" s="120"/>
      <c r="O116" s="75" t="str">
        <f t="shared" si="4"/>
        <v/>
      </c>
      <c r="P116" s="75"/>
      <c r="Q116" s="76" t="str">
        <f t="shared" si="3"/>
        <v/>
      </c>
      <c r="R116" s="77"/>
      <c r="S116" s="77"/>
      <c r="T116" s="77"/>
      <c r="U116" s="77"/>
      <c r="V116" s="77"/>
      <c r="W116" s="77"/>
      <c r="X116" s="77"/>
      <c r="Y116" s="79"/>
      <c r="Z116" s="80"/>
      <c r="AA116" s="3"/>
      <c r="AE116" s="1"/>
    </row>
    <row r="117" spans="2:31" ht="30.75" customHeight="1" x14ac:dyDescent="0.25">
      <c r="B117" s="69"/>
      <c r="C117" s="70"/>
      <c r="D117" s="71"/>
      <c r="E117" s="118"/>
      <c r="F117" s="119"/>
      <c r="G117" s="119"/>
      <c r="H117" s="119"/>
      <c r="I117" s="119"/>
      <c r="J117" s="119"/>
      <c r="K117" s="119"/>
      <c r="L117" s="119"/>
      <c r="M117" s="119"/>
      <c r="N117" s="120"/>
      <c r="O117" s="75" t="str">
        <f t="shared" si="4"/>
        <v/>
      </c>
      <c r="P117" s="75"/>
      <c r="Q117" s="76" t="str">
        <f t="shared" si="3"/>
        <v/>
      </c>
      <c r="R117" s="77"/>
      <c r="S117" s="77"/>
      <c r="T117" s="77"/>
      <c r="U117" s="77"/>
      <c r="V117" s="77"/>
      <c r="W117" s="77"/>
      <c r="X117" s="77"/>
      <c r="Y117" s="79"/>
      <c r="Z117" s="80"/>
      <c r="AA117" s="3"/>
      <c r="AE117" s="1"/>
    </row>
    <row r="118" spans="2:31" ht="30.75" customHeight="1" x14ac:dyDescent="0.25">
      <c r="B118" s="69"/>
      <c r="C118" s="70"/>
      <c r="D118" s="71"/>
      <c r="E118" s="118"/>
      <c r="F118" s="119"/>
      <c r="G118" s="119"/>
      <c r="H118" s="119"/>
      <c r="I118" s="119"/>
      <c r="J118" s="119"/>
      <c r="K118" s="119"/>
      <c r="L118" s="119"/>
      <c r="M118" s="119"/>
      <c r="N118" s="120"/>
      <c r="O118" s="75" t="str">
        <f t="shared" si="4"/>
        <v/>
      </c>
      <c r="P118" s="75"/>
      <c r="Q118" s="76" t="str">
        <f t="shared" si="3"/>
        <v/>
      </c>
      <c r="R118" s="77"/>
      <c r="S118" s="77"/>
      <c r="T118" s="77"/>
      <c r="U118" s="77"/>
      <c r="V118" s="77"/>
      <c r="W118" s="77"/>
      <c r="X118" s="77"/>
      <c r="Y118" s="79"/>
      <c r="Z118" s="80"/>
      <c r="AA118" s="3"/>
      <c r="AE118" s="1"/>
    </row>
    <row r="119" spans="2:31" ht="30.75" customHeight="1" x14ac:dyDescent="0.25">
      <c r="B119" s="69"/>
      <c r="C119" s="70"/>
      <c r="D119" s="71"/>
      <c r="E119" s="118"/>
      <c r="F119" s="119"/>
      <c r="G119" s="119"/>
      <c r="H119" s="119"/>
      <c r="I119" s="119"/>
      <c r="J119" s="119"/>
      <c r="K119" s="119"/>
      <c r="L119" s="119"/>
      <c r="M119" s="119"/>
      <c r="N119" s="120"/>
      <c r="O119" s="75" t="str">
        <f t="shared" si="4"/>
        <v/>
      </c>
      <c r="P119" s="75"/>
      <c r="Q119" s="76" t="str">
        <f t="shared" si="3"/>
        <v/>
      </c>
      <c r="R119" s="77"/>
      <c r="S119" s="77"/>
      <c r="T119" s="77"/>
      <c r="U119" s="77"/>
      <c r="V119" s="77"/>
      <c r="W119" s="77"/>
      <c r="X119" s="77"/>
      <c r="Y119" s="79"/>
      <c r="Z119" s="80"/>
      <c r="AA119" s="3"/>
      <c r="AE119" s="1"/>
    </row>
    <row r="120" spans="2:31" ht="30.75" customHeight="1" x14ac:dyDescent="0.25">
      <c r="B120" s="69"/>
      <c r="C120" s="70"/>
      <c r="D120" s="71"/>
      <c r="E120" s="118"/>
      <c r="F120" s="119"/>
      <c r="G120" s="119"/>
      <c r="H120" s="119"/>
      <c r="I120" s="119"/>
      <c r="J120" s="119"/>
      <c r="K120" s="119"/>
      <c r="L120" s="119"/>
      <c r="M120" s="119"/>
      <c r="N120" s="120"/>
      <c r="O120" s="75" t="str">
        <f t="shared" si="4"/>
        <v/>
      </c>
      <c r="P120" s="75"/>
      <c r="Q120" s="76" t="str">
        <f t="shared" si="3"/>
        <v/>
      </c>
      <c r="R120" s="77"/>
      <c r="S120" s="77"/>
      <c r="T120" s="77"/>
      <c r="U120" s="77"/>
      <c r="V120" s="77"/>
      <c r="W120" s="77"/>
      <c r="X120" s="77"/>
      <c r="Y120" s="79"/>
      <c r="Z120" s="80"/>
      <c r="AA120" s="3"/>
      <c r="AE120" s="1"/>
    </row>
    <row r="121" spans="2:31" ht="30.75" customHeight="1" x14ac:dyDescent="0.25">
      <c r="B121" s="69"/>
      <c r="C121" s="70"/>
      <c r="D121" s="71"/>
      <c r="E121" s="118"/>
      <c r="F121" s="119"/>
      <c r="G121" s="119"/>
      <c r="H121" s="119"/>
      <c r="I121" s="119"/>
      <c r="J121" s="119"/>
      <c r="K121" s="119"/>
      <c r="L121" s="119"/>
      <c r="M121" s="119"/>
      <c r="N121" s="120"/>
      <c r="O121" s="75" t="str">
        <f t="shared" si="4"/>
        <v/>
      </c>
      <c r="P121" s="75"/>
      <c r="Q121" s="76" t="str">
        <f t="shared" si="3"/>
        <v/>
      </c>
      <c r="R121" s="77"/>
      <c r="S121" s="77"/>
      <c r="T121" s="77"/>
      <c r="U121" s="77"/>
      <c r="V121" s="77"/>
      <c r="W121" s="77"/>
      <c r="X121" s="77"/>
      <c r="Y121" s="79"/>
      <c r="Z121" s="80"/>
      <c r="AA121" s="3"/>
      <c r="AE121" s="1"/>
    </row>
    <row r="122" spans="2:31" ht="30.75" customHeight="1" x14ac:dyDescent="0.25">
      <c r="B122" s="69"/>
      <c r="C122" s="70"/>
      <c r="D122" s="71"/>
      <c r="E122" s="118"/>
      <c r="F122" s="119"/>
      <c r="G122" s="119"/>
      <c r="H122" s="119"/>
      <c r="I122" s="119"/>
      <c r="J122" s="119"/>
      <c r="K122" s="119"/>
      <c r="L122" s="119"/>
      <c r="M122" s="119"/>
      <c r="N122" s="120"/>
      <c r="O122" s="75" t="str">
        <f t="shared" si="4"/>
        <v/>
      </c>
      <c r="P122" s="75"/>
      <c r="Q122" s="76" t="str">
        <f t="shared" si="3"/>
        <v/>
      </c>
      <c r="R122" s="77"/>
      <c r="S122" s="77"/>
      <c r="T122" s="77"/>
      <c r="U122" s="77"/>
      <c r="V122" s="77"/>
      <c r="W122" s="77"/>
      <c r="X122" s="77"/>
      <c r="Y122" s="79"/>
      <c r="Z122" s="80"/>
      <c r="AA122" s="3"/>
      <c r="AE122" s="1"/>
    </row>
    <row r="123" spans="2:31" ht="30.75" customHeight="1" x14ac:dyDescent="0.25">
      <c r="B123" s="69"/>
      <c r="C123" s="70"/>
      <c r="D123" s="71"/>
      <c r="E123" s="118"/>
      <c r="F123" s="119"/>
      <c r="G123" s="119"/>
      <c r="H123" s="119"/>
      <c r="I123" s="119"/>
      <c r="J123" s="119"/>
      <c r="K123" s="119"/>
      <c r="L123" s="119"/>
      <c r="M123" s="119"/>
      <c r="N123" s="120"/>
      <c r="O123" s="75" t="str">
        <f t="shared" si="4"/>
        <v/>
      </c>
      <c r="P123" s="75"/>
      <c r="Q123" s="76" t="str">
        <f t="shared" si="3"/>
        <v/>
      </c>
      <c r="R123" s="77"/>
      <c r="S123" s="77"/>
      <c r="T123" s="77"/>
      <c r="U123" s="77"/>
      <c r="V123" s="77"/>
      <c r="W123" s="77"/>
      <c r="X123" s="77"/>
      <c r="Y123" s="79"/>
      <c r="Z123" s="80"/>
      <c r="AA123" s="3"/>
      <c r="AE123" s="1"/>
    </row>
    <row r="124" spans="2:31" ht="30.75" customHeight="1" x14ac:dyDescent="0.25">
      <c r="B124" s="69"/>
      <c r="C124" s="70"/>
      <c r="D124" s="71"/>
      <c r="E124" s="118"/>
      <c r="F124" s="119"/>
      <c r="G124" s="119"/>
      <c r="H124" s="119"/>
      <c r="I124" s="119"/>
      <c r="J124" s="119"/>
      <c r="K124" s="119"/>
      <c r="L124" s="119"/>
      <c r="M124" s="119"/>
      <c r="N124" s="120"/>
      <c r="O124" s="75" t="str">
        <f t="shared" si="4"/>
        <v/>
      </c>
      <c r="P124" s="75"/>
      <c r="Q124" s="76" t="str">
        <f t="shared" si="3"/>
        <v/>
      </c>
      <c r="R124" s="77"/>
      <c r="S124" s="77"/>
      <c r="T124" s="77"/>
      <c r="U124" s="77"/>
      <c r="V124" s="77"/>
      <c r="W124" s="77"/>
      <c r="X124" s="77"/>
      <c r="Y124" s="79"/>
      <c r="Z124" s="80"/>
      <c r="AA124" s="3"/>
      <c r="AE124" s="1"/>
    </row>
    <row r="125" spans="2:31" ht="30.75" customHeight="1" x14ac:dyDescent="0.25">
      <c r="B125" s="69"/>
      <c r="C125" s="70"/>
      <c r="D125" s="71"/>
      <c r="E125" s="118"/>
      <c r="F125" s="119"/>
      <c r="G125" s="119"/>
      <c r="H125" s="119"/>
      <c r="I125" s="119"/>
      <c r="J125" s="119"/>
      <c r="K125" s="119"/>
      <c r="L125" s="119"/>
      <c r="M125" s="119"/>
      <c r="N125" s="120"/>
      <c r="O125" s="75" t="str">
        <f t="shared" si="4"/>
        <v/>
      </c>
      <c r="P125" s="75"/>
      <c r="Q125" s="76" t="str">
        <f t="shared" si="3"/>
        <v/>
      </c>
      <c r="R125" s="77"/>
      <c r="S125" s="77"/>
      <c r="T125" s="77"/>
      <c r="U125" s="77"/>
      <c r="V125" s="77"/>
      <c r="W125" s="77"/>
      <c r="X125" s="77"/>
      <c r="Y125" s="79"/>
      <c r="Z125" s="80"/>
      <c r="AA125" s="3"/>
      <c r="AE125" s="1"/>
    </row>
    <row r="126" spans="2:31" ht="30.75" customHeight="1" x14ac:dyDescent="0.25">
      <c r="B126" s="69"/>
      <c r="C126" s="70"/>
      <c r="D126" s="71"/>
      <c r="E126" s="118"/>
      <c r="F126" s="119"/>
      <c r="G126" s="119"/>
      <c r="H126" s="119"/>
      <c r="I126" s="119"/>
      <c r="J126" s="119"/>
      <c r="K126" s="119"/>
      <c r="L126" s="119"/>
      <c r="M126" s="119"/>
      <c r="N126" s="120"/>
      <c r="O126" s="75" t="str">
        <f t="shared" si="4"/>
        <v/>
      </c>
      <c r="P126" s="75"/>
      <c r="Q126" s="76" t="str">
        <f t="shared" si="3"/>
        <v/>
      </c>
      <c r="R126" s="77"/>
      <c r="S126" s="77"/>
      <c r="T126" s="77"/>
      <c r="U126" s="77"/>
      <c r="V126" s="77"/>
      <c r="W126" s="77"/>
      <c r="X126" s="77"/>
      <c r="Y126" s="79"/>
      <c r="Z126" s="80"/>
      <c r="AA126" s="3"/>
      <c r="AE126" s="1"/>
    </row>
    <row r="127" spans="2:31" ht="30.75" customHeight="1" x14ac:dyDescent="0.25">
      <c r="B127" s="69"/>
      <c r="C127" s="70"/>
      <c r="D127" s="71"/>
      <c r="E127" s="118"/>
      <c r="F127" s="119"/>
      <c r="G127" s="119"/>
      <c r="H127" s="119"/>
      <c r="I127" s="119"/>
      <c r="J127" s="119"/>
      <c r="K127" s="119"/>
      <c r="L127" s="119"/>
      <c r="M127" s="119"/>
      <c r="N127" s="120"/>
      <c r="O127" s="75" t="str">
        <f t="shared" si="4"/>
        <v/>
      </c>
      <c r="P127" s="75"/>
      <c r="Q127" s="76" t="str">
        <f t="shared" si="3"/>
        <v/>
      </c>
      <c r="R127" s="77"/>
      <c r="S127" s="77"/>
      <c r="T127" s="77"/>
      <c r="U127" s="77"/>
      <c r="V127" s="77"/>
      <c r="W127" s="77"/>
      <c r="X127" s="77"/>
      <c r="Y127" s="79"/>
      <c r="Z127" s="80"/>
      <c r="AA127" s="3"/>
      <c r="AE127" s="1"/>
    </row>
    <row r="128" spans="2:31" ht="30.75" customHeight="1" x14ac:dyDescent="0.25">
      <c r="B128" s="69"/>
      <c r="C128" s="70"/>
      <c r="D128" s="71"/>
      <c r="E128" s="118"/>
      <c r="F128" s="119"/>
      <c r="G128" s="119"/>
      <c r="H128" s="119"/>
      <c r="I128" s="119"/>
      <c r="J128" s="119"/>
      <c r="K128" s="119"/>
      <c r="L128" s="119"/>
      <c r="M128" s="119"/>
      <c r="N128" s="120"/>
      <c r="O128" s="75" t="str">
        <f t="shared" si="4"/>
        <v/>
      </c>
      <c r="P128" s="75"/>
      <c r="Q128" s="76" t="str">
        <f t="shared" si="3"/>
        <v/>
      </c>
      <c r="R128" s="77"/>
      <c r="S128" s="77"/>
      <c r="T128" s="77"/>
      <c r="U128" s="77"/>
      <c r="V128" s="77"/>
      <c r="W128" s="77"/>
      <c r="X128" s="77"/>
      <c r="Y128" s="79"/>
      <c r="Z128" s="80"/>
      <c r="AA128" s="3"/>
      <c r="AE128" s="1"/>
    </row>
    <row r="129" spans="2:31" ht="30.75" customHeight="1" x14ac:dyDescent="0.25">
      <c r="B129" s="69"/>
      <c r="C129" s="70"/>
      <c r="D129" s="71"/>
      <c r="E129" s="118"/>
      <c r="F129" s="119"/>
      <c r="G129" s="119"/>
      <c r="H129" s="119"/>
      <c r="I129" s="119"/>
      <c r="J129" s="119"/>
      <c r="K129" s="119"/>
      <c r="L129" s="119"/>
      <c r="M129" s="119"/>
      <c r="N129" s="120"/>
      <c r="O129" s="75" t="str">
        <f t="shared" si="4"/>
        <v/>
      </c>
      <c r="P129" s="75"/>
      <c r="Q129" s="76" t="str">
        <f t="shared" si="3"/>
        <v/>
      </c>
      <c r="R129" s="77"/>
      <c r="S129" s="77"/>
      <c r="T129" s="77"/>
      <c r="U129" s="77"/>
      <c r="V129" s="77"/>
      <c r="W129" s="77"/>
      <c r="X129" s="77"/>
      <c r="Y129" s="79"/>
      <c r="Z129" s="80"/>
      <c r="AA129" s="3"/>
      <c r="AE129" s="1"/>
    </row>
    <row r="130" spans="2:31" ht="30.75" customHeight="1" thickBot="1" x14ac:dyDescent="0.3">
      <c r="B130" s="69"/>
      <c r="C130" s="70"/>
      <c r="D130" s="71"/>
      <c r="E130" s="118"/>
      <c r="F130" s="119"/>
      <c r="G130" s="119"/>
      <c r="H130" s="119"/>
      <c r="I130" s="119"/>
      <c r="J130" s="119"/>
      <c r="K130" s="119"/>
      <c r="L130" s="119"/>
      <c r="M130" s="119"/>
      <c r="N130" s="120"/>
      <c r="O130" s="75" t="str">
        <f t="shared" si="4"/>
        <v/>
      </c>
      <c r="P130" s="75"/>
      <c r="Q130" s="76" t="str">
        <f t="shared" si="3"/>
        <v/>
      </c>
      <c r="R130" s="77"/>
      <c r="S130" s="77"/>
      <c r="T130" s="77"/>
      <c r="U130" s="77"/>
      <c r="V130" s="77"/>
      <c r="W130" s="77"/>
      <c r="X130" s="77"/>
      <c r="Y130" s="79"/>
      <c r="Z130" s="80"/>
      <c r="AA130" s="3"/>
      <c r="AE130" s="1"/>
    </row>
    <row r="131" spans="2:31" ht="15" hidden="1" customHeight="1" thickBot="1" x14ac:dyDescent="0.3">
      <c r="B131" s="69"/>
      <c r="C131" s="70"/>
      <c r="D131" s="71"/>
      <c r="E131" s="118"/>
      <c r="F131" s="119"/>
      <c r="G131" s="119"/>
      <c r="H131" s="119"/>
      <c r="I131" s="119"/>
      <c r="J131" s="119"/>
      <c r="K131" s="119"/>
      <c r="L131" s="119"/>
      <c r="M131" s="119"/>
      <c r="N131" s="120"/>
      <c r="O131" s="75" t="str">
        <f t="shared" si="4"/>
        <v/>
      </c>
      <c r="P131" s="75"/>
      <c r="Q131" s="76" t="str">
        <f t="shared" si="3"/>
        <v/>
      </c>
      <c r="R131" s="77"/>
      <c r="S131" s="77"/>
      <c r="T131" s="77"/>
      <c r="U131" s="77"/>
      <c r="V131" s="77"/>
      <c r="W131" s="77"/>
      <c r="X131" s="77"/>
      <c r="Y131" s="79"/>
      <c r="Z131" s="80"/>
      <c r="AA131" s="3"/>
      <c r="AE131" s="1"/>
    </row>
    <row r="132" spans="2:31" ht="15" hidden="1" customHeight="1" thickTop="1" thickBot="1" x14ac:dyDescent="0.3">
      <c r="B132" s="69"/>
      <c r="C132" s="70"/>
      <c r="D132" s="71"/>
      <c r="E132" s="118"/>
      <c r="F132" s="119"/>
      <c r="G132" s="119"/>
      <c r="H132" s="119"/>
      <c r="I132" s="119"/>
      <c r="J132" s="119"/>
      <c r="K132" s="119"/>
      <c r="L132" s="119"/>
      <c r="M132" s="119"/>
      <c r="N132" s="120"/>
      <c r="O132" s="75" t="str">
        <f t="shared" si="4"/>
        <v/>
      </c>
      <c r="P132" s="75"/>
      <c r="Q132" s="76" t="str">
        <f t="shared" si="3"/>
        <v/>
      </c>
      <c r="R132" s="77"/>
      <c r="S132" s="77"/>
      <c r="T132" s="77"/>
      <c r="U132" s="77"/>
      <c r="V132" s="77"/>
      <c r="W132" s="77"/>
      <c r="X132" s="77"/>
      <c r="Y132" s="79"/>
      <c r="Z132" s="80"/>
      <c r="AA132" s="3"/>
      <c r="AE132" s="1"/>
    </row>
    <row r="133" spans="2:31" ht="15" hidden="1" customHeight="1" thickTop="1" thickBot="1" x14ac:dyDescent="0.3">
      <c r="B133" s="69"/>
      <c r="C133" s="70"/>
      <c r="D133" s="71"/>
      <c r="E133" s="118"/>
      <c r="F133" s="119"/>
      <c r="G133" s="119"/>
      <c r="H133" s="119"/>
      <c r="I133" s="119"/>
      <c r="J133" s="119"/>
      <c r="K133" s="119"/>
      <c r="L133" s="119"/>
      <c r="M133" s="119"/>
      <c r="N133" s="120"/>
      <c r="O133" s="75" t="str">
        <f t="shared" si="4"/>
        <v/>
      </c>
      <c r="P133" s="75"/>
      <c r="Q133" s="76" t="str">
        <f t="shared" si="3"/>
        <v/>
      </c>
      <c r="R133" s="77"/>
      <c r="S133" s="77"/>
      <c r="T133" s="77"/>
      <c r="U133" s="77"/>
      <c r="V133" s="77"/>
      <c r="W133" s="77"/>
      <c r="X133" s="77"/>
      <c r="Y133" s="79"/>
      <c r="Z133" s="80"/>
      <c r="AA133" s="3"/>
      <c r="AE133" s="1"/>
    </row>
    <row r="134" spans="2:31" ht="15" hidden="1" customHeight="1" thickTop="1" thickBot="1" x14ac:dyDescent="0.3">
      <c r="B134" s="69"/>
      <c r="C134" s="70"/>
      <c r="D134" s="71"/>
      <c r="E134" s="118"/>
      <c r="F134" s="119"/>
      <c r="G134" s="119"/>
      <c r="H134" s="119"/>
      <c r="I134" s="119"/>
      <c r="J134" s="119"/>
      <c r="K134" s="119"/>
      <c r="L134" s="119"/>
      <c r="M134" s="119"/>
      <c r="N134" s="120"/>
      <c r="O134" s="75" t="str">
        <f t="shared" si="4"/>
        <v/>
      </c>
      <c r="P134" s="75"/>
      <c r="Q134" s="76" t="str">
        <f t="shared" si="3"/>
        <v/>
      </c>
      <c r="R134" s="77"/>
      <c r="S134" s="77"/>
      <c r="T134" s="77"/>
      <c r="U134" s="77"/>
      <c r="V134" s="77"/>
      <c r="W134" s="77"/>
      <c r="X134" s="77"/>
      <c r="Y134" s="79"/>
      <c r="Z134" s="80"/>
      <c r="AA134" s="3"/>
      <c r="AE134" s="1"/>
    </row>
    <row r="135" spans="2:31" ht="15" hidden="1" customHeight="1" thickTop="1" thickBot="1" x14ac:dyDescent="0.3">
      <c r="B135" s="69"/>
      <c r="C135" s="70"/>
      <c r="D135" s="71"/>
      <c r="E135" s="118"/>
      <c r="F135" s="119"/>
      <c r="G135" s="119"/>
      <c r="H135" s="119"/>
      <c r="I135" s="119"/>
      <c r="J135" s="119"/>
      <c r="K135" s="119"/>
      <c r="L135" s="119"/>
      <c r="M135" s="119"/>
      <c r="N135" s="120"/>
      <c r="O135" s="75" t="str">
        <f t="shared" si="4"/>
        <v/>
      </c>
      <c r="P135" s="75"/>
      <c r="Q135" s="76" t="str">
        <f t="shared" si="3"/>
        <v/>
      </c>
      <c r="R135" s="77"/>
      <c r="S135" s="77"/>
      <c r="T135" s="77"/>
      <c r="U135" s="77"/>
      <c r="V135" s="77"/>
      <c r="W135" s="77"/>
      <c r="X135" s="77"/>
      <c r="Y135" s="79"/>
      <c r="Z135" s="80"/>
      <c r="AA135" s="3"/>
      <c r="AE135" s="1"/>
    </row>
    <row r="136" spans="2:31" ht="15" hidden="1" customHeight="1" thickTop="1" thickBot="1" x14ac:dyDescent="0.3">
      <c r="B136" s="69"/>
      <c r="C136" s="70"/>
      <c r="D136" s="71"/>
      <c r="E136" s="118"/>
      <c r="F136" s="119"/>
      <c r="G136" s="119"/>
      <c r="H136" s="119"/>
      <c r="I136" s="119"/>
      <c r="J136" s="119"/>
      <c r="K136" s="119"/>
      <c r="L136" s="119"/>
      <c r="M136" s="119"/>
      <c r="N136" s="120"/>
      <c r="O136" s="75" t="str">
        <f t="shared" si="4"/>
        <v/>
      </c>
      <c r="P136" s="75"/>
      <c r="Q136" s="76" t="str">
        <f t="shared" si="3"/>
        <v/>
      </c>
      <c r="R136" s="77"/>
      <c r="S136" s="77"/>
      <c r="T136" s="77"/>
      <c r="U136" s="77"/>
      <c r="V136" s="77"/>
      <c r="W136" s="77"/>
      <c r="X136" s="77"/>
      <c r="Y136" s="79"/>
      <c r="Z136" s="80"/>
      <c r="AA136" s="3"/>
      <c r="AE136" s="1"/>
    </row>
    <row r="137" spans="2:31" ht="15" hidden="1" customHeight="1" thickTop="1" thickBot="1" x14ac:dyDescent="0.3">
      <c r="B137" s="69"/>
      <c r="C137" s="70"/>
      <c r="D137" s="71"/>
      <c r="E137" s="118"/>
      <c r="F137" s="119"/>
      <c r="G137" s="119"/>
      <c r="H137" s="119"/>
      <c r="I137" s="119"/>
      <c r="J137" s="119"/>
      <c r="K137" s="119"/>
      <c r="L137" s="119"/>
      <c r="M137" s="119"/>
      <c r="N137" s="120"/>
      <c r="O137" s="75" t="str">
        <f t="shared" si="4"/>
        <v/>
      </c>
      <c r="P137" s="75"/>
      <c r="Q137" s="76" t="str">
        <f t="shared" si="3"/>
        <v/>
      </c>
      <c r="R137" s="77"/>
      <c r="S137" s="77"/>
      <c r="T137" s="77"/>
      <c r="U137" s="77"/>
      <c r="V137" s="77"/>
      <c r="W137" s="77"/>
      <c r="X137" s="77"/>
      <c r="Y137" s="79"/>
      <c r="Z137" s="80"/>
      <c r="AA137" s="3"/>
      <c r="AE137" s="1"/>
    </row>
    <row r="138" spans="2:31" ht="15" hidden="1" customHeight="1" thickTop="1" thickBot="1" x14ac:dyDescent="0.3">
      <c r="B138" s="69"/>
      <c r="C138" s="70"/>
      <c r="D138" s="71"/>
      <c r="E138" s="118"/>
      <c r="F138" s="119"/>
      <c r="G138" s="119"/>
      <c r="H138" s="119"/>
      <c r="I138" s="119"/>
      <c r="J138" s="119"/>
      <c r="K138" s="119"/>
      <c r="L138" s="119"/>
      <c r="M138" s="119"/>
      <c r="N138" s="120"/>
      <c r="O138" s="75" t="str">
        <f t="shared" si="4"/>
        <v/>
      </c>
      <c r="P138" s="75"/>
      <c r="Q138" s="76" t="str">
        <f t="shared" si="3"/>
        <v/>
      </c>
      <c r="R138" s="77"/>
      <c r="S138" s="77"/>
      <c r="T138" s="77"/>
      <c r="U138" s="77"/>
      <c r="V138" s="77"/>
      <c r="W138" s="77"/>
      <c r="X138" s="77"/>
      <c r="Y138" s="79"/>
      <c r="Z138" s="80"/>
      <c r="AA138" s="3"/>
      <c r="AE138" s="1"/>
    </row>
    <row r="139" spans="2:31" ht="15" hidden="1" customHeight="1" thickTop="1" thickBot="1" x14ac:dyDescent="0.3">
      <c r="B139" s="69"/>
      <c r="C139" s="70"/>
      <c r="D139" s="71"/>
      <c r="E139" s="118"/>
      <c r="F139" s="119"/>
      <c r="G139" s="119"/>
      <c r="H139" s="119"/>
      <c r="I139" s="119"/>
      <c r="J139" s="119"/>
      <c r="K139" s="119"/>
      <c r="L139" s="119"/>
      <c r="M139" s="119"/>
      <c r="N139" s="120"/>
      <c r="O139" s="75" t="str">
        <f t="shared" si="4"/>
        <v/>
      </c>
      <c r="P139" s="75"/>
      <c r="Q139" s="76" t="str">
        <f t="shared" si="3"/>
        <v/>
      </c>
      <c r="R139" s="77"/>
      <c r="S139" s="77"/>
      <c r="T139" s="77"/>
      <c r="U139" s="77"/>
      <c r="V139" s="77"/>
      <c r="W139" s="77"/>
      <c r="X139" s="77"/>
      <c r="Y139" s="79"/>
      <c r="Z139" s="80"/>
      <c r="AA139" s="3"/>
      <c r="AE139" s="1"/>
    </row>
    <row r="140" spans="2:31" ht="15" hidden="1" customHeight="1" thickTop="1" thickBot="1" x14ac:dyDescent="0.3">
      <c r="B140" s="69"/>
      <c r="C140" s="70"/>
      <c r="D140" s="71"/>
      <c r="E140" s="118"/>
      <c r="F140" s="119"/>
      <c r="G140" s="119"/>
      <c r="H140" s="119"/>
      <c r="I140" s="119"/>
      <c r="J140" s="119"/>
      <c r="K140" s="119"/>
      <c r="L140" s="119"/>
      <c r="M140" s="119"/>
      <c r="N140" s="120"/>
      <c r="O140" s="75" t="str">
        <f t="shared" si="4"/>
        <v/>
      </c>
      <c r="P140" s="75"/>
      <c r="Q140" s="76" t="str">
        <f t="shared" si="3"/>
        <v/>
      </c>
      <c r="R140" s="77"/>
      <c r="S140" s="77"/>
      <c r="T140" s="77"/>
      <c r="U140" s="77"/>
      <c r="V140" s="77"/>
      <c r="W140" s="77"/>
      <c r="X140" s="77"/>
      <c r="Y140" s="79"/>
      <c r="Z140" s="80"/>
      <c r="AA140" s="3"/>
      <c r="AE140" s="1"/>
    </row>
    <row r="141" spans="2:31" ht="15" hidden="1" customHeight="1" thickTop="1" thickBot="1" x14ac:dyDescent="0.3">
      <c r="B141" s="69"/>
      <c r="C141" s="70"/>
      <c r="D141" s="71"/>
      <c r="E141" s="118"/>
      <c r="F141" s="119"/>
      <c r="G141" s="119"/>
      <c r="H141" s="119"/>
      <c r="I141" s="119"/>
      <c r="J141" s="119"/>
      <c r="K141" s="119"/>
      <c r="L141" s="119"/>
      <c r="M141" s="119"/>
      <c r="N141" s="120"/>
      <c r="O141" s="75" t="str">
        <f t="shared" si="4"/>
        <v/>
      </c>
      <c r="P141" s="75"/>
      <c r="Q141" s="76" t="str">
        <f t="shared" si="3"/>
        <v/>
      </c>
      <c r="R141" s="77"/>
      <c r="S141" s="77"/>
      <c r="T141" s="77"/>
      <c r="U141" s="77"/>
      <c r="V141" s="77"/>
      <c r="W141" s="77"/>
      <c r="X141" s="77"/>
      <c r="Y141" s="79"/>
      <c r="Z141" s="80"/>
      <c r="AA141" s="3"/>
      <c r="AE141" s="1"/>
    </row>
    <row r="142" spans="2:31" ht="15" hidden="1" customHeight="1" thickTop="1" thickBot="1" x14ac:dyDescent="0.3">
      <c r="B142" s="69"/>
      <c r="C142" s="70"/>
      <c r="D142" s="71"/>
      <c r="E142" s="118"/>
      <c r="F142" s="119"/>
      <c r="G142" s="119"/>
      <c r="H142" s="119"/>
      <c r="I142" s="119"/>
      <c r="J142" s="119"/>
      <c r="K142" s="119"/>
      <c r="L142" s="119"/>
      <c r="M142" s="119"/>
      <c r="N142" s="120"/>
      <c r="O142" s="75" t="str">
        <f t="shared" si="4"/>
        <v/>
      </c>
      <c r="P142" s="75"/>
      <c r="Q142" s="76" t="str">
        <f t="shared" si="3"/>
        <v/>
      </c>
      <c r="R142" s="77"/>
      <c r="S142" s="77"/>
      <c r="T142" s="77"/>
      <c r="U142" s="77"/>
      <c r="V142" s="77"/>
      <c r="W142" s="77"/>
      <c r="X142" s="77"/>
      <c r="Y142" s="79"/>
      <c r="Z142" s="80"/>
      <c r="AA142" s="3"/>
      <c r="AE142" s="1"/>
    </row>
    <row r="143" spans="2:31" ht="15" hidden="1" customHeight="1" thickTop="1" thickBot="1" x14ac:dyDescent="0.3">
      <c r="B143" s="69"/>
      <c r="C143" s="70"/>
      <c r="D143" s="71"/>
      <c r="E143" s="118"/>
      <c r="F143" s="119"/>
      <c r="G143" s="119"/>
      <c r="H143" s="119"/>
      <c r="I143" s="119"/>
      <c r="J143" s="119"/>
      <c r="K143" s="119"/>
      <c r="L143" s="119"/>
      <c r="M143" s="119"/>
      <c r="N143" s="120"/>
      <c r="O143" s="75" t="str">
        <f t="shared" si="4"/>
        <v/>
      </c>
      <c r="P143" s="75"/>
      <c r="Q143" s="76" t="str">
        <f t="shared" si="3"/>
        <v/>
      </c>
      <c r="R143" s="77"/>
      <c r="S143" s="77"/>
      <c r="T143" s="77"/>
      <c r="U143" s="77"/>
      <c r="V143" s="77"/>
      <c r="W143" s="77"/>
      <c r="X143" s="77"/>
      <c r="Y143" s="79"/>
      <c r="Z143" s="80"/>
      <c r="AA143" s="3"/>
      <c r="AE143" s="1"/>
    </row>
    <row r="144" spans="2:31" ht="15" hidden="1" customHeight="1" thickTop="1" thickBot="1" x14ac:dyDescent="0.3">
      <c r="B144" s="69"/>
      <c r="C144" s="70"/>
      <c r="D144" s="71"/>
      <c r="E144" s="118"/>
      <c r="F144" s="119"/>
      <c r="G144" s="119"/>
      <c r="H144" s="119"/>
      <c r="I144" s="119"/>
      <c r="J144" s="119"/>
      <c r="K144" s="119"/>
      <c r="L144" s="119"/>
      <c r="M144" s="119"/>
      <c r="N144" s="120"/>
      <c r="O144" s="75" t="str">
        <f t="shared" si="4"/>
        <v/>
      </c>
      <c r="P144" s="75"/>
      <c r="Q144" s="76" t="str">
        <f t="shared" si="3"/>
        <v/>
      </c>
      <c r="R144" s="77"/>
      <c r="S144" s="77"/>
      <c r="T144" s="77"/>
      <c r="U144" s="77"/>
      <c r="V144" s="77"/>
      <c r="W144" s="77"/>
      <c r="X144" s="77"/>
      <c r="Y144" s="79"/>
      <c r="Z144" s="80"/>
      <c r="AA144" s="3"/>
      <c r="AE144" s="1"/>
    </row>
    <row r="145" spans="2:31" ht="15" hidden="1" customHeight="1" thickTop="1" thickBot="1" x14ac:dyDescent="0.3">
      <c r="B145" s="69"/>
      <c r="C145" s="70"/>
      <c r="D145" s="71"/>
      <c r="E145" s="118"/>
      <c r="F145" s="119"/>
      <c r="G145" s="119"/>
      <c r="H145" s="119"/>
      <c r="I145" s="119"/>
      <c r="J145" s="119"/>
      <c r="K145" s="119"/>
      <c r="L145" s="119"/>
      <c r="M145" s="119"/>
      <c r="N145" s="120"/>
      <c r="O145" s="75" t="str">
        <f t="shared" si="4"/>
        <v/>
      </c>
      <c r="P145" s="75"/>
      <c r="Q145" s="76" t="str">
        <f t="shared" si="3"/>
        <v/>
      </c>
      <c r="R145" s="77"/>
      <c r="S145" s="77"/>
      <c r="T145" s="77"/>
      <c r="U145" s="77"/>
      <c r="V145" s="77"/>
      <c r="W145" s="77"/>
      <c r="X145" s="77"/>
      <c r="Y145" s="79"/>
      <c r="Z145" s="80"/>
      <c r="AA145" s="3"/>
      <c r="AE145" s="1"/>
    </row>
    <row r="146" spans="2:31" ht="15" hidden="1" customHeight="1" thickTop="1" thickBot="1" x14ac:dyDescent="0.3">
      <c r="B146" s="69"/>
      <c r="C146" s="70"/>
      <c r="D146" s="71"/>
      <c r="E146" s="118"/>
      <c r="F146" s="119"/>
      <c r="G146" s="119"/>
      <c r="H146" s="119"/>
      <c r="I146" s="119"/>
      <c r="J146" s="119"/>
      <c r="K146" s="119"/>
      <c r="L146" s="119"/>
      <c r="M146" s="119"/>
      <c r="N146" s="120"/>
      <c r="O146" s="75" t="str">
        <f t="shared" si="4"/>
        <v/>
      </c>
      <c r="P146" s="75"/>
      <c r="Q146" s="76" t="str">
        <f t="shared" si="3"/>
        <v/>
      </c>
      <c r="R146" s="77"/>
      <c r="S146" s="77"/>
      <c r="T146" s="77"/>
      <c r="U146" s="77"/>
      <c r="V146" s="77"/>
      <c r="W146" s="77"/>
      <c r="X146" s="77"/>
      <c r="Y146" s="79"/>
      <c r="Z146" s="80"/>
      <c r="AA146" s="3"/>
      <c r="AE146" s="1"/>
    </row>
    <row r="147" spans="2:31" ht="15" hidden="1" customHeight="1" thickTop="1" thickBot="1" x14ac:dyDescent="0.3">
      <c r="B147" s="69"/>
      <c r="C147" s="70"/>
      <c r="D147" s="71"/>
      <c r="E147" s="118"/>
      <c r="F147" s="119"/>
      <c r="G147" s="119"/>
      <c r="H147" s="119"/>
      <c r="I147" s="119"/>
      <c r="J147" s="119"/>
      <c r="K147" s="119"/>
      <c r="L147" s="119"/>
      <c r="M147" s="119"/>
      <c r="N147" s="120"/>
      <c r="O147" s="75" t="str">
        <f t="shared" si="4"/>
        <v/>
      </c>
      <c r="P147" s="75"/>
      <c r="Q147" s="76" t="str">
        <f t="shared" si="3"/>
        <v/>
      </c>
      <c r="R147" s="77"/>
      <c r="S147" s="77"/>
      <c r="T147" s="77"/>
      <c r="U147" s="77"/>
      <c r="V147" s="77"/>
      <c r="W147" s="77"/>
      <c r="X147" s="77"/>
      <c r="Y147" s="79"/>
      <c r="Z147" s="80"/>
      <c r="AA147" s="3"/>
      <c r="AE147" s="1"/>
    </row>
    <row r="148" spans="2:31" ht="15" hidden="1" customHeight="1" thickTop="1" thickBot="1" x14ac:dyDescent="0.3">
      <c r="B148" s="69"/>
      <c r="C148" s="70"/>
      <c r="D148" s="71"/>
      <c r="E148" s="118"/>
      <c r="F148" s="119"/>
      <c r="G148" s="119"/>
      <c r="H148" s="119"/>
      <c r="I148" s="119"/>
      <c r="J148" s="119"/>
      <c r="K148" s="119"/>
      <c r="L148" s="119"/>
      <c r="M148" s="119"/>
      <c r="N148" s="120"/>
      <c r="O148" s="75" t="str">
        <f t="shared" si="4"/>
        <v/>
      </c>
      <c r="P148" s="75"/>
      <c r="Q148" s="76" t="str">
        <f t="shared" si="3"/>
        <v/>
      </c>
      <c r="R148" s="77"/>
      <c r="S148" s="77"/>
      <c r="T148" s="77"/>
      <c r="U148" s="77"/>
      <c r="V148" s="77"/>
      <c r="W148" s="77"/>
      <c r="X148" s="77"/>
      <c r="Y148" s="79"/>
      <c r="Z148" s="80"/>
      <c r="AA148" s="3"/>
      <c r="AE148" s="1"/>
    </row>
    <row r="149" spans="2:31" ht="15" hidden="1" customHeight="1" thickTop="1" thickBot="1" x14ac:dyDescent="0.3">
      <c r="B149" s="69"/>
      <c r="C149" s="70"/>
      <c r="D149" s="71"/>
      <c r="E149" s="118"/>
      <c r="F149" s="119"/>
      <c r="G149" s="119"/>
      <c r="H149" s="119"/>
      <c r="I149" s="119"/>
      <c r="J149" s="119"/>
      <c r="K149" s="119"/>
      <c r="L149" s="119"/>
      <c r="M149" s="119"/>
      <c r="N149" s="120"/>
      <c r="O149" s="75" t="str">
        <f t="shared" si="4"/>
        <v/>
      </c>
      <c r="P149" s="75"/>
      <c r="Q149" s="76" t="str">
        <f t="shared" si="3"/>
        <v/>
      </c>
      <c r="R149" s="77"/>
      <c r="S149" s="77"/>
      <c r="T149" s="77"/>
      <c r="U149" s="77"/>
      <c r="V149" s="77"/>
      <c r="W149" s="77"/>
      <c r="X149" s="77"/>
      <c r="Y149" s="79"/>
      <c r="Z149" s="80"/>
      <c r="AA149" s="3"/>
      <c r="AE149" s="1"/>
    </row>
    <row r="150" spans="2:31" ht="15" hidden="1" customHeight="1" thickTop="1" thickBot="1" x14ac:dyDescent="0.3">
      <c r="B150" s="69"/>
      <c r="C150" s="70"/>
      <c r="D150" s="71"/>
      <c r="E150" s="118"/>
      <c r="F150" s="119"/>
      <c r="G150" s="119"/>
      <c r="H150" s="119"/>
      <c r="I150" s="119"/>
      <c r="J150" s="119"/>
      <c r="K150" s="119"/>
      <c r="L150" s="119"/>
      <c r="M150" s="119"/>
      <c r="N150" s="120"/>
      <c r="O150" s="75" t="str">
        <f t="shared" si="4"/>
        <v/>
      </c>
      <c r="P150" s="75"/>
      <c r="Q150" s="76" t="str">
        <f t="shared" si="3"/>
        <v/>
      </c>
      <c r="R150" s="77"/>
      <c r="S150" s="77"/>
      <c r="T150" s="77"/>
      <c r="U150" s="77"/>
      <c r="V150" s="77"/>
      <c r="W150" s="77"/>
      <c r="X150" s="77"/>
      <c r="Y150" s="79"/>
      <c r="Z150" s="80"/>
      <c r="AA150" s="3"/>
      <c r="AE150" s="1"/>
    </row>
    <row r="151" spans="2:31" ht="15" hidden="1" customHeight="1" thickTop="1" thickBot="1" x14ac:dyDescent="0.3">
      <c r="B151" s="69"/>
      <c r="C151" s="70"/>
      <c r="D151" s="71"/>
      <c r="E151" s="118"/>
      <c r="F151" s="119"/>
      <c r="G151" s="119"/>
      <c r="H151" s="119"/>
      <c r="I151" s="119"/>
      <c r="J151" s="119"/>
      <c r="K151" s="119"/>
      <c r="L151" s="119"/>
      <c r="M151" s="119"/>
      <c r="N151" s="120"/>
      <c r="O151" s="75" t="str">
        <f t="shared" si="4"/>
        <v/>
      </c>
      <c r="P151" s="75"/>
      <c r="Q151" s="76" t="str">
        <f t="shared" si="3"/>
        <v/>
      </c>
      <c r="R151" s="77"/>
      <c r="S151" s="77"/>
      <c r="T151" s="77"/>
      <c r="U151" s="77"/>
      <c r="V151" s="77"/>
      <c r="W151" s="77"/>
      <c r="X151" s="77"/>
      <c r="Y151" s="79"/>
      <c r="Z151" s="80"/>
      <c r="AA151" s="3"/>
      <c r="AE151" s="1"/>
    </row>
    <row r="152" spans="2:31" ht="15" hidden="1" customHeight="1" thickTop="1" thickBot="1" x14ac:dyDescent="0.3">
      <c r="B152" s="69"/>
      <c r="C152" s="70"/>
      <c r="D152" s="71"/>
      <c r="E152" s="118"/>
      <c r="F152" s="119"/>
      <c r="G152" s="119"/>
      <c r="H152" s="119"/>
      <c r="I152" s="119"/>
      <c r="J152" s="119"/>
      <c r="K152" s="119"/>
      <c r="L152" s="119"/>
      <c r="M152" s="119"/>
      <c r="N152" s="120"/>
      <c r="O152" s="75" t="str">
        <f t="shared" si="4"/>
        <v/>
      </c>
      <c r="P152" s="75"/>
      <c r="Q152" s="76" t="str">
        <f t="shared" si="3"/>
        <v/>
      </c>
      <c r="R152" s="77"/>
      <c r="S152" s="77"/>
      <c r="T152" s="77"/>
      <c r="U152" s="77"/>
      <c r="V152" s="77"/>
      <c r="W152" s="77"/>
      <c r="X152" s="77"/>
      <c r="Y152" s="79"/>
      <c r="Z152" s="80"/>
      <c r="AA152" s="3"/>
      <c r="AE152" s="1"/>
    </row>
    <row r="153" spans="2:31" ht="15" hidden="1" customHeight="1" thickTop="1" thickBot="1" x14ac:dyDescent="0.3">
      <c r="B153" s="69"/>
      <c r="C153" s="70"/>
      <c r="D153" s="71"/>
      <c r="E153" s="118"/>
      <c r="F153" s="119"/>
      <c r="G153" s="119"/>
      <c r="H153" s="119"/>
      <c r="I153" s="119"/>
      <c r="J153" s="119"/>
      <c r="K153" s="119"/>
      <c r="L153" s="119"/>
      <c r="M153" s="119"/>
      <c r="N153" s="120"/>
      <c r="O153" s="75" t="str">
        <f t="shared" si="4"/>
        <v/>
      </c>
      <c r="P153" s="75"/>
      <c r="Q153" s="76" t="str">
        <f t="shared" si="3"/>
        <v/>
      </c>
      <c r="R153" s="77"/>
      <c r="S153" s="77"/>
      <c r="T153" s="77"/>
      <c r="U153" s="77"/>
      <c r="V153" s="77"/>
      <c r="W153" s="77"/>
      <c r="X153" s="77"/>
      <c r="Y153" s="79"/>
      <c r="Z153" s="80"/>
      <c r="AA153" s="3"/>
      <c r="AE153" s="1"/>
    </row>
    <row r="154" spans="2:31" ht="15" hidden="1" customHeight="1" thickTop="1" thickBot="1" x14ac:dyDescent="0.3">
      <c r="B154" s="69"/>
      <c r="C154" s="70"/>
      <c r="D154" s="71"/>
      <c r="E154" s="118"/>
      <c r="F154" s="119"/>
      <c r="G154" s="119"/>
      <c r="H154" s="119"/>
      <c r="I154" s="119"/>
      <c r="J154" s="119"/>
      <c r="K154" s="119"/>
      <c r="L154" s="119"/>
      <c r="M154" s="119"/>
      <c r="N154" s="120"/>
      <c r="O154" s="75" t="str">
        <f t="shared" si="4"/>
        <v/>
      </c>
      <c r="P154" s="75"/>
      <c r="Q154" s="76" t="str">
        <f t="shared" si="3"/>
        <v/>
      </c>
      <c r="R154" s="77"/>
      <c r="S154" s="77"/>
      <c r="T154" s="77"/>
      <c r="U154" s="77"/>
      <c r="V154" s="77"/>
      <c r="W154" s="77"/>
      <c r="X154" s="77"/>
      <c r="Y154" s="79"/>
      <c r="Z154" s="80"/>
      <c r="AA154" s="3"/>
      <c r="AE154" s="1"/>
    </row>
    <row r="155" spans="2:31" ht="15" hidden="1" customHeight="1" thickTop="1" thickBot="1" x14ac:dyDescent="0.3">
      <c r="B155" s="69"/>
      <c r="C155" s="70"/>
      <c r="D155" s="71"/>
      <c r="E155" s="118"/>
      <c r="F155" s="119"/>
      <c r="G155" s="119"/>
      <c r="H155" s="119"/>
      <c r="I155" s="119"/>
      <c r="J155" s="119"/>
      <c r="K155" s="119"/>
      <c r="L155" s="119"/>
      <c r="M155" s="119"/>
      <c r="N155" s="120"/>
      <c r="O155" s="75" t="str">
        <f t="shared" si="4"/>
        <v/>
      </c>
      <c r="P155" s="75"/>
      <c r="Q155" s="76" t="str">
        <f t="shared" si="3"/>
        <v/>
      </c>
      <c r="R155" s="77"/>
      <c r="S155" s="77"/>
      <c r="T155" s="77"/>
      <c r="U155" s="77"/>
      <c r="V155" s="77"/>
      <c r="W155" s="77"/>
      <c r="X155" s="77"/>
      <c r="Y155" s="79"/>
      <c r="Z155" s="80"/>
      <c r="AA155" s="3"/>
      <c r="AE155" s="1"/>
    </row>
    <row r="156" spans="2:31" ht="15" hidden="1" customHeight="1" thickTop="1" thickBot="1" x14ac:dyDescent="0.3">
      <c r="B156" s="69"/>
      <c r="C156" s="70"/>
      <c r="D156" s="71"/>
      <c r="E156" s="118"/>
      <c r="F156" s="119"/>
      <c r="G156" s="119"/>
      <c r="H156" s="119"/>
      <c r="I156" s="119"/>
      <c r="J156" s="119"/>
      <c r="K156" s="119"/>
      <c r="L156" s="119"/>
      <c r="M156" s="119"/>
      <c r="N156" s="120"/>
      <c r="O156" s="75" t="str">
        <f t="shared" si="4"/>
        <v/>
      </c>
      <c r="P156" s="75"/>
      <c r="Q156" s="76" t="str">
        <f t="shared" si="3"/>
        <v/>
      </c>
      <c r="R156" s="77"/>
      <c r="S156" s="77"/>
      <c r="T156" s="77"/>
      <c r="U156" s="77"/>
      <c r="V156" s="77"/>
      <c r="W156" s="77"/>
      <c r="X156" s="77"/>
      <c r="Y156" s="79"/>
      <c r="Z156" s="80"/>
      <c r="AA156" s="3"/>
      <c r="AE156" s="1"/>
    </row>
    <row r="157" spans="2:31" ht="15" hidden="1" customHeight="1" thickTop="1" thickBot="1" x14ac:dyDescent="0.3">
      <c r="B157" s="69"/>
      <c r="C157" s="70"/>
      <c r="D157" s="71"/>
      <c r="E157" s="118"/>
      <c r="F157" s="119"/>
      <c r="G157" s="119"/>
      <c r="H157" s="119"/>
      <c r="I157" s="119"/>
      <c r="J157" s="119"/>
      <c r="K157" s="119"/>
      <c r="L157" s="119"/>
      <c r="M157" s="119"/>
      <c r="N157" s="120"/>
      <c r="O157" s="75" t="str">
        <f t="shared" si="4"/>
        <v/>
      </c>
      <c r="P157" s="75"/>
      <c r="Q157" s="76" t="str">
        <f t="shared" si="3"/>
        <v/>
      </c>
      <c r="R157" s="77"/>
      <c r="S157" s="77"/>
      <c r="T157" s="77"/>
      <c r="U157" s="77"/>
      <c r="V157" s="77"/>
      <c r="W157" s="77"/>
      <c r="X157" s="77"/>
      <c r="Y157" s="79"/>
      <c r="Z157" s="80"/>
      <c r="AA157" s="3"/>
      <c r="AE157" s="1"/>
    </row>
    <row r="158" spans="2:31" ht="15" hidden="1" customHeight="1" thickTop="1" thickBot="1" x14ac:dyDescent="0.3">
      <c r="B158" s="69"/>
      <c r="C158" s="70"/>
      <c r="D158" s="71"/>
      <c r="E158" s="118"/>
      <c r="F158" s="119"/>
      <c r="G158" s="119"/>
      <c r="H158" s="119"/>
      <c r="I158" s="119"/>
      <c r="J158" s="119"/>
      <c r="K158" s="119"/>
      <c r="L158" s="119"/>
      <c r="M158" s="119"/>
      <c r="N158" s="120"/>
      <c r="O158" s="75" t="str">
        <f t="shared" si="4"/>
        <v/>
      </c>
      <c r="P158" s="75"/>
      <c r="Q158" s="76" t="str">
        <f t="shared" si="3"/>
        <v/>
      </c>
      <c r="R158" s="77"/>
      <c r="S158" s="77"/>
      <c r="T158" s="77"/>
      <c r="U158" s="77"/>
      <c r="V158" s="77"/>
      <c r="W158" s="77"/>
      <c r="X158" s="77"/>
      <c r="Y158" s="79"/>
      <c r="Z158" s="80"/>
      <c r="AA158" s="3"/>
      <c r="AE158" s="1"/>
    </row>
    <row r="159" spans="2:31" ht="15" hidden="1" customHeight="1" thickTop="1" thickBot="1" x14ac:dyDescent="0.3">
      <c r="B159" s="69"/>
      <c r="C159" s="70"/>
      <c r="D159" s="71"/>
      <c r="E159" s="118"/>
      <c r="F159" s="119"/>
      <c r="G159" s="119"/>
      <c r="H159" s="119"/>
      <c r="I159" s="119"/>
      <c r="J159" s="119"/>
      <c r="K159" s="119"/>
      <c r="L159" s="119"/>
      <c r="M159" s="119"/>
      <c r="N159" s="120"/>
      <c r="O159" s="75" t="str">
        <f t="shared" si="4"/>
        <v/>
      </c>
      <c r="P159" s="75"/>
      <c r="Q159" s="76" t="str">
        <f t="shared" si="3"/>
        <v/>
      </c>
      <c r="R159" s="77"/>
      <c r="S159" s="77"/>
      <c r="T159" s="77"/>
      <c r="U159" s="77"/>
      <c r="V159" s="77"/>
      <c r="W159" s="77"/>
      <c r="X159" s="77"/>
      <c r="Y159" s="79"/>
      <c r="Z159" s="80"/>
      <c r="AA159" s="3"/>
      <c r="AE159" s="1"/>
    </row>
    <row r="160" spans="2:31" ht="15" hidden="1" customHeight="1" thickTop="1" thickBot="1" x14ac:dyDescent="0.3">
      <c r="B160" s="69"/>
      <c r="C160" s="70"/>
      <c r="D160" s="71"/>
      <c r="E160" s="118"/>
      <c r="F160" s="119"/>
      <c r="G160" s="119"/>
      <c r="H160" s="119"/>
      <c r="I160" s="119"/>
      <c r="J160" s="119"/>
      <c r="K160" s="119"/>
      <c r="L160" s="119"/>
      <c r="M160" s="119"/>
      <c r="N160" s="120"/>
      <c r="O160" s="75" t="str">
        <f t="shared" si="4"/>
        <v/>
      </c>
      <c r="P160" s="75"/>
      <c r="Q160" s="76" t="str">
        <f t="shared" si="3"/>
        <v/>
      </c>
      <c r="R160" s="77"/>
      <c r="S160" s="77"/>
      <c r="T160" s="77"/>
      <c r="U160" s="77"/>
      <c r="V160" s="77"/>
      <c r="W160" s="77"/>
      <c r="X160" s="77"/>
      <c r="Y160" s="79"/>
      <c r="Z160" s="80"/>
      <c r="AA160" s="3"/>
      <c r="AE160" s="1"/>
    </row>
    <row r="161" spans="2:31" ht="15" hidden="1" customHeight="1" thickTop="1" thickBot="1" x14ac:dyDescent="0.3">
      <c r="B161" s="69"/>
      <c r="C161" s="70"/>
      <c r="D161" s="71"/>
      <c r="E161" s="118"/>
      <c r="F161" s="119"/>
      <c r="G161" s="119"/>
      <c r="H161" s="119"/>
      <c r="I161" s="119"/>
      <c r="J161" s="119"/>
      <c r="K161" s="119"/>
      <c r="L161" s="119"/>
      <c r="M161" s="119"/>
      <c r="N161" s="120"/>
      <c r="O161" s="75" t="str">
        <f t="shared" si="4"/>
        <v/>
      </c>
      <c r="P161" s="75"/>
      <c r="Q161" s="76" t="str">
        <f t="shared" si="3"/>
        <v/>
      </c>
      <c r="R161" s="77"/>
      <c r="S161" s="77"/>
      <c r="T161" s="77"/>
      <c r="U161" s="77"/>
      <c r="V161" s="77"/>
      <c r="W161" s="77"/>
      <c r="X161" s="77"/>
      <c r="Y161" s="79"/>
      <c r="Z161" s="80"/>
      <c r="AA161" s="3"/>
      <c r="AE161" s="1"/>
    </row>
    <row r="162" spans="2:31" ht="15" hidden="1" customHeight="1" thickTop="1" thickBot="1" x14ac:dyDescent="0.3">
      <c r="B162" s="69"/>
      <c r="C162" s="70"/>
      <c r="D162" s="71"/>
      <c r="E162" s="118"/>
      <c r="F162" s="119"/>
      <c r="G162" s="119"/>
      <c r="H162" s="119"/>
      <c r="I162" s="119"/>
      <c r="J162" s="119"/>
      <c r="K162" s="119"/>
      <c r="L162" s="119"/>
      <c r="M162" s="119"/>
      <c r="N162" s="120"/>
      <c r="O162" s="75" t="str">
        <f t="shared" si="4"/>
        <v/>
      </c>
      <c r="P162" s="75"/>
      <c r="Q162" s="76" t="str">
        <f t="shared" si="3"/>
        <v/>
      </c>
      <c r="R162" s="77"/>
      <c r="S162" s="77"/>
      <c r="T162" s="77"/>
      <c r="U162" s="77"/>
      <c r="V162" s="77"/>
      <c r="W162" s="77"/>
      <c r="X162" s="77"/>
      <c r="Y162" s="79"/>
      <c r="Z162" s="80"/>
      <c r="AA162" s="3"/>
      <c r="AE162" s="1"/>
    </row>
    <row r="163" spans="2:31" ht="15" hidden="1" customHeight="1" thickTop="1" thickBot="1" x14ac:dyDescent="0.3">
      <c r="B163" s="69"/>
      <c r="C163" s="70"/>
      <c r="D163" s="71"/>
      <c r="E163" s="118"/>
      <c r="F163" s="119"/>
      <c r="G163" s="119"/>
      <c r="H163" s="119"/>
      <c r="I163" s="119"/>
      <c r="J163" s="119"/>
      <c r="K163" s="119"/>
      <c r="L163" s="119"/>
      <c r="M163" s="119"/>
      <c r="N163" s="120"/>
      <c r="O163" s="75" t="str">
        <f t="shared" si="4"/>
        <v/>
      </c>
      <c r="P163" s="75"/>
      <c r="Q163" s="76" t="str">
        <f t="shared" si="3"/>
        <v/>
      </c>
      <c r="R163" s="77"/>
      <c r="S163" s="77"/>
      <c r="T163" s="77"/>
      <c r="U163" s="77"/>
      <c r="V163" s="77"/>
      <c r="W163" s="77"/>
      <c r="X163" s="77"/>
      <c r="Y163" s="79"/>
      <c r="Z163" s="80"/>
      <c r="AA163" s="3"/>
      <c r="AE163" s="1"/>
    </row>
    <row r="164" spans="2:31" ht="15" hidden="1" customHeight="1" thickTop="1" thickBot="1" x14ac:dyDescent="0.3">
      <c r="B164" s="69"/>
      <c r="C164" s="70"/>
      <c r="D164" s="71"/>
      <c r="E164" s="118"/>
      <c r="F164" s="119"/>
      <c r="G164" s="119"/>
      <c r="H164" s="119"/>
      <c r="I164" s="119"/>
      <c r="J164" s="119"/>
      <c r="K164" s="119"/>
      <c r="L164" s="119"/>
      <c r="M164" s="119"/>
      <c r="N164" s="120"/>
      <c r="O164" s="75" t="str">
        <f t="shared" si="4"/>
        <v/>
      </c>
      <c r="P164" s="75"/>
      <c r="Q164" s="76" t="str">
        <f t="shared" si="3"/>
        <v/>
      </c>
      <c r="R164" s="77"/>
      <c r="S164" s="77"/>
      <c r="T164" s="77"/>
      <c r="U164" s="77"/>
      <c r="V164" s="77"/>
      <c r="W164" s="77"/>
      <c r="X164" s="77"/>
      <c r="Y164" s="79"/>
      <c r="Z164" s="80"/>
      <c r="AA164" s="3"/>
      <c r="AE164" s="1"/>
    </row>
    <row r="165" spans="2:31" ht="15" hidden="1" customHeight="1" thickTop="1" thickBot="1" x14ac:dyDescent="0.3">
      <c r="B165" s="69"/>
      <c r="C165" s="70"/>
      <c r="D165" s="71"/>
      <c r="E165" s="118"/>
      <c r="F165" s="119"/>
      <c r="G165" s="119"/>
      <c r="H165" s="119"/>
      <c r="I165" s="119"/>
      <c r="J165" s="119"/>
      <c r="K165" s="119"/>
      <c r="L165" s="119"/>
      <c r="M165" s="119"/>
      <c r="N165" s="120"/>
      <c r="O165" s="75" t="str">
        <f t="shared" si="4"/>
        <v/>
      </c>
      <c r="P165" s="75"/>
      <c r="Q165" s="76" t="str">
        <f t="shared" si="3"/>
        <v/>
      </c>
      <c r="R165" s="77"/>
      <c r="S165" s="77"/>
      <c r="T165" s="77"/>
      <c r="U165" s="77"/>
      <c r="V165" s="77"/>
      <c r="W165" s="77"/>
      <c r="X165" s="77"/>
      <c r="Y165" s="79"/>
      <c r="Z165" s="80"/>
      <c r="AA165" s="3"/>
      <c r="AE165" s="1"/>
    </row>
    <row r="166" spans="2:31" ht="15" hidden="1" customHeight="1" thickTop="1" thickBot="1" x14ac:dyDescent="0.3">
      <c r="B166" s="69"/>
      <c r="C166" s="70"/>
      <c r="D166" s="71"/>
      <c r="E166" s="118"/>
      <c r="F166" s="119"/>
      <c r="G166" s="119"/>
      <c r="H166" s="119"/>
      <c r="I166" s="119"/>
      <c r="J166" s="119"/>
      <c r="K166" s="119"/>
      <c r="L166" s="119"/>
      <c r="M166" s="119"/>
      <c r="N166" s="120"/>
      <c r="O166" s="75" t="str">
        <f t="shared" si="4"/>
        <v/>
      </c>
      <c r="P166" s="75"/>
      <c r="Q166" s="76" t="str">
        <f t="shared" si="3"/>
        <v/>
      </c>
      <c r="R166" s="77"/>
      <c r="S166" s="77"/>
      <c r="T166" s="77"/>
      <c r="U166" s="77"/>
      <c r="V166" s="77"/>
      <c r="W166" s="77"/>
      <c r="X166" s="77"/>
      <c r="Y166" s="79"/>
      <c r="Z166" s="80"/>
      <c r="AA166" s="3"/>
      <c r="AE166" s="1"/>
    </row>
    <row r="167" spans="2:31" ht="15" hidden="1" customHeight="1" thickTop="1" thickBot="1" x14ac:dyDescent="0.3">
      <c r="B167" s="69"/>
      <c r="C167" s="70"/>
      <c r="D167" s="71"/>
      <c r="E167" s="118"/>
      <c r="F167" s="119"/>
      <c r="G167" s="119"/>
      <c r="H167" s="119"/>
      <c r="I167" s="119"/>
      <c r="J167" s="119"/>
      <c r="K167" s="119"/>
      <c r="L167" s="119"/>
      <c r="M167" s="119"/>
      <c r="N167" s="120"/>
      <c r="O167" s="75" t="str">
        <f t="shared" si="4"/>
        <v/>
      </c>
      <c r="P167" s="75"/>
      <c r="Q167" s="76" t="str">
        <f t="shared" si="3"/>
        <v/>
      </c>
      <c r="R167" s="77"/>
      <c r="S167" s="77"/>
      <c r="T167" s="77"/>
      <c r="U167" s="77"/>
      <c r="V167" s="77"/>
      <c r="W167" s="77"/>
      <c r="X167" s="77"/>
      <c r="Y167" s="79"/>
      <c r="Z167" s="80"/>
      <c r="AA167" s="3"/>
      <c r="AE167" s="1"/>
    </row>
    <row r="168" spans="2:31" ht="15" hidden="1" customHeight="1" thickTop="1" thickBot="1" x14ac:dyDescent="0.3">
      <c r="B168" s="69"/>
      <c r="C168" s="70"/>
      <c r="D168" s="71"/>
      <c r="E168" s="118"/>
      <c r="F168" s="119"/>
      <c r="G168" s="119"/>
      <c r="H168" s="119"/>
      <c r="I168" s="119"/>
      <c r="J168" s="119"/>
      <c r="K168" s="119"/>
      <c r="L168" s="119"/>
      <c r="M168" s="119"/>
      <c r="N168" s="120"/>
      <c r="O168" s="75" t="str">
        <f t="shared" si="4"/>
        <v/>
      </c>
      <c r="P168" s="75"/>
      <c r="Q168" s="76" t="str">
        <f t="shared" si="3"/>
        <v/>
      </c>
      <c r="R168" s="77"/>
      <c r="S168" s="77"/>
      <c r="T168" s="77"/>
      <c r="U168" s="77"/>
      <c r="V168" s="77"/>
      <c r="W168" s="77"/>
      <c r="X168" s="77"/>
      <c r="Y168" s="79"/>
      <c r="Z168" s="80"/>
      <c r="AA168" s="3"/>
      <c r="AE168" s="1"/>
    </row>
    <row r="169" spans="2:31" ht="15" hidden="1" customHeight="1" thickTop="1" thickBot="1" x14ac:dyDescent="0.3">
      <c r="B169" s="69"/>
      <c r="C169" s="70"/>
      <c r="D169" s="71"/>
      <c r="E169" s="118"/>
      <c r="F169" s="119"/>
      <c r="G169" s="119"/>
      <c r="H169" s="119"/>
      <c r="I169" s="119"/>
      <c r="J169" s="119"/>
      <c r="K169" s="119"/>
      <c r="L169" s="119"/>
      <c r="M169" s="119"/>
      <c r="N169" s="120"/>
      <c r="O169" s="75" t="str">
        <f t="shared" si="4"/>
        <v/>
      </c>
      <c r="P169" s="75"/>
      <c r="Q169" s="76" t="str">
        <f t="shared" si="3"/>
        <v/>
      </c>
      <c r="R169" s="77"/>
      <c r="S169" s="78"/>
      <c r="T169" s="78"/>
      <c r="U169" s="78"/>
      <c r="V169" s="78"/>
      <c r="W169" s="78"/>
      <c r="X169" s="77"/>
      <c r="Y169" s="79"/>
      <c r="Z169" s="80"/>
      <c r="AA169" s="3"/>
      <c r="AE169" s="1"/>
    </row>
    <row r="170" spans="2:31" ht="15" hidden="1" customHeight="1" thickTop="1" thickBot="1" x14ac:dyDescent="0.3">
      <c r="B170" s="69"/>
      <c r="C170" s="70"/>
      <c r="D170" s="71"/>
      <c r="E170" s="118"/>
      <c r="F170" s="119"/>
      <c r="G170" s="119"/>
      <c r="H170" s="119"/>
      <c r="I170" s="119"/>
      <c r="J170" s="119"/>
      <c r="K170" s="119"/>
      <c r="L170" s="119"/>
      <c r="M170" s="119"/>
      <c r="N170" s="120"/>
      <c r="O170" s="75" t="str">
        <f t="shared" si="4"/>
        <v/>
      </c>
      <c r="P170" s="75"/>
      <c r="Q170" s="76" t="str">
        <f t="shared" si="3"/>
        <v/>
      </c>
      <c r="R170" s="77"/>
      <c r="S170" s="78"/>
      <c r="T170" s="78"/>
      <c r="U170" s="78"/>
      <c r="V170" s="78"/>
      <c r="W170" s="78"/>
      <c r="X170" s="77"/>
      <c r="Y170" s="79"/>
      <c r="Z170" s="80"/>
      <c r="AA170" s="3"/>
      <c r="AE170" s="1"/>
    </row>
    <row r="171" spans="2:31" ht="15" hidden="1" customHeight="1" thickTop="1" thickBot="1" x14ac:dyDescent="0.3">
      <c r="B171" s="69"/>
      <c r="C171" s="70"/>
      <c r="D171" s="71"/>
      <c r="E171" s="118"/>
      <c r="F171" s="119"/>
      <c r="G171" s="119"/>
      <c r="H171" s="119"/>
      <c r="I171" s="119"/>
      <c r="J171" s="119"/>
      <c r="K171" s="119"/>
      <c r="L171" s="119"/>
      <c r="M171" s="119"/>
      <c r="N171" s="120"/>
      <c r="O171" s="75" t="str">
        <f t="shared" si="4"/>
        <v/>
      </c>
      <c r="P171" s="75"/>
      <c r="Q171" s="76" t="str">
        <f t="shared" si="3"/>
        <v/>
      </c>
      <c r="R171" s="77"/>
      <c r="S171" s="78"/>
      <c r="T171" s="78"/>
      <c r="U171" s="78"/>
      <c r="V171" s="78"/>
      <c r="W171" s="78"/>
      <c r="X171" s="77"/>
      <c r="Y171" s="79"/>
      <c r="Z171" s="80"/>
      <c r="AA171" s="3"/>
      <c r="AE171" s="1"/>
    </row>
    <row r="172" spans="2:31" ht="24" hidden="1" customHeight="1" thickTop="1" thickBot="1" x14ac:dyDescent="0.3">
      <c r="B172" s="81"/>
      <c r="C172" s="82"/>
      <c r="D172" s="83"/>
      <c r="E172" s="96"/>
      <c r="F172" s="84"/>
      <c r="G172" s="84"/>
      <c r="H172" s="84"/>
      <c r="I172" s="84"/>
      <c r="J172" s="84"/>
      <c r="K172" s="84"/>
      <c r="L172" s="84"/>
      <c r="M172" s="84"/>
      <c r="N172" s="85"/>
      <c r="O172" s="75" t="str">
        <f t="shared" si="4"/>
        <v/>
      </c>
      <c r="P172" s="75"/>
      <c r="Q172" s="76" t="str">
        <f t="shared" si="3"/>
        <v/>
      </c>
      <c r="R172" s="86"/>
      <c r="S172" s="87"/>
      <c r="T172" s="78"/>
      <c r="U172" s="327"/>
      <c r="V172" s="327"/>
      <c r="W172" s="327"/>
      <c r="X172" s="86"/>
      <c r="Y172" s="88"/>
      <c r="Z172" s="89"/>
      <c r="AA172" s="3"/>
      <c r="AE172" s="1"/>
    </row>
    <row r="173" spans="2:31" ht="27" customHeight="1" thickTop="1" thickBot="1" x14ac:dyDescent="0.3">
      <c r="B173" s="369" t="s">
        <v>218</v>
      </c>
      <c r="C173" s="370"/>
      <c r="D173" s="371"/>
      <c r="E173" s="127" t="e">
        <f>AVERAGE(E63:E172)</f>
        <v>#DIV/0!</v>
      </c>
      <c r="F173" s="128" t="e">
        <f t="shared" ref="F173:N173" si="5">AVERAGE(F63:F172)</f>
        <v>#DIV/0!</v>
      </c>
      <c r="G173" s="128" t="e">
        <f t="shared" si="5"/>
        <v>#DIV/0!</v>
      </c>
      <c r="H173" s="128" t="e">
        <f t="shared" si="5"/>
        <v>#DIV/0!</v>
      </c>
      <c r="I173" s="128" t="e">
        <f t="shared" si="5"/>
        <v>#DIV/0!</v>
      </c>
      <c r="J173" s="128" t="e">
        <f t="shared" si="5"/>
        <v>#DIV/0!</v>
      </c>
      <c r="K173" s="128" t="e">
        <f t="shared" si="5"/>
        <v>#DIV/0!</v>
      </c>
      <c r="L173" s="128" t="e">
        <f t="shared" si="5"/>
        <v>#DIV/0!</v>
      </c>
      <c r="M173" s="128" t="e">
        <f t="shared" si="5"/>
        <v>#DIV/0!</v>
      </c>
      <c r="N173" s="129" t="e">
        <f t="shared" si="5"/>
        <v>#DIV/0!</v>
      </c>
      <c r="O173" s="130" t="e">
        <f t="shared" ref="O173:P173" si="6">AVERAGE(O119:O123)</f>
        <v>#DIV/0!</v>
      </c>
      <c r="P173" s="130" t="e">
        <f t="shared" si="6"/>
        <v>#DIV/0!</v>
      </c>
      <c r="Q173" s="130" t="e">
        <f>AVERAGE(Q119:Q123)</f>
        <v>#DIV/0!</v>
      </c>
      <c r="R173" s="130" t="e">
        <f t="shared" ref="R173:X173" si="7">AVERAGE(R119:R123)</f>
        <v>#DIV/0!</v>
      </c>
      <c r="S173" s="130" t="e">
        <f t="shared" si="7"/>
        <v>#DIV/0!</v>
      </c>
      <c r="T173" s="130" t="e">
        <f t="shared" si="7"/>
        <v>#DIV/0!</v>
      </c>
      <c r="U173" s="130" t="e">
        <f t="shared" si="7"/>
        <v>#DIV/0!</v>
      </c>
      <c r="V173" s="130" t="e">
        <f t="shared" si="7"/>
        <v>#DIV/0!</v>
      </c>
      <c r="W173" s="130" t="e">
        <f t="shared" si="7"/>
        <v>#DIV/0!</v>
      </c>
      <c r="X173" s="130" t="e">
        <f t="shared" si="7"/>
        <v>#DIV/0!</v>
      </c>
      <c r="Y173" s="131"/>
      <c r="Z173" s="132"/>
      <c r="AA173" s="3"/>
      <c r="AE173" s="1"/>
    </row>
    <row r="174" spans="2:31" ht="27" customHeight="1" thickTop="1" x14ac:dyDescent="0.25">
      <c r="B174" s="352" t="s">
        <v>95</v>
      </c>
      <c r="C174" s="124" t="s">
        <v>0</v>
      </c>
      <c r="D174" s="121"/>
      <c r="E174" s="21" t="e">
        <f t="shared" ref="E174:N174" si="8">AVERAGE(E13:E172)</f>
        <v>#DIV/0!</v>
      </c>
      <c r="F174" s="21" t="e">
        <f t="shared" si="8"/>
        <v>#DIV/0!</v>
      </c>
      <c r="G174" s="21" t="e">
        <f t="shared" si="8"/>
        <v>#DIV/0!</v>
      </c>
      <c r="H174" s="21" t="e">
        <f t="shared" si="8"/>
        <v>#DIV/0!</v>
      </c>
      <c r="I174" s="21" t="e">
        <f t="shared" si="8"/>
        <v>#DIV/0!</v>
      </c>
      <c r="J174" s="21" t="e">
        <f t="shared" si="8"/>
        <v>#DIV/0!</v>
      </c>
      <c r="K174" s="21" t="e">
        <f t="shared" si="8"/>
        <v>#DIV/0!</v>
      </c>
      <c r="L174" s="21" t="e">
        <f t="shared" si="8"/>
        <v>#DIV/0!</v>
      </c>
      <c r="M174" s="21" t="e">
        <f t="shared" si="8"/>
        <v>#DIV/0!</v>
      </c>
      <c r="N174" s="21" t="e">
        <f t="shared" si="8"/>
        <v>#DIV/0!</v>
      </c>
      <c r="O174" s="134" t="e">
        <f t="shared" ref="O174:P174" si="9">AVERAGE(O13:O118)</f>
        <v>#DIV/0!</v>
      </c>
      <c r="P174" s="134" t="e">
        <f t="shared" si="9"/>
        <v>#DIV/0!</v>
      </c>
      <c r="Q174" s="134" t="e">
        <f>AVERAGE(Q13:Q118)</f>
        <v>#DIV/0!</v>
      </c>
      <c r="R174" s="134" t="e">
        <f t="shared" ref="R174:X174" si="10">AVERAGE(R13:R118)</f>
        <v>#DIV/0!</v>
      </c>
      <c r="S174" s="134" t="e">
        <f t="shared" si="10"/>
        <v>#DIV/0!</v>
      </c>
      <c r="T174" s="134" t="e">
        <f t="shared" si="10"/>
        <v>#DIV/0!</v>
      </c>
      <c r="U174" s="134" t="e">
        <f t="shared" ref="U174:W174" si="11">AVERAGE(U13:U118)</f>
        <v>#DIV/0!</v>
      </c>
      <c r="V174" s="134" t="e">
        <f t="shared" si="11"/>
        <v>#DIV/0!</v>
      </c>
      <c r="W174" s="134" t="e">
        <f t="shared" si="11"/>
        <v>#DIV/0!</v>
      </c>
      <c r="X174" s="134" t="e">
        <f t="shared" si="10"/>
        <v>#DIV/0!</v>
      </c>
      <c r="Y174" s="27"/>
      <c r="Z174" s="28"/>
      <c r="AA174" s="3"/>
      <c r="AE174" s="1"/>
    </row>
    <row r="175" spans="2:31" ht="27" customHeight="1" x14ac:dyDescent="0.25">
      <c r="B175" s="353"/>
      <c r="C175" s="125" t="s">
        <v>26</v>
      </c>
      <c r="D175" s="122"/>
      <c r="E175" s="29">
        <f>MAX(E13:E172)</f>
        <v>0</v>
      </c>
      <c r="F175" s="29">
        <f t="shared" ref="F175:N175" si="12">MAX(F13:F172)</f>
        <v>0</v>
      </c>
      <c r="G175" s="29">
        <f t="shared" si="12"/>
        <v>0</v>
      </c>
      <c r="H175" s="29">
        <f t="shared" si="12"/>
        <v>0</v>
      </c>
      <c r="I175" s="29">
        <f t="shared" si="12"/>
        <v>0</v>
      </c>
      <c r="J175" s="29">
        <f t="shared" si="12"/>
        <v>0</v>
      </c>
      <c r="K175" s="29">
        <f t="shared" si="12"/>
        <v>0</v>
      </c>
      <c r="L175" s="29">
        <f t="shared" si="12"/>
        <v>0</v>
      </c>
      <c r="M175" s="29">
        <f t="shared" si="12"/>
        <v>0</v>
      </c>
      <c r="N175" s="29">
        <f t="shared" si="12"/>
        <v>0</v>
      </c>
      <c r="O175" s="33">
        <f t="shared" ref="O175:P175" si="13">MAX(O14:O114)</f>
        <v>0</v>
      </c>
      <c r="P175" s="33">
        <f t="shared" si="13"/>
        <v>0</v>
      </c>
      <c r="Q175" s="33">
        <f>MAX(Q14:Q114)</f>
        <v>0</v>
      </c>
      <c r="R175" s="33">
        <f t="shared" ref="R175:X175" si="14">MAX(R14:R114)</f>
        <v>0</v>
      </c>
      <c r="S175" s="33">
        <f t="shared" si="14"/>
        <v>0</v>
      </c>
      <c r="T175" s="33">
        <f t="shared" si="14"/>
        <v>0</v>
      </c>
      <c r="U175" s="33">
        <f t="shared" ref="U175:W175" si="15">MAX(U14:U114)</f>
        <v>0</v>
      </c>
      <c r="V175" s="33">
        <f t="shared" si="15"/>
        <v>0</v>
      </c>
      <c r="W175" s="33">
        <f t="shared" si="15"/>
        <v>0</v>
      </c>
      <c r="X175" s="33">
        <f t="shared" si="14"/>
        <v>0</v>
      </c>
      <c r="Y175" s="35"/>
      <c r="Z175" s="36"/>
    </row>
    <row r="176" spans="2:31" ht="27" customHeight="1" x14ac:dyDescent="0.25">
      <c r="B176" s="353"/>
      <c r="C176" s="125" t="s">
        <v>25</v>
      </c>
      <c r="D176" s="122"/>
      <c r="E176" s="29">
        <f>MIN(E13:E172)</f>
        <v>0</v>
      </c>
      <c r="F176" s="29">
        <f t="shared" ref="F176:N176" si="16">MIN(F13:F172)</f>
        <v>0</v>
      </c>
      <c r="G176" s="29">
        <f t="shared" si="16"/>
        <v>0</v>
      </c>
      <c r="H176" s="29">
        <f t="shared" si="16"/>
        <v>0</v>
      </c>
      <c r="I176" s="29">
        <f t="shared" si="16"/>
        <v>0</v>
      </c>
      <c r="J176" s="29">
        <f t="shared" si="16"/>
        <v>0</v>
      </c>
      <c r="K176" s="29">
        <f t="shared" si="16"/>
        <v>0</v>
      </c>
      <c r="L176" s="29">
        <f t="shared" si="16"/>
        <v>0</v>
      </c>
      <c r="M176" s="29">
        <f t="shared" si="16"/>
        <v>0</v>
      </c>
      <c r="N176" s="29">
        <f t="shared" si="16"/>
        <v>0</v>
      </c>
      <c r="O176" s="33">
        <f t="shared" ref="O176:P176" si="17">MIN(O80:O172)</f>
        <v>0</v>
      </c>
      <c r="P176" s="33">
        <f t="shared" si="17"/>
        <v>0</v>
      </c>
      <c r="Q176" s="33">
        <f>MIN(Q80:Q172)</f>
        <v>0</v>
      </c>
      <c r="R176" s="33">
        <f t="shared" ref="R176:X176" si="18">MIN(R13:R172)</f>
        <v>0</v>
      </c>
      <c r="S176" s="34">
        <f t="shared" si="18"/>
        <v>0</v>
      </c>
      <c r="T176" s="34">
        <f t="shared" si="18"/>
        <v>0</v>
      </c>
      <c r="U176" s="34">
        <f t="shared" ref="U176:W176" si="19">MIN(U13:U172)</f>
        <v>0</v>
      </c>
      <c r="V176" s="34">
        <f t="shared" si="19"/>
        <v>0</v>
      </c>
      <c r="W176" s="34">
        <f t="shared" si="19"/>
        <v>0</v>
      </c>
      <c r="X176" s="33">
        <f t="shared" si="18"/>
        <v>0</v>
      </c>
      <c r="Y176" s="35"/>
      <c r="Z176" s="36"/>
    </row>
    <row r="177" spans="2:26" ht="27" customHeight="1" thickBot="1" x14ac:dyDescent="0.3">
      <c r="B177" s="354"/>
      <c r="C177" s="126" t="s">
        <v>1</v>
      </c>
      <c r="D177" s="123"/>
      <c r="E177" s="38" t="e">
        <f>STDEV(E13:E172)</f>
        <v>#DIV/0!</v>
      </c>
      <c r="F177" s="38" t="e">
        <f t="shared" ref="F177:P177" si="20">STDEV(F13:F172)</f>
        <v>#DIV/0!</v>
      </c>
      <c r="G177" s="38" t="e">
        <f t="shared" si="20"/>
        <v>#DIV/0!</v>
      </c>
      <c r="H177" s="38" t="e">
        <f t="shared" si="20"/>
        <v>#DIV/0!</v>
      </c>
      <c r="I177" s="38" t="e">
        <f t="shared" si="20"/>
        <v>#DIV/0!</v>
      </c>
      <c r="J177" s="38" t="e">
        <f t="shared" si="20"/>
        <v>#DIV/0!</v>
      </c>
      <c r="K177" s="38" t="e">
        <f t="shared" si="20"/>
        <v>#DIV/0!</v>
      </c>
      <c r="L177" s="38" t="e">
        <f>STDEV(L13:L172)</f>
        <v>#DIV/0!</v>
      </c>
      <c r="M177" s="38" t="e">
        <f t="shared" si="20"/>
        <v>#DIV/0!</v>
      </c>
      <c r="N177" s="38" t="e">
        <f t="shared" si="20"/>
        <v>#DIV/0!</v>
      </c>
      <c r="O177" s="42" t="e">
        <f t="shared" si="20"/>
        <v>#DIV/0!</v>
      </c>
      <c r="P177" s="42" t="e">
        <f t="shared" si="20"/>
        <v>#DIV/0!</v>
      </c>
      <c r="Q177" s="42" t="e">
        <f t="shared" ref="Q177:X177" si="21">STDEV(Q13:Q172)</f>
        <v>#DIV/0!</v>
      </c>
      <c r="R177" s="42" t="e">
        <f t="shared" si="21"/>
        <v>#DIV/0!</v>
      </c>
      <c r="S177" s="43" t="e">
        <f t="shared" si="21"/>
        <v>#DIV/0!</v>
      </c>
      <c r="T177" s="43" t="e">
        <f t="shared" si="21"/>
        <v>#DIV/0!</v>
      </c>
      <c r="U177" s="43" t="e">
        <f t="shared" ref="U177:W177" si="22">STDEV(U13:U172)</f>
        <v>#DIV/0!</v>
      </c>
      <c r="V177" s="43" t="e">
        <f t="shared" si="22"/>
        <v>#DIV/0!</v>
      </c>
      <c r="W177" s="43" t="e">
        <f t="shared" si="22"/>
        <v>#DIV/0!</v>
      </c>
      <c r="X177" s="42" t="e">
        <f t="shared" si="21"/>
        <v>#DIV/0!</v>
      </c>
      <c r="Y177" s="44"/>
      <c r="Z177" s="45"/>
    </row>
    <row r="178" spans="2:26" ht="15" customHeight="1" x14ac:dyDescent="0.25">
      <c r="B178" s="343"/>
      <c r="C178" s="343"/>
      <c r="D178" s="343"/>
      <c r="E178" s="343"/>
      <c r="F178" s="343"/>
      <c r="G178" s="343"/>
      <c r="H178" s="343"/>
      <c r="I178" s="343"/>
      <c r="J178" s="343"/>
      <c r="K178" s="343"/>
      <c r="L178" s="343"/>
      <c r="M178" s="343"/>
      <c r="N178" s="343"/>
      <c r="O178" s="343"/>
      <c r="P178" s="343"/>
      <c r="Q178" s="343"/>
      <c r="R178" s="343"/>
      <c r="S178" s="343"/>
      <c r="T178" s="343"/>
      <c r="U178" s="343"/>
      <c r="V178" s="343"/>
      <c r="W178" s="343"/>
      <c r="X178" s="343"/>
      <c r="Y178" s="343"/>
      <c r="Z178" s="343"/>
    </row>
    <row r="179" spans="2:26" ht="30" customHeight="1" x14ac:dyDescent="0.25">
      <c r="B179" s="387" t="s">
        <v>228</v>
      </c>
      <c r="C179" s="387"/>
      <c r="D179" s="397" t="s">
        <v>233</v>
      </c>
      <c r="E179" s="397"/>
      <c r="F179" s="397"/>
      <c r="G179" s="397"/>
      <c r="H179" s="397"/>
      <c r="I179" s="397"/>
      <c r="J179" s="397"/>
      <c r="K179" s="397"/>
      <c r="L179" s="397"/>
      <c r="M179" s="397"/>
      <c r="N179" s="344"/>
      <c r="O179" s="344"/>
      <c r="P179" s="344"/>
      <c r="Q179" s="344"/>
      <c r="R179" s="344"/>
      <c r="S179" s="344"/>
      <c r="T179" s="344"/>
      <c r="U179" s="344"/>
      <c r="V179" s="344"/>
      <c r="W179" s="344"/>
      <c r="X179" s="344"/>
      <c r="Y179" s="344"/>
      <c r="Z179" s="344"/>
    </row>
    <row r="180" spans="2:26" ht="30" customHeight="1" x14ac:dyDescent="0.25">
      <c r="B180" s="398" t="s">
        <v>229</v>
      </c>
      <c r="C180" s="398"/>
      <c r="D180" s="393" t="s">
        <v>231</v>
      </c>
      <c r="E180" s="393"/>
      <c r="F180" s="393"/>
      <c r="G180" s="393"/>
      <c r="H180" s="393"/>
      <c r="I180" s="393"/>
      <c r="J180" s="393"/>
      <c r="K180" s="393"/>
      <c r="L180" s="393"/>
      <c r="M180" s="393"/>
      <c r="N180" s="344"/>
      <c r="O180" s="344"/>
      <c r="P180" s="344"/>
      <c r="Q180" s="344"/>
      <c r="R180" s="344"/>
      <c r="S180" s="344"/>
      <c r="T180" s="344"/>
      <c r="U180" s="344"/>
      <c r="V180" s="344"/>
      <c r="W180" s="344"/>
      <c r="X180" s="344"/>
      <c r="Y180" s="344"/>
      <c r="Z180" s="344"/>
    </row>
    <row r="181" spans="2:26" ht="30" customHeight="1" x14ac:dyDescent="0.25">
      <c r="B181" s="394" t="s">
        <v>230</v>
      </c>
      <c r="C181" s="394"/>
      <c r="D181" s="395" t="s">
        <v>234</v>
      </c>
      <c r="E181" s="395"/>
      <c r="F181" s="395"/>
      <c r="G181" s="395"/>
      <c r="H181" s="395"/>
      <c r="I181" s="395"/>
      <c r="J181" s="395"/>
      <c r="K181" s="395"/>
      <c r="L181" s="395"/>
      <c r="M181" s="395"/>
      <c r="N181" s="344"/>
      <c r="O181" s="344"/>
      <c r="P181" s="344"/>
      <c r="Q181" s="344"/>
      <c r="R181" s="344"/>
      <c r="S181" s="344"/>
      <c r="T181" s="344"/>
      <c r="U181" s="344"/>
      <c r="V181" s="344"/>
      <c r="W181" s="344"/>
      <c r="X181" s="344"/>
      <c r="Y181" s="344"/>
      <c r="Z181" s="344"/>
    </row>
    <row r="182" spans="2:26" ht="27" customHeight="1" x14ac:dyDescent="0.25">
      <c r="B182" s="344"/>
      <c r="C182" s="344"/>
      <c r="D182" s="344"/>
      <c r="E182" s="344"/>
      <c r="F182" s="344"/>
      <c r="G182" s="344"/>
      <c r="H182" s="344"/>
      <c r="I182" s="344"/>
      <c r="J182" s="344"/>
      <c r="K182" s="344"/>
      <c r="L182" s="344"/>
      <c r="M182" s="344"/>
      <c r="N182" s="344"/>
      <c r="O182" s="344"/>
      <c r="P182" s="344"/>
      <c r="Q182" s="344"/>
      <c r="R182" s="344"/>
      <c r="S182" s="344"/>
      <c r="T182" s="344"/>
      <c r="U182" s="344"/>
      <c r="V182" s="344"/>
      <c r="W182" s="344"/>
      <c r="X182" s="344"/>
      <c r="Y182" s="344"/>
      <c r="Z182" s="344"/>
    </row>
    <row r="183" spans="2:26" ht="27" hidden="1" customHeight="1" x14ac:dyDescent="0.25">
      <c r="B183" s="344"/>
      <c r="C183" s="344"/>
      <c r="D183" s="344"/>
      <c r="E183" s="344"/>
      <c r="F183" s="344"/>
      <c r="G183" s="344"/>
      <c r="H183" s="344"/>
      <c r="I183" s="344"/>
      <c r="J183" s="344"/>
      <c r="K183" s="344"/>
      <c r="L183" s="344"/>
      <c r="M183" s="344"/>
      <c r="N183" s="344"/>
      <c r="O183" s="344"/>
      <c r="P183" s="344"/>
      <c r="Q183" s="344"/>
      <c r="R183" s="344"/>
      <c r="S183" s="344"/>
      <c r="T183" s="344"/>
      <c r="U183" s="344"/>
      <c r="V183" s="344"/>
      <c r="W183" s="344"/>
      <c r="X183" s="344"/>
      <c r="Y183" s="344"/>
      <c r="Z183" s="344"/>
    </row>
    <row r="184" spans="2:26" ht="27" hidden="1" customHeight="1" x14ac:dyDescent="0.25">
      <c r="B184" s="344"/>
      <c r="C184" s="344"/>
      <c r="D184" s="344"/>
      <c r="E184" s="344"/>
      <c r="F184" s="344"/>
      <c r="G184" s="344"/>
      <c r="H184" s="344"/>
      <c r="I184" s="344"/>
      <c r="J184" s="344"/>
      <c r="K184" s="344"/>
      <c r="L184" s="344"/>
      <c r="M184" s="344"/>
      <c r="N184" s="344"/>
      <c r="O184" s="344"/>
      <c r="P184" s="344"/>
      <c r="Q184" s="344"/>
      <c r="R184" s="344"/>
      <c r="S184" s="344"/>
      <c r="T184" s="344"/>
      <c r="U184" s="344"/>
      <c r="V184" s="344"/>
      <c r="W184" s="344"/>
      <c r="X184" s="344"/>
      <c r="Y184" s="344"/>
      <c r="Z184" s="344"/>
    </row>
    <row r="185" spans="2:26" ht="27" hidden="1" customHeight="1" x14ac:dyDescent="0.25">
      <c r="B185" s="344"/>
      <c r="C185" s="344"/>
      <c r="D185" s="344"/>
      <c r="E185" s="344"/>
      <c r="F185" s="344"/>
      <c r="G185" s="344"/>
      <c r="H185" s="344"/>
      <c r="I185" s="344"/>
      <c r="J185" s="344"/>
      <c r="K185" s="344"/>
      <c r="L185" s="344"/>
      <c r="M185" s="344"/>
      <c r="N185" s="344"/>
      <c r="O185" s="344"/>
      <c r="P185" s="344"/>
      <c r="Q185" s="344"/>
      <c r="R185" s="344"/>
      <c r="S185" s="344"/>
      <c r="T185" s="344"/>
      <c r="U185" s="344"/>
      <c r="V185" s="344"/>
      <c r="W185" s="344"/>
      <c r="X185" s="344"/>
      <c r="Y185" s="344"/>
      <c r="Z185" s="344"/>
    </row>
    <row r="186" spans="2:26" ht="27" hidden="1" customHeight="1" x14ac:dyDescent="0.25">
      <c r="B186" s="344"/>
      <c r="C186" s="344"/>
      <c r="D186" s="344"/>
      <c r="E186" s="344"/>
      <c r="F186" s="344"/>
      <c r="G186" s="344"/>
      <c r="H186" s="344"/>
      <c r="I186" s="344"/>
      <c r="J186" s="344"/>
      <c r="K186" s="344"/>
      <c r="L186" s="344"/>
      <c r="M186" s="344"/>
      <c r="N186" s="344"/>
      <c r="O186" s="344"/>
      <c r="P186" s="344"/>
      <c r="Q186" s="344"/>
      <c r="R186" s="344"/>
      <c r="S186" s="344"/>
      <c r="T186" s="344"/>
      <c r="U186" s="344"/>
      <c r="V186" s="344"/>
      <c r="W186" s="344"/>
      <c r="X186" s="344"/>
      <c r="Y186" s="344"/>
      <c r="Z186" s="344"/>
    </row>
    <row r="187" spans="2:26" ht="27" hidden="1" customHeight="1" x14ac:dyDescent="0.25">
      <c r="B187" s="336"/>
      <c r="C187" s="337"/>
      <c r="D187" s="338"/>
      <c r="E187" s="339"/>
      <c r="F187" s="339"/>
      <c r="G187" s="339"/>
      <c r="H187" s="339"/>
      <c r="I187" s="339"/>
      <c r="J187" s="339"/>
      <c r="K187" s="339"/>
      <c r="L187" s="339"/>
      <c r="M187" s="339"/>
      <c r="N187" s="339"/>
      <c r="O187" s="340"/>
      <c r="P187" s="340"/>
      <c r="Q187" s="340"/>
      <c r="R187" s="340"/>
      <c r="S187" s="341"/>
      <c r="T187" s="341"/>
      <c r="U187" s="341"/>
      <c r="V187" s="341"/>
      <c r="W187" s="341"/>
      <c r="X187" s="340"/>
      <c r="Y187" s="342"/>
      <c r="Z187" s="342"/>
    </row>
    <row r="188" spans="2:26" ht="27" hidden="1" customHeight="1" x14ac:dyDescent="0.25">
      <c r="B188" s="336"/>
      <c r="C188" s="337"/>
      <c r="D188" s="338"/>
      <c r="E188" s="339"/>
      <c r="F188" s="339"/>
      <c r="G188" s="339"/>
      <c r="H188" s="339"/>
      <c r="I188" s="339"/>
      <c r="J188" s="339"/>
      <c r="K188" s="339"/>
      <c r="L188" s="339"/>
      <c r="M188" s="339"/>
      <c r="N188" s="339"/>
      <c r="O188" s="340"/>
      <c r="P188" s="340"/>
      <c r="Q188" s="340"/>
      <c r="R188" s="340"/>
      <c r="S188" s="341"/>
      <c r="T188" s="341"/>
      <c r="U188" s="341"/>
      <c r="V188" s="341"/>
      <c r="W188" s="341"/>
      <c r="X188" s="340"/>
      <c r="Y188" s="342"/>
      <c r="Z188" s="342"/>
    </row>
    <row r="189" spans="2:26" ht="27" hidden="1" customHeight="1" x14ac:dyDescent="0.25">
      <c r="B189" s="336"/>
      <c r="C189" s="337"/>
      <c r="D189" s="338"/>
      <c r="E189" s="339"/>
      <c r="F189" s="339"/>
      <c r="G189" s="339"/>
      <c r="H189" s="339"/>
      <c r="I189" s="339"/>
      <c r="J189" s="339"/>
      <c r="K189" s="339"/>
      <c r="L189" s="339"/>
      <c r="M189" s="339"/>
      <c r="N189" s="339"/>
      <c r="O189" s="340"/>
      <c r="P189" s="340"/>
      <c r="Q189" s="340"/>
      <c r="R189" s="340"/>
      <c r="S189" s="341"/>
      <c r="T189" s="341"/>
      <c r="U189" s="341"/>
      <c r="V189" s="341"/>
      <c r="W189" s="341"/>
      <c r="X189" s="340"/>
      <c r="Y189" s="342"/>
      <c r="Z189" s="342"/>
    </row>
    <row r="190" spans="2:26" ht="27" hidden="1" customHeight="1" x14ac:dyDescent="0.25">
      <c r="B190" s="336"/>
      <c r="C190" s="337"/>
      <c r="D190" s="338"/>
      <c r="E190" s="339"/>
      <c r="F190" s="339"/>
      <c r="G190" s="339"/>
      <c r="H190" s="339"/>
      <c r="I190" s="339"/>
      <c r="J190" s="339"/>
      <c r="K190" s="339"/>
      <c r="L190" s="339"/>
      <c r="M190" s="339"/>
      <c r="N190" s="339"/>
      <c r="O190" s="340"/>
      <c r="P190" s="340"/>
      <c r="Q190" s="340"/>
      <c r="R190" s="340"/>
      <c r="S190" s="341"/>
      <c r="T190" s="341"/>
      <c r="U190" s="341"/>
      <c r="V190" s="341"/>
      <c r="W190" s="341"/>
      <c r="X190" s="340"/>
      <c r="Y190" s="342"/>
      <c r="Z190" s="342"/>
    </row>
    <row r="191" spans="2:26" ht="27" hidden="1" customHeight="1" x14ac:dyDescent="0.25">
      <c r="B191" s="336"/>
      <c r="C191" s="337"/>
      <c r="D191" s="338"/>
      <c r="E191" s="339"/>
      <c r="F191" s="339"/>
      <c r="G191" s="339"/>
      <c r="H191" s="339"/>
      <c r="I191" s="339"/>
      <c r="J191" s="339"/>
      <c r="K191" s="339"/>
      <c r="L191" s="339"/>
      <c r="M191" s="339"/>
      <c r="N191" s="339"/>
      <c r="O191" s="340"/>
      <c r="P191" s="340"/>
      <c r="Q191" s="340"/>
      <c r="R191" s="340"/>
      <c r="S191" s="341"/>
      <c r="T191" s="341"/>
      <c r="U191" s="341"/>
      <c r="V191" s="341"/>
      <c r="W191" s="341"/>
      <c r="X191" s="340"/>
      <c r="Y191" s="342"/>
      <c r="Z191" s="342"/>
    </row>
    <row r="192" spans="2:26" ht="27" hidden="1" customHeight="1" x14ac:dyDescent="0.25">
      <c r="B192" s="336"/>
      <c r="C192" s="337"/>
      <c r="D192" s="338"/>
      <c r="E192" s="339"/>
      <c r="F192" s="339"/>
      <c r="G192" s="339"/>
      <c r="H192" s="339"/>
      <c r="I192" s="339"/>
      <c r="J192" s="339"/>
      <c r="K192" s="339"/>
      <c r="L192" s="339"/>
      <c r="M192" s="339"/>
      <c r="N192" s="339"/>
      <c r="O192" s="340"/>
      <c r="P192" s="340"/>
      <c r="Q192" s="340"/>
      <c r="R192" s="340"/>
      <c r="S192" s="341"/>
      <c r="T192" s="341"/>
      <c r="U192" s="341"/>
      <c r="V192" s="341"/>
      <c r="W192" s="341"/>
      <c r="X192" s="340"/>
      <c r="Y192" s="342"/>
      <c r="Z192" s="342"/>
    </row>
    <row r="193" spans="2:26" ht="13" thickBot="1" x14ac:dyDescent="0.3"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46"/>
      <c r="R193" s="47"/>
      <c r="S193" s="46"/>
      <c r="T193" s="46"/>
      <c r="U193" s="46"/>
      <c r="V193" s="46"/>
      <c r="W193" s="46"/>
      <c r="X193" s="47"/>
      <c r="Y193" s="5"/>
      <c r="Z193" s="5"/>
    </row>
    <row r="194" spans="2:26" ht="22.5" customHeight="1" thickBot="1" x14ac:dyDescent="0.3">
      <c r="B194" s="355" t="s">
        <v>217</v>
      </c>
      <c r="C194" s="356"/>
      <c r="D194" s="356"/>
      <c r="E194" s="356"/>
      <c r="F194" s="356"/>
      <c r="G194" s="356"/>
      <c r="H194" s="356"/>
      <c r="I194" s="356"/>
      <c r="J194" s="356"/>
      <c r="K194" s="356"/>
      <c r="L194" s="356"/>
      <c r="M194" s="356"/>
      <c r="N194" s="357"/>
      <c r="O194" s="358"/>
      <c r="P194" s="358"/>
      <c r="Q194" s="358"/>
      <c r="R194" s="358"/>
      <c r="S194" s="358"/>
      <c r="T194" s="358"/>
      <c r="U194" s="358"/>
      <c r="V194" s="358"/>
      <c r="W194" s="358"/>
      <c r="X194" s="358"/>
      <c r="Y194" s="5"/>
      <c r="Z194" s="5"/>
    </row>
    <row r="195" spans="2:26" ht="20.25" customHeight="1" x14ac:dyDescent="0.25">
      <c r="B195" s="359" t="s">
        <v>215</v>
      </c>
      <c r="C195" s="360"/>
      <c r="D195" s="360"/>
      <c r="E195" s="48"/>
      <c r="F195" s="48"/>
      <c r="G195" s="48"/>
      <c r="H195" s="48"/>
      <c r="I195" s="48"/>
      <c r="J195" s="48"/>
      <c r="K195" s="48"/>
      <c r="L195" s="48"/>
      <c r="M195" s="48"/>
      <c r="N195" s="328" t="s">
        <v>24</v>
      </c>
      <c r="O195" s="361"/>
      <c r="P195" s="101"/>
      <c r="Q195" s="362"/>
      <c r="R195" s="362"/>
      <c r="S195" s="362"/>
      <c r="T195" s="362"/>
      <c r="U195" s="101"/>
      <c r="V195" s="101"/>
      <c r="W195" s="101"/>
      <c r="X195" s="362"/>
      <c r="Y195" s="5"/>
      <c r="Z195" s="5"/>
    </row>
    <row r="196" spans="2:26" ht="20.25" customHeight="1" x14ac:dyDescent="0.25">
      <c r="B196" s="345"/>
      <c r="C196" s="346"/>
      <c r="D196" s="346"/>
      <c r="E196" s="51"/>
      <c r="F196" s="51"/>
      <c r="G196" s="51"/>
      <c r="H196" s="51"/>
      <c r="I196" s="51"/>
      <c r="J196" s="51"/>
      <c r="K196" s="51"/>
      <c r="L196" s="51"/>
      <c r="M196" s="51"/>
      <c r="N196" s="329" t="s">
        <v>24</v>
      </c>
      <c r="O196" s="361"/>
      <c r="P196" s="101"/>
      <c r="Q196" s="362"/>
      <c r="R196" s="362"/>
      <c r="S196" s="362"/>
      <c r="T196" s="362"/>
      <c r="U196" s="101"/>
      <c r="V196" s="101"/>
      <c r="W196" s="101"/>
      <c r="X196" s="362"/>
      <c r="Y196" s="5"/>
      <c r="Z196" s="5"/>
    </row>
    <row r="197" spans="2:26" ht="20.25" customHeight="1" x14ac:dyDescent="0.25">
      <c r="B197" s="345" t="s">
        <v>216</v>
      </c>
      <c r="C197" s="346"/>
      <c r="D197" s="346"/>
      <c r="E197" s="51"/>
      <c r="F197" s="51"/>
      <c r="G197" s="51"/>
      <c r="H197" s="51"/>
      <c r="I197" s="51"/>
      <c r="J197" s="51"/>
      <c r="K197" s="51"/>
      <c r="L197" s="51"/>
      <c r="M197" s="51"/>
      <c r="N197" s="329" t="s">
        <v>24</v>
      </c>
      <c r="O197" s="361"/>
      <c r="P197" s="101"/>
      <c r="Q197" s="362"/>
      <c r="R197" s="362"/>
      <c r="S197" s="362"/>
      <c r="T197" s="362"/>
      <c r="U197" s="101"/>
      <c r="V197" s="101"/>
      <c r="W197" s="101"/>
      <c r="X197" s="362"/>
      <c r="Y197" s="5"/>
      <c r="Z197" s="5"/>
    </row>
    <row r="198" spans="2:26" ht="16" thickBot="1" x14ac:dyDescent="0.3">
      <c r="B198" s="347"/>
      <c r="C198" s="348"/>
      <c r="D198" s="348"/>
      <c r="E198" s="54"/>
      <c r="F198" s="54"/>
      <c r="G198" s="54"/>
      <c r="H198" s="54"/>
      <c r="I198" s="54"/>
      <c r="J198" s="54"/>
      <c r="K198" s="54"/>
      <c r="L198" s="54"/>
      <c r="M198" s="54"/>
      <c r="N198" s="330" t="s">
        <v>24</v>
      </c>
      <c r="O198" s="361"/>
      <c r="P198" s="101"/>
      <c r="Q198" s="362"/>
      <c r="R198" s="362"/>
      <c r="S198" s="362"/>
      <c r="T198" s="362"/>
      <c r="U198" s="101"/>
      <c r="V198" s="101"/>
      <c r="W198" s="101"/>
      <c r="X198" s="362"/>
      <c r="Y198" s="5"/>
      <c r="Z198" s="5"/>
    </row>
    <row r="199" spans="2:26" ht="18.75" customHeight="1" thickTop="1" x14ac:dyDescent="0.25"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</sheetData>
  <sheetProtection insertRows="0"/>
  <mergeCells count="47">
    <mergeCell ref="D181:M181"/>
    <mergeCell ref="B5:H5"/>
    <mergeCell ref="I5:M5"/>
    <mergeCell ref="D179:M179"/>
    <mergeCell ref="B180:C180"/>
    <mergeCell ref="B7:Z8"/>
    <mergeCell ref="B9:Z9"/>
    <mergeCell ref="N1:Z5"/>
    <mergeCell ref="B2:M2"/>
    <mergeCell ref="B6:Z6"/>
    <mergeCell ref="B1:M1"/>
    <mergeCell ref="B3:H3"/>
    <mergeCell ref="I3:M3"/>
    <mergeCell ref="B4:H4"/>
    <mergeCell ref="I4:M4"/>
    <mergeCell ref="Y10:Y12"/>
    <mergeCell ref="Z10:Z12"/>
    <mergeCell ref="N11:N12"/>
    <mergeCell ref="X195:X198"/>
    <mergeCell ref="B173:D173"/>
    <mergeCell ref="B10:B12"/>
    <mergeCell ref="C10:C12"/>
    <mergeCell ref="D10:D12"/>
    <mergeCell ref="E10:N10"/>
    <mergeCell ref="O10:O12"/>
    <mergeCell ref="Q10:Q12"/>
    <mergeCell ref="R10:R12"/>
    <mergeCell ref="S10:S12"/>
    <mergeCell ref="T10:T12"/>
    <mergeCell ref="X10:X12"/>
    <mergeCell ref="B179:C179"/>
    <mergeCell ref="B197:D198"/>
    <mergeCell ref="U10:U12"/>
    <mergeCell ref="W10:W12"/>
    <mergeCell ref="P10:P12"/>
    <mergeCell ref="V10:V12"/>
    <mergeCell ref="B174:B177"/>
    <mergeCell ref="B194:N194"/>
    <mergeCell ref="O194:X194"/>
    <mergeCell ref="B195:D196"/>
    <mergeCell ref="O195:O198"/>
    <mergeCell ref="Q195:Q198"/>
    <mergeCell ref="R195:R198"/>
    <mergeCell ref="S195:S198"/>
    <mergeCell ref="T195:T198"/>
    <mergeCell ref="D180:M180"/>
    <mergeCell ref="B181:C181"/>
  </mergeCells>
  <conditionalFormatting sqref="O13:Q172">
    <cfRule type="cellIs" dxfId="11" priority="1" operator="equal">
      <formula>""</formula>
    </cfRule>
  </conditionalFormatting>
  <printOptions horizontalCentered="1"/>
  <pageMargins left="0.39370078740157483" right="0.39370078740157483" top="0.9055118110236221" bottom="0.55118110236220474" header="0.51181102362204722" footer="0.35433070866141736"/>
  <pageSetup paperSize="9" scale="43" firstPageNumber="41" fitToHeight="0" orientation="landscape" errors="dash" r:id="rId1"/>
  <headerFooter scaleWithDoc="0" alignWithMargins="0"/>
  <rowBreaks count="2" manualBreakCount="2">
    <brk id="74" max="25" man="1"/>
    <brk id="100" max="25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FD80B-A3A3-468A-A177-8D0AC2EC2C92}">
  <sheetPr>
    <pageSetUpPr fitToPage="1"/>
  </sheetPr>
  <dimension ref="B1:AG49"/>
  <sheetViews>
    <sheetView showGridLines="0" topLeftCell="A38" workbookViewId="0">
      <selection activeCell="C8" sqref="C8"/>
    </sheetView>
  </sheetViews>
  <sheetFormatPr defaultColWidth="11.453125" defaultRowHeight="12.5" x14ac:dyDescent="0.25"/>
  <cols>
    <col min="1" max="1" width="11.453125" customWidth="1"/>
    <col min="2" max="2" width="18.26953125" customWidth="1"/>
    <col min="3" max="6" width="9.26953125" customWidth="1"/>
    <col min="7" max="7" width="16.453125" bestFit="1" customWidth="1"/>
    <col min="8" max="11" width="8.26953125" customWidth="1"/>
    <col min="12" max="12" width="11.453125" customWidth="1"/>
    <col min="13" max="13" width="21.81640625" customWidth="1"/>
    <col min="14" max="14" width="11.453125" customWidth="1"/>
    <col min="15" max="15" width="13.1796875" customWidth="1"/>
    <col min="16" max="16" width="12.1796875" customWidth="1"/>
    <col min="17" max="17" width="11.26953125" customWidth="1"/>
    <col min="18" max="21" width="11.453125" customWidth="1"/>
    <col min="22" max="22" width="17.453125" customWidth="1"/>
    <col min="23" max="25" width="11.453125" customWidth="1"/>
    <col min="26" max="26" width="12.54296875" customWidth="1"/>
    <col min="27" max="27" width="11.54296875" customWidth="1"/>
    <col min="28" max="31" width="11.453125" customWidth="1"/>
    <col min="32" max="32" width="14.26953125" bestFit="1" customWidth="1"/>
    <col min="258" max="258" width="18.26953125" customWidth="1"/>
    <col min="259" max="262" width="9.26953125" customWidth="1"/>
    <col min="263" max="267" width="8.26953125" customWidth="1"/>
    <col min="269" max="269" width="21.81640625" customWidth="1"/>
    <col min="271" max="271" width="13.1796875" customWidth="1"/>
    <col min="272" max="272" width="12.1796875" customWidth="1"/>
    <col min="273" max="273" width="11.26953125" customWidth="1"/>
    <col min="278" max="278" width="17.453125" customWidth="1"/>
    <col min="282" max="282" width="12.54296875" customWidth="1"/>
    <col min="283" max="283" width="11.54296875" customWidth="1"/>
    <col min="288" max="288" width="14.26953125" bestFit="1" customWidth="1"/>
    <col min="514" max="514" width="18.26953125" customWidth="1"/>
    <col min="515" max="518" width="9.26953125" customWidth="1"/>
    <col min="519" max="523" width="8.26953125" customWidth="1"/>
    <col min="525" max="525" width="21.81640625" customWidth="1"/>
    <col min="527" max="527" width="13.1796875" customWidth="1"/>
    <col min="528" max="528" width="12.1796875" customWidth="1"/>
    <col min="529" max="529" width="11.26953125" customWidth="1"/>
    <col min="534" max="534" width="17.453125" customWidth="1"/>
    <col min="538" max="538" width="12.54296875" customWidth="1"/>
    <col min="539" max="539" width="11.54296875" customWidth="1"/>
    <col min="544" max="544" width="14.26953125" bestFit="1" customWidth="1"/>
    <col min="770" max="770" width="18.26953125" customWidth="1"/>
    <col min="771" max="774" width="9.26953125" customWidth="1"/>
    <col min="775" max="779" width="8.26953125" customWidth="1"/>
    <col min="781" max="781" width="21.81640625" customWidth="1"/>
    <col min="783" max="783" width="13.1796875" customWidth="1"/>
    <col min="784" max="784" width="12.1796875" customWidth="1"/>
    <col min="785" max="785" width="11.26953125" customWidth="1"/>
    <col min="790" max="790" width="17.453125" customWidth="1"/>
    <col min="794" max="794" width="12.54296875" customWidth="1"/>
    <col min="795" max="795" width="11.54296875" customWidth="1"/>
    <col min="800" max="800" width="14.26953125" bestFit="1" customWidth="1"/>
    <col min="1026" max="1026" width="18.26953125" customWidth="1"/>
    <col min="1027" max="1030" width="9.26953125" customWidth="1"/>
    <col min="1031" max="1035" width="8.26953125" customWidth="1"/>
    <col min="1037" max="1037" width="21.81640625" customWidth="1"/>
    <col min="1039" max="1039" width="13.1796875" customWidth="1"/>
    <col min="1040" max="1040" width="12.1796875" customWidth="1"/>
    <col min="1041" max="1041" width="11.26953125" customWidth="1"/>
    <col min="1046" max="1046" width="17.453125" customWidth="1"/>
    <col min="1050" max="1050" width="12.54296875" customWidth="1"/>
    <col min="1051" max="1051" width="11.54296875" customWidth="1"/>
    <col min="1056" max="1056" width="14.26953125" bestFit="1" customWidth="1"/>
    <col min="1282" max="1282" width="18.26953125" customWidth="1"/>
    <col min="1283" max="1286" width="9.26953125" customWidth="1"/>
    <col min="1287" max="1291" width="8.26953125" customWidth="1"/>
    <col min="1293" max="1293" width="21.81640625" customWidth="1"/>
    <col min="1295" max="1295" width="13.1796875" customWidth="1"/>
    <col min="1296" max="1296" width="12.1796875" customWidth="1"/>
    <col min="1297" max="1297" width="11.26953125" customWidth="1"/>
    <col min="1302" max="1302" width="17.453125" customWidth="1"/>
    <col min="1306" max="1306" width="12.54296875" customWidth="1"/>
    <col min="1307" max="1307" width="11.54296875" customWidth="1"/>
    <col min="1312" max="1312" width="14.26953125" bestFit="1" customWidth="1"/>
    <col min="1538" max="1538" width="18.26953125" customWidth="1"/>
    <col min="1539" max="1542" width="9.26953125" customWidth="1"/>
    <col min="1543" max="1547" width="8.26953125" customWidth="1"/>
    <col min="1549" max="1549" width="21.81640625" customWidth="1"/>
    <col min="1551" max="1551" width="13.1796875" customWidth="1"/>
    <col min="1552" max="1552" width="12.1796875" customWidth="1"/>
    <col min="1553" max="1553" width="11.26953125" customWidth="1"/>
    <col min="1558" max="1558" width="17.453125" customWidth="1"/>
    <col min="1562" max="1562" width="12.54296875" customWidth="1"/>
    <col min="1563" max="1563" width="11.54296875" customWidth="1"/>
    <col min="1568" max="1568" width="14.26953125" bestFit="1" customWidth="1"/>
    <col min="1794" max="1794" width="18.26953125" customWidth="1"/>
    <col min="1795" max="1798" width="9.26953125" customWidth="1"/>
    <col min="1799" max="1803" width="8.26953125" customWidth="1"/>
    <col min="1805" max="1805" width="21.81640625" customWidth="1"/>
    <col min="1807" max="1807" width="13.1796875" customWidth="1"/>
    <col min="1808" max="1808" width="12.1796875" customWidth="1"/>
    <col min="1809" max="1809" width="11.26953125" customWidth="1"/>
    <col min="1814" max="1814" width="17.453125" customWidth="1"/>
    <col min="1818" max="1818" width="12.54296875" customWidth="1"/>
    <col min="1819" max="1819" width="11.54296875" customWidth="1"/>
    <col min="1824" max="1824" width="14.26953125" bestFit="1" customWidth="1"/>
    <col min="2050" max="2050" width="18.26953125" customWidth="1"/>
    <col min="2051" max="2054" width="9.26953125" customWidth="1"/>
    <col min="2055" max="2059" width="8.26953125" customWidth="1"/>
    <col min="2061" max="2061" width="21.81640625" customWidth="1"/>
    <col min="2063" max="2063" width="13.1796875" customWidth="1"/>
    <col min="2064" max="2064" width="12.1796875" customWidth="1"/>
    <col min="2065" max="2065" width="11.26953125" customWidth="1"/>
    <col min="2070" max="2070" width="17.453125" customWidth="1"/>
    <col min="2074" max="2074" width="12.54296875" customWidth="1"/>
    <col min="2075" max="2075" width="11.54296875" customWidth="1"/>
    <col min="2080" max="2080" width="14.26953125" bestFit="1" customWidth="1"/>
    <col min="2306" max="2306" width="18.26953125" customWidth="1"/>
    <col min="2307" max="2310" width="9.26953125" customWidth="1"/>
    <col min="2311" max="2315" width="8.26953125" customWidth="1"/>
    <col min="2317" max="2317" width="21.81640625" customWidth="1"/>
    <col min="2319" max="2319" width="13.1796875" customWidth="1"/>
    <col min="2320" max="2320" width="12.1796875" customWidth="1"/>
    <col min="2321" max="2321" width="11.26953125" customWidth="1"/>
    <col min="2326" max="2326" width="17.453125" customWidth="1"/>
    <col min="2330" max="2330" width="12.54296875" customWidth="1"/>
    <col min="2331" max="2331" width="11.54296875" customWidth="1"/>
    <col min="2336" max="2336" width="14.26953125" bestFit="1" customWidth="1"/>
    <col min="2562" max="2562" width="18.26953125" customWidth="1"/>
    <col min="2563" max="2566" width="9.26953125" customWidth="1"/>
    <col min="2567" max="2571" width="8.26953125" customWidth="1"/>
    <col min="2573" max="2573" width="21.81640625" customWidth="1"/>
    <col min="2575" max="2575" width="13.1796875" customWidth="1"/>
    <col min="2576" max="2576" width="12.1796875" customWidth="1"/>
    <col min="2577" max="2577" width="11.26953125" customWidth="1"/>
    <col min="2582" max="2582" width="17.453125" customWidth="1"/>
    <col min="2586" max="2586" width="12.54296875" customWidth="1"/>
    <col min="2587" max="2587" width="11.54296875" customWidth="1"/>
    <col min="2592" max="2592" width="14.26953125" bestFit="1" customWidth="1"/>
    <col min="2818" max="2818" width="18.26953125" customWidth="1"/>
    <col min="2819" max="2822" width="9.26953125" customWidth="1"/>
    <col min="2823" max="2827" width="8.26953125" customWidth="1"/>
    <col min="2829" max="2829" width="21.81640625" customWidth="1"/>
    <col min="2831" max="2831" width="13.1796875" customWidth="1"/>
    <col min="2832" max="2832" width="12.1796875" customWidth="1"/>
    <col min="2833" max="2833" width="11.26953125" customWidth="1"/>
    <col min="2838" max="2838" width="17.453125" customWidth="1"/>
    <col min="2842" max="2842" width="12.54296875" customWidth="1"/>
    <col min="2843" max="2843" width="11.54296875" customWidth="1"/>
    <col min="2848" max="2848" width="14.26953125" bestFit="1" customWidth="1"/>
    <col min="3074" max="3074" width="18.26953125" customWidth="1"/>
    <col min="3075" max="3078" width="9.26953125" customWidth="1"/>
    <col min="3079" max="3083" width="8.26953125" customWidth="1"/>
    <col min="3085" max="3085" width="21.81640625" customWidth="1"/>
    <col min="3087" max="3087" width="13.1796875" customWidth="1"/>
    <col min="3088" max="3088" width="12.1796875" customWidth="1"/>
    <col min="3089" max="3089" width="11.26953125" customWidth="1"/>
    <col min="3094" max="3094" width="17.453125" customWidth="1"/>
    <col min="3098" max="3098" width="12.54296875" customWidth="1"/>
    <col min="3099" max="3099" width="11.54296875" customWidth="1"/>
    <col min="3104" max="3104" width="14.26953125" bestFit="1" customWidth="1"/>
    <col min="3330" max="3330" width="18.26953125" customWidth="1"/>
    <col min="3331" max="3334" width="9.26953125" customWidth="1"/>
    <col min="3335" max="3339" width="8.26953125" customWidth="1"/>
    <col min="3341" max="3341" width="21.81640625" customWidth="1"/>
    <col min="3343" max="3343" width="13.1796875" customWidth="1"/>
    <col min="3344" max="3344" width="12.1796875" customWidth="1"/>
    <col min="3345" max="3345" width="11.26953125" customWidth="1"/>
    <col min="3350" max="3350" width="17.453125" customWidth="1"/>
    <col min="3354" max="3354" width="12.54296875" customWidth="1"/>
    <col min="3355" max="3355" width="11.54296875" customWidth="1"/>
    <col min="3360" max="3360" width="14.26953125" bestFit="1" customWidth="1"/>
    <col min="3586" max="3586" width="18.26953125" customWidth="1"/>
    <col min="3587" max="3590" width="9.26953125" customWidth="1"/>
    <col min="3591" max="3595" width="8.26953125" customWidth="1"/>
    <col min="3597" max="3597" width="21.81640625" customWidth="1"/>
    <col min="3599" max="3599" width="13.1796875" customWidth="1"/>
    <col min="3600" max="3600" width="12.1796875" customWidth="1"/>
    <col min="3601" max="3601" width="11.26953125" customWidth="1"/>
    <col min="3606" max="3606" width="17.453125" customWidth="1"/>
    <col min="3610" max="3610" width="12.54296875" customWidth="1"/>
    <col min="3611" max="3611" width="11.54296875" customWidth="1"/>
    <col min="3616" max="3616" width="14.26953125" bestFit="1" customWidth="1"/>
    <col min="3842" max="3842" width="18.26953125" customWidth="1"/>
    <col min="3843" max="3846" width="9.26953125" customWidth="1"/>
    <col min="3847" max="3851" width="8.26953125" customWidth="1"/>
    <col min="3853" max="3853" width="21.81640625" customWidth="1"/>
    <col min="3855" max="3855" width="13.1796875" customWidth="1"/>
    <col min="3856" max="3856" width="12.1796875" customWidth="1"/>
    <col min="3857" max="3857" width="11.26953125" customWidth="1"/>
    <col min="3862" max="3862" width="17.453125" customWidth="1"/>
    <col min="3866" max="3866" width="12.54296875" customWidth="1"/>
    <col min="3867" max="3867" width="11.54296875" customWidth="1"/>
    <col min="3872" max="3872" width="14.26953125" bestFit="1" customWidth="1"/>
    <col min="4098" max="4098" width="18.26953125" customWidth="1"/>
    <col min="4099" max="4102" width="9.26953125" customWidth="1"/>
    <col min="4103" max="4107" width="8.26953125" customWidth="1"/>
    <col min="4109" max="4109" width="21.81640625" customWidth="1"/>
    <col min="4111" max="4111" width="13.1796875" customWidth="1"/>
    <col min="4112" max="4112" width="12.1796875" customWidth="1"/>
    <col min="4113" max="4113" width="11.26953125" customWidth="1"/>
    <col min="4118" max="4118" width="17.453125" customWidth="1"/>
    <col min="4122" max="4122" width="12.54296875" customWidth="1"/>
    <col min="4123" max="4123" width="11.54296875" customWidth="1"/>
    <col min="4128" max="4128" width="14.26953125" bestFit="1" customWidth="1"/>
    <col min="4354" max="4354" width="18.26953125" customWidth="1"/>
    <col min="4355" max="4358" width="9.26953125" customWidth="1"/>
    <col min="4359" max="4363" width="8.26953125" customWidth="1"/>
    <col min="4365" max="4365" width="21.81640625" customWidth="1"/>
    <col min="4367" max="4367" width="13.1796875" customWidth="1"/>
    <col min="4368" max="4368" width="12.1796875" customWidth="1"/>
    <col min="4369" max="4369" width="11.26953125" customWidth="1"/>
    <col min="4374" max="4374" width="17.453125" customWidth="1"/>
    <col min="4378" max="4378" width="12.54296875" customWidth="1"/>
    <col min="4379" max="4379" width="11.54296875" customWidth="1"/>
    <col min="4384" max="4384" width="14.26953125" bestFit="1" customWidth="1"/>
    <col min="4610" max="4610" width="18.26953125" customWidth="1"/>
    <col min="4611" max="4614" width="9.26953125" customWidth="1"/>
    <col min="4615" max="4619" width="8.26953125" customWidth="1"/>
    <col min="4621" max="4621" width="21.81640625" customWidth="1"/>
    <col min="4623" max="4623" width="13.1796875" customWidth="1"/>
    <col min="4624" max="4624" width="12.1796875" customWidth="1"/>
    <col min="4625" max="4625" width="11.26953125" customWidth="1"/>
    <col min="4630" max="4630" width="17.453125" customWidth="1"/>
    <col min="4634" max="4634" width="12.54296875" customWidth="1"/>
    <col min="4635" max="4635" width="11.54296875" customWidth="1"/>
    <col min="4640" max="4640" width="14.26953125" bestFit="1" customWidth="1"/>
    <col min="4866" max="4866" width="18.26953125" customWidth="1"/>
    <col min="4867" max="4870" width="9.26953125" customWidth="1"/>
    <col min="4871" max="4875" width="8.26953125" customWidth="1"/>
    <col min="4877" max="4877" width="21.81640625" customWidth="1"/>
    <col min="4879" max="4879" width="13.1796875" customWidth="1"/>
    <col min="4880" max="4880" width="12.1796875" customWidth="1"/>
    <col min="4881" max="4881" width="11.26953125" customWidth="1"/>
    <col min="4886" max="4886" width="17.453125" customWidth="1"/>
    <col min="4890" max="4890" width="12.54296875" customWidth="1"/>
    <col min="4891" max="4891" width="11.54296875" customWidth="1"/>
    <col min="4896" max="4896" width="14.26953125" bestFit="1" customWidth="1"/>
    <col min="5122" max="5122" width="18.26953125" customWidth="1"/>
    <col min="5123" max="5126" width="9.26953125" customWidth="1"/>
    <col min="5127" max="5131" width="8.26953125" customWidth="1"/>
    <col min="5133" max="5133" width="21.81640625" customWidth="1"/>
    <col min="5135" max="5135" width="13.1796875" customWidth="1"/>
    <col min="5136" max="5136" width="12.1796875" customWidth="1"/>
    <col min="5137" max="5137" width="11.26953125" customWidth="1"/>
    <col min="5142" max="5142" width="17.453125" customWidth="1"/>
    <col min="5146" max="5146" width="12.54296875" customWidth="1"/>
    <col min="5147" max="5147" width="11.54296875" customWidth="1"/>
    <col min="5152" max="5152" width="14.26953125" bestFit="1" customWidth="1"/>
    <col min="5378" max="5378" width="18.26953125" customWidth="1"/>
    <col min="5379" max="5382" width="9.26953125" customWidth="1"/>
    <col min="5383" max="5387" width="8.26953125" customWidth="1"/>
    <col min="5389" max="5389" width="21.81640625" customWidth="1"/>
    <col min="5391" max="5391" width="13.1796875" customWidth="1"/>
    <col min="5392" max="5392" width="12.1796875" customWidth="1"/>
    <col min="5393" max="5393" width="11.26953125" customWidth="1"/>
    <col min="5398" max="5398" width="17.453125" customWidth="1"/>
    <col min="5402" max="5402" width="12.54296875" customWidth="1"/>
    <col min="5403" max="5403" width="11.54296875" customWidth="1"/>
    <col min="5408" max="5408" width="14.26953125" bestFit="1" customWidth="1"/>
    <col min="5634" max="5634" width="18.26953125" customWidth="1"/>
    <col min="5635" max="5638" width="9.26953125" customWidth="1"/>
    <col min="5639" max="5643" width="8.26953125" customWidth="1"/>
    <col min="5645" max="5645" width="21.81640625" customWidth="1"/>
    <col min="5647" max="5647" width="13.1796875" customWidth="1"/>
    <col min="5648" max="5648" width="12.1796875" customWidth="1"/>
    <col min="5649" max="5649" width="11.26953125" customWidth="1"/>
    <col min="5654" max="5654" width="17.453125" customWidth="1"/>
    <col min="5658" max="5658" width="12.54296875" customWidth="1"/>
    <col min="5659" max="5659" width="11.54296875" customWidth="1"/>
    <col min="5664" max="5664" width="14.26953125" bestFit="1" customWidth="1"/>
    <col min="5890" max="5890" width="18.26953125" customWidth="1"/>
    <col min="5891" max="5894" width="9.26953125" customWidth="1"/>
    <col min="5895" max="5899" width="8.26953125" customWidth="1"/>
    <col min="5901" max="5901" width="21.81640625" customWidth="1"/>
    <col min="5903" max="5903" width="13.1796875" customWidth="1"/>
    <col min="5904" max="5904" width="12.1796875" customWidth="1"/>
    <col min="5905" max="5905" width="11.26953125" customWidth="1"/>
    <col min="5910" max="5910" width="17.453125" customWidth="1"/>
    <col min="5914" max="5914" width="12.54296875" customWidth="1"/>
    <col min="5915" max="5915" width="11.54296875" customWidth="1"/>
    <col min="5920" max="5920" width="14.26953125" bestFit="1" customWidth="1"/>
    <col min="6146" max="6146" width="18.26953125" customWidth="1"/>
    <col min="6147" max="6150" width="9.26953125" customWidth="1"/>
    <col min="6151" max="6155" width="8.26953125" customWidth="1"/>
    <col min="6157" max="6157" width="21.81640625" customWidth="1"/>
    <col min="6159" max="6159" width="13.1796875" customWidth="1"/>
    <col min="6160" max="6160" width="12.1796875" customWidth="1"/>
    <col min="6161" max="6161" width="11.26953125" customWidth="1"/>
    <col min="6166" max="6166" width="17.453125" customWidth="1"/>
    <col min="6170" max="6170" width="12.54296875" customWidth="1"/>
    <col min="6171" max="6171" width="11.54296875" customWidth="1"/>
    <col min="6176" max="6176" width="14.26953125" bestFit="1" customWidth="1"/>
    <col min="6402" max="6402" width="18.26953125" customWidth="1"/>
    <col min="6403" max="6406" width="9.26953125" customWidth="1"/>
    <col min="6407" max="6411" width="8.26953125" customWidth="1"/>
    <col min="6413" max="6413" width="21.81640625" customWidth="1"/>
    <col min="6415" max="6415" width="13.1796875" customWidth="1"/>
    <col min="6416" max="6416" width="12.1796875" customWidth="1"/>
    <col min="6417" max="6417" width="11.26953125" customWidth="1"/>
    <col min="6422" max="6422" width="17.453125" customWidth="1"/>
    <col min="6426" max="6426" width="12.54296875" customWidth="1"/>
    <col min="6427" max="6427" width="11.54296875" customWidth="1"/>
    <col min="6432" max="6432" width="14.26953125" bestFit="1" customWidth="1"/>
    <col min="6658" max="6658" width="18.26953125" customWidth="1"/>
    <col min="6659" max="6662" width="9.26953125" customWidth="1"/>
    <col min="6663" max="6667" width="8.26953125" customWidth="1"/>
    <col min="6669" max="6669" width="21.81640625" customWidth="1"/>
    <col min="6671" max="6671" width="13.1796875" customWidth="1"/>
    <col min="6672" max="6672" width="12.1796875" customWidth="1"/>
    <col min="6673" max="6673" width="11.26953125" customWidth="1"/>
    <col min="6678" max="6678" width="17.453125" customWidth="1"/>
    <col min="6682" max="6682" width="12.54296875" customWidth="1"/>
    <col min="6683" max="6683" width="11.54296875" customWidth="1"/>
    <col min="6688" max="6688" width="14.26953125" bestFit="1" customWidth="1"/>
    <col min="6914" max="6914" width="18.26953125" customWidth="1"/>
    <col min="6915" max="6918" width="9.26953125" customWidth="1"/>
    <col min="6919" max="6923" width="8.26953125" customWidth="1"/>
    <col min="6925" max="6925" width="21.81640625" customWidth="1"/>
    <col min="6927" max="6927" width="13.1796875" customWidth="1"/>
    <col min="6928" max="6928" width="12.1796875" customWidth="1"/>
    <col min="6929" max="6929" width="11.26953125" customWidth="1"/>
    <col min="6934" max="6934" width="17.453125" customWidth="1"/>
    <col min="6938" max="6938" width="12.54296875" customWidth="1"/>
    <col min="6939" max="6939" width="11.54296875" customWidth="1"/>
    <col min="6944" max="6944" width="14.26953125" bestFit="1" customWidth="1"/>
    <col min="7170" max="7170" width="18.26953125" customWidth="1"/>
    <col min="7171" max="7174" width="9.26953125" customWidth="1"/>
    <col min="7175" max="7179" width="8.26953125" customWidth="1"/>
    <col min="7181" max="7181" width="21.81640625" customWidth="1"/>
    <col min="7183" max="7183" width="13.1796875" customWidth="1"/>
    <col min="7184" max="7184" width="12.1796875" customWidth="1"/>
    <col min="7185" max="7185" width="11.26953125" customWidth="1"/>
    <col min="7190" max="7190" width="17.453125" customWidth="1"/>
    <col min="7194" max="7194" width="12.54296875" customWidth="1"/>
    <col min="7195" max="7195" width="11.54296875" customWidth="1"/>
    <col min="7200" max="7200" width="14.26953125" bestFit="1" customWidth="1"/>
    <col min="7426" max="7426" width="18.26953125" customWidth="1"/>
    <col min="7427" max="7430" width="9.26953125" customWidth="1"/>
    <col min="7431" max="7435" width="8.26953125" customWidth="1"/>
    <col min="7437" max="7437" width="21.81640625" customWidth="1"/>
    <col min="7439" max="7439" width="13.1796875" customWidth="1"/>
    <col min="7440" max="7440" width="12.1796875" customWidth="1"/>
    <col min="7441" max="7441" width="11.26953125" customWidth="1"/>
    <col min="7446" max="7446" width="17.453125" customWidth="1"/>
    <col min="7450" max="7450" width="12.54296875" customWidth="1"/>
    <col min="7451" max="7451" width="11.54296875" customWidth="1"/>
    <col min="7456" max="7456" width="14.26953125" bestFit="1" customWidth="1"/>
    <col min="7682" max="7682" width="18.26953125" customWidth="1"/>
    <col min="7683" max="7686" width="9.26953125" customWidth="1"/>
    <col min="7687" max="7691" width="8.26953125" customWidth="1"/>
    <col min="7693" max="7693" width="21.81640625" customWidth="1"/>
    <col min="7695" max="7695" width="13.1796875" customWidth="1"/>
    <col min="7696" max="7696" width="12.1796875" customWidth="1"/>
    <col min="7697" max="7697" width="11.26953125" customWidth="1"/>
    <col min="7702" max="7702" width="17.453125" customWidth="1"/>
    <col min="7706" max="7706" width="12.54296875" customWidth="1"/>
    <col min="7707" max="7707" width="11.54296875" customWidth="1"/>
    <col min="7712" max="7712" width="14.26953125" bestFit="1" customWidth="1"/>
    <col min="7938" max="7938" width="18.26953125" customWidth="1"/>
    <col min="7939" max="7942" width="9.26953125" customWidth="1"/>
    <col min="7943" max="7947" width="8.26953125" customWidth="1"/>
    <col min="7949" max="7949" width="21.81640625" customWidth="1"/>
    <col min="7951" max="7951" width="13.1796875" customWidth="1"/>
    <col min="7952" max="7952" width="12.1796875" customWidth="1"/>
    <col min="7953" max="7953" width="11.26953125" customWidth="1"/>
    <col min="7958" max="7958" width="17.453125" customWidth="1"/>
    <col min="7962" max="7962" width="12.54296875" customWidth="1"/>
    <col min="7963" max="7963" width="11.54296875" customWidth="1"/>
    <col min="7968" max="7968" width="14.26953125" bestFit="1" customWidth="1"/>
    <col min="8194" max="8194" width="18.26953125" customWidth="1"/>
    <col min="8195" max="8198" width="9.26953125" customWidth="1"/>
    <col min="8199" max="8203" width="8.26953125" customWidth="1"/>
    <col min="8205" max="8205" width="21.81640625" customWidth="1"/>
    <col min="8207" max="8207" width="13.1796875" customWidth="1"/>
    <col min="8208" max="8208" width="12.1796875" customWidth="1"/>
    <col min="8209" max="8209" width="11.26953125" customWidth="1"/>
    <col min="8214" max="8214" width="17.453125" customWidth="1"/>
    <col min="8218" max="8218" width="12.54296875" customWidth="1"/>
    <col min="8219" max="8219" width="11.54296875" customWidth="1"/>
    <col min="8224" max="8224" width="14.26953125" bestFit="1" customWidth="1"/>
    <col min="8450" max="8450" width="18.26953125" customWidth="1"/>
    <col min="8451" max="8454" width="9.26953125" customWidth="1"/>
    <col min="8455" max="8459" width="8.26953125" customWidth="1"/>
    <col min="8461" max="8461" width="21.81640625" customWidth="1"/>
    <col min="8463" max="8463" width="13.1796875" customWidth="1"/>
    <col min="8464" max="8464" width="12.1796875" customWidth="1"/>
    <col min="8465" max="8465" width="11.26953125" customWidth="1"/>
    <col min="8470" max="8470" width="17.453125" customWidth="1"/>
    <col min="8474" max="8474" width="12.54296875" customWidth="1"/>
    <col min="8475" max="8475" width="11.54296875" customWidth="1"/>
    <col min="8480" max="8480" width="14.26953125" bestFit="1" customWidth="1"/>
    <col min="8706" max="8706" width="18.26953125" customWidth="1"/>
    <col min="8707" max="8710" width="9.26953125" customWidth="1"/>
    <col min="8711" max="8715" width="8.26953125" customWidth="1"/>
    <col min="8717" max="8717" width="21.81640625" customWidth="1"/>
    <col min="8719" max="8719" width="13.1796875" customWidth="1"/>
    <col min="8720" max="8720" width="12.1796875" customWidth="1"/>
    <col min="8721" max="8721" width="11.26953125" customWidth="1"/>
    <col min="8726" max="8726" width="17.453125" customWidth="1"/>
    <col min="8730" max="8730" width="12.54296875" customWidth="1"/>
    <col min="8731" max="8731" width="11.54296875" customWidth="1"/>
    <col min="8736" max="8736" width="14.26953125" bestFit="1" customWidth="1"/>
    <col min="8962" max="8962" width="18.26953125" customWidth="1"/>
    <col min="8963" max="8966" width="9.26953125" customWidth="1"/>
    <col min="8967" max="8971" width="8.26953125" customWidth="1"/>
    <col min="8973" max="8973" width="21.81640625" customWidth="1"/>
    <col min="8975" max="8975" width="13.1796875" customWidth="1"/>
    <col min="8976" max="8976" width="12.1796875" customWidth="1"/>
    <col min="8977" max="8977" width="11.26953125" customWidth="1"/>
    <col min="8982" max="8982" width="17.453125" customWidth="1"/>
    <col min="8986" max="8986" width="12.54296875" customWidth="1"/>
    <col min="8987" max="8987" width="11.54296875" customWidth="1"/>
    <col min="8992" max="8992" width="14.26953125" bestFit="1" customWidth="1"/>
    <col min="9218" max="9218" width="18.26953125" customWidth="1"/>
    <col min="9219" max="9222" width="9.26953125" customWidth="1"/>
    <col min="9223" max="9227" width="8.26953125" customWidth="1"/>
    <col min="9229" max="9229" width="21.81640625" customWidth="1"/>
    <col min="9231" max="9231" width="13.1796875" customWidth="1"/>
    <col min="9232" max="9232" width="12.1796875" customWidth="1"/>
    <col min="9233" max="9233" width="11.26953125" customWidth="1"/>
    <col min="9238" max="9238" width="17.453125" customWidth="1"/>
    <col min="9242" max="9242" width="12.54296875" customWidth="1"/>
    <col min="9243" max="9243" width="11.54296875" customWidth="1"/>
    <col min="9248" max="9248" width="14.26953125" bestFit="1" customWidth="1"/>
    <col min="9474" max="9474" width="18.26953125" customWidth="1"/>
    <col min="9475" max="9478" width="9.26953125" customWidth="1"/>
    <col min="9479" max="9483" width="8.26953125" customWidth="1"/>
    <col min="9485" max="9485" width="21.81640625" customWidth="1"/>
    <col min="9487" max="9487" width="13.1796875" customWidth="1"/>
    <col min="9488" max="9488" width="12.1796875" customWidth="1"/>
    <col min="9489" max="9489" width="11.26953125" customWidth="1"/>
    <col min="9494" max="9494" width="17.453125" customWidth="1"/>
    <col min="9498" max="9498" width="12.54296875" customWidth="1"/>
    <col min="9499" max="9499" width="11.54296875" customWidth="1"/>
    <col min="9504" max="9504" width="14.26953125" bestFit="1" customWidth="1"/>
    <col min="9730" max="9730" width="18.26953125" customWidth="1"/>
    <col min="9731" max="9734" width="9.26953125" customWidth="1"/>
    <col min="9735" max="9739" width="8.26953125" customWidth="1"/>
    <col min="9741" max="9741" width="21.81640625" customWidth="1"/>
    <col min="9743" max="9743" width="13.1796875" customWidth="1"/>
    <col min="9744" max="9744" width="12.1796875" customWidth="1"/>
    <col min="9745" max="9745" width="11.26953125" customWidth="1"/>
    <col min="9750" max="9750" width="17.453125" customWidth="1"/>
    <col min="9754" max="9754" width="12.54296875" customWidth="1"/>
    <col min="9755" max="9755" width="11.54296875" customWidth="1"/>
    <col min="9760" max="9760" width="14.26953125" bestFit="1" customWidth="1"/>
    <col min="9986" max="9986" width="18.26953125" customWidth="1"/>
    <col min="9987" max="9990" width="9.26953125" customWidth="1"/>
    <col min="9991" max="9995" width="8.26953125" customWidth="1"/>
    <col min="9997" max="9997" width="21.81640625" customWidth="1"/>
    <col min="9999" max="9999" width="13.1796875" customWidth="1"/>
    <col min="10000" max="10000" width="12.1796875" customWidth="1"/>
    <col min="10001" max="10001" width="11.26953125" customWidth="1"/>
    <col min="10006" max="10006" width="17.453125" customWidth="1"/>
    <col min="10010" max="10010" width="12.54296875" customWidth="1"/>
    <col min="10011" max="10011" width="11.54296875" customWidth="1"/>
    <col min="10016" max="10016" width="14.26953125" bestFit="1" customWidth="1"/>
    <col min="10242" max="10242" width="18.26953125" customWidth="1"/>
    <col min="10243" max="10246" width="9.26953125" customWidth="1"/>
    <col min="10247" max="10251" width="8.26953125" customWidth="1"/>
    <col min="10253" max="10253" width="21.81640625" customWidth="1"/>
    <col min="10255" max="10255" width="13.1796875" customWidth="1"/>
    <col min="10256" max="10256" width="12.1796875" customWidth="1"/>
    <col min="10257" max="10257" width="11.26953125" customWidth="1"/>
    <col min="10262" max="10262" width="17.453125" customWidth="1"/>
    <col min="10266" max="10266" width="12.54296875" customWidth="1"/>
    <col min="10267" max="10267" width="11.54296875" customWidth="1"/>
    <col min="10272" max="10272" width="14.26953125" bestFit="1" customWidth="1"/>
    <col min="10498" max="10498" width="18.26953125" customWidth="1"/>
    <col min="10499" max="10502" width="9.26953125" customWidth="1"/>
    <col min="10503" max="10507" width="8.26953125" customWidth="1"/>
    <col min="10509" max="10509" width="21.81640625" customWidth="1"/>
    <col min="10511" max="10511" width="13.1796875" customWidth="1"/>
    <col min="10512" max="10512" width="12.1796875" customWidth="1"/>
    <col min="10513" max="10513" width="11.26953125" customWidth="1"/>
    <col min="10518" max="10518" width="17.453125" customWidth="1"/>
    <col min="10522" max="10522" width="12.54296875" customWidth="1"/>
    <col min="10523" max="10523" width="11.54296875" customWidth="1"/>
    <col min="10528" max="10528" width="14.26953125" bestFit="1" customWidth="1"/>
    <col min="10754" max="10754" width="18.26953125" customWidth="1"/>
    <col min="10755" max="10758" width="9.26953125" customWidth="1"/>
    <col min="10759" max="10763" width="8.26953125" customWidth="1"/>
    <col min="10765" max="10765" width="21.81640625" customWidth="1"/>
    <col min="10767" max="10767" width="13.1796875" customWidth="1"/>
    <col min="10768" max="10768" width="12.1796875" customWidth="1"/>
    <col min="10769" max="10769" width="11.26953125" customWidth="1"/>
    <col min="10774" max="10774" width="17.453125" customWidth="1"/>
    <col min="10778" max="10778" width="12.54296875" customWidth="1"/>
    <col min="10779" max="10779" width="11.54296875" customWidth="1"/>
    <col min="10784" max="10784" width="14.26953125" bestFit="1" customWidth="1"/>
    <col min="11010" max="11010" width="18.26953125" customWidth="1"/>
    <col min="11011" max="11014" width="9.26953125" customWidth="1"/>
    <col min="11015" max="11019" width="8.26953125" customWidth="1"/>
    <col min="11021" max="11021" width="21.81640625" customWidth="1"/>
    <col min="11023" max="11023" width="13.1796875" customWidth="1"/>
    <col min="11024" max="11024" width="12.1796875" customWidth="1"/>
    <col min="11025" max="11025" width="11.26953125" customWidth="1"/>
    <col min="11030" max="11030" width="17.453125" customWidth="1"/>
    <col min="11034" max="11034" width="12.54296875" customWidth="1"/>
    <col min="11035" max="11035" width="11.54296875" customWidth="1"/>
    <col min="11040" max="11040" width="14.26953125" bestFit="1" customWidth="1"/>
    <col min="11266" max="11266" width="18.26953125" customWidth="1"/>
    <col min="11267" max="11270" width="9.26953125" customWidth="1"/>
    <col min="11271" max="11275" width="8.26953125" customWidth="1"/>
    <col min="11277" max="11277" width="21.81640625" customWidth="1"/>
    <col min="11279" max="11279" width="13.1796875" customWidth="1"/>
    <col min="11280" max="11280" width="12.1796875" customWidth="1"/>
    <col min="11281" max="11281" width="11.26953125" customWidth="1"/>
    <col min="11286" max="11286" width="17.453125" customWidth="1"/>
    <col min="11290" max="11290" width="12.54296875" customWidth="1"/>
    <col min="11291" max="11291" width="11.54296875" customWidth="1"/>
    <col min="11296" max="11296" width="14.26953125" bestFit="1" customWidth="1"/>
    <col min="11522" max="11522" width="18.26953125" customWidth="1"/>
    <col min="11523" max="11526" width="9.26953125" customWidth="1"/>
    <col min="11527" max="11531" width="8.26953125" customWidth="1"/>
    <col min="11533" max="11533" width="21.81640625" customWidth="1"/>
    <col min="11535" max="11535" width="13.1796875" customWidth="1"/>
    <col min="11536" max="11536" width="12.1796875" customWidth="1"/>
    <col min="11537" max="11537" width="11.26953125" customWidth="1"/>
    <col min="11542" max="11542" width="17.453125" customWidth="1"/>
    <col min="11546" max="11546" width="12.54296875" customWidth="1"/>
    <col min="11547" max="11547" width="11.54296875" customWidth="1"/>
    <col min="11552" max="11552" width="14.26953125" bestFit="1" customWidth="1"/>
    <col min="11778" max="11778" width="18.26953125" customWidth="1"/>
    <col min="11779" max="11782" width="9.26953125" customWidth="1"/>
    <col min="11783" max="11787" width="8.26953125" customWidth="1"/>
    <col min="11789" max="11789" width="21.81640625" customWidth="1"/>
    <col min="11791" max="11791" width="13.1796875" customWidth="1"/>
    <col min="11792" max="11792" width="12.1796875" customWidth="1"/>
    <col min="11793" max="11793" width="11.26953125" customWidth="1"/>
    <col min="11798" max="11798" width="17.453125" customWidth="1"/>
    <col min="11802" max="11802" width="12.54296875" customWidth="1"/>
    <col min="11803" max="11803" width="11.54296875" customWidth="1"/>
    <col min="11808" max="11808" width="14.26953125" bestFit="1" customWidth="1"/>
    <col min="12034" max="12034" width="18.26953125" customWidth="1"/>
    <col min="12035" max="12038" width="9.26953125" customWidth="1"/>
    <col min="12039" max="12043" width="8.26953125" customWidth="1"/>
    <col min="12045" max="12045" width="21.81640625" customWidth="1"/>
    <col min="12047" max="12047" width="13.1796875" customWidth="1"/>
    <col min="12048" max="12048" width="12.1796875" customWidth="1"/>
    <col min="12049" max="12049" width="11.26953125" customWidth="1"/>
    <col min="12054" max="12054" width="17.453125" customWidth="1"/>
    <col min="12058" max="12058" width="12.54296875" customWidth="1"/>
    <col min="12059" max="12059" width="11.54296875" customWidth="1"/>
    <col min="12064" max="12064" width="14.26953125" bestFit="1" customWidth="1"/>
    <col min="12290" max="12290" width="18.26953125" customWidth="1"/>
    <col min="12291" max="12294" width="9.26953125" customWidth="1"/>
    <col min="12295" max="12299" width="8.26953125" customWidth="1"/>
    <col min="12301" max="12301" width="21.81640625" customWidth="1"/>
    <col min="12303" max="12303" width="13.1796875" customWidth="1"/>
    <col min="12304" max="12304" width="12.1796875" customWidth="1"/>
    <col min="12305" max="12305" width="11.26953125" customWidth="1"/>
    <col min="12310" max="12310" width="17.453125" customWidth="1"/>
    <col min="12314" max="12314" width="12.54296875" customWidth="1"/>
    <col min="12315" max="12315" width="11.54296875" customWidth="1"/>
    <col min="12320" max="12320" width="14.26953125" bestFit="1" customWidth="1"/>
    <col min="12546" max="12546" width="18.26953125" customWidth="1"/>
    <col min="12547" max="12550" width="9.26953125" customWidth="1"/>
    <col min="12551" max="12555" width="8.26953125" customWidth="1"/>
    <col min="12557" max="12557" width="21.81640625" customWidth="1"/>
    <col min="12559" max="12559" width="13.1796875" customWidth="1"/>
    <col min="12560" max="12560" width="12.1796875" customWidth="1"/>
    <col min="12561" max="12561" width="11.26953125" customWidth="1"/>
    <col min="12566" max="12566" width="17.453125" customWidth="1"/>
    <col min="12570" max="12570" width="12.54296875" customWidth="1"/>
    <col min="12571" max="12571" width="11.54296875" customWidth="1"/>
    <col min="12576" max="12576" width="14.26953125" bestFit="1" customWidth="1"/>
    <col min="12802" max="12802" width="18.26953125" customWidth="1"/>
    <col min="12803" max="12806" width="9.26953125" customWidth="1"/>
    <col min="12807" max="12811" width="8.26953125" customWidth="1"/>
    <col min="12813" max="12813" width="21.81640625" customWidth="1"/>
    <col min="12815" max="12815" width="13.1796875" customWidth="1"/>
    <col min="12816" max="12816" width="12.1796875" customWidth="1"/>
    <col min="12817" max="12817" width="11.26953125" customWidth="1"/>
    <col min="12822" max="12822" width="17.453125" customWidth="1"/>
    <col min="12826" max="12826" width="12.54296875" customWidth="1"/>
    <col min="12827" max="12827" width="11.54296875" customWidth="1"/>
    <col min="12832" max="12832" width="14.26953125" bestFit="1" customWidth="1"/>
    <col min="13058" max="13058" width="18.26953125" customWidth="1"/>
    <col min="13059" max="13062" width="9.26953125" customWidth="1"/>
    <col min="13063" max="13067" width="8.26953125" customWidth="1"/>
    <col min="13069" max="13069" width="21.81640625" customWidth="1"/>
    <col min="13071" max="13071" width="13.1796875" customWidth="1"/>
    <col min="13072" max="13072" width="12.1796875" customWidth="1"/>
    <col min="13073" max="13073" width="11.26953125" customWidth="1"/>
    <col min="13078" max="13078" width="17.453125" customWidth="1"/>
    <col min="13082" max="13082" width="12.54296875" customWidth="1"/>
    <col min="13083" max="13083" width="11.54296875" customWidth="1"/>
    <col min="13088" max="13088" width="14.26953125" bestFit="1" customWidth="1"/>
    <col min="13314" max="13314" width="18.26953125" customWidth="1"/>
    <col min="13315" max="13318" width="9.26953125" customWidth="1"/>
    <col min="13319" max="13323" width="8.26953125" customWidth="1"/>
    <col min="13325" max="13325" width="21.81640625" customWidth="1"/>
    <col min="13327" max="13327" width="13.1796875" customWidth="1"/>
    <col min="13328" max="13328" width="12.1796875" customWidth="1"/>
    <col min="13329" max="13329" width="11.26953125" customWidth="1"/>
    <col min="13334" max="13334" width="17.453125" customWidth="1"/>
    <col min="13338" max="13338" width="12.54296875" customWidth="1"/>
    <col min="13339" max="13339" width="11.54296875" customWidth="1"/>
    <col min="13344" max="13344" width="14.26953125" bestFit="1" customWidth="1"/>
    <col min="13570" max="13570" width="18.26953125" customWidth="1"/>
    <col min="13571" max="13574" width="9.26953125" customWidth="1"/>
    <col min="13575" max="13579" width="8.26953125" customWidth="1"/>
    <col min="13581" max="13581" width="21.81640625" customWidth="1"/>
    <col min="13583" max="13583" width="13.1796875" customWidth="1"/>
    <col min="13584" max="13584" width="12.1796875" customWidth="1"/>
    <col min="13585" max="13585" width="11.26953125" customWidth="1"/>
    <col min="13590" max="13590" width="17.453125" customWidth="1"/>
    <col min="13594" max="13594" width="12.54296875" customWidth="1"/>
    <col min="13595" max="13595" width="11.54296875" customWidth="1"/>
    <col min="13600" max="13600" width="14.26953125" bestFit="1" customWidth="1"/>
    <col min="13826" max="13826" width="18.26953125" customWidth="1"/>
    <col min="13827" max="13830" width="9.26953125" customWidth="1"/>
    <col min="13831" max="13835" width="8.26953125" customWidth="1"/>
    <col min="13837" max="13837" width="21.81640625" customWidth="1"/>
    <col min="13839" max="13839" width="13.1796875" customWidth="1"/>
    <col min="13840" max="13840" width="12.1796875" customWidth="1"/>
    <col min="13841" max="13841" width="11.26953125" customWidth="1"/>
    <col min="13846" max="13846" width="17.453125" customWidth="1"/>
    <col min="13850" max="13850" width="12.54296875" customWidth="1"/>
    <col min="13851" max="13851" width="11.54296875" customWidth="1"/>
    <col min="13856" max="13856" width="14.26953125" bestFit="1" customWidth="1"/>
    <col min="14082" max="14082" width="18.26953125" customWidth="1"/>
    <col min="14083" max="14086" width="9.26953125" customWidth="1"/>
    <col min="14087" max="14091" width="8.26953125" customWidth="1"/>
    <col min="14093" max="14093" width="21.81640625" customWidth="1"/>
    <col min="14095" max="14095" width="13.1796875" customWidth="1"/>
    <col min="14096" max="14096" width="12.1796875" customWidth="1"/>
    <col min="14097" max="14097" width="11.26953125" customWidth="1"/>
    <col min="14102" max="14102" width="17.453125" customWidth="1"/>
    <col min="14106" max="14106" width="12.54296875" customWidth="1"/>
    <col min="14107" max="14107" width="11.54296875" customWidth="1"/>
    <col min="14112" max="14112" width="14.26953125" bestFit="1" customWidth="1"/>
    <col min="14338" max="14338" width="18.26953125" customWidth="1"/>
    <col min="14339" max="14342" width="9.26953125" customWidth="1"/>
    <col min="14343" max="14347" width="8.26953125" customWidth="1"/>
    <col min="14349" max="14349" width="21.81640625" customWidth="1"/>
    <col min="14351" max="14351" width="13.1796875" customWidth="1"/>
    <col min="14352" max="14352" width="12.1796875" customWidth="1"/>
    <col min="14353" max="14353" width="11.26953125" customWidth="1"/>
    <col min="14358" max="14358" width="17.453125" customWidth="1"/>
    <col min="14362" max="14362" width="12.54296875" customWidth="1"/>
    <col min="14363" max="14363" width="11.54296875" customWidth="1"/>
    <col min="14368" max="14368" width="14.26953125" bestFit="1" customWidth="1"/>
    <col min="14594" max="14594" width="18.26953125" customWidth="1"/>
    <col min="14595" max="14598" width="9.26953125" customWidth="1"/>
    <col min="14599" max="14603" width="8.26953125" customWidth="1"/>
    <col min="14605" max="14605" width="21.81640625" customWidth="1"/>
    <col min="14607" max="14607" width="13.1796875" customWidth="1"/>
    <col min="14608" max="14608" width="12.1796875" customWidth="1"/>
    <col min="14609" max="14609" width="11.26953125" customWidth="1"/>
    <col min="14614" max="14614" width="17.453125" customWidth="1"/>
    <col min="14618" max="14618" width="12.54296875" customWidth="1"/>
    <col min="14619" max="14619" width="11.54296875" customWidth="1"/>
    <col min="14624" max="14624" width="14.26953125" bestFit="1" customWidth="1"/>
    <col min="14850" max="14850" width="18.26953125" customWidth="1"/>
    <col min="14851" max="14854" width="9.26953125" customWidth="1"/>
    <col min="14855" max="14859" width="8.26953125" customWidth="1"/>
    <col min="14861" max="14861" width="21.81640625" customWidth="1"/>
    <col min="14863" max="14863" width="13.1796875" customWidth="1"/>
    <col min="14864" max="14864" width="12.1796875" customWidth="1"/>
    <col min="14865" max="14865" width="11.26953125" customWidth="1"/>
    <col min="14870" max="14870" width="17.453125" customWidth="1"/>
    <col min="14874" max="14874" width="12.54296875" customWidth="1"/>
    <col min="14875" max="14875" width="11.54296875" customWidth="1"/>
    <col min="14880" max="14880" width="14.26953125" bestFit="1" customWidth="1"/>
    <col min="15106" max="15106" width="18.26953125" customWidth="1"/>
    <col min="15107" max="15110" width="9.26953125" customWidth="1"/>
    <col min="15111" max="15115" width="8.26953125" customWidth="1"/>
    <col min="15117" max="15117" width="21.81640625" customWidth="1"/>
    <col min="15119" max="15119" width="13.1796875" customWidth="1"/>
    <col min="15120" max="15120" width="12.1796875" customWidth="1"/>
    <col min="15121" max="15121" width="11.26953125" customWidth="1"/>
    <col min="15126" max="15126" width="17.453125" customWidth="1"/>
    <col min="15130" max="15130" width="12.54296875" customWidth="1"/>
    <col min="15131" max="15131" width="11.54296875" customWidth="1"/>
    <col min="15136" max="15136" width="14.26953125" bestFit="1" customWidth="1"/>
    <col min="15362" max="15362" width="18.26953125" customWidth="1"/>
    <col min="15363" max="15366" width="9.26953125" customWidth="1"/>
    <col min="15367" max="15371" width="8.26953125" customWidth="1"/>
    <col min="15373" max="15373" width="21.81640625" customWidth="1"/>
    <col min="15375" max="15375" width="13.1796875" customWidth="1"/>
    <col min="15376" max="15376" width="12.1796875" customWidth="1"/>
    <col min="15377" max="15377" width="11.26953125" customWidth="1"/>
    <col min="15382" max="15382" width="17.453125" customWidth="1"/>
    <col min="15386" max="15386" width="12.54296875" customWidth="1"/>
    <col min="15387" max="15387" width="11.54296875" customWidth="1"/>
    <col min="15392" max="15392" width="14.26953125" bestFit="1" customWidth="1"/>
    <col min="15618" max="15618" width="18.26953125" customWidth="1"/>
    <col min="15619" max="15622" width="9.26953125" customWidth="1"/>
    <col min="15623" max="15627" width="8.26953125" customWidth="1"/>
    <col min="15629" max="15629" width="21.81640625" customWidth="1"/>
    <col min="15631" max="15631" width="13.1796875" customWidth="1"/>
    <col min="15632" max="15632" width="12.1796875" customWidth="1"/>
    <col min="15633" max="15633" width="11.26953125" customWidth="1"/>
    <col min="15638" max="15638" width="17.453125" customWidth="1"/>
    <col min="15642" max="15642" width="12.54296875" customWidth="1"/>
    <col min="15643" max="15643" width="11.54296875" customWidth="1"/>
    <col min="15648" max="15648" width="14.26953125" bestFit="1" customWidth="1"/>
    <col min="15874" max="15874" width="18.26953125" customWidth="1"/>
    <col min="15875" max="15878" width="9.26953125" customWidth="1"/>
    <col min="15879" max="15883" width="8.26953125" customWidth="1"/>
    <col min="15885" max="15885" width="21.81640625" customWidth="1"/>
    <col min="15887" max="15887" width="13.1796875" customWidth="1"/>
    <col min="15888" max="15888" width="12.1796875" customWidth="1"/>
    <col min="15889" max="15889" width="11.26953125" customWidth="1"/>
    <col min="15894" max="15894" width="17.453125" customWidth="1"/>
    <col min="15898" max="15898" width="12.54296875" customWidth="1"/>
    <col min="15899" max="15899" width="11.54296875" customWidth="1"/>
    <col min="15904" max="15904" width="14.26953125" bestFit="1" customWidth="1"/>
    <col min="16130" max="16130" width="18.26953125" customWidth="1"/>
    <col min="16131" max="16134" width="9.26953125" customWidth="1"/>
    <col min="16135" max="16139" width="8.26953125" customWidth="1"/>
    <col min="16141" max="16141" width="21.81640625" customWidth="1"/>
    <col min="16143" max="16143" width="13.1796875" customWidth="1"/>
    <col min="16144" max="16144" width="12.1796875" customWidth="1"/>
    <col min="16145" max="16145" width="11.26953125" customWidth="1"/>
    <col min="16150" max="16150" width="17.453125" customWidth="1"/>
    <col min="16154" max="16154" width="12.54296875" customWidth="1"/>
    <col min="16155" max="16155" width="11.54296875" customWidth="1"/>
    <col min="16160" max="16160" width="14.26953125" bestFit="1" customWidth="1"/>
  </cols>
  <sheetData>
    <row r="1" spans="2:33" ht="33.75" customHeight="1" thickTop="1" thickBot="1" x14ac:dyDescent="0.3">
      <c r="B1" s="403" t="s">
        <v>104</v>
      </c>
      <c r="C1" s="404"/>
      <c r="D1" s="404"/>
      <c r="E1" s="404"/>
      <c r="F1" s="404"/>
      <c r="G1" s="404"/>
      <c r="H1" s="404"/>
      <c r="I1" s="404"/>
      <c r="J1" s="404"/>
      <c r="K1" s="405"/>
      <c r="M1" s="141" t="s">
        <v>123</v>
      </c>
      <c r="N1" s="141" t="s">
        <v>124</v>
      </c>
      <c r="O1" s="142" t="s">
        <v>125</v>
      </c>
      <c r="P1" s="142" t="s">
        <v>126</v>
      </c>
      <c r="V1" s="406" t="s">
        <v>127</v>
      </c>
      <c r="W1" s="407"/>
      <c r="X1" s="406" t="s">
        <v>128</v>
      </c>
      <c r="Y1" s="408"/>
      <c r="Z1" s="406" t="s">
        <v>129</v>
      </c>
      <c r="AA1" s="408"/>
      <c r="AB1" s="409" t="s">
        <v>130</v>
      </c>
      <c r="AC1" s="410"/>
    </row>
    <row r="2" spans="2:33" ht="20.149999999999999" customHeight="1" thickTop="1" x14ac:dyDescent="0.35">
      <c r="B2" s="143" t="s">
        <v>131</v>
      </c>
      <c r="C2" s="144" t="s">
        <v>132</v>
      </c>
      <c r="D2" s="144"/>
      <c r="E2" s="145"/>
      <c r="F2" s="144"/>
      <c r="G2" s="144"/>
      <c r="H2" s="144"/>
      <c r="I2" s="146" t="s">
        <v>133</v>
      </c>
      <c r="J2" s="147"/>
      <c r="K2" s="148"/>
      <c r="M2" s="149" t="s">
        <v>134</v>
      </c>
      <c r="N2" s="150" t="s">
        <v>135</v>
      </c>
      <c r="O2" s="151"/>
      <c r="P2" s="151"/>
      <c r="Q2" s="135">
        <f>IF(O2=0,0*0,IF(O2&gt;0,((100-$N$8)/100)*O2/P2))</f>
        <v>0</v>
      </c>
      <c r="V2" s="135" t="s">
        <v>136</v>
      </c>
      <c r="W2" s="136" t="s">
        <v>137</v>
      </c>
      <c r="X2" s="152" t="s">
        <v>138</v>
      </c>
      <c r="Y2" s="153"/>
      <c r="Z2" s="154" t="s">
        <v>139</v>
      </c>
      <c r="AA2" s="153"/>
      <c r="AB2" s="411" t="s">
        <v>140</v>
      </c>
      <c r="AC2" s="412"/>
    </row>
    <row r="3" spans="2:33" ht="20.149999999999999" customHeight="1" x14ac:dyDescent="0.35">
      <c r="B3" s="413" t="s">
        <v>141</v>
      </c>
      <c r="C3" s="414"/>
      <c r="D3" s="414"/>
      <c r="E3" s="414"/>
      <c r="F3" s="414"/>
      <c r="G3" s="414"/>
      <c r="H3" s="414"/>
      <c r="I3" s="414"/>
      <c r="J3" s="414"/>
      <c r="K3" s="415"/>
      <c r="M3" s="155" t="s">
        <v>142</v>
      </c>
      <c r="N3" s="150" t="s">
        <v>143</v>
      </c>
      <c r="O3" s="156">
        <v>72</v>
      </c>
      <c r="P3" s="151">
        <v>2.6480000000000001</v>
      </c>
      <c r="Q3" s="135">
        <f>IF(O3=0,0*0,IF(O3&gt;0,((100-$N$8)/100)*O3/P3))</f>
        <v>25.504531722054381</v>
      </c>
      <c r="R3" s="157"/>
      <c r="V3" s="158">
        <f t="shared" ref="V3:V10" si="0">H17</f>
        <v>19.100000000000001</v>
      </c>
      <c r="W3" s="138">
        <f>K17</f>
        <v>100</v>
      </c>
      <c r="X3" s="159">
        <f>IF(AB3-7&lt;Z3,Z3,IF(AB3-7&gt;Z3,AB3-7,IF(AB3-7=Z3,Z3)))</f>
        <v>100</v>
      </c>
      <c r="Y3" s="159">
        <f>IF(AB3+7&gt;AA3,AA3,IF(AB3+7&lt;AA3,AB3+7,IF(AB3+7=AA3,AA3)))</f>
        <v>100</v>
      </c>
      <c r="Z3" s="160">
        <v>100</v>
      </c>
      <c r="AA3" s="160">
        <v>100</v>
      </c>
      <c r="AB3" s="401">
        <v>100</v>
      </c>
      <c r="AC3" s="402"/>
    </row>
    <row r="4" spans="2:33" ht="20.149999999999999" customHeight="1" thickBot="1" x14ac:dyDescent="0.4">
      <c r="B4" s="416" t="s">
        <v>144</v>
      </c>
      <c r="C4" s="417"/>
      <c r="D4" s="417"/>
      <c r="E4" s="417"/>
      <c r="F4" s="418"/>
      <c r="G4" s="419" t="s">
        <v>145</v>
      </c>
      <c r="H4" s="417"/>
      <c r="I4" s="417"/>
      <c r="J4" s="417"/>
      <c r="K4" s="420"/>
      <c r="M4" s="149" t="s">
        <v>134</v>
      </c>
      <c r="N4" s="150" t="s">
        <v>146</v>
      </c>
      <c r="O4" s="156"/>
      <c r="P4" s="151"/>
      <c r="Q4" s="135">
        <f>IF(O4=0,0*0,IF(O4&gt;0,((100-$N$8)/100)*O4/P4))</f>
        <v>0</v>
      </c>
      <c r="R4" s="161"/>
      <c r="V4" s="158">
        <f t="shared" si="0"/>
        <v>12.7</v>
      </c>
      <c r="W4" s="138">
        <f t="shared" ref="W4:W10" si="1">K18</f>
        <v>95.3</v>
      </c>
      <c r="X4" s="159">
        <f>IF(AB4-7&lt;Z4,Z4,IF(AB4-7&gt;Z4,AB4-7,IF(AB4-7=Z4,Z4)))</f>
        <v>85</v>
      </c>
      <c r="Y4" s="159">
        <f>IF(AB4+7&gt;AA4,AA4,IF(AB4+7&lt;AA4,AB4+7,IF(AB4+7=AA4,AA4)))</f>
        <v>98</v>
      </c>
      <c r="Z4" s="160">
        <v>85</v>
      </c>
      <c r="AA4" s="160">
        <v>100</v>
      </c>
      <c r="AB4" s="401">
        <v>91</v>
      </c>
      <c r="AC4" s="402"/>
    </row>
    <row r="5" spans="2:33" ht="20.149999999999999" customHeight="1" thickTop="1" thickBot="1" x14ac:dyDescent="0.4">
      <c r="B5" s="162" t="s">
        <v>147</v>
      </c>
      <c r="C5" s="163">
        <v>1</v>
      </c>
      <c r="D5" s="163">
        <v>2</v>
      </c>
      <c r="E5" s="163">
        <v>3</v>
      </c>
      <c r="F5" s="164" t="s">
        <v>120</v>
      </c>
      <c r="G5" s="165" t="s">
        <v>148</v>
      </c>
      <c r="H5" s="166"/>
      <c r="I5" s="166"/>
      <c r="J5" s="167"/>
      <c r="K5" s="168">
        <v>92.2</v>
      </c>
      <c r="M5" s="155" t="s">
        <v>149</v>
      </c>
      <c r="N5" s="150" t="s">
        <v>150</v>
      </c>
      <c r="O5" s="156">
        <v>25</v>
      </c>
      <c r="P5" s="151">
        <v>2.6429999999999998</v>
      </c>
      <c r="Q5" s="135">
        <f>IF(O5=0,0*0,IF(O5&gt;0,((100-$N$8)/100)*O5/P5))</f>
        <v>8.8724933787362854</v>
      </c>
      <c r="R5" s="161"/>
      <c r="V5" s="158">
        <f t="shared" si="0"/>
        <v>9.52</v>
      </c>
      <c r="W5" s="138">
        <f t="shared" si="1"/>
        <v>80.400000000000006</v>
      </c>
      <c r="X5" s="159">
        <f>IF(AB5-7&lt;Z5,Z5,IF(AB5-7&gt;Z5,AB5-7,IF(AB5-7=Z5,Z5)))</f>
        <v>75</v>
      </c>
      <c r="Y5" s="159">
        <f>IF(AB5+7&gt;AA5,AA5,IF(AB5+7&lt;AA5,AB5+7,IF(AB5+7=AA5,AA5)))</f>
        <v>86</v>
      </c>
      <c r="Z5" s="160">
        <v>75</v>
      </c>
      <c r="AA5" s="160">
        <v>100</v>
      </c>
      <c r="AB5" s="401">
        <v>79</v>
      </c>
      <c r="AC5" s="402"/>
    </row>
    <row r="6" spans="2:33" ht="15" customHeight="1" thickTop="1" x14ac:dyDescent="0.35">
      <c r="B6" s="169" t="s">
        <v>151</v>
      </c>
      <c r="C6" s="170">
        <v>1178.5</v>
      </c>
      <c r="D6" s="170">
        <v>1189.7</v>
      </c>
      <c r="E6" s="170">
        <v>1190.5</v>
      </c>
      <c r="F6" s="171"/>
      <c r="G6" s="172" t="s">
        <v>152</v>
      </c>
      <c r="H6" s="173"/>
      <c r="I6" s="173"/>
      <c r="J6" s="174"/>
      <c r="K6" s="175">
        <v>592.20000000000005</v>
      </c>
      <c r="M6" s="176" t="s">
        <v>153</v>
      </c>
      <c r="N6" s="150" t="s">
        <v>153</v>
      </c>
      <c r="O6" s="156">
        <v>3</v>
      </c>
      <c r="P6" s="151">
        <v>2.78</v>
      </c>
      <c r="Q6" s="135">
        <f>IF(O6=0,0*0,IF(O6&gt;0,((100-$N$8)/100)*O6/P6))</f>
        <v>1.0122302158273382</v>
      </c>
      <c r="R6" s="161"/>
      <c r="V6" s="158">
        <f t="shared" si="0"/>
        <v>4.76</v>
      </c>
      <c r="W6" s="138">
        <f t="shared" si="1"/>
        <v>67.2</v>
      </c>
      <c r="X6" s="159">
        <f>IF(AB6-5&lt;Z6,Z6,IF(AB6-5&gt;Z6,AB6-5,IF(AB6-5=Z6,Z6)))</f>
        <v>63</v>
      </c>
      <c r="Y6" s="159">
        <f>IF(AB6+5&gt;AA6,AA6,IF(AB6+5&lt;AA6,AB6+5,IF(AB6+5=AA6,AA6)))</f>
        <v>73</v>
      </c>
      <c r="Z6" s="160">
        <v>50</v>
      </c>
      <c r="AA6" s="160">
        <v>85</v>
      </c>
      <c r="AB6" s="401">
        <v>68</v>
      </c>
      <c r="AC6" s="402"/>
    </row>
    <row r="7" spans="2:33" ht="15" customHeight="1" x14ac:dyDescent="0.35">
      <c r="B7" s="177" t="s">
        <v>154</v>
      </c>
      <c r="C7" s="178">
        <v>665.5</v>
      </c>
      <c r="D7" s="178">
        <v>675.3</v>
      </c>
      <c r="E7" s="178">
        <v>675.5</v>
      </c>
      <c r="F7" s="179"/>
      <c r="G7" s="172" t="s">
        <v>155</v>
      </c>
      <c r="H7" s="173"/>
      <c r="I7" s="173"/>
      <c r="J7" s="174"/>
      <c r="K7" s="180">
        <f>K6-K5</f>
        <v>500.00000000000006</v>
      </c>
      <c r="M7" s="181" t="s">
        <v>156</v>
      </c>
      <c r="N7" s="182"/>
      <c r="O7" s="183" t="s">
        <v>157</v>
      </c>
      <c r="P7" s="184">
        <v>1.03</v>
      </c>
      <c r="Q7" s="135">
        <f>N8/P7</f>
        <v>6.0194174757281553</v>
      </c>
      <c r="V7" s="158">
        <f t="shared" si="0"/>
        <v>2</v>
      </c>
      <c r="W7" s="138">
        <f t="shared" si="1"/>
        <v>54.5</v>
      </c>
      <c r="X7" s="159">
        <f>IF(AB7-5&lt;Z7,Z7,IF(AB7-5&gt;Z7,AB7-5,IF(AB7-5=Z7,Z7)))</f>
        <v>50</v>
      </c>
      <c r="Y7" s="159">
        <f>IF(AB7+5&gt;AA7,AA7,IF(AB7+5&lt;AA7,AB7+5,IF(AB7+5=AA7,AA7)))</f>
        <v>60</v>
      </c>
      <c r="Z7" s="160">
        <v>30</v>
      </c>
      <c r="AA7" s="160">
        <v>75</v>
      </c>
      <c r="AB7" s="401">
        <v>55</v>
      </c>
      <c r="AC7" s="402"/>
    </row>
    <row r="8" spans="2:33" ht="15" customHeight="1" x14ac:dyDescent="0.35">
      <c r="B8" s="177" t="s">
        <v>158</v>
      </c>
      <c r="C8" s="185" t="s">
        <v>24</v>
      </c>
      <c r="D8" s="185" t="s">
        <v>24</v>
      </c>
      <c r="E8" s="185" t="s">
        <v>24</v>
      </c>
      <c r="F8" s="179"/>
      <c r="G8" s="172" t="s">
        <v>159</v>
      </c>
      <c r="H8" s="173"/>
      <c r="I8" s="173"/>
      <c r="J8" s="174"/>
      <c r="K8" s="175">
        <v>561.1</v>
      </c>
      <c r="M8" s="186" t="s">
        <v>160</v>
      </c>
      <c r="N8" s="187">
        <f>K10</f>
        <v>6.2</v>
      </c>
      <c r="O8" s="188" t="s">
        <v>126</v>
      </c>
      <c r="P8" s="189">
        <f>ROUND(100/Q8,3)</f>
        <v>2.415</v>
      </c>
      <c r="Q8" s="135">
        <f>SUM(Q2:Q7)</f>
        <v>41.408672792346159</v>
      </c>
      <c r="V8" s="158">
        <f t="shared" si="0"/>
        <v>0.42</v>
      </c>
      <c r="W8" s="138">
        <f t="shared" si="1"/>
        <v>36.4</v>
      </c>
      <c r="X8" s="159">
        <f>IF(AB8-5&lt;Z8,Z8,IF(AB8-5&gt;Z8,AB8-5,IF(AB8-5=Z8,Z8)))</f>
        <v>30</v>
      </c>
      <c r="Y8" s="159">
        <f>IF(AB8+5&gt;AA8,AA8,IF(AB8+5&lt;AA8,AB8+5,IF(AB8+5=AA8,AA8)))</f>
        <v>40</v>
      </c>
      <c r="Z8" s="160">
        <v>15</v>
      </c>
      <c r="AA8" s="160">
        <v>40</v>
      </c>
      <c r="AB8" s="401">
        <v>35</v>
      </c>
      <c r="AC8" s="402"/>
    </row>
    <row r="9" spans="2:33" ht="15" customHeight="1" x14ac:dyDescent="0.35">
      <c r="B9" s="177" t="s">
        <v>161</v>
      </c>
      <c r="C9" s="190">
        <f>C6-C7</f>
        <v>513</v>
      </c>
      <c r="D9" s="190">
        <f>D6-D7</f>
        <v>514.40000000000009</v>
      </c>
      <c r="E9" s="190">
        <f>E6-E7</f>
        <v>515</v>
      </c>
      <c r="F9" s="179"/>
      <c r="G9" s="172" t="s">
        <v>162</v>
      </c>
      <c r="H9" s="173"/>
      <c r="I9" s="173"/>
      <c r="J9" s="191"/>
      <c r="K9" s="180">
        <f>K6-K8</f>
        <v>31.100000000000023</v>
      </c>
      <c r="M9" s="181"/>
      <c r="N9" s="192"/>
      <c r="O9" s="193"/>
      <c r="V9" s="158">
        <f t="shared" si="0"/>
        <v>0.18</v>
      </c>
      <c r="W9" s="138">
        <f t="shared" si="1"/>
        <v>14.2</v>
      </c>
      <c r="X9" s="159">
        <f>IF(AB9-2&lt;Z9,Z9,IF(AB9-2&gt;Z9,AB9-2,IF(AB9-2=Z9,Z9)))</f>
        <v>12</v>
      </c>
      <c r="Y9" s="159">
        <f>IF(AB9+2&gt;AA9,AA9,IF(AB9+2&lt;AA9,AB9+2,IF(AB9+2=AA9,AA9)))</f>
        <v>16</v>
      </c>
      <c r="Z9" s="160">
        <v>8</v>
      </c>
      <c r="AA9" s="160">
        <v>30</v>
      </c>
      <c r="AB9" s="401">
        <v>14</v>
      </c>
      <c r="AC9" s="402"/>
    </row>
    <row r="10" spans="2:33" ht="15" customHeight="1" thickBot="1" x14ac:dyDescent="0.4">
      <c r="B10" s="177" t="s">
        <v>163</v>
      </c>
      <c r="C10" s="194">
        <f>ROUND(C6/C9,3)</f>
        <v>2.2970000000000002</v>
      </c>
      <c r="D10" s="194">
        <f>ROUND(D6/D9,3)</f>
        <v>2.3130000000000002</v>
      </c>
      <c r="E10" s="194">
        <f>ROUND(E6/E9,3)</f>
        <v>2.3119999999999998</v>
      </c>
      <c r="F10" s="195">
        <f>ROUND(AVERAGE(C10:E10),3)</f>
        <v>2.3069999999999999</v>
      </c>
      <c r="G10" s="196" t="s">
        <v>164</v>
      </c>
      <c r="H10" s="197"/>
      <c r="I10" s="197"/>
      <c r="J10" s="198"/>
      <c r="K10" s="199">
        <f>ROUND(K9/K7*100,1)</f>
        <v>6.2</v>
      </c>
      <c r="M10" s="181"/>
      <c r="N10" s="192"/>
      <c r="O10" s="192"/>
      <c r="U10" s="200"/>
      <c r="V10" s="158">
        <f t="shared" si="0"/>
        <v>7.3999999999999996E-2</v>
      </c>
      <c r="W10" s="138">
        <f t="shared" si="1"/>
        <v>5.9</v>
      </c>
      <c r="X10" s="159">
        <f>IF(AB10-2&lt;Z10,Z10,IF(AB10-2&gt;Z10,AB10-2,IF(AB10-2=Z10,Z10)))</f>
        <v>5</v>
      </c>
      <c r="Y10" s="159">
        <f>IF(AB10+2&gt;AA10,AA10,IF(AB10+2&lt;AA10,AB10+2,IF(AB10+2=AA10,AA10)))</f>
        <v>8</v>
      </c>
      <c r="Z10" s="160">
        <v>5</v>
      </c>
      <c r="AA10" s="160">
        <v>10</v>
      </c>
      <c r="AB10" s="401">
        <v>6</v>
      </c>
      <c r="AC10" s="402"/>
    </row>
    <row r="11" spans="2:33" ht="15" customHeight="1" thickTop="1" thickBot="1" x14ac:dyDescent="0.3">
      <c r="B11" s="177" t="s">
        <v>165</v>
      </c>
      <c r="C11" s="194">
        <f>$P$8</f>
        <v>2.415</v>
      </c>
      <c r="D11" s="194">
        <f>$P$8</f>
        <v>2.415</v>
      </c>
      <c r="E11" s="194">
        <f>$P$8</f>
        <v>2.415</v>
      </c>
      <c r="F11" s="201"/>
      <c r="G11" s="430" t="s">
        <v>166</v>
      </c>
      <c r="H11" s="431"/>
      <c r="I11" s="431"/>
      <c r="J11" s="431"/>
      <c r="K11" s="432"/>
      <c r="M11" s="161"/>
      <c r="N11" s="161"/>
      <c r="O11" s="161"/>
      <c r="P11" s="161"/>
      <c r="Q11" s="161"/>
      <c r="R11" s="161"/>
      <c r="S11" s="161"/>
      <c r="T11" s="161"/>
      <c r="U11" s="161"/>
    </row>
    <row r="12" spans="2:33" ht="15" customHeight="1" thickTop="1" x14ac:dyDescent="0.25">
      <c r="B12" s="177" t="s">
        <v>167</v>
      </c>
      <c r="C12" s="202">
        <f>(C11-C10)/C11*100</f>
        <v>4.8861283643892293</v>
      </c>
      <c r="D12" s="202">
        <f>(D11-D10)/D11*100</f>
        <v>4.2236024844720443</v>
      </c>
      <c r="E12" s="202">
        <f>(E11-E10)/E11*100</f>
        <v>4.2650103519668825</v>
      </c>
      <c r="F12" s="203">
        <f>ROUND(AVERAGE(C12:E12),2)</f>
        <v>4.46</v>
      </c>
      <c r="G12" s="421" t="s">
        <v>168</v>
      </c>
      <c r="H12" s="422"/>
      <c r="I12" s="204" t="s">
        <v>169</v>
      </c>
      <c r="J12" s="204" t="s">
        <v>169</v>
      </c>
      <c r="K12" s="205" t="s">
        <v>170</v>
      </c>
      <c r="M12" s="206" t="str">
        <f>G17</f>
        <v>3/4"</v>
      </c>
      <c r="N12" s="206" t="str">
        <f>G18</f>
        <v>1/2"</v>
      </c>
      <c r="O12" s="206" t="str">
        <f>G19</f>
        <v>3/8"</v>
      </c>
      <c r="P12" s="206" t="str">
        <f>G20</f>
        <v>Nº 4</v>
      </c>
      <c r="Q12" s="206" t="str">
        <f>G21</f>
        <v>Nº 10</v>
      </c>
      <c r="R12" s="206" t="str">
        <f>G22</f>
        <v>Nº 40</v>
      </c>
      <c r="S12" s="206" t="str">
        <f>G23</f>
        <v>Nº 80</v>
      </c>
      <c r="T12" s="206" t="str">
        <f>G24</f>
        <v>Nº 200</v>
      </c>
      <c r="U12" s="206" t="s">
        <v>110</v>
      </c>
      <c r="V12" s="137" t="s">
        <v>111</v>
      </c>
      <c r="W12" s="137" t="s">
        <v>112</v>
      </c>
      <c r="X12" s="137" t="s">
        <v>113</v>
      </c>
      <c r="Y12" s="206" t="s">
        <v>114</v>
      </c>
      <c r="Z12" s="206" t="s">
        <v>115</v>
      </c>
      <c r="AA12" s="137" t="s">
        <v>171</v>
      </c>
      <c r="AB12" s="137" t="s">
        <v>116</v>
      </c>
      <c r="AC12" s="137" t="s">
        <v>172</v>
      </c>
      <c r="AD12" s="137" t="s">
        <v>117</v>
      </c>
      <c r="AE12" s="137" t="s">
        <v>118</v>
      </c>
      <c r="AF12" s="137" t="s">
        <v>173</v>
      </c>
      <c r="AG12" s="137" t="s">
        <v>119</v>
      </c>
    </row>
    <row r="13" spans="2:33" ht="15" customHeight="1" thickBot="1" x14ac:dyDescent="0.3">
      <c r="B13" s="177" t="s">
        <v>174</v>
      </c>
      <c r="C13" s="202">
        <f>ROUND(C10*$K$10/$P$7,2)</f>
        <v>13.83</v>
      </c>
      <c r="D13" s="202">
        <f>ROUND(D10*$K$10/$P$7,2)</f>
        <v>13.92</v>
      </c>
      <c r="E13" s="202">
        <f>ROUND(E10*$K$10/$P$7,2)</f>
        <v>13.92</v>
      </c>
      <c r="F13" s="207"/>
      <c r="G13" s="208" t="s">
        <v>175</v>
      </c>
      <c r="H13" s="209" t="s">
        <v>176</v>
      </c>
      <c r="I13" s="210" t="s">
        <v>177</v>
      </c>
      <c r="J13" s="211" t="s">
        <v>178</v>
      </c>
      <c r="K13" s="212" t="s">
        <v>178</v>
      </c>
      <c r="L13" s="213"/>
      <c r="M13" s="214">
        <f>IF($N$15="s",K17,IF($N$15="n","Não"))</f>
        <v>100</v>
      </c>
      <c r="N13" s="214">
        <f>IF($N$15="s",K18,IF($N$15="n","Não"))</f>
        <v>95.3</v>
      </c>
      <c r="O13" s="214">
        <f>IF($N$15="s",K19,IF($N$15="n","Não"))</f>
        <v>80.400000000000006</v>
      </c>
      <c r="P13" s="214">
        <f>IF($N$15="s",K20,IF($N$15="n","Não"))</f>
        <v>67.2</v>
      </c>
      <c r="Q13" s="214">
        <f>IF($N$15="s",K21,IF($N$15="n","Não"))</f>
        <v>54.5</v>
      </c>
      <c r="R13" s="214">
        <f>IF($N$15="s",K22,IF($N$15="n","Não"))</f>
        <v>36.4</v>
      </c>
      <c r="S13" s="214">
        <f>IF($N$15="s",K23,IF($N$15="n","Não"))</f>
        <v>14.2</v>
      </c>
      <c r="T13" s="214">
        <f>IF($N$15="s",K24,IF($N$15="n","Não"))</f>
        <v>5.9</v>
      </c>
      <c r="U13" s="215">
        <f>IF($N$15="s",$K$10,IF($N$15="n","Não"))</f>
        <v>6.2</v>
      </c>
      <c r="V13" s="216">
        <f>IF($N$16="s",F10,IF($N$16="n","Não"))</f>
        <v>2.3069999999999999</v>
      </c>
      <c r="W13" s="215">
        <f>IF($N$16="s",F12,IF($N$16="n","Não"))</f>
        <v>4.46</v>
      </c>
      <c r="X13" s="215">
        <f>IF($N$16="s",F15,IF($N$16="n","Não"))</f>
        <v>75.72</v>
      </c>
      <c r="Y13" s="215">
        <f>IF($N$16="s",F19,IF($N$16="n","Não"))</f>
        <v>871.32</v>
      </c>
      <c r="Z13" s="215">
        <f>IF($N$16="s",F20,IF($N$16="n","Não"))</f>
        <v>4</v>
      </c>
      <c r="AA13" s="215">
        <f>IF($N$16="s",D22,IF($N$16="n","Não"))</f>
        <v>162</v>
      </c>
      <c r="AB13" s="215">
        <f>IF($N$16="s",D23,IF($N$16="n","Não"))</f>
        <v>145</v>
      </c>
      <c r="AC13" s="215">
        <f>IF($N$16="s",D24,IF($N$16="n","Não"))</f>
        <v>165</v>
      </c>
      <c r="AD13" s="216">
        <f>IF($N$17="s",E43,IF($N$17="n","Não"))</f>
        <v>2.2789999999999999</v>
      </c>
      <c r="AE13" s="214">
        <f>IF($N$17="s",E44,IF($N$17="n","Não"))</f>
        <v>97.6</v>
      </c>
      <c r="AF13" s="215">
        <f>IF($N$19="s",E45,IF($N$19="n","Não"))</f>
        <v>4.5</v>
      </c>
      <c r="AG13" s="217">
        <f>IF($N$20="s",E46,IF($N$20="n","Não"))</f>
        <v>147</v>
      </c>
    </row>
    <row r="14" spans="2:33" ht="15" customHeight="1" thickTop="1" thickBot="1" x14ac:dyDescent="0.3">
      <c r="B14" s="177" t="s">
        <v>179</v>
      </c>
      <c r="C14" s="202">
        <f>C12+C13</f>
        <v>18.716128364389228</v>
      </c>
      <c r="D14" s="202">
        <f>D12+D13</f>
        <v>18.143602484472044</v>
      </c>
      <c r="E14" s="202">
        <f>E12+E13</f>
        <v>18.185010351966881</v>
      </c>
      <c r="F14" s="207"/>
      <c r="G14" s="218" t="s">
        <v>180</v>
      </c>
      <c r="H14" s="219">
        <v>50.8</v>
      </c>
      <c r="I14" s="220"/>
      <c r="J14" s="221"/>
      <c r="K14" s="222"/>
      <c r="L14" s="213"/>
    </row>
    <row r="15" spans="2:33" ht="15" customHeight="1" thickTop="1" thickBot="1" x14ac:dyDescent="0.3">
      <c r="B15" s="177" t="s">
        <v>181</v>
      </c>
      <c r="C15" s="202">
        <f>ROUND((C13/C14*100),2)</f>
        <v>73.89</v>
      </c>
      <c r="D15" s="202">
        <f>ROUND((D13/D14*100),2)</f>
        <v>76.72</v>
      </c>
      <c r="E15" s="202">
        <f>ROUND((E13/E14*100),2)</f>
        <v>76.55</v>
      </c>
      <c r="F15" s="203">
        <f>ROUND(AVERAGE(C15:E15),2)</f>
        <v>75.72</v>
      </c>
      <c r="G15" s="223" t="s">
        <v>182</v>
      </c>
      <c r="H15" s="224">
        <v>38.1</v>
      </c>
      <c r="I15" s="225"/>
      <c r="J15" s="226"/>
      <c r="K15" s="227"/>
      <c r="M15" s="228" t="s">
        <v>166</v>
      </c>
      <c r="N15" s="229" t="s">
        <v>183</v>
      </c>
      <c r="O15" s="230"/>
      <c r="P15" s="231"/>
      <c r="Q15" s="231"/>
    </row>
    <row r="16" spans="2:33" ht="15" customHeight="1" thickTop="1" thickBot="1" x14ac:dyDescent="0.3">
      <c r="B16" s="177" t="s">
        <v>184</v>
      </c>
      <c r="C16" s="232">
        <v>455</v>
      </c>
      <c r="D16" s="232">
        <v>460</v>
      </c>
      <c r="E16" s="232">
        <v>455</v>
      </c>
      <c r="F16" s="179"/>
      <c r="G16" s="223" t="s">
        <v>17</v>
      </c>
      <c r="H16" s="224">
        <v>25.4</v>
      </c>
      <c r="I16" s="225"/>
      <c r="J16" s="233">
        <f>SUM(I17:I25)</f>
        <v>470.7</v>
      </c>
      <c r="K16" s="234">
        <f>ROUND(J16/$J$16*100,1)</f>
        <v>100</v>
      </c>
      <c r="M16" s="235" t="s">
        <v>144</v>
      </c>
      <c r="N16" s="229" t="s">
        <v>183</v>
      </c>
      <c r="O16" s="236"/>
      <c r="P16" s="237"/>
      <c r="Q16" s="237"/>
      <c r="V16" s="238"/>
      <c r="W16" s="238"/>
      <c r="X16" s="239"/>
      <c r="Y16" s="239"/>
      <c r="Z16" s="239"/>
      <c r="AA16" s="239"/>
      <c r="AB16" s="239"/>
      <c r="AC16" s="239"/>
      <c r="AD16" s="239"/>
      <c r="AE16" s="239"/>
      <c r="AF16" s="239"/>
      <c r="AG16" s="239"/>
    </row>
    <row r="17" spans="2:33" ht="15" customHeight="1" thickTop="1" x14ac:dyDescent="0.25">
      <c r="B17" s="177" t="s">
        <v>185</v>
      </c>
      <c r="C17" s="240">
        <f>ROUND(C16*$E25,2)</f>
        <v>868.14</v>
      </c>
      <c r="D17" s="240">
        <f>ROUND(D16*$E25,2)</f>
        <v>877.68</v>
      </c>
      <c r="E17" s="240">
        <f>ROUND(E16*$E25,2)</f>
        <v>868.14</v>
      </c>
      <c r="F17" s="207"/>
      <c r="G17" s="223" t="s">
        <v>18</v>
      </c>
      <c r="H17" s="224">
        <v>19.100000000000001</v>
      </c>
      <c r="I17" s="232"/>
      <c r="J17" s="233">
        <f t="shared" ref="J17:J24" si="2">J16-I17</f>
        <v>470.7</v>
      </c>
      <c r="K17" s="234">
        <f>ROUND(J17/$J$16*100,1)</f>
        <v>100</v>
      </c>
      <c r="M17" s="423" t="s">
        <v>186</v>
      </c>
      <c r="N17" s="241" t="s">
        <v>183</v>
      </c>
      <c r="O17" s="140"/>
      <c r="V17" s="242"/>
      <c r="W17" s="242"/>
      <c r="X17" s="242"/>
      <c r="Y17" s="242"/>
      <c r="Z17" s="242"/>
      <c r="AA17" s="242"/>
      <c r="AB17" s="242"/>
      <c r="AC17" s="242"/>
      <c r="AD17" s="242"/>
      <c r="AE17" s="242"/>
      <c r="AF17" s="242"/>
      <c r="AG17" s="242"/>
    </row>
    <row r="18" spans="2:33" ht="15" customHeight="1" thickBot="1" x14ac:dyDescent="0.3">
      <c r="B18" s="177" t="s">
        <v>187</v>
      </c>
      <c r="C18" s="243">
        <v>1</v>
      </c>
      <c r="D18" s="243">
        <v>1</v>
      </c>
      <c r="E18" s="243">
        <v>1</v>
      </c>
      <c r="F18" s="207"/>
      <c r="G18" s="223" t="s">
        <v>16</v>
      </c>
      <c r="H18" s="224">
        <v>12.7</v>
      </c>
      <c r="I18" s="232">
        <v>22.1</v>
      </c>
      <c r="J18" s="233">
        <f t="shared" si="2"/>
        <v>448.59999999999997</v>
      </c>
      <c r="K18" s="234">
        <f t="shared" ref="K18:K24" si="3">ROUND(J18/$J$16*100,1)</f>
        <v>95.3</v>
      </c>
      <c r="M18" s="424"/>
      <c r="N18" s="244"/>
      <c r="O18" s="245"/>
      <c r="P18" s="246"/>
      <c r="Q18" s="246"/>
      <c r="R18" s="246"/>
      <c r="S18" s="246"/>
    </row>
    <row r="19" spans="2:33" ht="15" customHeight="1" thickTop="1" thickBot="1" x14ac:dyDescent="0.3">
      <c r="B19" s="177" t="s">
        <v>188</v>
      </c>
      <c r="C19" s="240">
        <f>C17*C18</f>
        <v>868.14</v>
      </c>
      <c r="D19" s="240">
        <f>D17*D18</f>
        <v>877.68</v>
      </c>
      <c r="E19" s="240">
        <f>E17*E18</f>
        <v>868.14</v>
      </c>
      <c r="F19" s="203">
        <f>ROUND(AVERAGE(C19:E19),2)</f>
        <v>871.32</v>
      </c>
      <c r="G19" s="223" t="s">
        <v>7</v>
      </c>
      <c r="H19" s="224">
        <v>9.52</v>
      </c>
      <c r="I19" s="232">
        <v>70.099999999999994</v>
      </c>
      <c r="J19" s="233">
        <f t="shared" si="2"/>
        <v>378.5</v>
      </c>
      <c r="K19" s="234">
        <f t="shared" si="3"/>
        <v>80.400000000000006</v>
      </c>
      <c r="L19" s="161"/>
      <c r="M19" s="247" t="s">
        <v>189</v>
      </c>
      <c r="N19" s="229" t="s">
        <v>183</v>
      </c>
      <c r="O19" s="248"/>
      <c r="P19" s="249"/>
      <c r="Q19" s="249"/>
      <c r="R19" s="249"/>
      <c r="S19" s="250"/>
    </row>
    <row r="20" spans="2:33" ht="15" customHeight="1" thickTop="1" thickBot="1" x14ac:dyDescent="0.3">
      <c r="B20" s="251" t="s">
        <v>190</v>
      </c>
      <c r="C20" s="252">
        <v>4</v>
      </c>
      <c r="D20" s="252">
        <v>4</v>
      </c>
      <c r="E20" s="252">
        <v>4</v>
      </c>
      <c r="F20" s="253">
        <f>ROUND(AVERAGE(C20:E20),2)</f>
        <v>4</v>
      </c>
      <c r="G20" s="223" t="s">
        <v>105</v>
      </c>
      <c r="H20" s="224">
        <v>4.76</v>
      </c>
      <c r="I20" s="232">
        <v>62.1</v>
      </c>
      <c r="J20" s="233">
        <f t="shared" si="2"/>
        <v>316.39999999999998</v>
      </c>
      <c r="K20" s="234">
        <f t="shared" si="3"/>
        <v>67.2</v>
      </c>
      <c r="L20" s="161"/>
      <c r="M20" s="247" t="s">
        <v>191</v>
      </c>
      <c r="N20" s="229" t="s">
        <v>183</v>
      </c>
      <c r="O20" s="248"/>
      <c r="P20" s="249"/>
      <c r="Q20" s="249"/>
      <c r="R20" s="249"/>
      <c r="S20" s="250"/>
    </row>
    <row r="21" spans="2:33" ht="15" customHeight="1" thickTop="1" x14ac:dyDescent="0.25">
      <c r="B21" s="254" t="s">
        <v>192</v>
      </c>
      <c r="C21" s="255"/>
      <c r="D21" s="256">
        <v>155</v>
      </c>
      <c r="E21" s="257" t="s">
        <v>193</v>
      </c>
      <c r="F21" s="258"/>
      <c r="G21" s="223" t="s">
        <v>106</v>
      </c>
      <c r="H21" s="224">
        <v>2</v>
      </c>
      <c r="I21" s="232">
        <v>59.9</v>
      </c>
      <c r="J21" s="233">
        <f t="shared" si="2"/>
        <v>256.5</v>
      </c>
      <c r="K21" s="234">
        <f t="shared" si="3"/>
        <v>54.5</v>
      </c>
      <c r="L21" s="161"/>
      <c r="M21" s="161"/>
      <c r="O21" s="242"/>
      <c r="P21" s="249"/>
      <c r="Q21" s="249"/>
      <c r="R21" s="249"/>
      <c r="S21" s="250"/>
    </row>
    <row r="22" spans="2:33" ht="15" customHeight="1" x14ac:dyDescent="0.25">
      <c r="B22" s="172" t="s">
        <v>194</v>
      </c>
      <c r="C22" s="173"/>
      <c r="D22" s="259">
        <v>162</v>
      </c>
      <c r="E22" s="260" t="s">
        <v>193</v>
      </c>
      <c r="F22" s="261"/>
      <c r="G22" s="223" t="s">
        <v>107</v>
      </c>
      <c r="H22" s="224">
        <v>0.42</v>
      </c>
      <c r="I22" s="232">
        <v>85.1</v>
      </c>
      <c r="J22" s="233">
        <f t="shared" si="2"/>
        <v>171.4</v>
      </c>
      <c r="K22" s="234">
        <f t="shared" si="3"/>
        <v>36.4</v>
      </c>
      <c r="L22" s="161"/>
      <c r="M22" s="161"/>
      <c r="O22" s="249"/>
      <c r="P22" s="249"/>
      <c r="Q22" s="249"/>
      <c r="R22" s="249"/>
      <c r="S22" s="262"/>
    </row>
    <row r="23" spans="2:33" ht="15" customHeight="1" x14ac:dyDescent="0.25">
      <c r="B23" s="172" t="s">
        <v>195</v>
      </c>
      <c r="C23" s="263"/>
      <c r="D23" s="259">
        <v>145</v>
      </c>
      <c r="E23" s="260" t="s">
        <v>193</v>
      </c>
      <c r="F23" s="261"/>
      <c r="G23" s="223" t="s">
        <v>108</v>
      </c>
      <c r="H23" s="224">
        <v>0.18</v>
      </c>
      <c r="I23" s="232">
        <v>104.5</v>
      </c>
      <c r="J23" s="233">
        <f t="shared" si="2"/>
        <v>66.900000000000006</v>
      </c>
      <c r="K23" s="234">
        <f t="shared" si="3"/>
        <v>14.2</v>
      </c>
      <c r="L23" s="161"/>
      <c r="M23" s="161"/>
      <c r="P23" s="249"/>
      <c r="Q23" s="249"/>
      <c r="R23" s="249"/>
      <c r="S23" s="249"/>
    </row>
    <row r="24" spans="2:33" ht="15" customHeight="1" x14ac:dyDescent="0.25">
      <c r="B24" s="172" t="s">
        <v>196</v>
      </c>
      <c r="C24" s="263"/>
      <c r="D24" s="259">
        <v>165</v>
      </c>
      <c r="E24" s="260" t="s">
        <v>193</v>
      </c>
      <c r="F24" s="264"/>
      <c r="G24" s="223" t="s">
        <v>109</v>
      </c>
      <c r="H24" s="224">
        <v>7.3999999999999996E-2</v>
      </c>
      <c r="I24" s="232">
        <v>39.1</v>
      </c>
      <c r="J24" s="233">
        <f t="shared" si="2"/>
        <v>27.800000000000004</v>
      </c>
      <c r="K24" s="234">
        <f t="shared" si="3"/>
        <v>5.9</v>
      </c>
      <c r="L24" s="161"/>
      <c r="M24" s="161"/>
      <c r="P24" s="249"/>
      <c r="Q24" s="249"/>
      <c r="R24" s="249"/>
      <c r="S24" s="249"/>
    </row>
    <row r="25" spans="2:33" ht="15" customHeight="1" thickBot="1" x14ac:dyDescent="0.3">
      <c r="B25" s="265"/>
      <c r="C25" s="266"/>
      <c r="D25" s="267" t="s">
        <v>197</v>
      </c>
      <c r="E25" s="425">
        <v>1.9079999999999999</v>
      </c>
      <c r="F25" s="426"/>
      <c r="G25" s="268" t="s">
        <v>198</v>
      </c>
      <c r="H25" s="269"/>
      <c r="I25" s="232">
        <v>27.8</v>
      </c>
      <c r="J25" s="270"/>
      <c r="K25" s="271"/>
      <c r="L25" s="161"/>
      <c r="M25" s="161"/>
      <c r="P25" s="249"/>
      <c r="Q25" s="249"/>
      <c r="R25" s="249"/>
      <c r="S25" s="249"/>
    </row>
    <row r="26" spans="2:33" ht="20.149999999999999" customHeight="1" thickTop="1" x14ac:dyDescent="0.25">
      <c r="B26" s="272"/>
      <c r="C26" s="273"/>
      <c r="D26" s="273"/>
      <c r="E26" s="273"/>
      <c r="F26" s="273"/>
      <c r="G26" s="273"/>
      <c r="H26" s="273"/>
      <c r="I26" s="273"/>
      <c r="J26" s="273"/>
      <c r="K26" s="274"/>
      <c r="P26" s="249"/>
      <c r="Q26" s="249"/>
      <c r="R26" s="249"/>
      <c r="S26" s="249"/>
    </row>
    <row r="27" spans="2:33" x14ac:dyDescent="0.25">
      <c r="B27" s="275"/>
      <c r="C27" s="276"/>
      <c r="D27" s="276"/>
      <c r="E27" s="276"/>
      <c r="F27" s="276"/>
      <c r="G27" s="276"/>
      <c r="H27" s="276"/>
      <c r="I27" s="276"/>
      <c r="J27" s="276"/>
      <c r="K27" s="277"/>
      <c r="S27" s="278"/>
    </row>
    <row r="28" spans="2:33" x14ac:dyDescent="0.25">
      <c r="B28" s="275"/>
      <c r="C28" s="276"/>
      <c r="D28" s="276"/>
      <c r="E28" s="276"/>
      <c r="F28" s="276"/>
      <c r="G28" s="276"/>
      <c r="H28" s="276"/>
      <c r="I28" s="276"/>
      <c r="J28" s="276"/>
      <c r="K28" s="277"/>
      <c r="S28" s="278"/>
    </row>
    <row r="29" spans="2:33" x14ac:dyDescent="0.25">
      <c r="B29" s="275"/>
      <c r="C29" s="276"/>
      <c r="D29" s="276"/>
      <c r="E29" s="276"/>
      <c r="F29" s="276"/>
      <c r="G29" s="276"/>
      <c r="H29" s="276"/>
      <c r="I29" s="276"/>
      <c r="J29" s="276"/>
      <c r="K29" s="277"/>
      <c r="O29" s="139"/>
      <c r="P29" s="279"/>
      <c r="S29" s="278"/>
    </row>
    <row r="30" spans="2:33" x14ac:dyDescent="0.25">
      <c r="B30" s="275"/>
      <c r="C30" s="276"/>
      <c r="D30" s="276"/>
      <c r="E30" s="276"/>
      <c r="F30" s="276"/>
      <c r="G30" s="276"/>
      <c r="H30" s="276"/>
      <c r="I30" s="276"/>
      <c r="J30" s="276"/>
      <c r="K30" s="277"/>
      <c r="O30" s="139"/>
      <c r="P30" s="279"/>
      <c r="Q30" s="279"/>
    </row>
    <row r="31" spans="2:33" x14ac:dyDescent="0.25">
      <c r="B31" s="275"/>
      <c r="C31" s="276"/>
      <c r="D31" s="276"/>
      <c r="E31" s="276"/>
      <c r="F31" s="276"/>
      <c r="G31" s="276"/>
      <c r="H31" s="276"/>
      <c r="I31" s="276"/>
      <c r="J31" s="276"/>
      <c r="K31" s="277"/>
      <c r="O31" s="139"/>
      <c r="P31" s="279"/>
      <c r="Q31" s="279"/>
    </row>
    <row r="32" spans="2:33" x14ac:dyDescent="0.25">
      <c r="B32" s="275"/>
      <c r="C32" s="276"/>
      <c r="D32" s="276"/>
      <c r="E32" s="276"/>
      <c r="F32" s="276"/>
      <c r="G32" s="276"/>
      <c r="H32" s="276"/>
      <c r="I32" s="276"/>
      <c r="J32" s="276"/>
      <c r="K32" s="277"/>
      <c r="O32" s="139"/>
      <c r="P32" s="279"/>
      <c r="Q32" s="279"/>
    </row>
    <row r="33" spans="2:18" x14ac:dyDescent="0.25">
      <c r="B33" s="275"/>
      <c r="C33" s="276"/>
      <c r="D33" s="276"/>
      <c r="E33" s="276"/>
      <c r="F33" s="276"/>
      <c r="G33" s="276"/>
      <c r="H33" s="276"/>
      <c r="I33" s="276"/>
      <c r="J33" s="276"/>
      <c r="K33" s="277"/>
      <c r="O33" s="139"/>
      <c r="P33" s="279"/>
      <c r="Q33" s="279"/>
    </row>
    <row r="34" spans="2:18" x14ac:dyDescent="0.25">
      <c r="B34" s="275"/>
      <c r="C34" s="276"/>
      <c r="D34" s="276"/>
      <c r="E34" s="276"/>
      <c r="F34" s="276"/>
      <c r="G34" s="276"/>
      <c r="H34" s="276"/>
      <c r="I34" s="276"/>
      <c r="J34" s="276"/>
      <c r="K34" s="277"/>
    </row>
    <row r="35" spans="2:18" x14ac:dyDescent="0.25">
      <c r="B35" s="275"/>
      <c r="C35" s="276"/>
      <c r="D35" s="276"/>
      <c r="E35" s="276"/>
      <c r="F35" s="276"/>
      <c r="G35" s="276"/>
      <c r="H35" s="276"/>
      <c r="I35" s="276"/>
      <c r="J35" s="276"/>
      <c r="K35" s="277"/>
    </row>
    <row r="36" spans="2:18" x14ac:dyDescent="0.25">
      <c r="B36" s="275"/>
      <c r="C36" s="276"/>
      <c r="D36" s="276"/>
      <c r="E36" s="276"/>
      <c r="F36" s="276"/>
      <c r="G36" s="276"/>
      <c r="H36" s="276"/>
      <c r="I36" s="276"/>
      <c r="J36" s="276"/>
      <c r="K36" s="277"/>
      <c r="P36" s="280"/>
    </row>
    <row r="37" spans="2:18" x14ac:dyDescent="0.25">
      <c r="B37" s="275"/>
      <c r="C37" s="276"/>
      <c r="D37" s="276"/>
      <c r="E37" s="276"/>
      <c r="F37" s="276"/>
      <c r="G37" s="276"/>
      <c r="H37" s="276"/>
      <c r="I37" s="276"/>
      <c r="J37" s="276"/>
      <c r="K37" s="277"/>
      <c r="P37" s="280"/>
    </row>
    <row r="38" spans="2:18" x14ac:dyDescent="0.25">
      <c r="B38" s="275"/>
      <c r="C38" s="276"/>
      <c r="D38" s="276"/>
      <c r="E38" s="276"/>
      <c r="F38" s="276"/>
      <c r="G38" s="276"/>
      <c r="H38" s="276"/>
      <c r="I38" s="276"/>
      <c r="J38" s="276"/>
      <c r="K38" s="277"/>
      <c r="P38" s="281"/>
      <c r="Q38" s="249"/>
      <c r="R38" s="249"/>
    </row>
    <row r="39" spans="2:18" x14ac:dyDescent="0.25">
      <c r="B39" s="275"/>
      <c r="C39" s="276"/>
      <c r="D39" s="276"/>
      <c r="E39" s="276"/>
      <c r="F39" s="276"/>
      <c r="G39" s="276"/>
      <c r="H39" s="276"/>
      <c r="I39" s="276"/>
      <c r="J39" s="276"/>
      <c r="K39" s="277"/>
      <c r="P39" s="281"/>
      <c r="Q39" s="249"/>
      <c r="R39" s="249"/>
    </row>
    <row r="40" spans="2:18" ht="13" thickBot="1" x14ac:dyDescent="0.3">
      <c r="B40" s="282"/>
      <c r="C40" s="283"/>
      <c r="D40" s="283"/>
      <c r="E40" s="283"/>
      <c r="F40" s="283"/>
      <c r="G40" s="283"/>
      <c r="H40" s="283"/>
      <c r="I40" s="283"/>
      <c r="J40" s="283"/>
      <c r="K40" s="284"/>
      <c r="P40" s="281"/>
      <c r="Q40" s="285"/>
      <c r="R40" s="249"/>
    </row>
    <row r="41" spans="2:18" ht="13" thickTop="1" x14ac:dyDescent="0.25">
      <c r="B41" s="427" t="s">
        <v>199</v>
      </c>
      <c r="C41" s="428"/>
      <c r="D41" s="428"/>
      <c r="E41" s="429"/>
      <c r="F41" s="286" t="s">
        <v>200</v>
      </c>
      <c r="G41" s="287"/>
      <c r="H41" s="288"/>
      <c r="I41" s="289"/>
      <c r="J41" s="290"/>
      <c r="K41" s="291"/>
    </row>
    <row r="42" spans="2:18" x14ac:dyDescent="0.25">
      <c r="B42" s="292" t="s">
        <v>201</v>
      </c>
      <c r="C42" s="293"/>
      <c r="D42" s="294"/>
      <c r="E42" s="295">
        <v>2.3340000000000001</v>
      </c>
      <c r="F42" s="296" t="s">
        <v>202</v>
      </c>
      <c r="G42" s="297">
        <v>2800</v>
      </c>
      <c r="H42" s="298" t="s">
        <v>203</v>
      </c>
      <c r="I42" s="298"/>
      <c r="J42" s="296"/>
      <c r="K42" s="299"/>
    </row>
    <row r="43" spans="2:18" x14ac:dyDescent="0.25">
      <c r="B43" s="300" t="s">
        <v>204</v>
      </c>
      <c r="C43" s="301"/>
      <c r="D43" s="302"/>
      <c r="E43" s="303">
        <v>2.2789999999999999</v>
      </c>
      <c r="F43" s="304"/>
      <c r="G43" s="296"/>
      <c r="H43" s="305"/>
      <c r="I43" s="296"/>
      <c r="J43" s="296"/>
      <c r="K43" s="299"/>
    </row>
    <row r="44" spans="2:18" x14ac:dyDescent="0.25">
      <c r="B44" s="304" t="s">
        <v>205</v>
      </c>
      <c r="C44" s="306"/>
      <c r="D44" s="307"/>
      <c r="E44" s="308">
        <f>ROUND(E43/E42*100,1)</f>
        <v>97.6</v>
      </c>
      <c r="F44" s="304" t="s">
        <v>206</v>
      </c>
      <c r="G44" s="309">
        <v>38253</v>
      </c>
      <c r="H44" s="296"/>
      <c r="I44" s="296"/>
      <c r="J44" s="296"/>
      <c r="K44" s="299"/>
    </row>
    <row r="45" spans="2:18" ht="13" thickBot="1" x14ac:dyDescent="0.3">
      <c r="B45" s="304" t="s">
        <v>207</v>
      </c>
      <c r="C45" s="310"/>
      <c r="D45" s="311"/>
      <c r="E45" s="312">
        <v>4.5</v>
      </c>
      <c r="F45" s="313"/>
      <c r="G45" s="314"/>
      <c r="H45" s="314"/>
      <c r="I45" s="314"/>
      <c r="J45" s="314"/>
      <c r="K45" s="315"/>
    </row>
    <row r="46" spans="2:18" ht="13" thickTop="1" x14ac:dyDescent="0.25">
      <c r="B46" s="304" t="s">
        <v>208</v>
      </c>
      <c r="C46" s="296"/>
      <c r="D46" s="316"/>
      <c r="E46" s="317">
        <v>147</v>
      </c>
      <c r="F46" s="318"/>
      <c r="G46" s="318"/>
      <c r="H46" s="318"/>
      <c r="I46" s="318"/>
      <c r="J46" s="318"/>
      <c r="K46" s="319"/>
    </row>
    <row r="47" spans="2:18" x14ac:dyDescent="0.25">
      <c r="B47" s="304"/>
      <c r="C47" s="296"/>
      <c r="D47" s="316"/>
      <c r="E47" s="320"/>
      <c r="F47" s="318" t="s">
        <v>209</v>
      </c>
      <c r="G47" s="318"/>
      <c r="H47" s="318"/>
      <c r="I47" s="318" t="s">
        <v>206</v>
      </c>
      <c r="J47" s="321"/>
      <c r="K47" s="319"/>
    </row>
    <row r="48" spans="2:18" ht="13" thickBot="1" x14ac:dyDescent="0.3">
      <c r="B48" s="322"/>
      <c r="C48" s="323"/>
      <c r="D48" s="324"/>
      <c r="E48" s="325"/>
      <c r="F48" s="323"/>
      <c r="G48" s="323"/>
      <c r="H48" s="323"/>
      <c r="I48" s="323"/>
      <c r="J48" s="323"/>
      <c r="K48" s="326"/>
    </row>
    <row r="49" ht="13" thickTop="1" x14ac:dyDescent="0.25"/>
  </sheetData>
  <mergeCells count="22">
    <mergeCell ref="G12:H12"/>
    <mergeCell ref="M17:M18"/>
    <mergeCell ref="E25:F25"/>
    <mergeCell ref="B41:E41"/>
    <mergeCell ref="AB6:AC6"/>
    <mergeCell ref="AB7:AC7"/>
    <mergeCell ref="AB8:AC8"/>
    <mergeCell ref="AB9:AC9"/>
    <mergeCell ref="AB10:AC10"/>
    <mergeCell ref="G11:K11"/>
    <mergeCell ref="AB5:AC5"/>
    <mergeCell ref="B1:K1"/>
    <mergeCell ref="V1:W1"/>
    <mergeCell ref="X1:Y1"/>
    <mergeCell ref="Z1:AA1"/>
    <mergeCell ref="AB1:AC1"/>
    <mergeCell ref="AB2:AC2"/>
    <mergeCell ref="B3:K3"/>
    <mergeCell ref="AB3:AC3"/>
    <mergeCell ref="B4:F4"/>
    <mergeCell ref="G4:K4"/>
    <mergeCell ref="AB4:AC4"/>
  </mergeCells>
  <printOptions horizontalCentered="1" verticalCentered="1"/>
  <pageMargins left="0.51181102362204722" right="0.15748031496062992" top="0.9055118110236221" bottom="0.35433070866141736" header="0" footer="0"/>
  <pageSetup paperSize="9" orientation="portrait" horizontalDpi="180" verticalDpi="18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15">
    <tabColor theme="1"/>
    <pageSetUpPr fitToPage="1"/>
  </sheetPr>
  <dimension ref="A1:AA55"/>
  <sheetViews>
    <sheetView zoomScale="55" zoomScaleNormal="55" zoomScaleSheetLayoutView="70" workbookViewId="0">
      <pane ySplit="6" topLeftCell="A7" activePane="bottomLeft" state="frozen"/>
      <selection activeCell="B12" sqref="B12"/>
      <selection pane="bottomLeft" activeCell="B12" sqref="B12"/>
    </sheetView>
  </sheetViews>
  <sheetFormatPr defaultColWidth="9.1796875" defaultRowHeight="12.5" x14ac:dyDescent="0.25"/>
  <cols>
    <col min="1" max="1" width="10.26953125" style="1" customWidth="1"/>
    <col min="2" max="2" width="10.54296875" style="1" customWidth="1"/>
    <col min="3" max="3" width="12.1796875" style="1" customWidth="1"/>
    <col min="4" max="4" width="10.26953125" style="1" bestFit="1" customWidth="1"/>
    <col min="5" max="10" width="10.81640625" style="1" customWidth="1"/>
    <col min="11" max="11" width="11.453125" style="1" customWidth="1"/>
    <col min="12" max="12" width="10.81640625" style="1" customWidth="1"/>
    <col min="13" max="13" width="11.54296875" style="1" customWidth="1"/>
    <col min="14" max="14" width="10.7265625" style="1" customWidth="1"/>
    <col min="15" max="15" width="14.81640625" style="1" customWidth="1"/>
    <col min="16" max="16" width="10.453125" style="1" customWidth="1"/>
    <col min="17" max="18" width="13.1796875" style="1" customWidth="1"/>
    <col min="19" max="19" width="12.7265625" style="1" customWidth="1"/>
    <col min="20" max="20" width="11.54296875" style="1" customWidth="1"/>
    <col min="21" max="21" width="22.453125" style="1" customWidth="1"/>
    <col min="22" max="22" width="26.81640625" style="1" customWidth="1"/>
    <col min="23" max="26" width="9.1796875" style="1"/>
    <col min="27" max="27" width="15.453125" style="2" customWidth="1"/>
    <col min="28" max="28" width="13" style="1" customWidth="1"/>
    <col min="29" max="16384" width="9.1796875" style="1"/>
  </cols>
  <sheetData>
    <row r="1" spans="1:27" ht="31.5" customHeight="1" x14ac:dyDescent="0.25">
      <c r="A1" s="471" t="s">
        <v>27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  <c r="P1" s="471"/>
      <c r="Q1" s="471"/>
      <c r="R1" s="471"/>
      <c r="S1" s="471"/>
      <c r="T1" s="471"/>
      <c r="U1" s="471"/>
      <c r="V1" s="471"/>
    </row>
    <row r="2" spans="1:27" ht="22.5" customHeight="1" x14ac:dyDescent="0.25">
      <c r="A2" s="472" t="s">
        <v>79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  <c r="V2" s="472"/>
    </row>
    <row r="3" spans="1:27" ht="14.25" customHeight="1" thickBot="1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7" ht="31.5" customHeight="1" x14ac:dyDescent="0.25">
      <c r="A4" s="480" t="s">
        <v>2</v>
      </c>
      <c r="B4" s="477" t="s">
        <v>3</v>
      </c>
      <c r="C4" s="486" t="s">
        <v>19</v>
      </c>
      <c r="D4" s="441" t="s">
        <v>4</v>
      </c>
      <c r="E4" s="442"/>
      <c r="F4" s="442"/>
      <c r="G4" s="442"/>
      <c r="H4" s="442"/>
      <c r="I4" s="442"/>
      <c r="J4" s="442"/>
      <c r="K4" s="442"/>
      <c r="L4" s="443"/>
      <c r="M4" s="483" t="s">
        <v>29</v>
      </c>
      <c r="N4" s="474" t="s">
        <v>5</v>
      </c>
      <c r="O4" s="447" t="s">
        <v>21</v>
      </c>
      <c r="P4" s="447" t="s">
        <v>30</v>
      </c>
      <c r="Q4" s="447" t="s">
        <v>66</v>
      </c>
      <c r="R4" s="447" t="s">
        <v>31</v>
      </c>
      <c r="S4" s="447" t="s">
        <v>28</v>
      </c>
      <c r="T4" s="447" t="s">
        <v>22</v>
      </c>
      <c r="U4" s="474" t="s">
        <v>20</v>
      </c>
      <c r="V4" s="473" t="s">
        <v>6</v>
      </c>
    </row>
    <row r="5" spans="1:27" ht="16.5" customHeight="1" x14ac:dyDescent="0.25">
      <c r="A5" s="481"/>
      <c r="B5" s="478"/>
      <c r="C5" s="487"/>
      <c r="D5" s="6" t="s">
        <v>8</v>
      </c>
      <c r="E5" s="7" t="s">
        <v>9</v>
      </c>
      <c r="F5" s="7" t="s">
        <v>10</v>
      </c>
      <c r="G5" s="7" t="s">
        <v>11</v>
      </c>
      <c r="H5" s="7" t="s">
        <v>12</v>
      </c>
      <c r="I5" s="7" t="s">
        <v>13</v>
      </c>
      <c r="J5" s="7" t="s">
        <v>14</v>
      </c>
      <c r="K5" s="7" t="s">
        <v>23</v>
      </c>
      <c r="L5" s="439" t="s">
        <v>15</v>
      </c>
      <c r="M5" s="484"/>
      <c r="N5" s="475"/>
      <c r="O5" s="448"/>
      <c r="P5" s="448"/>
      <c r="Q5" s="448"/>
      <c r="R5" s="448"/>
      <c r="S5" s="448"/>
      <c r="T5" s="448"/>
      <c r="U5" s="475"/>
      <c r="V5" s="439"/>
    </row>
    <row r="6" spans="1:27" ht="16.5" customHeight="1" thickBot="1" x14ac:dyDescent="0.3">
      <c r="A6" s="482"/>
      <c r="B6" s="479"/>
      <c r="C6" s="488"/>
      <c r="D6" s="8">
        <v>6.3</v>
      </c>
      <c r="E6" s="9">
        <v>4.75</v>
      </c>
      <c r="F6" s="9">
        <v>2.36</v>
      </c>
      <c r="G6" s="9">
        <v>1.18</v>
      </c>
      <c r="H6" s="9">
        <v>0.6</v>
      </c>
      <c r="I6" s="9">
        <v>0.3</v>
      </c>
      <c r="J6" s="9">
        <v>0.15</v>
      </c>
      <c r="K6" s="9">
        <v>7.4999999999999997E-2</v>
      </c>
      <c r="L6" s="440"/>
      <c r="M6" s="485"/>
      <c r="N6" s="476"/>
      <c r="O6" s="449"/>
      <c r="P6" s="449"/>
      <c r="Q6" s="449"/>
      <c r="R6" s="449"/>
      <c r="S6" s="449"/>
      <c r="T6" s="449"/>
      <c r="U6" s="476"/>
      <c r="V6" s="440"/>
    </row>
    <row r="7" spans="1:27" ht="27.75" customHeight="1" thickTop="1" x14ac:dyDescent="0.25">
      <c r="A7" s="69">
        <v>39701</v>
      </c>
      <c r="B7" s="70">
        <v>1</v>
      </c>
      <c r="C7" s="71">
        <v>39701</v>
      </c>
      <c r="D7" s="72">
        <v>0</v>
      </c>
      <c r="E7" s="73">
        <v>0.5</v>
      </c>
      <c r="F7" s="73">
        <v>6.3</v>
      </c>
      <c r="G7" s="73">
        <v>41.3</v>
      </c>
      <c r="H7" s="73">
        <v>75.5</v>
      </c>
      <c r="I7" s="73">
        <v>90.6</v>
      </c>
      <c r="J7" s="73">
        <v>97.6</v>
      </c>
      <c r="K7" s="73">
        <v>100</v>
      </c>
      <c r="L7" s="74">
        <v>100</v>
      </c>
      <c r="M7" s="75">
        <f t="shared" ref="M7:M8" si="0">IF(B7="","",IF(E7&gt;5,D$6,IF(F7&gt;5,E$6,IF(G7&gt;5,F$6,IF(H7&gt;5,G$6,IF(I7&gt;5,H$6,IF(J7&gt;5,I$6,IF(K7&gt;5,J$6))))))))</f>
        <v>4.75</v>
      </c>
      <c r="N7" s="76">
        <f t="shared" ref="N7:N8" si="1">IF(B7="","",(E7+F7+G7+H7+I7+J7)/100)</f>
        <v>3.1179999999999994</v>
      </c>
      <c r="O7" s="77">
        <v>0.7</v>
      </c>
      <c r="P7" s="77">
        <v>0.2</v>
      </c>
      <c r="Q7" s="78">
        <v>2.6</v>
      </c>
      <c r="R7" s="78">
        <v>1.5</v>
      </c>
      <c r="S7" s="77">
        <v>1.2</v>
      </c>
      <c r="T7" s="78" t="s">
        <v>24</v>
      </c>
      <c r="U7" s="79" t="s">
        <v>78</v>
      </c>
      <c r="V7" s="80" t="s">
        <v>77</v>
      </c>
      <c r="W7" s="3"/>
      <c r="AA7" s="1"/>
    </row>
    <row r="8" spans="1:27" ht="27" customHeight="1" x14ac:dyDescent="0.25">
      <c r="A8" s="69">
        <v>39743</v>
      </c>
      <c r="B8" s="70">
        <v>2</v>
      </c>
      <c r="C8" s="71">
        <v>39743</v>
      </c>
      <c r="D8" s="72">
        <v>0</v>
      </c>
      <c r="E8" s="73">
        <v>0.2</v>
      </c>
      <c r="F8" s="73">
        <v>3.1</v>
      </c>
      <c r="G8" s="73">
        <v>27</v>
      </c>
      <c r="H8" s="73">
        <v>67.8</v>
      </c>
      <c r="I8" s="73">
        <v>90.6</v>
      </c>
      <c r="J8" s="73">
        <v>98.6</v>
      </c>
      <c r="K8" s="73">
        <v>100</v>
      </c>
      <c r="L8" s="74">
        <v>100</v>
      </c>
      <c r="M8" s="75">
        <f t="shared" si="0"/>
        <v>2.36</v>
      </c>
      <c r="N8" s="76">
        <f t="shared" si="1"/>
        <v>2.8729999999999993</v>
      </c>
      <c r="O8" s="77" t="s">
        <v>24</v>
      </c>
      <c r="P8" s="77" t="s">
        <v>24</v>
      </c>
      <c r="Q8" s="78" t="s">
        <v>24</v>
      </c>
      <c r="R8" s="78" t="s">
        <v>24</v>
      </c>
      <c r="S8" s="77" t="s">
        <v>24</v>
      </c>
      <c r="T8" s="78" t="s">
        <v>24</v>
      </c>
      <c r="U8" s="79" t="s">
        <v>78</v>
      </c>
      <c r="V8" s="80" t="s">
        <v>77</v>
      </c>
      <c r="W8" s="3"/>
      <c r="AA8" s="1"/>
    </row>
    <row r="9" spans="1:27" ht="27" customHeight="1" x14ac:dyDescent="0.25">
      <c r="A9" s="69">
        <v>39743</v>
      </c>
      <c r="B9" s="70">
        <v>3</v>
      </c>
      <c r="C9" s="71">
        <v>39743</v>
      </c>
      <c r="D9" s="72">
        <v>0</v>
      </c>
      <c r="E9" s="73">
        <v>0</v>
      </c>
      <c r="F9" s="73">
        <v>3.1</v>
      </c>
      <c r="G9" s="73">
        <v>29.7</v>
      </c>
      <c r="H9" s="73">
        <v>70.5</v>
      </c>
      <c r="I9" s="73">
        <v>94</v>
      </c>
      <c r="J9" s="73">
        <v>98.4</v>
      </c>
      <c r="K9" s="73">
        <v>100</v>
      </c>
      <c r="L9" s="74">
        <v>100</v>
      </c>
      <c r="M9" s="75">
        <f t="shared" ref="M9:M35" si="2">IF(B9="","",IF(E9&gt;5,D$6,IF(F9&gt;5,E$6,IF(G9&gt;5,F$6,IF(H9&gt;5,G$6,IF(I9&gt;5,H$6,IF(J9&gt;5,I$6,IF(K9&gt;5,J$6))))))))</f>
        <v>2.36</v>
      </c>
      <c r="N9" s="76">
        <f t="shared" ref="N9:N35" si="3">IF(B9="","",(E9+F9+G9+H9+I9+J9)/100)</f>
        <v>2.9570000000000003</v>
      </c>
      <c r="O9" s="77" t="s">
        <v>24</v>
      </c>
      <c r="P9" s="77" t="s">
        <v>24</v>
      </c>
      <c r="Q9" s="78" t="s">
        <v>24</v>
      </c>
      <c r="R9" s="78" t="s">
        <v>24</v>
      </c>
      <c r="S9" s="77" t="s">
        <v>24</v>
      </c>
      <c r="T9" s="78" t="s">
        <v>24</v>
      </c>
      <c r="U9" s="79" t="s">
        <v>78</v>
      </c>
      <c r="V9" s="80" t="s">
        <v>77</v>
      </c>
      <c r="W9" s="3"/>
      <c r="AA9" s="1"/>
    </row>
    <row r="10" spans="1:27" ht="27" customHeight="1" x14ac:dyDescent="0.25">
      <c r="A10" s="69"/>
      <c r="B10" s="70"/>
      <c r="C10" s="71"/>
      <c r="D10" s="72"/>
      <c r="E10" s="73"/>
      <c r="F10" s="73"/>
      <c r="G10" s="73"/>
      <c r="H10" s="73"/>
      <c r="I10" s="73"/>
      <c r="J10" s="73"/>
      <c r="K10" s="73"/>
      <c r="L10" s="74"/>
      <c r="M10" s="75" t="str">
        <f>IF(B10="","",IF(E10&gt;5,D$6,IF(F10&gt;5,E$6,IF(G10&gt;5,F$6,IF(H10&gt;5,G$6,IF(I10&gt;5,H$6,IF(J10&gt;5,I$6,IF(K10&gt;5,J$6))))))))</f>
        <v/>
      </c>
      <c r="N10" s="76" t="str">
        <f t="shared" si="3"/>
        <v/>
      </c>
      <c r="O10" s="77"/>
      <c r="P10" s="77"/>
      <c r="Q10" s="78"/>
      <c r="R10" s="78"/>
      <c r="S10" s="77"/>
      <c r="T10" s="78"/>
      <c r="U10" s="79"/>
      <c r="V10" s="80"/>
      <c r="W10" s="3"/>
      <c r="AA10" s="1"/>
    </row>
    <row r="11" spans="1:27" ht="27" customHeight="1" x14ac:dyDescent="0.25">
      <c r="A11" s="69"/>
      <c r="B11" s="70"/>
      <c r="C11" s="71"/>
      <c r="D11" s="72"/>
      <c r="E11" s="73"/>
      <c r="F11" s="73"/>
      <c r="G11" s="73"/>
      <c r="H11" s="73"/>
      <c r="I11" s="73"/>
      <c r="J11" s="73"/>
      <c r="K11" s="73"/>
      <c r="L11" s="74"/>
      <c r="M11" s="75" t="str">
        <f t="shared" si="2"/>
        <v/>
      </c>
      <c r="N11" s="76" t="str">
        <f t="shared" si="3"/>
        <v/>
      </c>
      <c r="O11" s="77"/>
      <c r="P11" s="77"/>
      <c r="Q11" s="78"/>
      <c r="R11" s="78"/>
      <c r="S11" s="77"/>
      <c r="T11" s="78"/>
      <c r="U11" s="79"/>
      <c r="V11" s="80"/>
      <c r="W11" s="3"/>
      <c r="AA11" s="1"/>
    </row>
    <row r="12" spans="1:27" ht="27" customHeight="1" x14ac:dyDescent="0.25">
      <c r="A12" s="69"/>
      <c r="B12" s="70"/>
      <c r="C12" s="71"/>
      <c r="D12" s="72"/>
      <c r="E12" s="73"/>
      <c r="F12" s="73"/>
      <c r="G12" s="73"/>
      <c r="H12" s="73"/>
      <c r="I12" s="73"/>
      <c r="J12" s="73"/>
      <c r="K12" s="73"/>
      <c r="L12" s="74"/>
      <c r="M12" s="75" t="str">
        <f t="shared" si="2"/>
        <v/>
      </c>
      <c r="N12" s="76" t="str">
        <f t="shared" si="3"/>
        <v/>
      </c>
      <c r="O12" s="77"/>
      <c r="P12" s="77"/>
      <c r="Q12" s="78"/>
      <c r="R12" s="78"/>
      <c r="S12" s="77"/>
      <c r="T12" s="78"/>
      <c r="U12" s="79"/>
      <c r="V12" s="80"/>
      <c r="W12" s="3"/>
      <c r="AA12" s="1"/>
    </row>
    <row r="13" spans="1:27" ht="27" customHeight="1" x14ac:dyDescent="0.25">
      <c r="A13" s="69"/>
      <c r="B13" s="70"/>
      <c r="C13" s="71"/>
      <c r="D13" s="72"/>
      <c r="E13" s="73"/>
      <c r="F13" s="73"/>
      <c r="G13" s="73"/>
      <c r="H13" s="73"/>
      <c r="I13" s="73"/>
      <c r="J13" s="73"/>
      <c r="K13" s="73"/>
      <c r="L13" s="74"/>
      <c r="M13" s="75" t="str">
        <f t="shared" si="2"/>
        <v/>
      </c>
      <c r="N13" s="76" t="str">
        <f t="shared" si="3"/>
        <v/>
      </c>
      <c r="O13" s="77"/>
      <c r="P13" s="77"/>
      <c r="Q13" s="78"/>
      <c r="R13" s="78"/>
      <c r="S13" s="77"/>
      <c r="T13" s="78"/>
      <c r="U13" s="79"/>
      <c r="V13" s="80"/>
      <c r="W13" s="3"/>
      <c r="AA13" s="1"/>
    </row>
    <row r="14" spans="1:27" ht="27" customHeight="1" x14ac:dyDescent="0.25">
      <c r="A14" s="69"/>
      <c r="B14" s="70"/>
      <c r="C14" s="71"/>
      <c r="D14" s="72"/>
      <c r="E14" s="73"/>
      <c r="F14" s="73"/>
      <c r="G14" s="73"/>
      <c r="H14" s="73"/>
      <c r="I14" s="73"/>
      <c r="J14" s="73"/>
      <c r="K14" s="73"/>
      <c r="L14" s="74"/>
      <c r="M14" s="75" t="str">
        <f t="shared" si="2"/>
        <v/>
      </c>
      <c r="N14" s="76" t="str">
        <f t="shared" si="3"/>
        <v/>
      </c>
      <c r="O14" s="77"/>
      <c r="P14" s="77"/>
      <c r="Q14" s="78"/>
      <c r="R14" s="78"/>
      <c r="S14" s="77"/>
      <c r="T14" s="78"/>
      <c r="U14" s="79"/>
      <c r="V14" s="80"/>
      <c r="W14" s="3"/>
      <c r="AA14" s="1"/>
    </row>
    <row r="15" spans="1:27" ht="27" customHeight="1" x14ac:dyDescent="0.25">
      <c r="A15" s="69"/>
      <c r="B15" s="70"/>
      <c r="C15" s="71"/>
      <c r="D15" s="72"/>
      <c r="E15" s="73"/>
      <c r="F15" s="73"/>
      <c r="G15" s="73"/>
      <c r="H15" s="73"/>
      <c r="I15" s="73"/>
      <c r="J15" s="73"/>
      <c r="K15" s="73"/>
      <c r="L15" s="74"/>
      <c r="M15" s="75" t="str">
        <f t="shared" si="2"/>
        <v/>
      </c>
      <c r="N15" s="76" t="str">
        <f t="shared" si="3"/>
        <v/>
      </c>
      <c r="O15" s="77"/>
      <c r="P15" s="77"/>
      <c r="Q15" s="78"/>
      <c r="R15" s="78"/>
      <c r="S15" s="77"/>
      <c r="T15" s="78"/>
      <c r="U15" s="79"/>
      <c r="V15" s="80"/>
      <c r="W15" s="3"/>
      <c r="AA15" s="1"/>
    </row>
    <row r="16" spans="1:27" ht="27" customHeight="1" x14ac:dyDescent="0.25">
      <c r="A16" s="69"/>
      <c r="B16" s="70"/>
      <c r="C16" s="71"/>
      <c r="D16" s="72"/>
      <c r="E16" s="73"/>
      <c r="F16" s="73"/>
      <c r="G16" s="73"/>
      <c r="H16" s="73"/>
      <c r="I16" s="73"/>
      <c r="J16" s="73"/>
      <c r="K16" s="73"/>
      <c r="L16" s="74"/>
      <c r="M16" s="75" t="str">
        <f t="shared" si="2"/>
        <v/>
      </c>
      <c r="N16" s="76" t="str">
        <f t="shared" si="3"/>
        <v/>
      </c>
      <c r="O16" s="77"/>
      <c r="P16" s="77"/>
      <c r="Q16" s="78"/>
      <c r="R16" s="78"/>
      <c r="S16" s="77"/>
      <c r="T16" s="78"/>
      <c r="U16" s="79"/>
      <c r="V16" s="80"/>
      <c r="W16" s="3"/>
      <c r="AA16" s="1"/>
    </row>
    <row r="17" spans="1:27" ht="27" customHeight="1" x14ac:dyDescent="0.25">
      <c r="A17" s="69"/>
      <c r="B17" s="70"/>
      <c r="C17" s="71"/>
      <c r="D17" s="72"/>
      <c r="E17" s="73"/>
      <c r="F17" s="73"/>
      <c r="G17" s="73"/>
      <c r="H17" s="73"/>
      <c r="I17" s="73"/>
      <c r="J17" s="73"/>
      <c r="K17" s="73"/>
      <c r="L17" s="74"/>
      <c r="M17" s="75" t="str">
        <f t="shared" si="2"/>
        <v/>
      </c>
      <c r="N17" s="76" t="str">
        <f t="shared" si="3"/>
        <v/>
      </c>
      <c r="O17" s="77"/>
      <c r="P17" s="77"/>
      <c r="Q17" s="78"/>
      <c r="R17" s="78"/>
      <c r="S17" s="77"/>
      <c r="T17" s="78"/>
      <c r="U17" s="79"/>
      <c r="V17" s="80"/>
      <c r="W17" s="3"/>
      <c r="AA17" s="1"/>
    </row>
    <row r="18" spans="1:27" ht="27" customHeight="1" x14ac:dyDescent="0.25">
      <c r="A18" s="69"/>
      <c r="B18" s="70"/>
      <c r="C18" s="71"/>
      <c r="D18" s="72"/>
      <c r="E18" s="73"/>
      <c r="F18" s="73"/>
      <c r="G18" s="73"/>
      <c r="H18" s="73"/>
      <c r="I18" s="73"/>
      <c r="J18" s="73"/>
      <c r="K18" s="73"/>
      <c r="L18" s="74"/>
      <c r="M18" s="75" t="str">
        <f t="shared" si="2"/>
        <v/>
      </c>
      <c r="N18" s="76" t="str">
        <f t="shared" si="3"/>
        <v/>
      </c>
      <c r="O18" s="77"/>
      <c r="P18" s="77"/>
      <c r="Q18" s="78"/>
      <c r="R18" s="78"/>
      <c r="S18" s="77"/>
      <c r="T18" s="78"/>
      <c r="U18" s="79"/>
      <c r="V18" s="80"/>
      <c r="W18" s="3"/>
      <c r="AA18" s="1"/>
    </row>
    <row r="19" spans="1:27" ht="27" customHeight="1" x14ac:dyDescent="0.25">
      <c r="A19" s="69"/>
      <c r="B19" s="70"/>
      <c r="C19" s="71"/>
      <c r="D19" s="72"/>
      <c r="E19" s="73"/>
      <c r="F19" s="73"/>
      <c r="G19" s="73"/>
      <c r="H19" s="73"/>
      <c r="I19" s="73"/>
      <c r="J19" s="73"/>
      <c r="K19" s="73"/>
      <c r="L19" s="74"/>
      <c r="M19" s="75" t="str">
        <f t="shared" si="2"/>
        <v/>
      </c>
      <c r="N19" s="76" t="str">
        <f t="shared" si="3"/>
        <v/>
      </c>
      <c r="O19" s="77"/>
      <c r="P19" s="77"/>
      <c r="Q19" s="78"/>
      <c r="R19" s="78"/>
      <c r="S19" s="77"/>
      <c r="T19" s="78"/>
      <c r="U19" s="79"/>
      <c r="V19" s="80"/>
      <c r="W19" s="3"/>
      <c r="AA19" s="1"/>
    </row>
    <row r="20" spans="1:27" ht="27" customHeight="1" x14ac:dyDescent="0.25">
      <c r="A20" s="69"/>
      <c r="B20" s="70"/>
      <c r="C20" s="71"/>
      <c r="D20" s="72"/>
      <c r="E20" s="73"/>
      <c r="F20" s="73"/>
      <c r="G20" s="73"/>
      <c r="H20" s="73"/>
      <c r="I20" s="73"/>
      <c r="J20" s="73"/>
      <c r="K20" s="73"/>
      <c r="L20" s="74"/>
      <c r="M20" s="75" t="str">
        <f t="shared" si="2"/>
        <v/>
      </c>
      <c r="N20" s="76" t="str">
        <f t="shared" si="3"/>
        <v/>
      </c>
      <c r="O20" s="77"/>
      <c r="P20" s="77"/>
      <c r="Q20" s="78"/>
      <c r="R20" s="78"/>
      <c r="S20" s="77"/>
      <c r="T20" s="78"/>
      <c r="U20" s="79"/>
      <c r="V20" s="80"/>
      <c r="W20" s="3"/>
      <c r="AA20" s="1"/>
    </row>
    <row r="21" spans="1:27" ht="27" customHeight="1" x14ac:dyDescent="0.25">
      <c r="A21" s="69"/>
      <c r="B21" s="70"/>
      <c r="C21" s="71"/>
      <c r="D21" s="72"/>
      <c r="E21" s="73"/>
      <c r="F21" s="73"/>
      <c r="G21" s="73"/>
      <c r="H21" s="73"/>
      <c r="I21" s="73"/>
      <c r="J21" s="73"/>
      <c r="K21" s="73"/>
      <c r="L21" s="74"/>
      <c r="M21" s="75" t="str">
        <f t="shared" si="2"/>
        <v/>
      </c>
      <c r="N21" s="76" t="str">
        <f t="shared" si="3"/>
        <v/>
      </c>
      <c r="O21" s="77"/>
      <c r="P21" s="77"/>
      <c r="Q21" s="78"/>
      <c r="R21" s="78"/>
      <c r="S21" s="77"/>
      <c r="T21" s="78"/>
      <c r="U21" s="79"/>
      <c r="V21" s="80"/>
      <c r="W21" s="3"/>
      <c r="AA21" s="1"/>
    </row>
    <row r="22" spans="1:27" ht="27" customHeight="1" x14ac:dyDescent="0.25">
      <c r="A22" s="69"/>
      <c r="B22" s="70"/>
      <c r="C22" s="71"/>
      <c r="D22" s="72"/>
      <c r="E22" s="73"/>
      <c r="F22" s="73"/>
      <c r="G22" s="73"/>
      <c r="H22" s="73"/>
      <c r="I22" s="73"/>
      <c r="J22" s="73"/>
      <c r="K22" s="73"/>
      <c r="L22" s="74"/>
      <c r="M22" s="75" t="str">
        <f t="shared" si="2"/>
        <v/>
      </c>
      <c r="N22" s="76" t="str">
        <f t="shared" si="3"/>
        <v/>
      </c>
      <c r="O22" s="77"/>
      <c r="P22" s="77"/>
      <c r="Q22" s="78"/>
      <c r="R22" s="78"/>
      <c r="S22" s="77"/>
      <c r="T22" s="78"/>
      <c r="U22" s="79"/>
      <c r="V22" s="80"/>
      <c r="W22" s="3"/>
      <c r="AA22" s="1"/>
    </row>
    <row r="23" spans="1:27" ht="27" customHeight="1" x14ac:dyDescent="0.25">
      <c r="A23" s="69"/>
      <c r="B23" s="70"/>
      <c r="C23" s="71"/>
      <c r="D23" s="72"/>
      <c r="E23" s="73"/>
      <c r="F23" s="73"/>
      <c r="G23" s="73"/>
      <c r="H23" s="73"/>
      <c r="I23" s="73"/>
      <c r="J23" s="73"/>
      <c r="K23" s="73"/>
      <c r="L23" s="74"/>
      <c r="M23" s="75" t="str">
        <f t="shared" si="2"/>
        <v/>
      </c>
      <c r="N23" s="76" t="str">
        <f t="shared" si="3"/>
        <v/>
      </c>
      <c r="O23" s="77"/>
      <c r="P23" s="77"/>
      <c r="Q23" s="78"/>
      <c r="R23" s="78"/>
      <c r="S23" s="77"/>
      <c r="T23" s="78"/>
      <c r="U23" s="79"/>
      <c r="V23" s="80"/>
      <c r="W23" s="3"/>
      <c r="AA23" s="1"/>
    </row>
    <row r="24" spans="1:27" ht="27" customHeight="1" x14ac:dyDescent="0.25">
      <c r="A24" s="69"/>
      <c r="B24" s="70"/>
      <c r="C24" s="71"/>
      <c r="D24" s="72"/>
      <c r="E24" s="73"/>
      <c r="F24" s="73"/>
      <c r="G24" s="73"/>
      <c r="H24" s="73"/>
      <c r="I24" s="73"/>
      <c r="J24" s="73"/>
      <c r="K24" s="73"/>
      <c r="L24" s="74"/>
      <c r="M24" s="75" t="str">
        <f t="shared" si="2"/>
        <v/>
      </c>
      <c r="N24" s="76" t="str">
        <f t="shared" si="3"/>
        <v/>
      </c>
      <c r="O24" s="77"/>
      <c r="P24" s="77"/>
      <c r="Q24" s="78"/>
      <c r="R24" s="78"/>
      <c r="S24" s="77"/>
      <c r="T24" s="78"/>
      <c r="U24" s="79"/>
      <c r="V24" s="80"/>
      <c r="W24" s="3"/>
      <c r="AA24" s="1"/>
    </row>
    <row r="25" spans="1:27" ht="27" customHeight="1" x14ac:dyDescent="0.25">
      <c r="A25" s="69"/>
      <c r="B25" s="70"/>
      <c r="C25" s="71"/>
      <c r="D25" s="72"/>
      <c r="E25" s="73"/>
      <c r="F25" s="73"/>
      <c r="G25" s="73"/>
      <c r="H25" s="73"/>
      <c r="I25" s="73"/>
      <c r="J25" s="73"/>
      <c r="K25" s="73"/>
      <c r="L25" s="74"/>
      <c r="M25" s="75" t="str">
        <f t="shared" si="2"/>
        <v/>
      </c>
      <c r="N25" s="76" t="str">
        <f t="shared" si="3"/>
        <v/>
      </c>
      <c r="O25" s="77"/>
      <c r="P25" s="77"/>
      <c r="Q25" s="78"/>
      <c r="R25" s="78"/>
      <c r="S25" s="77"/>
      <c r="T25" s="78"/>
      <c r="U25" s="79"/>
      <c r="V25" s="80"/>
      <c r="W25" s="3"/>
      <c r="AA25" s="1"/>
    </row>
    <row r="26" spans="1:27" ht="27" customHeight="1" x14ac:dyDescent="0.25">
      <c r="A26" s="69"/>
      <c r="B26" s="70"/>
      <c r="C26" s="71"/>
      <c r="D26" s="72"/>
      <c r="E26" s="73"/>
      <c r="F26" s="73"/>
      <c r="G26" s="73"/>
      <c r="H26" s="73"/>
      <c r="I26" s="73"/>
      <c r="J26" s="73"/>
      <c r="K26" s="73"/>
      <c r="L26" s="74"/>
      <c r="M26" s="75" t="str">
        <f t="shared" si="2"/>
        <v/>
      </c>
      <c r="N26" s="76" t="str">
        <f t="shared" si="3"/>
        <v/>
      </c>
      <c r="O26" s="77"/>
      <c r="P26" s="77"/>
      <c r="Q26" s="78"/>
      <c r="R26" s="78"/>
      <c r="S26" s="77"/>
      <c r="T26" s="78"/>
      <c r="U26" s="79"/>
      <c r="V26" s="80"/>
      <c r="W26" s="3"/>
      <c r="AA26" s="1"/>
    </row>
    <row r="27" spans="1:27" ht="27" customHeight="1" x14ac:dyDescent="0.25">
      <c r="A27" s="69"/>
      <c r="B27" s="70"/>
      <c r="C27" s="71"/>
      <c r="D27" s="72"/>
      <c r="E27" s="73"/>
      <c r="F27" s="73"/>
      <c r="G27" s="73"/>
      <c r="H27" s="73"/>
      <c r="I27" s="73"/>
      <c r="J27" s="73"/>
      <c r="K27" s="73"/>
      <c r="L27" s="74"/>
      <c r="M27" s="75" t="str">
        <f t="shared" si="2"/>
        <v/>
      </c>
      <c r="N27" s="76" t="str">
        <f t="shared" si="3"/>
        <v/>
      </c>
      <c r="O27" s="77"/>
      <c r="P27" s="77"/>
      <c r="Q27" s="78"/>
      <c r="R27" s="78"/>
      <c r="S27" s="77"/>
      <c r="T27" s="78"/>
      <c r="U27" s="79"/>
      <c r="V27" s="80"/>
      <c r="W27" s="3"/>
      <c r="AA27" s="1"/>
    </row>
    <row r="28" spans="1:27" ht="27" customHeight="1" x14ac:dyDescent="0.25">
      <c r="A28" s="69"/>
      <c r="B28" s="70"/>
      <c r="C28" s="71"/>
      <c r="D28" s="72"/>
      <c r="E28" s="73"/>
      <c r="F28" s="73"/>
      <c r="G28" s="73"/>
      <c r="H28" s="73"/>
      <c r="I28" s="73"/>
      <c r="J28" s="73"/>
      <c r="K28" s="73"/>
      <c r="L28" s="74"/>
      <c r="M28" s="75" t="str">
        <f t="shared" si="2"/>
        <v/>
      </c>
      <c r="N28" s="76" t="str">
        <f t="shared" si="3"/>
        <v/>
      </c>
      <c r="O28" s="77"/>
      <c r="P28" s="77"/>
      <c r="Q28" s="78"/>
      <c r="R28" s="78"/>
      <c r="S28" s="77"/>
      <c r="T28" s="78"/>
      <c r="U28" s="79"/>
      <c r="V28" s="80"/>
      <c r="W28" s="3"/>
      <c r="AA28" s="1"/>
    </row>
    <row r="29" spans="1:27" ht="27" customHeight="1" x14ac:dyDescent="0.25">
      <c r="A29" s="69"/>
      <c r="B29" s="70"/>
      <c r="C29" s="71"/>
      <c r="D29" s="72"/>
      <c r="E29" s="73"/>
      <c r="F29" s="73"/>
      <c r="G29" s="73"/>
      <c r="H29" s="73"/>
      <c r="I29" s="73"/>
      <c r="J29" s="73"/>
      <c r="K29" s="73"/>
      <c r="L29" s="74"/>
      <c r="M29" s="75" t="str">
        <f t="shared" si="2"/>
        <v/>
      </c>
      <c r="N29" s="76" t="str">
        <f t="shared" si="3"/>
        <v/>
      </c>
      <c r="O29" s="77"/>
      <c r="P29" s="77"/>
      <c r="Q29" s="78"/>
      <c r="R29" s="78"/>
      <c r="S29" s="77"/>
      <c r="T29" s="78"/>
      <c r="U29" s="79"/>
      <c r="V29" s="80"/>
      <c r="W29" s="3"/>
      <c r="AA29" s="1"/>
    </row>
    <row r="30" spans="1:27" ht="27" customHeight="1" x14ac:dyDescent="0.25">
      <c r="A30" s="69"/>
      <c r="B30" s="70"/>
      <c r="C30" s="71"/>
      <c r="D30" s="72"/>
      <c r="E30" s="73"/>
      <c r="F30" s="73"/>
      <c r="G30" s="73"/>
      <c r="H30" s="73"/>
      <c r="I30" s="73"/>
      <c r="J30" s="73"/>
      <c r="K30" s="73"/>
      <c r="L30" s="74"/>
      <c r="M30" s="75" t="str">
        <f t="shared" ref="M30:M32" si="4">IF(B30="","",IF(E30&gt;5,D$6,IF(F30&gt;5,E$6,IF(G30&gt;5,F$6,IF(H30&gt;5,G$6,IF(I30&gt;5,H$6,IF(J30&gt;5,I$6,IF(K30&gt;5,J$6))))))))</f>
        <v/>
      </c>
      <c r="N30" s="76" t="str">
        <f t="shared" ref="N30:N32" si="5">IF(B30="","",(E30+F30+G30+H30+I30+J30)/100)</f>
        <v/>
      </c>
      <c r="O30" s="77"/>
      <c r="P30" s="77"/>
      <c r="Q30" s="78"/>
      <c r="R30" s="78"/>
      <c r="S30" s="77"/>
      <c r="T30" s="78"/>
      <c r="U30" s="79"/>
      <c r="V30" s="80"/>
      <c r="W30" s="3"/>
      <c r="AA30" s="1"/>
    </row>
    <row r="31" spans="1:27" ht="27" customHeight="1" x14ac:dyDescent="0.25">
      <c r="A31" s="69"/>
      <c r="B31" s="70"/>
      <c r="C31" s="71"/>
      <c r="D31" s="72"/>
      <c r="E31" s="73"/>
      <c r="F31" s="73"/>
      <c r="G31" s="73"/>
      <c r="H31" s="73"/>
      <c r="I31" s="73"/>
      <c r="J31" s="73"/>
      <c r="K31" s="73"/>
      <c r="L31" s="74"/>
      <c r="M31" s="75" t="str">
        <f t="shared" si="4"/>
        <v/>
      </c>
      <c r="N31" s="76" t="str">
        <f t="shared" si="5"/>
        <v/>
      </c>
      <c r="O31" s="77"/>
      <c r="P31" s="77"/>
      <c r="Q31" s="78"/>
      <c r="R31" s="78"/>
      <c r="S31" s="77"/>
      <c r="T31" s="78"/>
      <c r="U31" s="79"/>
      <c r="V31" s="80"/>
      <c r="W31" s="3"/>
      <c r="AA31" s="1"/>
    </row>
    <row r="32" spans="1:27" ht="27" customHeight="1" x14ac:dyDescent="0.25">
      <c r="A32" s="69"/>
      <c r="B32" s="70"/>
      <c r="C32" s="71"/>
      <c r="D32" s="72"/>
      <c r="E32" s="73"/>
      <c r="F32" s="73"/>
      <c r="G32" s="73"/>
      <c r="H32" s="73"/>
      <c r="I32" s="73"/>
      <c r="J32" s="73"/>
      <c r="K32" s="73"/>
      <c r="L32" s="74"/>
      <c r="M32" s="75" t="str">
        <f t="shared" si="4"/>
        <v/>
      </c>
      <c r="N32" s="76" t="str">
        <f t="shared" si="5"/>
        <v/>
      </c>
      <c r="O32" s="77"/>
      <c r="P32" s="77"/>
      <c r="Q32" s="78"/>
      <c r="R32" s="78"/>
      <c r="S32" s="77"/>
      <c r="T32" s="78"/>
      <c r="U32" s="79"/>
      <c r="V32" s="80"/>
      <c r="W32" s="3"/>
      <c r="AA32" s="1"/>
    </row>
    <row r="33" spans="1:27" ht="27" customHeight="1" x14ac:dyDescent="0.25">
      <c r="A33" s="69"/>
      <c r="B33" s="70"/>
      <c r="C33" s="71"/>
      <c r="D33" s="72"/>
      <c r="E33" s="73"/>
      <c r="F33" s="73"/>
      <c r="G33" s="73"/>
      <c r="H33" s="73"/>
      <c r="I33" s="73"/>
      <c r="J33" s="73"/>
      <c r="K33" s="73"/>
      <c r="L33" s="74"/>
      <c r="M33" s="75" t="str">
        <f t="shared" si="2"/>
        <v/>
      </c>
      <c r="N33" s="76" t="str">
        <f t="shared" si="3"/>
        <v/>
      </c>
      <c r="O33" s="77"/>
      <c r="P33" s="77"/>
      <c r="Q33" s="78"/>
      <c r="R33" s="78"/>
      <c r="S33" s="77"/>
      <c r="T33" s="78"/>
      <c r="U33" s="79"/>
      <c r="V33" s="80"/>
      <c r="W33" s="3"/>
      <c r="AA33" s="1"/>
    </row>
    <row r="34" spans="1:27" ht="27" customHeight="1" thickBot="1" x14ac:dyDescent="0.3">
      <c r="A34" s="69"/>
      <c r="B34" s="70"/>
      <c r="C34" s="71"/>
      <c r="D34" s="72"/>
      <c r="E34" s="73"/>
      <c r="F34" s="73"/>
      <c r="G34" s="73"/>
      <c r="H34" s="73"/>
      <c r="I34" s="73"/>
      <c r="J34" s="73"/>
      <c r="K34" s="73"/>
      <c r="L34" s="74"/>
      <c r="M34" s="75" t="str">
        <f t="shared" si="2"/>
        <v/>
      </c>
      <c r="N34" s="76" t="str">
        <f t="shared" si="3"/>
        <v/>
      </c>
      <c r="O34" s="77"/>
      <c r="P34" s="77"/>
      <c r="Q34" s="78"/>
      <c r="R34" s="78"/>
      <c r="S34" s="77"/>
      <c r="T34" s="78"/>
      <c r="U34" s="79"/>
      <c r="V34" s="80"/>
      <c r="W34" s="3"/>
      <c r="AA34" s="1"/>
    </row>
    <row r="35" spans="1:27" ht="27" hidden="1" customHeight="1" thickBot="1" x14ac:dyDescent="0.3">
      <c r="A35" s="81"/>
      <c r="B35" s="82"/>
      <c r="C35" s="83"/>
      <c r="D35" s="72"/>
      <c r="E35" s="73"/>
      <c r="F35" s="84"/>
      <c r="G35" s="84"/>
      <c r="H35" s="84"/>
      <c r="I35" s="84"/>
      <c r="J35" s="84"/>
      <c r="K35" s="84"/>
      <c r="L35" s="85"/>
      <c r="M35" s="75" t="str">
        <f t="shared" si="2"/>
        <v/>
      </c>
      <c r="N35" s="76" t="str">
        <f t="shared" si="3"/>
        <v/>
      </c>
      <c r="O35" s="86"/>
      <c r="P35" s="86"/>
      <c r="Q35" s="87"/>
      <c r="R35" s="78"/>
      <c r="S35" s="86"/>
      <c r="T35" s="87"/>
      <c r="U35" s="88"/>
      <c r="V35" s="89"/>
      <c r="W35" s="3"/>
      <c r="AA35" s="1"/>
    </row>
    <row r="36" spans="1:27" ht="27" customHeight="1" thickTop="1" x14ac:dyDescent="0.25">
      <c r="A36" s="456" t="s">
        <v>0</v>
      </c>
      <c r="B36" s="457"/>
      <c r="C36" s="458"/>
      <c r="D36" s="21">
        <f t="shared" ref="D36:L36" si="6">AVERAGE(D7:D35)</f>
        <v>0</v>
      </c>
      <c r="E36" s="22">
        <f t="shared" si="6"/>
        <v>0.23333333333333331</v>
      </c>
      <c r="F36" s="22">
        <f>AVERAGE(F7:F35)</f>
        <v>4.166666666666667</v>
      </c>
      <c r="G36" s="22">
        <f t="shared" si="6"/>
        <v>32.666666666666664</v>
      </c>
      <c r="H36" s="22">
        <f t="shared" si="6"/>
        <v>71.266666666666666</v>
      </c>
      <c r="I36" s="22">
        <f t="shared" si="6"/>
        <v>91.733333333333334</v>
      </c>
      <c r="J36" s="22">
        <f t="shared" si="6"/>
        <v>98.2</v>
      </c>
      <c r="K36" s="22">
        <f t="shared" si="6"/>
        <v>100</v>
      </c>
      <c r="L36" s="23">
        <f t="shared" si="6"/>
        <v>100</v>
      </c>
      <c r="M36" s="24" t="s">
        <v>24</v>
      </c>
      <c r="N36" s="25">
        <f t="shared" ref="N36:T36" si="7">AVERAGE(N7:N35)</f>
        <v>2.9826666666666664</v>
      </c>
      <c r="O36" s="25">
        <f t="shared" si="7"/>
        <v>0.7</v>
      </c>
      <c r="P36" s="25">
        <f t="shared" si="7"/>
        <v>0.2</v>
      </c>
      <c r="Q36" s="26">
        <f t="shared" si="7"/>
        <v>2.6</v>
      </c>
      <c r="R36" s="26">
        <f t="shared" si="7"/>
        <v>1.5</v>
      </c>
      <c r="S36" s="25">
        <f t="shared" si="7"/>
        <v>1.2</v>
      </c>
      <c r="T36" s="22" t="e">
        <f t="shared" si="7"/>
        <v>#DIV/0!</v>
      </c>
      <c r="U36" s="27"/>
      <c r="V36" s="28"/>
      <c r="W36" s="3"/>
      <c r="AA36" s="1"/>
    </row>
    <row r="37" spans="1:27" ht="27" customHeight="1" x14ac:dyDescent="0.25">
      <c r="A37" s="450" t="s">
        <v>26</v>
      </c>
      <c r="B37" s="451"/>
      <c r="C37" s="452"/>
      <c r="D37" s="29">
        <f>MAX(D7:D35)</f>
        <v>0</v>
      </c>
      <c r="E37" s="30">
        <f>MAX(E7:E35)</f>
        <v>0.5</v>
      </c>
      <c r="F37" s="30">
        <f t="shared" ref="F37:T37" si="8">MAX(F7:F35)</f>
        <v>6.3</v>
      </c>
      <c r="G37" s="30">
        <f t="shared" si="8"/>
        <v>41.3</v>
      </c>
      <c r="H37" s="30">
        <f t="shared" si="8"/>
        <v>75.5</v>
      </c>
      <c r="I37" s="30">
        <f t="shared" si="8"/>
        <v>94</v>
      </c>
      <c r="J37" s="30">
        <f t="shared" si="8"/>
        <v>98.6</v>
      </c>
      <c r="K37" s="30">
        <f t="shared" si="8"/>
        <v>100</v>
      </c>
      <c r="L37" s="31">
        <f t="shared" si="8"/>
        <v>100</v>
      </c>
      <c r="M37" s="32">
        <f>MAX(M7:M35)</f>
        <v>4.75</v>
      </c>
      <c r="N37" s="33">
        <f t="shared" si="8"/>
        <v>3.1179999999999994</v>
      </c>
      <c r="O37" s="33">
        <f t="shared" si="8"/>
        <v>0.7</v>
      </c>
      <c r="P37" s="33">
        <f t="shared" si="8"/>
        <v>0.2</v>
      </c>
      <c r="Q37" s="34">
        <f t="shared" si="8"/>
        <v>2.6</v>
      </c>
      <c r="R37" s="34">
        <f>MAX(R7:R35)</f>
        <v>1.5</v>
      </c>
      <c r="S37" s="33">
        <f t="shared" si="8"/>
        <v>1.2</v>
      </c>
      <c r="T37" s="30">
        <f t="shared" si="8"/>
        <v>0</v>
      </c>
      <c r="U37" s="35"/>
      <c r="V37" s="36"/>
    </row>
    <row r="38" spans="1:27" ht="27" customHeight="1" x14ac:dyDescent="0.25">
      <c r="A38" s="450" t="s">
        <v>25</v>
      </c>
      <c r="B38" s="451"/>
      <c r="C38" s="452"/>
      <c r="D38" s="29">
        <f t="shared" ref="D38:L38" si="9">MIN(D7:D35)</f>
        <v>0</v>
      </c>
      <c r="E38" s="30">
        <f t="shared" si="9"/>
        <v>0</v>
      </c>
      <c r="F38" s="30">
        <f t="shared" si="9"/>
        <v>3.1</v>
      </c>
      <c r="G38" s="30">
        <f t="shared" si="9"/>
        <v>27</v>
      </c>
      <c r="H38" s="30">
        <f t="shared" si="9"/>
        <v>67.8</v>
      </c>
      <c r="I38" s="30">
        <f t="shared" si="9"/>
        <v>90.6</v>
      </c>
      <c r="J38" s="30">
        <f t="shared" si="9"/>
        <v>97.6</v>
      </c>
      <c r="K38" s="30">
        <f t="shared" si="9"/>
        <v>100</v>
      </c>
      <c r="L38" s="31">
        <f t="shared" si="9"/>
        <v>100</v>
      </c>
      <c r="M38" s="37" t="s">
        <v>24</v>
      </c>
      <c r="N38" s="33">
        <f t="shared" ref="N38:T38" si="10">MIN(N7:N35)</f>
        <v>2.8729999999999993</v>
      </c>
      <c r="O38" s="33">
        <f t="shared" si="10"/>
        <v>0.7</v>
      </c>
      <c r="P38" s="33">
        <f t="shared" si="10"/>
        <v>0.2</v>
      </c>
      <c r="Q38" s="34">
        <f t="shared" si="10"/>
        <v>2.6</v>
      </c>
      <c r="R38" s="34">
        <f t="shared" si="10"/>
        <v>1.5</v>
      </c>
      <c r="S38" s="33">
        <f t="shared" si="10"/>
        <v>1.2</v>
      </c>
      <c r="T38" s="30">
        <f t="shared" si="10"/>
        <v>0</v>
      </c>
      <c r="U38" s="35"/>
      <c r="V38" s="36"/>
    </row>
    <row r="39" spans="1:27" ht="27" customHeight="1" thickBot="1" x14ac:dyDescent="0.3">
      <c r="A39" s="453" t="s">
        <v>1</v>
      </c>
      <c r="B39" s="454"/>
      <c r="C39" s="455"/>
      <c r="D39" s="38">
        <f t="shared" ref="D39:L39" si="11">STDEV(D7:D35)</f>
        <v>0</v>
      </c>
      <c r="E39" s="39">
        <f t="shared" si="11"/>
        <v>0.25166114784235838</v>
      </c>
      <c r="F39" s="39">
        <f t="shared" si="11"/>
        <v>1.8475208614068017</v>
      </c>
      <c r="G39" s="39">
        <f t="shared" si="11"/>
        <v>7.5975873363412632</v>
      </c>
      <c r="H39" s="39">
        <f t="shared" si="11"/>
        <v>3.9068316233660934</v>
      </c>
      <c r="I39" s="39">
        <f t="shared" si="11"/>
        <v>1.9629909152447309</v>
      </c>
      <c r="J39" s="39">
        <f t="shared" si="11"/>
        <v>0.52915026221292027</v>
      </c>
      <c r="K39" s="39">
        <f t="shared" si="11"/>
        <v>0</v>
      </c>
      <c r="L39" s="40">
        <f t="shared" si="11"/>
        <v>0</v>
      </c>
      <c r="M39" s="41" t="s">
        <v>24</v>
      </c>
      <c r="N39" s="42">
        <f t="shared" ref="N39:T39" si="12">STDEV(N7:N35)</f>
        <v>0.12450033467157155</v>
      </c>
      <c r="O39" s="42" t="e">
        <f t="shared" si="12"/>
        <v>#DIV/0!</v>
      </c>
      <c r="P39" s="42" t="e">
        <f t="shared" si="12"/>
        <v>#DIV/0!</v>
      </c>
      <c r="Q39" s="43" t="e">
        <f t="shared" si="12"/>
        <v>#DIV/0!</v>
      </c>
      <c r="R39" s="43" t="e">
        <f t="shared" si="12"/>
        <v>#DIV/0!</v>
      </c>
      <c r="S39" s="42" t="e">
        <f t="shared" si="12"/>
        <v>#DIV/0!</v>
      </c>
      <c r="T39" s="39" t="e">
        <f t="shared" si="12"/>
        <v>#DIV/0!</v>
      </c>
      <c r="U39" s="44"/>
      <c r="V39" s="45"/>
    </row>
    <row r="40" spans="1:27" ht="13" thickBo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46"/>
      <c r="O40" s="47"/>
      <c r="P40" s="47"/>
      <c r="Q40" s="46"/>
      <c r="R40" s="46"/>
      <c r="S40" s="47"/>
      <c r="T40" s="5"/>
      <c r="U40" s="5"/>
      <c r="V40" s="5"/>
    </row>
    <row r="41" spans="1:27" ht="22.5" customHeight="1" thickBot="1" x14ac:dyDescent="0.3">
      <c r="A41" s="355" t="s">
        <v>39</v>
      </c>
      <c r="B41" s="356"/>
      <c r="C41" s="356"/>
      <c r="D41" s="356"/>
      <c r="E41" s="356"/>
      <c r="F41" s="356"/>
      <c r="G41" s="356"/>
      <c r="H41" s="356"/>
      <c r="I41" s="356"/>
      <c r="J41" s="356"/>
      <c r="K41" s="356"/>
      <c r="L41" s="356"/>
      <c r="M41" s="444" t="s">
        <v>34</v>
      </c>
      <c r="N41" s="445"/>
      <c r="O41" s="445"/>
      <c r="P41" s="445"/>
      <c r="Q41" s="445"/>
      <c r="R41" s="445"/>
      <c r="S41" s="445"/>
      <c r="T41" s="446"/>
      <c r="U41" s="5"/>
      <c r="V41" s="5"/>
    </row>
    <row r="42" spans="1:27" ht="20.25" customHeight="1" x14ac:dyDescent="0.25">
      <c r="A42" s="359" t="s">
        <v>35</v>
      </c>
      <c r="B42" s="360"/>
      <c r="C42" s="360"/>
      <c r="D42" s="48">
        <f>100-D46</f>
        <v>100</v>
      </c>
      <c r="E42" s="48">
        <f t="shared" ref="E42:J42" si="13">100-E46</f>
        <v>95</v>
      </c>
      <c r="F42" s="48">
        <f t="shared" si="13"/>
        <v>80</v>
      </c>
      <c r="G42" s="48">
        <f t="shared" si="13"/>
        <v>70</v>
      </c>
      <c r="H42" s="48">
        <f t="shared" si="13"/>
        <v>45</v>
      </c>
      <c r="I42" s="48">
        <f t="shared" si="13"/>
        <v>15</v>
      </c>
      <c r="J42" s="48">
        <f t="shared" si="13"/>
        <v>5</v>
      </c>
      <c r="K42" s="49" t="s">
        <v>24</v>
      </c>
      <c r="L42" s="50" t="s">
        <v>24</v>
      </c>
      <c r="M42" s="459" t="s">
        <v>32</v>
      </c>
      <c r="N42" s="433"/>
      <c r="O42" s="433" t="s">
        <v>50</v>
      </c>
      <c r="P42" s="433" t="s">
        <v>40</v>
      </c>
      <c r="Q42" s="433" t="s">
        <v>65</v>
      </c>
      <c r="R42" s="433" t="s">
        <v>68</v>
      </c>
      <c r="S42" s="433" t="s">
        <v>33</v>
      </c>
      <c r="T42" s="436" t="s">
        <v>41</v>
      </c>
      <c r="U42" s="5"/>
      <c r="V42" s="5"/>
    </row>
    <row r="43" spans="1:27" ht="20.25" customHeight="1" x14ac:dyDescent="0.25">
      <c r="A43" s="345"/>
      <c r="B43" s="346"/>
      <c r="C43" s="346"/>
      <c r="D43" s="51">
        <f t="shared" ref="D43:J45" si="14">100-D47</f>
        <v>100</v>
      </c>
      <c r="E43" s="51">
        <f t="shared" si="14"/>
        <v>100</v>
      </c>
      <c r="F43" s="51">
        <f t="shared" si="14"/>
        <v>90</v>
      </c>
      <c r="G43" s="51">
        <f t="shared" si="14"/>
        <v>80</v>
      </c>
      <c r="H43" s="51">
        <f t="shared" si="14"/>
        <v>65</v>
      </c>
      <c r="I43" s="51">
        <f t="shared" si="14"/>
        <v>35</v>
      </c>
      <c r="J43" s="51">
        <f t="shared" si="14"/>
        <v>10</v>
      </c>
      <c r="K43" s="52" t="s">
        <v>24</v>
      </c>
      <c r="L43" s="53" t="s">
        <v>24</v>
      </c>
      <c r="M43" s="460"/>
      <c r="N43" s="434"/>
      <c r="O43" s="434"/>
      <c r="P43" s="434"/>
      <c r="Q43" s="434"/>
      <c r="R43" s="434"/>
      <c r="S43" s="434"/>
      <c r="T43" s="437"/>
      <c r="U43" s="5"/>
      <c r="V43" s="5"/>
    </row>
    <row r="44" spans="1:27" ht="20.25" customHeight="1" x14ac:dyDescent="0.25">
      <c r="A44" s="345" t="s">
        <v>36</v>
      </c>
      <c r="B44" s="346"/>
      <c r="C44" s="346"/>
      <c r="D44" s="51">
        <f t="shared" si="14"/>
        <v>93</v>
      </c>
      <c r="E44" s="51">
        <f t="shared" si="14"/>
        <v>90</v>
      </c>
      <c r="F44" s="51">
        <f t="shared" si="14"/>
        <v>75</v>
      </c>
      <c r="G44" s="51">
        <f t="shared" si="14"/>
        <v>50</v>
      </c>
      <c r="H44" s="51">
        <f t="shared" si="14"/>
        <v>30</v>
      </c>
      <c r="I44" s="51">
        <f t="shared" si="14"/>
        <v>5</v>
      </c>
      <c r="J44" s="51">
        <f t="shared" si="14"/>
        <v>0</v>
      </c>
      <c r="K44" s="52" t="s">
        <v>24</v>
      </c>
      <c r="L44" s="53" t="s">
        <v>24</v>
      </c>
      <c r="M44" s="460"/>
      <c r="N44" s="434"/>
      <c r="O44" s="434"/>
      <c r="P44" s="434"/>
      <c r="Q44" s="434"/>
      <c r="R44" s="434"/>
      <c r="S44" s="434"/>
      <c r="T44" s="437"/>
      <c r="U44" s="5"/>
      <c r="V44" s="5"/>
    </row>
    <row r="45" spans="1:27" ht="20.25" customHeight="1" thickBot="1" x14ac:dyDescent="0.3">
      <c r="A45" s="347"/>
      <c r="B45" s="348"/>
      <c r="C45" s="348"/>
      <c r="D45" s="54">
        <f>100-D49</f>
        <v>100</v>
      </c>
      <c r="E45" s="54">
        <f t="shared" si="14"/>
        <v>100</v>
      </c>
      <c r="F45" s="54">
        <f t="shared" si="14"/>
        <v>100</v>
      </c>
      <c r="G45" s="54">
        <f t="shared" si="14"/>
        <v>95</v>
      </c>
      <c r="H45" s="54">
        <f t="shared" si="14"/>
        <v>85</v>
      </c>
      <c r="I45" s="54">
        <f t="shared" si="14"/>
        <v>50</v>
      </c>
      <c r="J45" s="54">
        <f t="shared" si="14"/>
        <v>15</v>
      </c>
      <c r="K45" s="55" t="s">
        <v>24</v>
      </c>
      <c r="L45" s="56" t="s">
        <v>24</v>
      </c>
      <c r="M45" s="460"/>
      <c r="N45" s="434"/>
      <c r="O45" s="434"/>
      <c r="P45" s="434"/>
      <c r="Q45" s="434"/>
      <c r="R45" s="434"/>
      <c r="S45" s="434"/>
      <c r="T45" s="437"/>
      <c r="U45" s="5"/>
      <c r="V45" s="5"/>
    </row>
    <row r="46" spans="1:27" ht="20.25" customHeight="1" thickTop="1" x14ac:dyDescent="0.25">
      <c r="A46" s="464" t="s">
        <v>37</v>
      </c>
      <c r="B46" s="465"/>
      <c r="C46" s="465"/>
      <c r="D46" s="57">
        <v>0</v>
      </c>
      <c r="E46" s="57">
        <v>5</v>
      </c>
      <c r="F46" s="57">
        <v>20</v>
      </c>
      <c r="G46" s="57">
        <v>30</v>
      </c>
      <c r="H46" s="57">
        <v>55</v>
      </c>
      <c r="I46" s="57">
        <v>85</v>
      </c>
      <c r="J46" s="57">
        <v>95</v>
      </c>
      <c r="K46" s="58" t="s">
        <v>24</v>
      </c>
      <c r="L46" s="59" t="s">
        <v>24</v>
      </c>
      <c r="M46" s="460"/>
      <c r="N46" s="434"/>
      <c r="O46" s="434"/>
      <c r="P46" s="434"/>
      <c r="Q46" s="434"/>
      <c r="R46" s="434"/>
      <c r="S46" s="434"/>
      <c r="T46" s="437"/>
      <c r="U46" s="5"/>
      <c r="V46" s="5"/>
    </row>
    <row r="47" spans="1:27" ht="20.25" customHeight="1" x14ac:dyDescent="0.25">
      <c r="A47" s="345"/>
      <c r="B47" s="346"/>
      <c r="C47" s="346"/>
      <c r="D47" s="51">
        <v>0</v>
      </c>
      <c r="E47" s="51">
        <v>0</v>
      </c>
      <c r="F47" s="51">
        <v>10</v>
      </c>
      <c r="G47" s="51">
        <v>20</v>
      </c>
      <c r="H47" s="51">
        <v>35</v>
      </c>
      <c r="I47" s="51">
        <v>65</v>
      </c>
      <c r="J47" s="51">
        <v>90</v>
      </c>
      <c r="K47" s="60" t="s">
        <v>24</v>
      </c>
      <c r="L47" s="61" t="s">
        <v>24</v>
      </c>
      <c r="M47" s="460"/>
      <c r="N47" s="434"/>
      <c r="O47" s="434"/>
      <c r="P47" s="434"/>
      <c r="Q47" s="434"/>
      <c r="R47" s="434"/>
      <c r="S47" s="434"/>
      <c r="T47" s="437"/>
      <c r="U47" s="5"/>
      <c r="V47" s="5"/>
    </row>
    <row r="48" spans="1:27" ht="20.25" customHeight="1" x14ac:dyDescent="0.25">
      <c r="A48" s="345" t="s">
        <v>38</v>
      </c>
      <c r="B48" s="346"/>
      <c r="C48" s="346"/>
      <c r="D48" s="51">
        <v>7</v>
      </c>
      <c r="E48" s="51">
        <v>10</v>
      </c>
      <c r="F48" s="51">
        <v>25</v>
      </c>
      <c r="G48" s="51">
        <v>50</v>
      </c>
      <c r="H48" s="51">
        <v>70</v>
      </c>
      <c r="I48" s="51">
        <v>95</v>
      </c>
      <c r="J48" s="51">
        <v>100</v>
      </c>
      <c r="K48" s="60" t="s">
        <v>24</v>
      </c>
      <c r="L48" s="61" t="s">
        <v>24</v>
      </c>
      <c r="M48" s="460"/>
      <c r="N48" s="434"/>
      <c r="O48" s="434"/>
      <c r="P48" s="434"/>
      <c r="Q48" s="434"/>
      <c r="R48" s="434"/>
      <c r="S48" s="434"/>
      <c r="T48" s="437"/>
      <c r="U48" s="5"/>
      <c r="V48" s="5"/>
    </row>
    <row r="49" spans="1:22" ht="20.25" customHeight="1" thickBot="1" x14ac:dyDescent="0.3">
      <c r="A49" s="462"/>
      <c r="B49" s="463"/>
      <c r="C49" s="463"/>
      <c r="D49" s="62">
        <v>0</v>
      </c>
      <c r="E49" s="62">
        <v>0</v>
      </c>
      <c r="F49" s="62">
        <v>0</v>
      </c>
      <c r="G49" s="62">
        <v>5</v>
      </c>
      <c r="H49" s="62">
        <v>15</v>
      </c>
      <c r="I49" s="62">
        <v>50</v>
      </c>
      <c r="J49" s="62">
        <v>85</v>
      </c>
      <c r="K49" s="63" t="s">
        <v>24</v>
      </c>
      <c r="L49" s="64" t="s">
        <v>24</v>
      </c>
      <c r="M49" s="461"/>
      <c r="N49" s="435"/>
      <c r="O49" s="435"/>
      <c r="P49" s="435"/>
      <c r="Q49" s="435"/>
      <c r="R49" s="435"/>
      <c r="S49" s="435"/>
      <c r="T49" s="438"/>
      <c r="U49" s="5"/>
      <c r="V49" s="5"/>
    </row>
    <row r="50" spans="1:22" ht="18.75" customHeight="1" thickBo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65"/>
      <c r="Q50" s="5"/>
      <c r="R50" s="5"/>
      <c r="S50" s="5"/>
      <c r="T50" s="65"/>
      <c r="U50" s="5"/>
      <c r="V50" s="5"/>
    </row>
    <row r="51" spans="1:22" ht="15.75" customHeight="1" thickBot="1" x14ac:dyDescent="0.3">
      <c r="A51" s="5"/>
      <c r="B51" s="5"/>
      <c r="C51" s="5"/>
      <c r="D51" s="466" t="s">
        <v>42</v>
      </c>
      <c r="E51" s="467"/>
      <c r="F51" s="467"/>
      <c r="G51" s="467"/>
      <c r="H51" s="467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468"/>
      <c r="U51" s="5"/>
      <c r="V51" s="5"/>
    </row>
    <row r="52" spans="1:22" ht="18.75" customHeight="1" thickBot="1" x14ac:dyDescent="0.3">
      <c r="A52" s="5"/>
      <c r="B52" s="5"/>
      <c r="C52" s="5"/>
      <c r="D52" s="469" t="s">
        <v>43</v>
      </c>
      <c r="E52" s="470"/>
      <c r="F52" s="470"/>
      <c r="G52" s="470"/>
      <c r="H52" s="470"/>
      <c r="I52" s="470"/>
      <c r="J52" s="470"/>
      <c r="K52" s="470"/>
      <c r="L52" s="470"/>
      <c r="M52" s="470"/>
      <c r="N52" s="470"/>
      <c r="O52" s="66" t="s">
        <v>44</v>
      </c>
      <c r="P52" s="66" t="s">
        <v>45</v>
      </c>
      <c r="Q52" s="67" t="s">
        <v>48</v>
      </c>
      <c r="R52" s="66" t="s">
        <v>49</v>
      </c>
      <c r="S52" s="66" t="s">
        <v>46</v>
      </c>
      <c r="T52" s="68" t="s">
        <v>47</v>
      </c>
      <c r="U52" s="5"/>
      <c r="V52" s="5"/>
    </row>
    <row r="53" spans="1:22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</row>
    <row r="54" spans="1:22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</row>
    <row r="55" spans="1:22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</sheetData>
  <sheetProtection insertRows="0"/>
  <mergeCells count="37">
    <mergeCell ref="D51:T51"/>
    <mergeCell ref="D52:N52"/>
    <mergeCell ref="A1:V1"/>
    <mergeCell ref="A2:V2"/>
    <mergeCell ref="V4:V6"/>
    <mergeCell ref="T4:T6"/>
    <mergeCell ref="S4:S6"/>
    <mergeCell ref="O4:O6"/>
    <mergeCell ref="P4:P6"/>
    <mergeCell ref="Q4:Q6"/>
    <mergeCell ref="U4:U6"/>
    <mergeCell ref="N4:N6"/>
    <mergeCell ref="B4:B6"/>
    <mergeCell ref="A4:A6"/>
    <mergeCell ref="M4:M6"/>
    <mergeCell ref="C4:C6"/>
    <mergeCell ref="L5:L6"/>
    <mergeCell ref="D4:L4"/>
    <mergeCell ref="M41:T41"/>
    <mergeCell ref="A44:C45"/>
    <mergeCell ref="A42:C43"/>
    <mergeCell ref="R4:R6"/>
    <mergeCell ref="A38:C38"/>
    <mergeCell ref="A39:C39"/>
    <mergeCell ref="A36:C36"/>
    <mergeCell ref="A37:C37"/>
    <mergeCell ref="M42:M49"/>
    <mergeCell ref="N42:N49"/>
    <mergeCell ref="A48:C49"/>
    <mergeCell ref="A41:L41"/>
    <mergeCell ref="A46:C47"/>
    <mergeCell ref="O42:O49"/>
    <mergeCell ref="P42:P49"/>
    <mergeCell ref="Q42:Q49"/>
    <mergeCell ref="R42:R49"/>
    <mergeCell ref="S42:S49"/>
    <mergeCell ref="T42:T49"/>
  </mergeCells>
  <phoneticPr fontId="0" type="noConversion"/>
  <conditionalFormatting sqref="M7:N35">
    <cfRule type="cellIs" dxfId="10" priority="1" operator="equal">
      <formula>""</formula>
    </cfRule>
  </conditionalFormatting>
  <printOptions horizontalCentered="1"/>
  <pageMargins left="0.39370078740157483" right="0.39370078740157483" top="0.82677165354330717" bottom="0.55118110236220474" header="0.51181102362204722" footer="0.35433070866141736"/>
  <pageSetup paperSize="9" scale="51" firstPageNumber="41" fitToHeight="0" orientation="landscape" errors="dash" r:id="rId1"/>
  <headerFooter alignWithMargins="0">
    <oddHeader>&amp;R&amp;G</oddHeader>
    <oddFooter>&amp;C&amp;P&amp;R&amp;F</oddFooter>
  </headerFooter>
  <legacy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1"/>
    <pageSetUpPr fitToPage="1"/>
  </sheetPr>
  <dimension ref="A1:Z52"/>
  <sheetViews>
    <sheetView zoomScale="55" zoomScaleNormal="55" zoomScaleSheetLayoutView="70" workbookViewId="0">
      <pane ySplit="6" topLeftCell="A7" activePane="bottomLeft" state="frozen"/>
      <selection activeCell="B12" sqref="B12"/>
      <selection pane="bottomLeft" activeCell="B12" sqref="B12"/>
    </sheetView>
  </sheetViews>
  <sheetFormatPr defaultColWidth="9.1796875" defaultRowHeight="12.5" x14ac:dyDescent="0.25"/>
  <cols>
    <col min="1" max="3" width="13.81640625" style="1" customWidth="1"/>
    <col min="4" max="12" width="10.453125" style="1" customWidth="1"/>
    <col min="13" max="14" width="13.7265625" style="1" customWidth="1"/>
    <col min="15" max="15" width="14.81640625" style="1" customWidth="1"/>
    <col min="16" max="16" width="12.7265625" style="1" customWidth="1"/>
    <col min="17" max="18" width="13.7265625" style="1" customWidth="1"/>
    <col min="19" max="19" width="13.453125" style="1" customWidth="1"/>
    <col min="20" max="20" width="22.7265625" style="1" customWidth="1"/>
    <col min="21" max="21" width="22.54296875" style="1" customWidth="1"/>
    <col min="22" max="25" width="9.1796875" style="1"/>
    <col min="26" max="26" width="15.453125" style="2" customWidth="1"/>
    <col min="27" max="27" width="13" style="1" customWidth="1"/>
    <col min="28" max="16384" width="9.1796875" style="1"/>
  </cols>
  <sheetData>
    <row r="1" spans="1:26" ht="31.5" customHeight="1" x14ac:dyDescent="0.25">
      <c r="A1" s="471" t="s">
        <v>93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  <c r="P1" s="471"/>
      <c r="Q1" s="471"/>
      <c r="R1" s="471"/>
      <c r="S1" s="471"/>
      <c r="T1" s="471"/>
      <c r="U1" s="471"/>
    </row>
    <row r="2" spans="1:26" ht="22.5" customHeight="1" x14ac:dyDescent="0.25">
      <c r="A2" s="472" t="s">
        <v>79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</row>
    <row r="3" spans="1:26" ht="14.25" customHeight="1" thickBot="1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6" ht="31.5" customHeight="1" x14ac:dyDescent="0.25">
      <c r="A4" s="480" t="s">
        <v>2</v>
      </c>
      <c r="B4" s="477" t="s">
        <v>3</v>
      </c>
      <c r="C4" s="486" t="s">
        <v>19</v>
      </c>
      <c r="D4" s="441" t="s">
        <v>4</v>
      </c>
      <c r="E4" s="442"/>
      <c r="F4" s="442"/>
      <c r="G4" s="442"/>
      <c r="H4" s="442"/>
      <c r="I4" s="442"/>
      <c r="J4" s="442"/>
      <c r="K4" s="442"/>
      <c r="L4" s="443"/>
      <c r="M4" s="483" t="s">
        <v>29</v>
      </c>
      <c r="N4" s="474" t="s">
        <v>5</v>
      </c>
      <c r="O4" s="447" t="s">
        <v>21</v>
      </c>
      <c r="P4" s="447" t="s">
        <v>30</v>
      </c>
      <c r="Q4" s="447" t="s">
        <v>67</v>
      </c>
      <c r="R4" s="447" t="s">
        <v>31</v>
      </c>
      <c r="S4" s="447" t="s">
        <v>28</v>
      </c>
      <c r="T4" s="474" t="s">
        <v>20</v>
      </c>
      <c r="U4" s="473" t="s">
        <v>6</v>
      </c>
    </row>
    <row r="5" spans="1:26" ht="16.5" customHeight="1" x14ac:dyDescent="0.25">
      <c r="A5" s="481"/>
      <c r="B5" s="478"/>
      <c r="C5" s="487"/>
      <c r="D5" s="6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439" t="s">
        <v>15</v>
      </c>
      <c r="M5" s="484"/>
      <c r="N5" s="475"/>
      <c r="O5" s="448"/>
      <c r="P5" s="448"/>
      <c r="Q5" s="448"/>
      <c r="R5" s="448"/>
      <c r="S5" s="448"/>
      <c r="T5" s="475"/>
      <c r="U5" s="439"/>
    </row>
    <row r="6" spans="1:26" ht="16.5" customHeight="1" thickBot="1" x14ac:dyDescent="0.3">
      <c r="A6" s="482"/>
      <c r="B6" s="479"/>
      <c r="C6" s="488"/>
      <c r="D6" s="90">
        <v>9.5</v>
      </c>
      <c r="E6" s="91">
        <v>6.3</v>
      </c>
      <c r="F6" s="9">
        <v>4.75</v>
      </c>
      <c r="G6" s="9">
        <v>2.36</v>
      </c>
      <c r="H6" s="9">
        <v>1.18</v>
      </c>
      <c r="I6" s="9">
        <v>0.6</v>
      </c>
      <c r="J6" s="9">
        <v>0.3</v>
      </c>
      <c r="K6" s="9">
        <v>0.15</v>
      </c>
      <c r="L6" s="440"/>
      <c r="M6" s="485"/>
      <c r="N6" s="476"/>
      <c r="O6" s="449"/>
      <c r="P6" s="449"/>
      <c r="Q6" s="449"/>
      <c r="R6" s="449"/>
      <c r="S6" s="449"/>
      <c r="T6" s="476"/>
      <c r="U6" s="440"/>
    </row>
    <row r="7" spans="1:26" ht="27.75" customHeight="1" thickTop="1" x14ac:dyDescent="0.25">
      <c r="A7" s="69">
        <v>39720</v>
      </c>
      <c r="B7" s="70">
        <v>1</v>
      </c>
      <c r="C7" s="71">
        <v>39720</v>
      </c>
      <c r="D7" s="72">
        <v>0</v>
      </c>
      <c r="E7" s="73">
        <v>0</v>
      </c>
      <c r="F7" s="73">
        <v>0.4</v>
      </c>
      <c r="G7" s="73">
        <v>22.4</v>
      </c>
      <c r="H7" s="73">
        <v>51</v>
      </c>
      <c r="I7" s="73">
        <v>69.599999999999994</v>
      </c>
      <c r="J7" s="73">
        <v>80.3</v>
      </c>
      <c r="K7" s="73">
        <v>86.7</v>
      </c>
      <c r="L7" s="74">
        <v>100</v>
      </c>
      <c r="M7" s="75">
        <f>IF(B7="","",IF(E7&gt;5,D$6,IF(F7&gt;5,E$6,IF(G7&gt;5,F$6,IF(H7&gt;5,G$6,IF(I7&gt;5,H$6,IF(J7&gt;5,I$6,IF(K7&gt;5,J$6))))))))</f>
        <v>4.75</v>
      </c>
      <c r="N7" s="76">
        <f>IF(B7="","",(D7+F7+G7+H7+I7+J7+K7)/100)</f>
        <v>3.1039999999999996</v>
      </c>
      <c r="O7" s="77">
        <v>15.2</v>
      </c>
      <c r="P7" s="77" t="s">
        <v>24</v>
      </c>
      <c r="Q7" s="78">
        <v>2.71</v>
      </c>
      <c r="R7" s="78">
        <v>1.48</v>
      </c>
      <c r="S7" s="77">
        <v>1.3</v>
      </c>
      <c r="T7" s="79" t="s">
        <v>69</v>
      </c>
      <c r="U7" s="80" t="s">
        <v>73</v>
      </c>
      <c r="V7" s="3"/>
      <c r="Z7" s="1"/>
    </row>
    <row r="8" spans="1:26" ht="27" customHeight="1" x14ac:dyDescent="0.25">
      <c r="A8" s="69">
        <v>39723</v>
      </c>
      <c r="B8" s="70">
        <v>2</v>
      </c>
      <c r="C8" s="71">
        <v>39723</v>
      </c>
      <c r="D8" s="72">
        <v>0</v>
      </c>
      <c r="E8" s="73">
        <v>0</v>
      </c>
      <c r="F8" s="73">
        <v>0.8</v>
      </c>
      <c r="G8" s="73">
        <v>36.6</v>
      </c>
      <c r="H8" s="73">
        <v>63</v>
      </c>
      <c r="I8" s="73">
        <v>79.8</v>
      </c>
      <c r="J8" s="73">
        <v>84.3</v>
      </c>
      <c r="K8" s="73">
        <v>88.5</v>
      </c>
      <c r="L8" s="74">
        <v>100</v>
      </c>
      <c r="M8" s="75">
        <f>IF(B8="","",IF(E8&gt;5,D$6,IF(F8&gt;5,E$6,IF(G8&gt;5,F$6,IF(H8&gt;5,G$6,IF(I8&gt;5,H$6,IF(J8&gt;5,I$6,IF(K8&gt;5,J$6))))))))</f>
        <v>4.75</v>
      </c>
      <c r="N8" s="76">
        <f>IF(B8="","",(D8+F8+G8+H8+I8+J8+K8)/100)</f>
        <v>3.53</v>
      </c>
      <c r="O8" s="77">
        <v>14</v>
      </c>
      <c r="P8" s="77" t="s">
        <v>24</v>
      </c>
      <c r="Q8" s="78" t="s">
        <v>24</v>
      </c>
      <c r="R8" s="78" t="s">
        <v>24</v>
      </c>
      <c r="S8" s="78" t="s">
        <v>24</v>
      </c>
      <c r="T8" s="79" t="s">
        <v>69</v>
      </c>
      <c r="U8" s="80" t="s">
        <v>73</v>
      </c>
      <c r="V8" s="3"/>
      <c r="Z8" s="1"/>
    </row>
    <row r="9" spans="1:26" ht="27" customHeight="1" x14ac:dyDescent="0.25">
      <c r="A9" s="69">
        <v>39725</v>
      </c>
      <c r="B9" s="70">
        <v>3</v>
      </c>
      <c r="C9" s="71">
        <v>39725</v>
      </c>
      <c r="D9" s="72">
        <v>0</v>
      </c>
      <c r="E9" s="73">
        <v>0</v>
      </c>
      <c r="F9" s="73">
        <v>0.5</v>
      </c>
      <c r="G9" s="73">
        <v>29.5</v>
      </c>
      <c r="H9" s="73">
        <v>55.4</v>
      </c>
      <c r="I9" s="73">
        <v>70</v>
      </c>
      <c r="J9" s="73">
        <v>79.2</v>
      </c>
      <c r="K9" s="73">
        <v>84.7</v>
      </c>
      <c r="L9" s="74">
        <v>100</v>
      </c>
      <c r="M9" s="75">
        <f>IF(B9="","",IF(E9&gt;5,D$6,IF(F9&gt;5,E$6,IF(G9&gt;5,F$6,IF(H9&gt;5,G$6,IF(I9&gt;5,H$6,IF(J9&gt;5,I$6,IF(K9&gt;5,J$6))))))))</f>
        <v>4.75</v>
      </c>
      <c r="N9" s="76">
        <f t="shared" ref="N9:N35" si="0">IF(B9="","",(D9+F9+G9+H9+I9+J9+K9)/100)</f>
        <v>3.1930000000000001</v>
      </c>
      <c r="O9" s="77">
        <v>17</v>
      </c>
      <c r="P9" s="77" t="s">
        <v>24</v>
      </c>
      <c r="Q9" s="78" t="s">
        <v>24</v>
      </c>
      <c r="R9" s="78" t="s">
        <v>24</v>
      </c>
      <c r="S9" s="78" t="s">
        <v>24</v>
      </c>
      <c r="T9" s="79" t="s">
        <v>69</v>
      </c>
      <c r="U9" s="80" t="s">
        <v>73</v>
      </c>
      <c r="V9" s="3"/>
      <c r="Z9" s="1"/>
    </row>
    <row r="10" spans="1:26" ht="27" customHeight="1" x14ac:dyDescent="0.25">
      <c r="A10" s="69">
        <v>39725</v>
      </c>
      <c r="B10" s="70">
        <v>4</v>
      </c>
      <c r="C10" s="71">
        <v>39735</v>
      </c>
      <c r="D10" s="72">
        <v>0</v>
      </c>
      <c r="E10" s="73">
        <v>0</v>
      </c>
      <c r="F10" s="73">
        <v>1.2</v>
      </c>
      <c r="G10" s="73">
        <v>33.200000000000003</v>
      </c>
      <c r="H10" s="73">
        <v>59.9</v>
      </c>
      <c r="I10" s="73">
        <v>75.400000000000006</v>
      </c>
      <c r="J10" s="73">
        <v>85.5</v>
      </c>
      <c r="K10" s="73">
        <v>90.5</v>
      </c>
      <c r="L10" s="74">
        <v>100</v>
      </c>
      <c r="M10" s="75">
        <f>IF(B10="","",IF(E10&gt;5,D$6,IF(F10&gt;5,E$6,IF(G10&gt;5,F$6,IF(H10&gt;5,G$6,IF(I10&gt;5,H$6,IF(J10&gt;5,I$6,IF(K10&gt;5,J$6))))))))</f>
        <v>4.75</v>
      </c>
      <c r="N10" s="76">
        <f t="shared" si="0"/>
        <v>3.4570000000000003</v>
      </c>
      <c r="O10" s="77">
        <v>14.9</v>
      </c>
      <c r="P10" s="77" t="s">
        <v>24</v>
      </c>
      <c r="Q10" s="78" t="s">
        <v>24</v>
      </c>
      <c r="R10" s="78" t="s">
        <v>24</v>
      </c>
      <c r="S10" s="78" t="s">
        <v>24</v>
      </c>
      <c r="T10" s="79" t="s">
        <v>69</v>
      </c>
      <c r="U10" s="80" t="s">
        <v>73</v>
      </c>
      <c r="V10" s="3"/>
      <c r="Z10" s="1"/>
    </row>
    <row r="11" spans="1:26" ht="27" customHeight="1" x14ac:dyDescent="0.25">
      <c r="A11" s="69"/>
      <c r="B11" s="70"/>
      <c r="C11" s="71"/>
      <c r="D11" s="72"/>
      <c r="E11" s="73"/>
      <c r="F11" s="73"/>
      <c r="G11" s="73"/>
      <c r="H11" s="73"/>
      <c r="I11" s="73"/>
      <c r="J11" s="73"/>
      <c r="K11" s="73"/>
      <c r="L11" s="74"/>
      <c r="M11" s="75" t="str">
        <f t="shared" ref="M11:M35" si="1">IF(B11="","",IF(E11&gt;5,D$6,IF(F11&gt;5,E$6,IF(G11&gt;5,F$6,IF(H11&gt;5,G$6,IF(I11&gt;5,H$6,IF(J11&gt;5,I$6,IF(K11&gt;5,J$6))))))))</f>
        <v/>
      </c>
      <c r="N11" s="76" t="str">
        <f t="shared" si="0"/>
        <v/>
      </c>
      <c r="O11" s="77"/>
      <c r="P11" s="77"/>
      <c r="Q11" s="78"/>
      <c r="R11" s="78"/>
      <c r="S11" s="78"/>
      <c r="T11" s="79"/>
      <c r="U11" s="80"/>
      <c r="V11" s="3"/>
      <c r="Z11" s="1"/>
    </row>
    <row r="12" spans="1:26" ht="27" customHeight="1" x14ac:dyDescent="0.25">
      <c r="A12" s="69"/>
      <c r="B12" s="70"/>
      <c r="C12" s="71"/>
      <c r="D12" s="72"/>
      <c r="E12" s="73"/>
      <c r="F12" s="73"/>
      <c r="G12" s="73"/>
      <c r="H12" s="73"/>
      <c r="I12" s="73"/>
      <c r="J12" s="73"/>
      <c r="K12" s="73"/>
      <c r="L12" s="74"/>
      <c r="M12" s="75" t="str">
        <f t="shared" si="1"/>
        <v/>
      </c>
      <c r="N12" s="76" t="str">
        <f t="shared" si="0"/>
        <v/>
      </c>
      <c r="O12" s="77"/>
      <c r="P12" s="77"/>
      <c r="Q12" s="78"/>
      <c r="R12" s="78"/>
      <c r="S12" s="78"/>
      <c r="T12" s="79"/>
      <c r="U12" s="80"/>
      <c r="V12" s="3"/>
      <c r="Z12" s="1"/>
    </row>
    <row r="13" spans="1:26" ht="27" customHeight="1" x14ac:dyDescent="0.25">
      <c r="A13" s="69"/>
      <c r="B13" s="70"/>
      <c r="C13" s="71"/>
      <c r="D13" s="72"/>
      <c r="E13" s="73"/>
      <c r="F13" s="73"/>
      <c r="G13" s="73"/>
      <c r="H13" s="73"/>
      <c r="I13" s="73"/>
      <c r="J13" s="73"/>
      <c r="K13" s="73"/>
      <c r="L13" s="74"/>
      <c r="M13" s="75" t="str">
        <f t="shared" si="1"/>
        <v/>
      </c>
      <c r="N13" s="76" t="str">
        <f t="shared" si="0"/>
        <v/>
      </c>
      <c r="O13" s="77"/>
      <c r="P13" s="77"/>
      <c r="Q13" s="78"/>
      <c r="R13" s="78"/>
      <c r="S13" s="77"/>
      <c r="T13" s="79"/>
      <c r="U13" s="80"/>
      <c r="V13" s="3"/>
      <c r="Z13" s="1"/>
    </row>
    <row r="14" spans="1:26" ht="27" customHeight="1" x14ac:dyDescent="0.25">
      <c r="A14" s="69"/>
      <c r="B14" s="70"/>
      <c r="C14" s="71"/>
      <c r="D14" s="72"/>
      <c r="E14" s="73"/>
      <c r="F14" s="73"/>
      <c r="G14" s="73"/>
      <c r="H14" s="73"/>
      <c r="I14" s="73"/>
      <c r="J14" s="73"/>
      <c r="K14" s="73"/>
      <c r="L14" s="74"/>
      <c r="M14" s="75" t="str">
        <f t="shared" si="1"/>
        <v/>
      </c>
      <c r="N14" s="76" t="str">
        <f>IF(B14="","",(D14+F14+G14+H14+I14+J14+K14)/100)</f>
        <v/>
      </c>
      <c r="O14" s="77"/>
      <c r="P14" s="77"/>
      <c r="Q14" s="78"/>
      <c r="R14" s="78"/>
      <c r="S14" s="77"/>
      <c r="T14" s="79"/>
      <c r="U14" s="80"/>
      <c r="V14" s="3"/>
      <c r="Z14" s="1"/>
    </row>
    <row r="15" spans="1:26" ht="27" customHeight="1" x14ac:dyDescent="0.25">
      <c r="A15" s="69"/>
      <c r="B15" s="70"/>
      <c r="C15" s="71"/>
      <c r="D15" s="72"/>
      <c r="E15" s="73"/>
      <c r="F15" s="73"/>
      <c r="G15" s="73"/>
      <c r="H15" s="73"/>
      <c r="I15" s="73"/>
      <c r="J15" s="73"/>
      <c r="K15" s="73"/>
      <c r="L15" s="74"/>
      <c r="M15" s="75" t="str">
        <f t="shared" si="1"/>
        <v/>
      </c>
      <c r="N15" s="76" t="str">
        <f t="shared" si="0"/>
        <v/>
      </c>
      <c r="O15" s="77"/>
      <c r="P15" s="77"/>
      <c r="Q15" s="78"/>
      <c r="R15" s="78"/>
      <c r="S15" s="77"/>
      <c r="T15" s="79"/>
      <c r="U15" s="80"/>
      <c r="V15" s="3"/>
      <c r="Z15" s="1"/>
    </row>
    <row r="16" spans="1:26" ht="27" customHeight="1" x14ac:dyDescent="0.25">
      <c r="A16" s="69"/>
      <c r="B16" s="70"/>
      <c r="C16" s="71"/>
      <c r="D16" s="72"/>
      <c r="E16" s="73"/>
      <c r="F16" s="73"/>
      <c r="G16" s="73"/>
      <c r="H16" s="73"/>
      <c r="I16" s="73"/>
      <c r="J16" s="73"/>
      <c r="K16" s="73"/>
      <c r="L16" s="74"/>
      <c r="M16" s="75" t="str">
        <f t="shared" si="1"/>
        <v/>
      </c>
      <c r="N16" s="76" t="str">
        <f t="shared" si="0"/>
        <v/>
      </c>
      <c r="O16" s="77"/>
      <c r="P16" s="77"/>
      <c r="Q16" s="78"/>
      <c r="R16" s="78"/>
      <c r="S16" s="77"/>
      <c r="T16" s="79"/>
      <c r="U16" s="80"/>
      <c r="V16" s="3"/>
      <c r="Z16" s="1"/>
    </row>
    <row r="17" spans="1:26" ht="27" customHeight="1" x14ac:dyDescent="0.25">
      <c r="A17" s="69"/>
      <c r="B17" s="70"/>
      <c r="C17" s="71"/>
      <c r="D17" s="72"/>
      <c r="E17" s="73"/>
      <c r="F17" s="73"/>
      <c r="G17" s="73"/>
      <c r="H17" s="73"/>
      <c r="I17" s="73"/>
      <c r="J17" s="73"/>
      <c r="K17" s="73"/>
      <c r="L17" s="74"/>
      <c r="M17" s="75" t="str">
        <f t="shared" si="1"/>
        <v/>
      </c>
      <c r="N17" s="76" t="str">
        <f t="shared" si="0"/>
        <v/>
      </c>
      <c r="O17" s="77"/>
      <c r="P17" s="77"/>
      <c r="Q17" s="78"/>
      <c r="R17" s="78"/>
      <c r="S17" s="77"/>
      <c r="T17" s="79"/>
      <c r="U17" s="80"/>
      <c r="V17" s="3"/>
      <c r="Z17" s="1"/>
    </row>
    <row r="18" spans="1:26" ht="27" customHeight="1" x14ac:dyDescent="0.25">
      <c r="A18" s="69"/>
      <c r="B18" s="70"/>
      <c r="C18" s="71"/>
      <c r="D18" s="72"/>
      <c r="E18" s="73"/>
      <c r="F18" s="73"/>
      <c r="G18" s="73"/>
      <c r="H18" s="73"/>
      <c r="I18" s="73"/>
      <c r="J18" s="73"/>
      <c r="K18" s="73"/>
      <c r="L18" s="74"/>
      <c r="M18" s="75" t="str">
        <f t="shared" si="1"/>
        <v/>
      </c>
      <c r="N18" s="76" t="str">
        <f t="shared" si="0"/>
        <v/>
      </c>
      <c r="O18" s="77"/>
      <c r="P18" s="77"/>
      <c r="Q18" s="78"/>
      <c r="R18" s="78"/>
      <c r="S18" s="77"/>
      <c r="T18" s="79"/>
      <c r="U18" s="80"/>
      <c r="V18" s="3"/>
      <c r="Z18" s="1"/>
    </row>
    <row r="19" spans="1:26" ht="27" customHeight="1" x14ac:dyDescent="0.25">
      <c r="A19" s="69"/>
      <c r="B19" s="70"/>
      <c r="C19" s="71"/>
      <c r="D19" s="72"/>
      <c r="E19" s="73"/>
      <c r="F19" s="73"/>
      <c r="G19" s="73"/>
      <c r="H19" s="73"/>
      <c r="I19" s="73"/>
      <c r="J19" s="73"/>
      <c r="K19" s="73"/>
      <c r="L19" s="74"/>
      <c r="M19" s="75" t="str">
        <f t="shared" si="1"/>
        <v/>
      </c>
      <c r="N19" s="76" t="str">
        <f t="shared" si="0"/>
        <v/>
      </c>
      <c r="O19" s="77"/>
      <c r="P19" s="77"/>
      <c r="Q19" s="78"/>
      <c r="R19" s="78"/>
      <c r="S19" s="77"/>
      <c r="T19" s="79"/>
      <c r="U19" s="80"/>
      <c r="V19" s="3"/>
      <c r="Z19" s="1"/>
    </row>
    <row r="20" spans="1:26" ht="27" customHeight="1" x14ac:dyDescent="0.25">
      <c r="A20" s="69"/>
      <c r="B20" s="70"/>
      <c r="C20" s="71"/>
      <c r="D20" s="72"/>
      <c r="E20" s="73"/>
      <c r="F20" s="73"/>
      <c r="G20" s="73"/>
      <c r="H20" s="73"/>
      <c r="I20" s="73"/>
      <c r="J20" s="73"/>
      <c r="K20" s="73"/>
      <c r="L20" s="74"/>
      <c r="M20" s="75" t="str">
        <f t="shared" si="1"/>
        <v/>
      </c>
      <c r="N20" s="76" t="str">
        <f t="shared" si="0"/>
        <v/>
      </c>
      <c r="O20" s="77"/>
      <c r="P20" s="77"/>
      <c r="Q20" s="78"/>
      <c r="R20" s="78"/>
      <c r="S20" s="77"/>
      <c r="T20" s="79"/>
      <c r="U20" s="80"/>
      <c r="V20" s="3"/>
      <c r="Z20" s="1"/>
    </row>
    <row r="21" spans="1:26" ht="27" customHeight="1" x14ac:dyDescent="0.25">
      <c r="A21" s="69"/>
      <c r="B21" s="70"/>
      <c r="C21" s="71"/>
      <c r="D21" s="72"/>
      <c r="E21" s="73"/>
      <c r="F21" s="73"/>
      <c r="G21" s="73"/>
      <c r="H21" s="73"/>
      <c r="I21" s="73"/>
      <c r="J21" s="73"/>
      <c r="K21" s="73"/>
      <c r="L21" s="74"/>
      <c r="M21" s="75" t="str">
        <f t="shared" si="1"/>
        <v/>
      </c>
      <c r="N21" s="76" t="str">
        <f t="shared" si="0"/>
        <v/>
      </c>
      <c r="O21" s="77"/>
      <c r="P21" s="77"/>
      <c r="Q21" s="78"/>
      <c r="R21" s="78"/>
      <c r="S21" s="77"/>
      <c r="T21" s="79"/>
      <c r="U21" s="80"/>
      <c r="V21" s="3"/>
      <c r="Z21" s="1"/>
    </row>
    <row r="22" spans="1:26" ht="27" customHeight="1" x14ac:dyDescent="0.25">
      <c r="A22" s="69"/>
      <c r="B22" s="70"/>
      <c r="C22" s="71"/>
      <c r="D22" s="72"/>
      <c r="E22" s="73"/>
      <c r="F22" s="73"/>
      <c r="G22" s="73"/>
      <c r="H22" s="73"/>
      <c r="I22" s="73"/>
      <c r="J22" s="73"/>
      <c r="K22" s="73"/>
      <c r="L22" s="74"/>
      <c r="M22" s="75" t="str">
        <f t="shared" si="1"/>
        <v/>
      </c>
      <c r="N22" s="76" t="str">
        <f t="shared" si="0"/>
        <v/>
      </c>
      <c r="O22" s="77"/>
      <c r="P22" s="77"/>
      <c r="Q22" s="78"/>
      <c r="R22" s="78"/>
      <c r="S22" s="77"/>
      <c r="T22" s="79"/>
      <c r="U22" s="80"/>
      <c r="V22" s="3"/>
      <c r="Z22" s="1"/>
    </row>
    <row r="23" spans="1:26" ht="27" customHeight="1" x14ac:dyDescent="0.25">
      <c r="A23" s="69"/>
      <c r="B23" s="70"/>
      <c r="C23" s="71"/>
      <c r="D23" s="72"/>
      <c r="E23" s="73"/>
      <c r="F23" s="73"/>
      <c r="G23" s="73"/>
      <c r="H23" s="73"/>
      <c r="I23" s="73"/>
      <c r="J23" s="73"/>
      <c r="K23" s="73"/>
      <c r="L23" s="74"/>
      <c r="M23" s="75" t="str">
        <f t="shared" si="1"/>
        <v/>
      </c>
      <c r="N23" s="76" t="str">
        <f t="shared" si="0"/>
        <v/>
      </c>
      <c r="O23" s="77"/>
      <c r="P23" s="77"/>
      <c r="Q23" s="78"/>
      <c r="R23" s="78"/>
      <c r="S23" s="77"/>
      <c r="T23" s="79"/>
      <c r="U23" s="80"/>
      <c r="V23" s="3"/>
      <c r="Z23" s="1"/>
    </row>
    <row r="24" spans="1:26" ht="27" customHeight="1" x14ac:dyDescent="0.25">
      <c r="A24" s="69"/>
      <c r="B24" s="70"/>
      <c r="C24" s="71"/>
      <c r="D24" s="72"/>
      <c r="E24" s="73"/>
      <c r="F24" s="73"/>
      <c r="G24" s="73"/>
      <c r="H24" s="73"/>
      <c r="I24" s="73"/>
      <c r="J24" s="73"/>
      <c r="K24" s="73"/>
      <c r="L24" s="74"/>
      <c r="M24" s="75" t="str">
        <f t="shared" si="1"/>
        <v/>
      </c>
      <c r="N24" s="76" t="str">
        <f t="shared" si="0"/>
        <v/>
      </c>
      <c r="O24" s="77"/>
      <c r="P24" s="77"/>
      <c r="Q24" s="78"/>
      <c r="R24" s="78"/>
      <c r="S24" s="77"/>
      <c r="T24" s="79"/>
      <c r="U24" s="80"/>
      <c r="V24" s="3"/>
      <c r="Z24" s="1"/>
    </row>
    <row r="25" spans="1:26" ht="27" customHeight="1" x14ac:dyDescent="0.25">
      <c r="A25" s="69"/>
      <c r="B25" s="70"/>
      <c r="C25" s="71"/>
      <c r="D25" s="72"/>
      <c r="E25" s="73"/>
      <c r="F25" s="73"/>
      <c r="G25" s="73"/>
      <c r="H25" s="73"/>
      <c r="I25" s="73"/>
      <c r="J25" s="73"/>
      <c r="K25" s="73"/>
      <c r="L25" s="74"/>
      <c r="M25" s="75" t="str">
        <f t="shared" si="1"/>
        <v/>
      </c>
      <c r="N25" s="76" t="str">
        <f t="shared" si="0"/>
        <v/>
      </c>
      <c r="O25" s="77"/>
      <c r="P25" s="77"/>
      <c r="Q25" s="78"/>
      <c r="R25" s="78"/>
      <c r="S25" s="77"/>
      <c r="T25" s="79"/>
      <c r="U25" s="80"/>
      <c r="V25" s="3"/>
      <c r="Z25" s="1"/>
    </row>
    <row r="26" spans="1:26" ht="27" customHeight="1" x14ac:dyDescent="0.25">
      <c r="A26" s="69"/>
      <c r="B26" s="70"/>
      <c r="C26" s="71"/>
      <c r="D26" s="72"/>
      <c r="E26" s="73"/>
      <c r="F26" s="73"/>
      <c r="G26" s="73"/>
      <c r="H26" s="73"/>
      <c r="I26" s="73"/>
      <c r="J26" s="73"/>
      <c r="K26" s="73"/>
      <c r="L26" s="74"/>
      <c r="M26" s="75" t="str">
        <f t="shared" si="1"/>
        <v/>
      </c>
      <c r="N26" s="76" t="str">
        <f t="shared" si="0"/>
        <v/>
      </c>
      <c r="O26" s="77"/>
      <c r="P26" s="77"/>
      <c r="Q26" s="78"/>
      <c r="R26" s="78"/>
      <c r="S26" s="77"/>
      <c r="T26" s="79"/>
      <c r="U26" s="80"/>
      <c r="V26" s="3"/>
      <c r="Z26" s="1"/>
    </row>
    <row r="27" spans="1:26" ht="27" customHeight="1" x14ac:dyDescent="0.25">
      <c r="A27" s="69"/>
      <c r="B27" s="70"/>
      <c r="C27" s="71"/>
      <c r="D27" s="72"/>
      <c r="E27" s="73"/>
      <c r="F27" s="73"/>
      <c r="G27" s="73"/>
      <c r="H27" s="73"/>
      <c r="I27" s="73"/>
      <c r="J27" s="73"/>
      <c r="K27" s="73"/>
      <c r="L27" s="74"/>
      <c r="M27" s="75" t="str">
        <f t="shared" si="1"/>
        <v/>
      </c>
      <c r="N27" s="76" t="str">
        <f t="shared" si="0"/>
        <v/>
      </c>
      <c r="O27" s="77"/>
      <c r="P27" s="77"/>
      <c r="Q27" s="78"/>
      <c r="R27" s="78"/>
      <c r="S27" s="77"/>
      <c r="T27" s="79"/>
      <c r="U27" s="80"/>
      <c r="V27" s="3"/>
      <c r="Z27" s="1"/>
    </row>
    <row r="28" spans="1:26" ht="27" customHeight="1" x14ac:dyDescent="0.25">
      <c r="A28" s="69"/>
      <c r="B28" s="70"/>
      <c r="C28" s="71"/>
      <c r="D28" s="72"/>
      <c r="E28" s="73"/>
      <c r="F28" s="73"/>
      <c r="G28" s="73"/>
      <c r="H28" s="73"/>
      <c r="I28" s="73"/>
      <c r="J28" s="73"/>
      <c r="K28" s="73"/>
      <c r="L28" s="74"/>
      <c r="M28" s="75" t="str">
        <f t="shared" si="1"/>
        <v/>
      </c>
      <c r="N28" s="76" t="str">
        <f t="shared" si="0"/>
        <v/>
      </c>
      <c r="O28" s="77"/>
      <c r="P28" s="77"/>
      <c r="Q28" s="78"/>
      <c r="R28" s="78"/>
      <c r="S28" s="77"/>
      <c r="T28" s="79"/>
      <c r="U28" s="80"/>
      <c r="V28" s="3"/>
      <c r="Z28" s="1"/>
    </row>
    <row r="29" spans="1:26" ht="27" customHeight="1" x14ac:dyDescent="0.25">
      <c r="A29" s="69"/>
      <c r="B29" s="70"/>
      <c r="C29" s="71"/>
      <c r="D29" s="72"/>
      <c r="E29" s="73"/>
      <c r="F29" s="73"/>
      <c r="G29" s="73"/>
      <c r="H29" s="73"/>
      <c r="I29" s="73"/>
      <c r="J29" s="73"/>
      <c r="K29" s="73"/>
      <c r="L29" s="74"/>
      <c r="M29" s="75" t="str">
        <f t="shared" si="1"/>
        <v/>
      </c>
      <c r="N29" s="76" t="str">
        <f t="shared" si="0"/>
        <v/>
      </c>
      <c r="O29" s="77"/>
      <c r="P29" s="77"/>
      <c r="Q29" s="78"/>
      <c r="R29" s="78"/>
      <c r="S29" s="77"/>
      <c r="T29" s="79"/>
      <c r="U29" s="80"/>
      <c r="V29" s="3"/>
      <c r="Z29" s="1"/>
    </row>
    <row r="30" spans="1:26" ht="27" customHeight="1" x14ac:dyDescent="0.25">
      <c r="A30" s="69"/>
      <c r="B30" s="70"/>
      <c r="C30" s="71"/>
      <c r="D30" s="72"/>
      <c r="E30" s="73"/>
      <c r="F30" s="73"/>
      <c r="G30" s="73"/>
      <c r="H30" s="73"/>
      <c r="I30" s="73"/>
      <c r="J30" s="73"/>
      <c r="K30" s="73"/>
      <c r="L30" s="74"/>
      <c r="M30" s="75" t="str">
        <f>IF(B30="","",IF(E30&gt;5,D$6,IF(F30&gt;5,E$6,IF(G30&gt;5,F$6,IF(H30&gt;5,G$6,IF(I30&gt;5,H$6,IF(J30&gt;5,I$6,IF(K30&gt;5,J$6))))))))</f>
        <v/>
      </c>
      <c r="N30" s="76" t="str">
        <f t="shared" si="0"/>
        <v/>
      </c>
      <c r="O30" s="77"/>
      <c r="P30" s="77"/>
      <c r="Q30" s="78"/>
      <c r="R30" s="78"/>
      <c r="S30" s="77"/>
      <c r="T30" s="79"/>
      <c r="U30" s="80"/>
      <c r="V30" s="3"/>
      <c r="Z30" s="1"/>
    </row>
    <row r="31" spans="1:26" ht="27" customHeight="1" x14ac:dyDescent="0.25">
      <c r="A31" s="69"/>
      <c r="B31" s="70"/>
      <c r="C31" s="71"/>
      <c r="D31" s="72"/>
      <c r="E31" s="73"/>
      <c r="F31" s="73"/>
      <c r="G31" s="73"/>
      <c r="H31" s="73"/>
      <c r="I31" s="73"/>
      <c r="J31" s="73"/>
      <c r="K31" s="73"/>
      <c r="L31" s="74"/>
      <c r="M31" s="75"/>
      <c r="N31" s="76"/>
      <c r="O31" s="77"/>
      <c r="P31" s="77"/>
      <c r="Q31" s="78"/>
      <c r="R31" s="78"/>
      <c r="S31" s="77"/>
      <c r="T31" s="79"/>
      <c r="U31" s="80"/>
      <c r="V31" s="3"/>
      <c r="Z31" s="1"/>
    </row>
    <row r="32" spans="1:26" ht="27" customHeight="1" x14ac:dyDescent="0.25">
      <c r="A32" s="69"/>
      <c r="B32" s="70"/>
      <c r="C32" s="71"/>
      <c r="D32" s="72"/>
      <c r="E32" s="73"/>
      <c r="F32" s="73"/>
      <c r="G32" s="73"/>
      <c r="H32" s="73"/>
      <c r="I32" s="73"/>
      <c r="J32" s="73"/>
      <c r="K32" s="73"/>
      <c r="L32" s="74"/>
      <c r="M32" s="75" t="str">
        <f t="shared" si="1"/>
        <v/>
      </c>
      <c r="N32" s="76" t="str">
        <f t="shared" si="0"/>
        <v/>
      </c>
      <c r="O32" s="77"/>
      <c r="P32" s="77"/>
      <c r="Q32" s="78"/>
      <c r="R32" s="78"/>
      <c r="S32" s="77"/>
      <c r="T32" s="79"/>
      <c r="U32" s="80"/>
      <c r="V32" s="3"/>
      <c r="Z32" s="1"/>
    </row>
    <row r="33" spans="1:26" ht="27" customHeight="1" x14ac:dyDescent="0.25">
      <c r="A33" s="69"/>
      <c r="B33" s="70"/>
      <c r="C33" s="71"/>
      <c r="D33" s="72"/>
      <c r="E33" s="73"/>
      <c r="F33" s="73"/>
      <c r="G33" s="73"/>
      <c r="H33" s="73"/>
      <c r="I33" s="73"/>
      <c r="J33" s="73"/>
      <c r="K33" s="73"/>
      <c r="L33" s="74"/>
      <c r="M33" s="75" t="str">
        <f t="shared" si="1"/>
        <v/>
      </c>
      <c r="N33" s="76" t="str">
        <f t="shared" si="0"/>
        <v/>
      </c>
      <c r="O33" s="77"/>
      <c r="P33" s="77"/>
      <c r="Q33" s="78"/>
      <c r="R33" s="78"/>
      <c r="S33" s="77"/>
      <c r="T33" s="79"/>
      <c r="U33" s="80"/>
      <c r="V33" s="3"/>
      <c r="Z33" s="1"/>
    </row>
    <row r="34" spans="1:26" ht="27" customHeight="1" thickBot="1" x14ac:dyDescent="0.3">
      <c r="A34" s="69"/>
      <c r="B34" s="70"/>
      <c r="C34" s="71"/>
      <c r="D34" s="72"/>
      <c r="E34" s="73"/>
      <c r="F34" s="73"/>
      <c r="G34" s="73"/>
      <c r="H34" s="73"/>
      <c r="I34" s="73"/>
      <c r="J34" s="73"/>
      <c r="K34" s="73"/>
      <c r="L34" s="74"/>
      <c r="M34" s="75" t="str">
        <f t="shared" si="1"/>
        <v/>
      </c>
      <c r="N34" s="76" t="str">
        <f t="shared" si="0"/>
        <v/>
      </c>
      <c r="O34" s="77"/>
      <c r="P34" s="77"/>
      <c r="Q34" s="78"/>
      <c r="R34" s="78"/>
      <c r="S34" s="77"/>
      <c r="T34" s="79"/>
      <c r="U34" s="80"/>
      <c r="V34" s="3"/>
      <c r="Z34" s="1"/>
    </row>
    <row r="35" spans="1:26" ht="27" hidden="1" customHeight="1" thickBot="1" x14ac:dyDescent="0.3">
      <c r="A35" s="81"/>
      <c r="B35" s="82"/>
      <c r="C35" s="83"/>
      <c r="D35" s="96"/>
      <c r="E35" s="84"/>
      <c r="F35" s="84"/>
      <c r="G35" s="84"/>
      <c r="H35" s="84"/>
      <c r="I35" s="84"/>
      <c r="J35" s="84"/>
      <c r="K35" s="84"/>
      <c r="L35" s="85"/>
      <c r="M35" s="75" t="str">
        <f t="shared" si="1"/>
        <v/>
      </c>
      <c r="N35" s="76" t="str">
        <f t="shared" si="0"/>
        <v/>
      </c>
      <c r="O35" s="86"/>
      <c r="P35" s="86"/>
      <c r="Q35" s="87"/>
      <c r="R35" s="78"/>
      <c r="S35" s="86"/>
      <c r="T35" s="88"/>
      <c r="U35" s="89"/>
      <c r="V35" s="3"/>
      <c r="Z35" s="1"/>
    </row>
    <row r="36" spans="1:26" ht="27" customHeight="1" thickTop="1" x14ac:dyDescent="0.25">
      <c r="A36" s="456" t="s">
        <v>0</v>
      </c>
      <c r="B36" s="457"/>
      <c r="C36" s="458"/>
      <c r="D36" s="21">
        <f t="shared" ref="D36:L36" si="2">AVERAGE(D7:D35)</f>
        <v>0</v>
      </c>
      <c r="E36" s="22">
        <f t="shared" si="2"/>
        <v>0</v>
      </c>
      <c r="F36" s="22">
        <f t="shared" si="2"/>
        <v>0.72500000000000009</v>
      </c>
      <c r="G36" s="22">
        <f t="shared" si="2"/>
        <v>30.425000000000001</v>
      </c>
      <c r="H36" s="22">
        <f t="shared" si="2"/>
        <v>57.325000000000003</v>
      </c>
      <c r="I36" s="22">
        <f t="shared" si="2"/>
        <v>73.699999999999989</v>
      </c>
      <c r="J36" s="22">
        <f t="shared" si="2"/>
        <v>82.325000000000003</v>
      </c>
      <c r="K36" s="22">
        <f>AVERAGE(K7:K35)</f>
        <v>87.6</v>
      </c>
      <c r="L36" s="23">
        <f t="shared" si="2"/>
        <v>100</v>
      </c>
      <c r="M36" s="25">
        <f t="shared" ref="M36:S36" si="3">AVERAGE(M7:M35)</f>
        <v>4.75</v>
      </c>
      <c r="N36" s="25">
        <f t="shared" si="3"/>
        <v>3.3210000000000002</v>
      </c>
      <c r="O36" s="25">
        <f t="shared" si="3"/>
        <v>15.275</v>
      </c>
      <c r="P36" s="25" t="e">
        <f t="shared" si="3"/>
        <v>#DIV/0!</v>
      </c>
      <c r="Q36" s="26">
        <f t="shared" si="3"/>
        <v>2.71</v>
      </c>
      <c r="R36" s="26">
        <f t="shared" si="3"/>
        <v>1.48</v>
      </c>
      <c r="S36" s="25">
        <f t="shared" si="3"/>
        <v>1.3</v>
      </c>
      <c r="T36" s="27"/>
      <c r="U36" s="28"/>
      <c r="V36" s="3"/>
      <c r="Z36" s="1"/>
    </row>
    <row r="37" spans="1:26" ht="27" customHeight="1" x14ac:dyDescent="0.25">
      <c r="A37" s="450" t="s">
        <v>26</v>
      </c>
      <c r="B37" s="451"/>
      <c r="C37" s="452"/>
      <c r="D37" s="29">
        <f>MAX(D7:D35)</f>
        <v>0</v>
      </c>
      <c r="E37" s="30">
        <f>MAX(E7:E35)</f>
        <v>0</v>
      </c>
      <c r="F37" s="30">
        <f>MAX(F7:F35)</f>
        <v>1.2</v>
      </c>
      <c r="G37" s="30">
        <f t="shared" ref="G37:S37" si="4">MAX(G7:G35)</f>
        <v>36.6</v>
      </c>
      <c r="H37" s="30">
        <f t="shared" si="4"/>
        <v>63</v>
      </c>
      <c r="I37" s="30">
        <f t="shared" si="4"/>
        <v>79.8</v>
      </c>
      <c r="J37" s="30">
        <f t="shared" si="4"/>
        <v>85.5</v>
      </c>
      <c r="K37" s="30">
        <f t="shared" si="4"/>
        <v>90.5</v>
      </c>
      <c r="L37" s="31">
        <f t="shared" si="4"/>
        <v>100</v>
      </c>
      <c r="M37" s="32">
        <f>MAX(M7:M35)</f>
        <v>4.75</v>
      </c>
      <c r="N37" s="33">
        <f t="shared" si="4"/>
        <v>3.53</v>
      </c>
      <c r="O37" s="33">
        <f t="shared" si="4"/>
        <v>17</v>
      </c>
      <c r="P37" s="33">
        <f t="shared" ref="P37" si="5">MAX(P7:P35)</f>
        <v>0</v>
      </c>
      <c r="Q37" s="34">
        <f t="shared" si="4"/>
        <v>2.71</v>
      </c>
      <c r="R37" s="34">
        <f>MAX(R7:R35)</f>
        <v>1.48</v>
      </c>
      <c r="S37" s="33">
        <f t="shared" si="4"/>
        <v>1.3</v>
      </c>
      <c r="T37" s="35"/>
      <c r="U37" s="36"/>
    </row>
    <row r="38" spans="1:26" ht="27" customHeight="1" x14ac:dyDescent="0.25">
      <c r="A38" s="450" t="s">
        <v>25</v>
      </c>
      <c r="B38" s="451"/>
      <c r="C38" s="452"/>
      <c r="D38" s="29">
        <f>MIN(D7:D35)</f>
        <v>0</v>
      </c>
      <c r="E38" s="30">
        <f t="shared" ref="E38:L38" si="6">MIN(E7:E35)</f>
        <v>0</v>
      </c>
      <c r="F38" s="30">
        <f t="shared" si="6"/>
        <v>0.4</v>
      </c>
      <c r="G38" s="30">
        <f t="shared" si="6"/>
        <v>22.4</v>
      </c>
      <c r="H38" s="30">
        <f t="shared" si="6"/>
        <v>51</v>
      </c>
      <c r="I38" s="30">
        <f t="shared" si="6"/>
        <v>69.599999999999994</v>
      </c>
      <c r="J38" s="30">
        <f t="shared" si="6"/>
        <v>79.2</v>
      </c>
      <c r="K38" s="30">
        <f t="shared" si="6"/>
        <v>84.7</v>
      </c>
      <c r="L38" s="31">
        <f t="shared" si="6"/>
        <v>100</v>
      </c>
      <c r="M38" s="37" t="s">
        <v>24</v>
      </c>
      <c r="N38" s="33">
        <f t="shared" ref="N38:S38" si="7">MIN(N7:N35)</f>
        <v>3.1039999999999996</v>
      </c>
      <c r="O38" s="33">
        <f t="shared" si="7"/>
        <v>14</v>
      </c>
      <c r="P38" s="33">
        <f t="shared" si="7"/>
        <v>0</v>
      </c>
      <c r="Q38" s="34">
        <f t="shared" si="7"/>
        <v>2.71</v>
      </c>
      <c r="R38" s="34">
        <f t="shared" si="7"/>
        <v>1.48</v>
      </c>
      <c r="S38" s="33">
        <f t="shared" si="7"/>
        <v>1.3</v>
      </c>
      <c r="T38" s="35"/>
      <c r="U38" s="36"/>
    </row>
    <row r="39" spans="1:26" ht="27" customHeight="1" thickBot="1" x14ac:dyDescent="0.3">
      <c r="A39" s="453" t="s">
        <v>1</v>
      </c>
      <c r="B39" s="454"/>
      <c r="C39" s="455"/>
      <c r="D39" s="38">
        <f>STDEV(D7:D35)</f>
        <v>0</v>
      </c>
      <c r="E39" s="39">
        <f t="shared" ref="E39:L39" si="8">STDEV(E7:E35)</f>
        <v>0</v>
      </c>
      <c r="F39" s="39">
        <f t="shared" si="8"/>
        <v>0.35939764421413029</v>
      </c>
      <c r="G39" s="39">
        <f t="shared" si="8"/>
        <v>6.0851595432385084</v>
      </c>
      <c r="H39" s="39">
        <f t="shared" si="8"/>
        <v>5.2455536727149532</v>
      </c>
      <c r="I39" s="39">
        <f t="shared" si="8"/>
        <v>4.85111670992704</v>
      </c>
      <c r="J39" s="39">
        <f t="shared" si="8"/>
        <v>3.0467195473164237</v>
      </c>
      <c r="K39" s="39">
        <f t="shared" si="8"/>
        <v>2.4792471975716053</v>
      </c>
      <c r="L39" s="40">
        <f t="shared" si="8"/>
        <v>0</v>
      </c>
      <c r="M39" s="41" t="s">
        <v>24</v>
      </c>
      <c r="N39" s="42">
        <f t="shared" ref="N39:S39" si="9">STDEV(N7:N35)</f>
        <v>0.20465417985795792</v>
      </c>
      <c r="O39" s="42">
        <f t="shared" si="9"/>
        <v>1.2579745625409124</v>
      </c>
      <c r="P39" s="42" t="e">
        <f t="shared" si="9"/>
        <v>#DIV/0!</v>
      </c>
      <c r="Q39" s="43" t="e">
        <f t="shared" si="9"/>
        <v>#DIV/0!</v>
      </c>
      <c r="R39" s="43" t="e">
        <f t="shared" si="9"/>
        <v>#DIV/0!</v>
      </c>
      <c r="S39" s="42" t="e">
        <f t="shared" si="9"/>
        <v>#DIV/0!</v>
      </c>
      <c r="T39" s="44"/>
      <c r="U39" s="45"/>
    </row>
    <row r="40" spans="1:26" ht="13" thickBo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46"/>
      <c r="O40" s="47"/>
      <c r="P40" s="47"/>
      <c r="Q40" s="46"/>
      <c r="R40" s="46"/>
      <c r="S40" s="47"/>
      <c r="T40" s="5"/>
      <c r="U40" s="5"/>
    </row>
    <row r="41" spans="1:26" ht="22.5" customHeight="1" thickBot="1" x14ac:dyDescent="0.3">
      <c r="A41" s="355" t="s">
        <v>39</v>
      </c>
      <c r="B41" s="356"/>
      <c r="C41" s="356"/>
      <c r="D41" s="356"/>
      <c r="E41" s="356"/>
      <c r="F41" s="356"/>
      <c r="G41" s="356"/>
      <c r="H41" s="356"/>
      <c r="I41" s="356"/>
      <c r="J41" s="356"/>
      <c r="K41" s="356"/>
      <c r="L41" s="356"/>
      <c r="M41" s="444" t="s">
        <v>34</v>
      </c>
      <c r="N41" s="445"/>
      <c r="O41" s="445"/>
      <c r="P41" s="445"/>
      <c r="Q41" s="445"/>
      <c r="R41" s="445"/>
      <c r="S41" s="446"/>
      <c r="T41" s="5"/>
      <c r="U41" s="5"/>
    </row>
    <row r="42" spans="1:26" ht="20.25" customHeight="1" x14ac:dyDescent="0.25">
      <c r="A42" s="359" t="s">
        <v>35</v>
      </c>
      <c r="B42" s="360"/>
      <c r="C42" s="360"/>
      <c r="D42" s="48">
        <f>100-D46</f>
        <v>100</v>
      </c>
      <c r="E42" s="48">
        <f>100-E46</f>
        <v>100</v>
      </c>
      <c r="F42" s="48">
        <f t="shared" ref="F42:K42" si="10">100-F46</f>
        <v>95</v>
      </c>
      <c r="G42" s="48">
        <f t="shared" si="10"/>
        <v>80</v>
      </c>
      <c r="H42" s="48">
        <f t="shared" si="10"/>
        <v>70</v>
      </c>
      <c r="I42" s="48">
        <f t="shared" si="10"/>
        <v>45</v>
      </c>
      <c r="J42" s="48">
        <f t="shared" si="10"/>
        <v>15</v>
      </c>
      <c r="K42" s="48">
        <f t="shared" si="10"/>
        <v>5</v>
      </c>
      <c r="L42" s="50" t="s">
        <v>24</v>
      </c>
      <c r="M42" s="459" t="s">
        <v>51</v>
      </c>
      <c r="N42" s="433"/>
      <c r="O42" s="433" t="s">
        <v>50</v>
      </c>
      <c r="P42" s="489" t="s">
        <v>40</v>
      </c>
      <c r="Q42" s="433" t="s">
        <v>52</v>
      </c>
      <c r="R42" s="433"/>
      <c r="S42" s="436"/>
      <c r="T42" s="5"/>
      <c r="U42" s="5"/>
    </row>
    <row r="43" spans="1:26" ht="20.25" customHeight="1" x14ac:dyDescent="0.25">
      <c r="A43" s="345"/>
      <c r="B43" s="346"/>
      <c r="C43" s="346"/>
      <c r="D43" s="51">
        <f>100-D47</f>
        <v>100</v>
      </c>
      <c r="E43" s="51">
        <f t="shared" ref="E43:K44" si="11">100-E47</f>
        <v>100</v>
      </c>
      <c r="F43" s="51">
        <f t="shared" si="11"/>
        <v>100</v>
      </c>
      <c r="G43" s="51">
        <f t="shared" si="11"/>
        <v>90</v>
      </c>
      <c r="H43" s="51">
        <f t="shared" si="11"/>
        <v>80</v>
      </c>
      <c r="I43" s="51">
        <f t="shared" si="11"/>
        <v>65</v>
      </c>
      <c r="J43" s="51">
        <f t="shared" si="11"/>
        <v>35</v>
      </c>
      <c r="K43" s="51">
        <f t="shared" si="11"/>
        <v>10</v>
      </c>
      <c r="L43" s="53" t="s">
        <v>24</v>
      </c>
      <c r="M43" s="460"/>
      <c r="N43" s="434"/>
      <c r="O43" s="434"/>
      <c r="P43" s="490"/>
      <c r="Q43" s="434"/>
      <c r="R43" s="434"/>
      <c r="S43" s="437"/>
      <c r="T43" s="5"/>
      <c r="U43" s="5"/>
    </row>
    <row r="44" spans="1:26" ht="20.25" customHeight="1" x14ac:dyDescent="0.25">
      <c r="A44" s="345" t="s">
        <v>36</v>
      </c>
      <c r="B44" s="346"/>
      <c r="C44" s="346"/>
      <c r="D44" s="51">
        <f>100-D48</f>
        <v>100</v>
      </c>
      <c r="E44" s="51">
        <f t="shared" si="11"/>
        <v>93</v>
      </c>
      <c r="F44" s="51">
        <f t="shared" si="11"/>
        <v>90</v>
      </c>
      <c r="G44" s="51">
        <f t="shared" si="11"/>
        <v>75</v>
      </c>
      <c r="H44" s="51">
        <f t="shared" si="11"/>
        <v>50</v>
      </c>
      <c r="I44" s="51">
        <f t="shared" si="11"/>
        <v>30</v>
      </c>
      <c r="J44" s="51">
        <f t="shared" si="11"/>
        <v>5</v>
      </c>
      <c r="K44" s="51">
        <f t="shared" si="11"/>
        <v>0</v>
      </c>
      <c r="L44" s="53" t="s">
        <v>24</v>
      </c>
      <c r="M44" s="460"/>
      <c r="N44" s="434"/>
      <c r="O44" s="434"/>
      <c r="P44" s="490"/>
      <c r="Q44" s="434"/>
      <c r="R44" s="434"/>
      <c r="S44" s="437"/>
      <c r="T44" s="5"/>
      <c r="U44" s="5"/>
    </row>
    <row r="45" spans="1:26" ht="20.25" customHeight="1" thickBot="1" x14ac:dyDescent="0.3">
      <c r="A45" s="347"/>
      <c r="B45" s="348"/>
      <c r="C45" s="348"/>
      <c r="D45" s="54">
        <f>100-D49</f>
        <v>100</v>
      </c>
      <c r="E45" s="54">
        <f>100-E49</f>
        <v>100</v>
      </c>
      <c r="F45" s="54">
        <f t="shared" ref="F45:K45" si="12">100-F49</f>
        <v>100</v>
      </c>
      <c r="G45" s="54">
        <f t="shared" si="12"/>
        <v>100</v>
      </c>
      <c r="H45" s="54">
        <f t="shared" si="12"/>
        <v>95</v>
      </c>
      <c r="I45" s="54">
        <f t="shared" si="12"/>
        <v>85</v>
      </c>
      <c r="J45" s="54">
        <f t="shared" si="12"/>
        <v>50</v>
      </c>
      <c r="K45" s="54">
        <f t="shared" si="12"/>
        <v>15</v>
      </c>
      <c r="L45" s="56" t="s">
        <v>24</v>
      </c>
      <c r="M45" s="460"/>
      <c r="N45" s="434"/>
      <c r="O45" s="434"/>
      <c r="P45" s="490"/>
      <c r="Q45" s="434"/>
      <c r="R45" s="434"/>
      <c r="S45" s="437"/>
      <c r="T45" s="5"/>
      <c r="U45" s="5"/>
    </row>
    <row r="46" spans="1:26" ht="20.25" customHeight="1" thickTop="1" x14ac:dyDescent="0.25">
      <c r="A46" s="464" t="s">
        <v>37</v>
      </c>
      <c r="B46" s="465"/>
      <c r="C46" s="465"/>
      <c r="D46" s="93">
        <v>0</v>
      </c>
      <c r="E46" s="57">
        <v>0</v>
      </c>
      <c r="F46" s="57">
        <v>5</v>
      </c>
      <c r="G46" s="57">
        <v>20</v>
      </c>
      <c r="H46" s="57">
        <v>30</v>
      </c>
      <c r="I46" s="57">
        <v>55</v>
      </c>
      <c r="J46" s="57">
        <v>85</v>
      </c>
      <c r="K46" s="57">
        <v>95</v>
      </c>
      <c r="L46" s="59" t="s">
        <v>24</v>
      </c>
      <c r="M46" s="460"/>
      <c r="N46" s="434"/>
      <c r="O46" s="434"/>
      <c r="P46" s="490"/>
      <c r="Q46" s="434"/>
      <c r="R46" s="434"/>
      <c r="S46" s="437"/>
      <c r="T46" s="5"/>
      <c r="U46" s="5"/>
    </row>
    <row r="47" spans="1:26" ht="20.25" customHeight="1" x14ac:dyDescent="0.25">
      <c r="A47" s="345"/>
      <c r="B47" s="346"/>
      <c r="C47" s="346"/>
      <c r="D47" s="94">
        <v>0</v>
      </c>
      <c r="E47" s="51">
        <v>0</v>
      </c>
      <c r="F47" s="51">
        <v>0</v>
      </c>
      <c r="G47" s="51">
        <v>10</v>
      </c>
      <c r="H47" s="51">
        <v>20</v>
      </c>
      <c r="I47" s="51">
        <v>35</v>
      </c>
      <c r="J47" s="51">
        <v>65</v>
      </c>
      <c r="K47" s="51">
        <v>90</v>
      </c>
      <c r="L47" s="61" t="s">
        <v>24</v>
      </c>
      <c r="M47" s="460"/>
      <c r="N47" s="434"/>
      <c r="O47" s="434"/>
      <c r="P47" s="490"/>
      <c r="Q47" s="434"/>
      <c r="R47" s="434"/>
      <c r="S47" s="437"/>
      <c r="T47" s="5"/>
      <c r="U47" s="5"/>
    </row>
    <row r="48" spans="1:26" ht="20.25" customHeight="1" x14ac:dyDescent="0.25">
      <c r="A48" s="345" t="s">
        <v>38</v>
      </c>
      <c r="B48" s="346"/>
      <c r="C48" s="346"/>
      <c r="D48" s="94">
        <v>0</v>
      </c>
      <c r="E48" s="51">
        <v>7</v>
      </c>
      <c r="F48" s="51">
        <v>10</v>
      </c>
      <c r="G48" s="51">
        <v>25</v>
      </c>
      <c r="H48" s="51">
        <v>50</v>
      </c>
      <c r="I48" s="51">
        <v>70</v>
      </c>
      <c r="J48" s="51">
        <v>95</v>
      </c>
      <c r="K48" s="51">
        <v>100</v>
      </c>
      <c r="L48" s="61" t="s">
        <v>24</v>
      </c>
      <c r="M48" s="460"/>
      <c r="N48" s="434"/>
      <c r="O48" s="434"/>
      <c r="P48" s="490"/>
      <c r="Q48" s="434"/>
      <c r="R48" s="434"/>
      <c r="S48" s="437"/>
      <c r="T48" s="5"/>
      <c r="U48" s="5"/>
    </row>
    <row r="49" spans="1:21" ht="20.25" customHeight="1" thickBot="1" x14ac:dyDescent="0.3">
      <c r="A49" s="462"/>
      <c r="B49" s="463"/>
      <c r="C49" s="463"/>
      <c r="D49" s="95">
        <v>0</v>
      </c>
      <c r="E49" s="62">
        <v>0</v>
      </c>
      <c r="F49" s="62">
        <v>0</v>
      </c>
      <c r="G49" s="62">
        <v>0</v>
      </c>
      <c r="H49" s="62">
        <v>5</v>
      </c>
      <c r="I49" s="62">
        <v>15</v>
      </c>
      <c r="J49" s="62">
        <v>50</v>
      </c>
      <c r="K49" s="62">
        <v>85</v>
      </c>
      <c r="L49" s="64" t="s">
        <v>24</v>
      </c>
      <c r="M49" s="461"/>
      <c r="N49" s="435"/>
      <c r="O49" s="435"/>
      <c r="P49" s="491"/>
      <c r="Q49" s="435"/>
      <c r="R49" s="435"/>
      <c r="S49" s="438"/>
      <c r="T49" s="5"/>
      <c r="U49" s="5"/>
    </row>
    <row r="50" spans="1:21" ht="18.75" customHeight="1" thickBo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ht="15.75" customHeight="1" thickBot="1" x14ac:dyDescent="0.3">
      <c r="A51" s="5"/>
      <c r="B51" s="5"/>
      <c r="C51" s="5"/>
      <c r="D51" s="5"/>
      <c r="E51" s="466" t="s">
        <v>42</v>
      </c>
      <c r="F51" s="467"/>
      <c r="G51" s="467"/>
      <c r="H51" s="467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5"/>
      <c r="U51" s="5"/>
    </row>
    <row r="52" spans="1:21" ht="18.75" customHeight="1" thickBot="1" x14ac:dyDescent="0.3">
      <c r="A52" s="5"/>
      <c r="B52" s="5"/>
      <c r="C52" s="5"/>
      <c r="D52" s="5"/>
      <c r="E52" s="469" t="s">
        <v>43</v>
      </c>
      <c r="F52" s="470"/>
      <c r="G52" s="470"/>
      <c r="H52" s="470"/>
      <c r="I52" s="470"/>
      <c r="J52" s="470"/>
      <c r="K52" s="470"/>
      <c r="L52" s="470"/>
      <c r="M52" s="470"/>
      <c r="N52" s="470"/>
      <c r="O52" s="66" t="s">
        <v>44</v>
      </c>
      <c r="P52" s="66" t="s">
        <v>45</v>
      </c>
      <c r="Q52" s="67" t="s">
        <v>48</v>
      </c>
      <c r="R52" s="66" t="s">
        <v>49</v>
      </c>
      <c r="S52" s="66" t="s">
        <v>46</v>
      </c>
      <c r="T52" s="5"/>
      <c r="U52" s="5"/>
    </row>
  </sheetData>
  <sheetProtection insertRows="0"/>
  <mergeCells count="35">
    <mergeCell ref="E51:S51"/>
    <mergeCell ref="E52:N52"/>
    <mergeCell ref="P42:P49"/>
    <mergeCell ref="A36:C36"/>
    <mergeCell ref="A37:C37"/>
    <mergeCell ref="A38:C38"/>
    <mergeCell ref="A39:C39"/>
    <mergeCell ref="A41:L41"/>
    <mergeCell ref="M41:S41"/>
    <mergeCell ref="A42:C43"/>
    <mergeCell ref="M42:M49"/>
    <mergeCell ref="N42:N49"/>
    <mergeCell ref="O42:O49"/>
    <mergeCell ref="Q42:Q49"/>
    <mergeCell ref="R42:R49"/>
    <mergeCell ref="S42:S49"/>
    <mergeCell ref="A44:C45"/>
    <mergeCell ref="A46:C47"/>
    <mergeCell ref="A48:C49"/>
    <mergeCell ref="R4:R6"/>
    <mergeCell ref="S4:S6"/>
    <mergeCell ref="T4:T6"/>
    <mergeCell ref="U4:U6"/>
    <mergeCell ref="A1:U1"/>
    <mergeCell ref="A2:U2"/>
    <mergeCell ref="A4:A6"/>
    <mergeCell ref="B4:B6"/>
    <mergeCell ref="C4:C6"/>
    <mergeCell ref="M4:M6"/>
    <mergeCell ref="N4:N6"/>
    <mergeCell ref="O4:O6"/>
    <mergeCell ref="P4:P6"/>
    <mergeCell ref="D4:L4"/>
    <mergeCell ref="L5:L6"/>
    <mergeCell ref="Q4:Q6"/>
  </mergeCells>
  <conditionalFormatting sqref="M7:N35">
    <cfRule type="cellIs" dxfId="9" priority="1" operator="equal">
      <formula>""</formula>
    </cfRule>
  </conditionalFormatting>
  <printOptions horizontalCentered="1"/>
  <pageMargins left="0.39370078740157483" right="0.39370078740157483" top="0.82677165354330717" bottom="0.55118110236220474" header="0.51181102362204722" footer="0.35433070866141736"/>
  <pageSetup paperSize="9" scale="51" firstPageNumber="41" fitToHeight="0" orientation="landscape" errors="dash" r:id="rId1"/>
  <headerFooter alignWithMargins="0">
    <oddHeader>&amp;R&amp;G</oddHeader>
    <oddFooter>&amp;C&amp;P&amp;R&amp;F</oddFooter>
  </headerFooter>
  <legacy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/>
    <pageSetUpPr fitToPage="1"/>
  </sheetPr>
  <dimension ref="A1:Z52"/>
  <sheetViews>
    <sheetView zoomScale="75" zoomScaleNormal="75" zoomScaleSheetLayoutView="70" workbookViewId="0">
      <pane ySplit="6" topLeftCell="A30" activePane="bottomLeft" state="frozen"/>
      <selection activeCell="B12" sqref="B12"/>
      <selection pane="bottomLeft" activeCell="B12" sqref="B12"/>
    </sheetView>
  </sheetViews>
  <sheetFormatPr defaultColWidth="9.1796875" defaultRowHeight="12.5" x14ac:dyDescent="0.25"/>
  <cols>
    <col min="1" max="3" width="13.81640625" style="1" customWidth="1"/>
    <col min="4" max="12" width="10.453125" style="1" customWidth="1"/>
    <col min="13" max="14" width="13.7265625" style="1" customWidth="1"/>
    <col min="15" max="15" width="14.81640625" style="1" customWidth="1"/>
    <col min="16" max="16" width="12.7265625" style="1" customWidth="1"/>
    <col min="17" max="18" width="13.7265625" style="1" customWidth="1"/>
    <col min="19" max="19" width="13.453125" style="1" customWidth="1"/>
    <col min="20" max="20" width="22.7265625" style="1" customWidth="1"/>
    <col min="21" max="21" width="22.54296875" style="1" customWidth="1"/>
    <col min="22" max="25" width="9.1796875" style="1"/>
    <col min="26" max="26" width="15.453125" style="2" customWidth="1"/>
    <col min="27" max="27" width="13" style="1" customWidth="1"/>
    <col min="28" max="16384" width="9.1796875" style="1"/>
  </cols>
  <sheetData>
    <row r="1" spans="1:26" ht="31.5" customHeight="1" x14ac:dyDescent="0.25">
      <c r="A1" s="471" t="s">
        <v>92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  <c r="P1" s="471"/>
      <c r="Q1" s="471"/>
      <c r="R1" s="471"/>
      <c r="S1" s="471"/>
      <c r="T1" s="471"/>
      <c r="U1" s="471"/>
    </row>
    <row r="2" spans="1:26" ht="22.5" customHeight="1" x14ac:dyDescent="0.25">
      <c r="A2" s="472" t="s">
        <v>80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  <c r="U2" s="472"/>
    </row>
    <row r="3" spans="1:26" ht="14.25" customHeight="1" thickBot="1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6" ht="31.5" customHeight="1" x14ac:dyDescent="0.25">
      <c r="A4" s="480" t="s">
        <v>2</v>
      </c>
      <c r="B4" s="477" t="s">
        <v>3</v>
      </c>
      <c r="C4" s="486" t="s">
        <v>19</v>
      </c>
      <c r="D4" s="441" t="s">
        <v>4</v>
      </c>
      <c r="E4" s="442"/>
      <c r="F4" s="442"/>
      <c r="G4" s="442"/>
      <c r="H4" s="442"/>
      <c r="I4" s="442"/>
      <c r="J4" s="442"/>
      <c r="K4" s="442"/>
      <c r="L4" s="443"/>
      <c r="M4" s="483" t="s">
        <v>29</v>
      </c>
      <c r="N4" s="474" t="s">
        <v>5</v>
      </c>
      <c r="O4" s="447" t="s">
        <v>21</v>
      </c>
      <c r="P4" s="447" t="s">
        <v>30</v>
      </c>
      <c r="Q4" s="447" t="s">
        <v>67</v>
      </c>
      <c r="R4" s="447" t="s">
        <v>31</v>
      </c>
      <c r="S4" s="447" t="s">
        <v>28</v>
      </c>
      <c r="T4" s="474" t="s">
        <v>20</v>
      </c>
      <c r="U4" s="473" t="s">
        <v>6</v>
      </c>
    </row>
    <row r="5" spans="1:26" ht="16.5" customHeight="1" x14ac:dyDescent="0.25">
      <c r="A5" s="481"/>
      <c r="B5" s="478"/>
      <c r="C5" s="487"/>
      <c r="D5" s="6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439" t="s">
        <v>15</v>
      </c>
      <c r="M5" s="484"/>
      <c r="N5" s="475"/>
      <c r="O5" s="448"/>
      <c r="P5" s="448"/>
      <c r="Q5" s="448"/>
      <c r="R5" s="448"/>
      <c r="S5" s="448"/>
      <c r="T5" s="475"/>
      <c r="U5" s="439"/>
    </row>
    <row r="6" spans="1:26" ht="16.5" customHeight="1" thickBot="1" x14ac:dyDescent="0.3">
      <c r="A6" s="482"/>
      <c r="B6" s="479"/>
      <c r="C6" s="488"/>
      <c r="D6" s="90">
        <v>9.5</v>
      </c>
      <c r="E6" s="91">
        <v>6.3</v>
      </c>
      <c r="F6" s="9">
        <v>4.75</v>
      </c>
      <c r="G6" s="9">
        <v>2.36</v>
      </c>
      <c r="H6" s="9">
        <v>1.18</v>
      </c>
      <c r="I6" s="9">
        <v>0.6</v>
      </c>
      <c r="J6" s="9">
        <v>0.3</v>
      </c>
      <c r="K6" s="9">
        <v>0.15</v>
      </c>
      <c r="L6" s="440"/>
      <c r="M6" s="485"/>
      <c r="N6" s="476"/>
      <c r="O6" s="449"/>
      <c r="P6" s="449"/>
      <c r="Q6" s="449"/>
      <c r="R6" s="449"/>
      <c r="S6" s="449"/>
      <c r="T6" s="476"/>
      <c r="U6" s="440"/>
    </row>
    <row r="7" spans="1:26" ht="27.75" customHeight="1" thickTop="1" x14ac:dyDescent="0.25">
      <c r="A7" s="69">
        <v>39704</v>
      </c>
      <c r="B7" s="70">
        <v>1</v>
      </c>
      <c r="C7" s="71">
        <v>39704</v>
      </c>
      <c r="D7" s="72">
        <v>0</v>
      </c>
      <c r="E7" s="73">
        <v>0</v>
      </c>
      <c r="F7" s="73">
        <v>0.2</v>
      </c>
      <c r="G7" s="73">
        <v>20.2</v>
      </c>
      <c r="H7" s="73">
        <v>46.6</v>
      </c>
      <c r="I7" s="73">
        <v>65.099999999999994</v>
      </c>
      <c r="J7" s="73">
        <v>80.2</v>
      </c>
      <c r="K7" s="73">
        <v>89.6</v>
      </c>
      <c r="L7" s="74">
        <v>100</v>
      </c>
      <c r="M7" s="75">
        <f>IF(B7="","",IF(E7&gt;5,D$6,IF(F7&gt;5,E$6,IF(G7&gt;5,F$6,IF(H7&gt;5,G$6,IF(I7&gt;5,H$6,IF(J7&gt;5,I$6,IF(K7&gt;5,J$6))))))))</f>
        <v>4.75</v>
      </c>
      <c r="N7" s="76">
        <f>IF(B7="","",(D7+F7+G7+H7+I7+J7+K7)/100)</f>
        <v>3.0189999999999997</v>
      </c>
      <c r="O7" s="77">
        <v>7.9</v>
      </c>
      <c r="P7" s="77" t="s">
        <v>24</v>
      </c>
      <c r="Q7" s="78">
        <v>2.65</v>
      </c>
      <c r="R7" s="78">
        <v>1.44</v>
      </c>
      <c r="S7" s="77">
        <v>1.2</v>
      </c>
      <c r="T7" s="79" t="s">
        <v>69</v>
      </c>
      <c r="U7" s="80" t="s">
        <v>75</v>
      </c>
      <c r="V7" s="3"/>
      <c r="Z7" s="1"/>
    </row>
    <row r="8" spans="1:26" ht="27" customHeight="1" x14ac:dyDescent="0.25">
      <c r="A8" s="69" t="s">
        <v>76</v>
      </c>
      <c r="B8" s="70">
        <v>2</v>
      </c>
      <c r="C8" s="71">
        <v>39731</v>
      </c>
      <c r="D8" s="72">
        <v>0</v>
      </c>
      <c r="E8" s="73">
        <v>0</v>
      </c>
      <c r="F8" s="73">
        <v>0</v>
      </c>
      <c r="G8" s="73">
        <v>27.6</v>
      </c>
      <c r="H8" s="73">
        <v>52.8</v>
      </c>
      <c r="I8" s="73">
        <v>70.3</v>
      </c>
      <c r="J8" s="73">
        <v>83.7</v>
      </c>
      <c r="K8" s="73">
        <v>91.1</v>
      </c>
      <c r="L8" s="74">
        <v>100</v>
      </c>
      <c r="M8" s="75">
        <f>IF(B8="","",IF(E8&gt;5,D$6,IF(F8&gt;5,E$6,IF(G8&gt;5,F$6,IF(H8&gt;5,G$6,IF(I8&gt;5,H$6,IF(J8&gt;5,I$6,IF(K8&gt;5,J$6))))))))</f>
        <v>4.75</v>
      </c>
      <c r="N8" s="76">
        <f>IF(B8="","",(D8+F8+G8+H8+I8+J8+K8)/100)</f>
        <v>3.2549999999999999</v>
      </c>
      <c r="O8" s="77">
        <v>5.9</v>
      </c>
      <c r="P8" s="77" t="s">
        <v>24</v>
      </c>
      <c r="Q8" s="78" t="s">
        <v>24</v>
      </c>
      <c r="R8" s="78" t="s">
        <v>24</v>
      </c>
      <c r="S8" s="78" t="s">
        <v>24</v>
      </c>
      <c r="T8" s="79" t="s">
        <v>69</v>
      </c>
      <c r="U8" s="80" t="s">
        <v>75</v>
      </c>
      <c r="V8" s="3"/>
      <c r="Z8" s="1"/>
    </row>
    <row r="9" spans="1:26" ht="27" customHeight="1" x14ac:dyDescent="0.25">
      <c r="A9" s="69" t="s">
        <v>76</v>
      </c>
      <c r="B9" s="70">
        <v>3</v>
      </c>
      <c r="C9" s="71">
        <v>39741</v>
      </c>
      <c r="D9" s="72">
        <v>0</v>
      </c>
      <c r="E9" s="73">
        <v>0</v>
      </c>
      <c r="F9" s="73">
        <v>0</v>
      </c>
      <c r="G9" s="73">
        <v>19.2</v>
      </c>
      <c r="H9" s="73">
        <v>45.1</v>
      </c>
      <c r="I9" s="73">
        <v>60.5</v>
      </c>
      <c r="J9" s="73">
        <v>76.400000000000006</v>
      </c>
      <c r="K9" s="73">
        <v>86.5</v>
      </c>
      <c r="L9" s="74">
        <v>100</v>
      </c>
      <c r="M9" s="75">
        <f>IF(B9="","",IF(E9&gt;5,D$6,IF(F9&gt;5,E$6,IF(G9&gt;5,F$6,IF(H9&gt;5,G$6,IF(I9&gt;5,H$6,IF(J9&gt;5,I$6,IF(K9&gt;5,J$6))))))))</f>
        <v>4.75</v>
      </c>
      <c r="N9" s="76">
        <f t="shared" ref="N9:N35" si="0">IF(B9="","",(D9+F9+G9+H9+I9+J9+K9)/100)</f>
        <v>2.8769999999999998</v>
      </c>
      <c r="O9" s="77">
        <v>7.7</v>
      </c>
      <c r="P9" s="77" t="s">
        <v>24</v>
      </c>
      <c r="Q9" s="78" t="s">
        <v>24</v>
      </c>
      <c r="R9" s="78" t="s">
        <v>24</v>
      </c>
      <c r="S9" s="78" t="s">
        <v>24</v>
      </c>
      <c r="T9" s="79" t="s">
        <v>69</v>
      </c>
      <c r="U9" s="80" t="s">
        <v>75</v>
      </c>
      <c r="V9" s="3"/>
      <c r="Z9" s="1"/>
    </row>
    <row r="10" spans="1:26" ht="27" customHeight="1" x14ac:dyDescent="0.25">
      <c r="A10" s="69">
        <v>39753</v>
      </c>
      <c r="B10" s="70">
        <v>4</v>
      </c>
      <c r="C10" s="71">
        <v>39758</v>
      </c>
      <c r="D10" s="72">
        <v>0</v>
      </c>
      <c r="E10" s="73">
        <v>0</v>
      </c>
      <c r="F10" s="73">
        <v>0</v>
      </c>
      <c r="G10" s="73">
        <v>13.4</v>
      </c>
      <c r="H10" s="73">
        <v>35</v>
      </c>
      <c r="I10" s="73">
        <v>54.3</v>
      </c>
      <c r="J10" s="73">
        <v>72.2</v>
      </c>
      <c r="K10" s="73">
        <v>84.6</v>
      </c>
      <c r="L10" s="74">
        <v>100</v>
      </c>
      <c r="M10" s="75">
        <f>IF(B10="","",IF(E10&gt;5,D$6,IF(F10&gt;5,E$6,IF(G10&gt;5,F$6,IF(H10&gt;5,G$6,IF(I10&gt;5,H$6,IF(J10&gt;5,I$6,IF(K10&gt;5,J$6))))))))</f>
        <v>4.75</v>
      </c>
      <c r="N10" s="76">
        <f t="shared" si="0"/>
        <v>2.5950000000000002</v>
      </c>
      <c r="O10" s="77" t="s">
        <v>24</v>
      </c>
      <c r="P10" s="77" t="s">
        <v>24</v>
      </c>
      <c r="Q10" s="77" t="s">
        <v>24</v>
      </c>
      <c r="R10" s="77" t="s">
        <v>24</v>
      </c>
      <c r="S10" s="77" t="s">
        <v>24</v>
      </c>
      <c r="T10" s="79" t="s">
        <v>69</v>
      </c>
      <c r="U10" s="80" t="s">
        <v>75</v>
      </c>
      <c r="V10" s="3"/>
      <c r="Z10" s="1"/>
    </row>
    <row r="11" spans="1:26" ht="27" customHeight="1" x14ac:dyDescent="0.25">
      <c r="A11" s="69">
        <v>39753</v>
      </c>
      <c r="B11" s="70">
        <v>5</v>
      </c>
      <c r="C11" s="71">
        <v>39765</v>
      </c>
      <c r="D11" s="72">
        <v>0</v>
      </c>
      <c r="E11" s="73">
        <v>0</v>
      </c>
      <c r="F11" s="73">
        <v>1.1000000000000001</v>
      </c>
      <c r="G11" s="73">
        <v>23.7</v>
      </c>
      <c r="H11" s="73">
        <v>47.6</v>
      </c>
      <c r="I11" s="73">
        <v>66.5</v>
      </c>
      <c r="J11" s="73">
        <v>82.3</v>
      </c>
      <c r="K11" s="73">
        <v>91.3</v>
      </c>
      <c r="L11" s="74">
        <v>100</v>
      </c>
      <c r="M11" s="75">
        <f t="shared" ref="M11:M35" si="1">IF(B11="","",IF(E11&gt;5,D$6,IF(F11&gt;5,E$6,IF(G11&gt;5,F$6,IF(H11&gt;5,G$6,IF(I11&gt;5,H$6,IF(J11&gt;5,I$6,IF(K11&gt;5,J$6))))))))</f>
        <v>4.75</v>
      </c>
      <c r="N11" s="76">
        <f t="shared" si="0"/>
        <v>3.125</v>
      </c>
      <c r="O11" s="77">
        <v>7.8</v>
      </c>
      <c r="P11" s="77" t="s">
        <v>24</v>
      </c>
      <c r="Q11" s="78">
        <v>2.68</v>
      </c>
      <c r="R11" s="78">
        <v>1.48</v>
      </c>
      <c r="S11" s="78">
        <v>1.2</v>
      </c>
      <c r="T11" s="79" t="s">
        <v>69</v>
      </c>
      <c r="U11" s="80" t="s">
        <v>75</v>
      </c>
      <c r="V11" s="3"/>
      <c r="Z11" s="1"/>
    </row>
    <row r="12" spans="1:26" ht="27" customHeight="1" x14ac:dyDescent="0.25">
      <c r="A12" s="69">
        <v>39753</v>
      </c>
      <c r="B12" s="70">
        <v>6</v>
      </c>
      <c r="C12" s="71">
        <v>39771</v>
      </c>
      <c r="D12" s="72">
        <v>0</v>
      </c>
      <c r="E12" s="73">
        <v>0</v>
      </c>
      <c r="F12" s="73">
        <v>0</v>
      </c>
      <c r="G12" s="73">
        <v>13.1</v>
      </c>
      <c r="H12" s="73">
        <v>34.5</v>
      </c>
      <c r="I12" s="73">
        <v>55.1</v>
      </c>
      <c r="J12" s="73">
        <v>73.900000000000006</v>
      </c>
      <c r="K12" s="73">
        <v>86</v>
      </c>
      <c r="L12" s="74">
        <v>100</v>
      </c>
      <c r="M12" s="75">
        <f t="shared" si="1"/>
        <v>4.75</v>
      </c>
      <c r="N12" s="76">
        <f t="shared" si="0"/>
        <v>2.6260000000000003</v>
      </c>
      <c r="O12" s="77" t="s">
        <v>24</v>
      </c>
      <c r="P12" s="77" t="s">
        <v>24</v>
      </c>
      <c r="Q12" s="78" t="s">
        <v>24</v>
      </c>
      <c r="R12" s="78" t="s">
        <v>24</v>
      </c>
      <c r="S12" s="78" t="s">
        <v>24</v>
      </c>
      <c r="T12" s="79" t="s">
        <v>81</v>
      </c>
      <c r="U12" s="80" t="s">
        <v>75</v>
      </c>
      <c r="V12" s="3"/>
      <c r="Z12" s="1"/>
    </row>
    <row r="13" spans="1:26" ht="27" customHeight="1" x14ac:dyDescent="0.25">
      <c r="A13" s="69">
        <v>39753</v>
      </c>
      <c r="B13" s="70">
        <v>7</v>
      </c>
      <c r="C13" s="71">
        <v>39773</v>
      </c>
      <c r="D13" s="72">
        <v>0</v>
      </c>
      <c r="E13" s="73">
        <v>0</v>
      </c>
      <c r="F13" s="73">
        <v>0.1</v>
      </c>
      <c r="G13" s="73">
        <v>15.7</v>
      </c>
      <c r="H13" s="73">
        <v>37.5</v>
      </c>
      <c r="I13" s="73">
        <v>56.9</v>
      </c>
      <c r="J13" s="73">
        <v>74.599999999999994</v>
      </c>
      <c r="K13" s="73">
        <v>86.7</v>
      </c>
      <c r="L13" s="74">
        <v>100</v>
      </c>
      <c r="M13" s="75">
        <f t="shared" si="1"/>
        <v>4.75</v>
      </c>
      <c r="N13" s="76">
        <f t="shared" si="0"/>
        <v>2.7149999999999999</v>
      </c>
      <c r="O13" s="77" t="s">
        <v>24</v>
      </c>
      <c r="P13" s="77" t="s">
        <v>24</v>
      </c>
      <c r="Q13" s="78" t="s">
        <v>24</v>
      </c>
      <c r="R13" s="78" t="s">
        <v>24</v>
      </c>
      <c r="S13" s="77" t="s">
        <v>24</v>
      </c>
      <c r="T13" s="79" t="s">
        <v>69</v>
      </c>
      <c r="U13" s="80" t="s">
        <v>75</v>
      </c>
      <c r="V13" s="3"/>
      <c r="Z13" s="1"/>
    </row>
    <row r="14" spans="1:26" ht="27" customHeight="1" x14ac:dyDescent="0.25">
      <c r="A14" s="69">
        <v>39753</v>
      </c>
      <c r="B14" s="70">
        <v>8</v>
      </c>
      <c r="C14" s="71">
        <v>39779</v>
      </c>
      <c r="D14" s="72">
        <v>0</v>
      </c>
      <c r="E14" s="73">
        <v>0</v>
      </c>
      <c r="F14" s="73">
        <v>0.4</v>
      </c>
      <c r="G14" s="73">
        <v>21.6</v>
      </c>
      <c r="H14" s="73">
        <v>45.2</v>
      </c>
      <c r="I14" s="73">
        <v>63</v>
      </c>
      <c r="J14" s="73">
        <v>77.099999999999994</v>
      </c>
      <c r="K14" s="73">
        <v>86.9</v>
      </c>
      <c r="L14" s="74">
        <v>100</v>
      </c>
      <c r="M14" s="75">
        <f t="shared" si="1"/>
        <v>4.75</v>
      </c>
      <c r="N14" s="76">
        <f>IF(B14="","",(D14+F14+G14+H14+I14+J14+K14)/100)</f>
        <v>2.9419999999999997</v>
      </c>
      <c r="O14" s="77" t="s">
        <v>24</v>
      </c>
      <c r="P14" s="77" t="s">
        <v>24</v>
      </c>
      <c r="Q14" s="77" t="s">
        <v>24</v>
      </c>
      <c r="R14" s="77" t="s">
        <v>24</v>
      </c>
      <c r="S14" s="77" t="s">
        <v>24</v>
      </c>
      <c r="T14" s="79" t="s">
        <v>69</v>
      </c>
      <c r="U14" s="80" t="s">
        <v>75</v>
      </c>
      <c r="V14" s="3"/>
      <c r="Z14" s="1"/>
    </row>
    <row r="15" spans="1:26" ht="27" customHeight="1" x14ac:dyDescent="0.25">
      <c r="A15" s="69">
        <v>39783</v>
      </c>
      <c r="B15" s="70">
        <v>9</v>
      </c>
      <c r="C15" s="71">
        <v>39783</v>
      </c>
      <c r="D15" s="72">
        <v>0</v>
      </c>
      <c r="E15" s="73">
        <v>0</v>
      </c>
      <c r="F15" s="73">
        <v>0.4</v>
      </c>
      <c r="G15" s="73">
        <v>22.7</v>
      </c>
      <c r="H15" s="73">
        <v>48.4</v>
      </c>
      <c r="I15" s="73">
        <v>65.3</v>
      </c>
      <c r="J15" s="73">
        <v>79.3</v>
      </c>
      <c r="K15" s="73">
        <v>87.8</v>
      </c>
      <c r="L15" s="74">
        <v>100</v>
      </c>
      <c r="M15" s="75">
        <f t="shared" si="1"/>
        <v>4.75</v>
      </c>
      <c r="N15" s="76">
        <f t="shared" si="0"/>
        <v>3.0390000000000001</v>
      </c>
      <c r="O15" s="77" t="s">
        <v>24</v>
      </c>
      <c r="P15" s="77" t="s">
        <v>24</v>
      </c>
      <c r="Q15" s="77" t="s">
        <v>24</v>
      </c>
      <c r="R15" s="77" t="s">
        <v>24</v>
      </c>
      <c r="S15" s="77" t="s">
        <v>24</v>
      </c>
      <c r="T15" s="79" t="s">
        <v>69</v>
      </c>
      <c r="U15" s="80" t="s">
        <v>75</v>
      </c>
      <c r="V15" s="3"/>
      <c r="Z15" s="1"/>
    </row>
    <row r="16" spans="1:26" ht="27" customHeight="1" x14ac:dyDescent="0.25">
      <c r="A16" s="69">
        <v>39783</v>
      </c>
      <c r="B16" s="70">
        <v>10</v>
      </c>
      <c r="C16" s="71">
        <v>39785</v>
      </c>
      <c r="D16" s="72">
        <v>0</v>
      </c>
      <c r="E16" s="73">
        <v>0</v>
      </c>
      <c r="F16" s="73">
        <v>0.5</v>
      </c>
      <c r="G16" s="73">
        <v>23.3</v>
      </c>
      <c r="H16" s="73">
        <v>47.6</v>
      </c>
      <c r="I16" s="73">
        <v>65.2</v>
      </c>
      <c r="J16" s="73">
        <v>78.400000000000006</v>
      </c>
      <c r="K16" s="73">
        <v>86.7</v>
      </c>
      <c r="L16" s="74">
        <v>100</v>
      </c>
      <c r="M16" s="75">
        <f t="shared" si="1"/>
        <v>4.75</v>
      </c>
      <c r="N16" s="76">
        <f t="shared" si="0"/>
        <v>3.0170000000000003</v>
      </c>
      <c r="O16" s="77">
        <v>8.9</v>
      </c>
      <c r="P16" s="77" t="s">
        <v>24</v>
      </c>
      <c r="Q16" s="78">
        <v>2.68</v>
      </c>
      <c r="R16" s="78">
        <v>1.5</v>
      </c>
      <c r="S16" s="77">
        <v>1.4</v>
      </c>
      <c r="T16" s="79" t="s">
        <v>69</v>
      </c>
      <c r="U16" s="80" t="s">
        <v>75</v>
      </c>
      <c r="V16" s="3"/>
      <c r="Z16" s="1"/>
    </row>
    <row r="17" spans="1:26" ht="27" customHeight="1" x14ac:dyDescent="0.25">
      <c r="A17" s="69">
        <v>39783</v>
      </c>
      <c r="B17" s="70">
        <v>11</v>
      </c>
      <c r="C17" s="71">
        <v>39791</v>
      </c>
      <c r="D17" s="72">
        <v>0</v>
      </c>
      <c r="E17" s="73">
        <v>0</v>
      </c>
      <c r="F17" s="73">
        <v>0.4</v>
      </c>
      <c r="G17" s="73">
        <v>20.6</v>
      </c>
      <c r="H17" s="73">
        <v>46.3</v>
      </c>
      <c r="I17" s="73">
        <v>65.7</v>
      </c>
      <c r="J17" s="73">
        <v>80.3</v>
      </c>
      <c r="K17" s="73">
        <v>89.4</v>
      </c>
      <c r="L17" s="74">
        <v>100</v>
      </c>
      <c r="M17" s="75">
        <f t="shared" si="1"/>
        <v>4.75</v>
      </c>
      <c r="N17" s="76">
        <f t="shared" si="0"/>
        <v>3.0270000000000006</v>
      </c>
      <c r="O17" s="77" t="s">
        <v>24</v>
      </c>
      <c r="P17" s="77" t="s">
        <v>24</v>
      </c>
      <c r="Q17" s="78" t="s">
        <v>24</v>
      </c>
      <c r="R17" s="78" t="s">
        <v>24</v>
      </c>
      <c r="S17" s="77" t="s">
        <v>24</v>
      </c>
      <c r="T17" s="79" t="s">
        <v>69</v>
      </c>
      <c r="U17" s="80" t="s">
        <v>75</v>
      </c>
      <c r="V17" s="3"/>
      <c r="Z17" s="1"/>
    </row>
    <row r="18" spans="1:26" ht="27" customHeight="1" x14ac:dyDescent="0.25">
      <c r="A18" s="69">
        <v>39783</v>
      </c>
      <c r="B18" s="70">
        <v>12</v>
      </c>
      <c r="C18" s="71">
        <v>39797</v>
      </c>
      <c r="D18" s="72">
        <v>0</v>
      </c>
      <c r="E18" s="73">
        <v>0</v>
      </c>
      <c r="F18" s="73">
        <v>0.2</v>
      </c>
      <c r="G18" s="73">
        <v>16.7</v>
      </c>
      <c r="H18" s="73">
        <v>40.4</v>
      </c>
      <c r="I18" s="73">
        <v>60.4</v>
      </c>
      <c r="J18" s="73">
        <v>76.599999999999994</v>
      </c>
      <c r="K18" s="73">
        <v>87.5</v>
      </c>
      <c r="L18" s="74">
        <v>100</v>
      </c>
      <c r="M18" s="75">
        <f t="shared" si="1"/>
        <v>4.75</v>
      </c>
      <c r="N18" s="76">
        <f t="shared" si="0"/>
        <v>2.8179999999999996</v>
      </c>
      <c r="O18" s="77" t="s">
        <v>24</v>
      </c>
      <c r="P18" s="77" t="s">
        <v>24</v>
      </c>
      <c r="Q18" s="77" t="s">
        <v>24</v>
      </c>
      <c r="R18" s="77" t="s">
        <v>24</v>
      </c>
      <c r="S18" s="77" t="s">
        <v>24</v>
      </c>
      <c r="T18" s="79" t="s">
        <v>69</v>
      </c>
      <c r="U18" s="80" t="s">
        <v>75</v>
      </c>
      <c r="V18" s="3"/>
      <c r="Z18" s="1"/>
    </row>
    <row r="19" spans="1:26" ht="27" customHeight="1" x14ac:dyDescent="0.25">
      <c r="A19" s="69">
        <v>39783</v>
      </c>
      <c r="B19" s="70">
        <v>13</v>
      </c>
      <c r="C19" s="71">
        <v>39800</v>
      </c>
      <c r="D19" s="72">
        <v>0</v>
      </c>
      <c r="E19" s="73">
        <v>0</v>
      </c>
      <c r="F19" s="73">
        <v>0.3</v>
      </c>
      <c r="G19" s="73">
        <v>21.5</v>
      </c>
      <c r="H19" s="73">
        <v>46.5</v>
      </c>
      <c r="I19" s="73">
        <v>65.3</v>
      </c>
      <c r="J19" s="73">
        <v>80.2</v>
      </c>
      <c r="K19" s="73">
        <v>89.6</v>
      </c>
      <c r="L19" s="74">
        <v>100</v>
      </c>
      <c r="M19" s="75">
        <f t="shared" si="1"/>
        <v>4.75</v>
      </c>
      <c r="N19" s="76">
        <f t="shared" si="0"/>
        <v>3.0339999999999998</v>
      </c>
      <c r="O19" s="77">
        <v>8.6999999999999993</v>
      </c>
      <c r="P19" s="77" t="s">
        <v>24</v>
      </c>
      <c r="Q19" s="78">
        <v>2.68</v>
      </c>
      <c r="R19" s="78">
        <v>1.5</v>
      </c>
      <c r="S19" s="77">
        <v>1.2</v>
      </c>
      <c r="T19" s="79" t="s">
        <v>82</v>
      </c>
      <c r="U19" s="80" t="s">
        <v>75</v>
      </c>
      <c r="V19" s="3"/>
      <c r="Z19" s="1"/>
    </row>
    <row r="20" spans="1:26" ht="27" customHeight="1" x14ac:dyDescent="0.25">
      <c r="A20" s="69">
        <v>39814</v>
      </c>
      <c r="B20" s="70">
        <v>14</v>
      </c>
      <c r="C20" s="71">
        <v>39815</v>
      </c>
      <c r="D20" s="72">
        <v>0</v>
      </c>
      <c r="E20" s="73">
        <v>0</v>
      </c>
      <c r="F20" s="73">
        <v>0.2</v>
      </c>
      <c r="G20" s="73">
        <v>17.7</v>
      </c>
      <c r="H20" s="73">
        <v>42.2</v>
      </c>
      <c r="I20" s="73">
        <v>62.1</v>
      </c>
      <c r="J20" s="73">
        <v>78.2</v>
      </c>
      <c r="K20" s="73">
        <v>88.3</v>
      </c>
      <c r="L20" s="74">
        <v>100</v>
      </c>
      <c r="M20" s="75">
        <f t="shared" si="1"/>
        <v>4.75</v>
      </c>
      <c r="N20" s="76">
        <f t="shared" si="0"/>
        <v>2.887</v>
      </c>
      <c r="O20" s="77" t="s">
        <v>24</v>
      </c>
      <c r="P20" s="77" t="s">
        <v>24</v>
      </c>
      <c r="Q20" s="77" t="s">
        <v>24</v>
      </c>
      <c r="R20" s="77" t="s">
        <v>24</v>
      </c>
      <c r="S20" s="77" t="s">
        <v>24</v>
      </c>
      <c r="T20" s="79" t="s">
        <v>82</v>
      </c>
      <c r="U20" s="80" t="s">
        <v>75</v>
      </c>
      <c r="V20" s="3"/>
      <c r="Z20" s="1"/>
    </row>
    <row r="21" spans="1:26" ht="27" customHeight="1" x14ac:dyDescent="0.25">
      <c r="A21" s="69">
        <v>39815</v>
      </c>
      <c r="B21" s="70">
        <v>15</v>
      </c>
      <c r="C21" s="71">
        <v>39821</v>
      </c>
      <c r="D21" s="72">
        <v>0</v>
      </c>
      <c r="E21" s="73">
        <v>0</v>
      </c>
      <c r="F21" s="73">
        <v>0.2</v>
      </c>
      <c r="G21" s="73">
        <v>20.6</v>
      </c>
      <c r="H21" s="73">
        <v>44.2</v>
      </c>
      <c r="I21" s="73">
        <v>62.4</v>
      </c>
      <c r="J21" s="73">
        <v>77.599999999999994</v>
      </c>
      <c r="K21" s="73">
        <v>87.9</v>
      </c>
      <c r="L21" s="74">
        <v>100</v>
      </c>
      <c r="M21" s="75">
        <f t="shared" si="1"/>
        <v>4.75</v>
      </c>
      <c r="N21" s="76">
        <f t="shared" si="0"/>
        <v>2.9289999999999998</v>
      </c>
      <c r="O21" s="77">
        <v>9.3000000000000007</v>
      </c>
      <c r="P21" s="77" t="s">
        <v>24</v>
      </c>
      <c r="Q21" s="78">
        <v>2.68</v>
      </c>
      <c r="R21" s="78">
        <v>1.5</v>
      </c>
      <c r="S21" s="77">
        <v>1.2</v>
      </c>
      <c r="T21" s="79" t="s">
        <v>82</v>
      </c>
      <c r="U21" s="80" t="s">
        <v>75</v>
      </c>
      <c r="V21" s="3"/>
      <c r="Z21" s="1"/>
    </row>
    <row r="22" spans="1:26" ht="27" customHeight="1" x14ac:dyDescent="0.25">
      <c r="A22" s="69">
        <v>39816</v>
      </c>
      <c r="B22" s="70">
        <v>16</v>
      </c>
      <c r="C22" s="71">
        <v>39825</v>
      </c>
      <c r="D22" s="72">
        <v>0</v>
      </c>
      <c r="E22" s="73">
        <v>0</v>
      </c>
      <c r="F22" s="73">
        <v>0</v>
      </c>
      <c r="G22" s="73">
        <v>22.1</v>
      </c>
      <c r="H22" s="73">
        <v>46.5</v>
      </c>
      <c r="I22" s="73">
        <v>63.3</v>
      </c>
      <c r="J22" s="73">
        <v>77.5</v>
      </c>
      <c r="K22" s="73">
        <v>87.5</v>
      </c>
      <c r="L22" s="74">
        <v>100</v>
      </c>
      <c r="M22" s="75">
        <f t="shared" si="1"/>
        <v>4.75</v>
      </c>
      <c r="N22" s="76">
        <f t="shared" si="0"/>
        <v>2.9689999999999999</v>
      </c>
      <c r="O22" s="77" t="s">
        <v>24</v>
      </c>
      <c r="P22" s="77" t="s">
        <v>24</v>
      </c>
      <c r="Q22" s="77" t="s">
        <v>24</v>
      </c>
      <c r="R22" s="77" t="s">
        <v>24</v>
      </c>
      <c r="S22" s="77" t="s">
        <v>24</v>
      </c>
      <c r="T22" s="79" t="s">
        <v>82</v>
      </c>
      <c r="U22" s="80" t="s">
        <v>75</v>
      </c>
      <c r="V22" s="3"/>
      <c r="Z22" s="1"/>
    </row>
    <row r="23" spans="1:26" ht="27" customHeight="1" x14ac:dyDescent="0.25">
      <c r="A23" s="69">
        <v>39817</v>
      </c>
      <c r="B23" s="70">
        <v>17</v>
      </c>
      <c r="C23" s="71">
        <v>39828</v>
      </c>
      <c r="D23" s="72">
        <v>0</v>
      </c>
      <c r="E23" s="73">
        <v>0</v>
      </c>
      <c r="F23" s="73">
        <v>0.2</v>
      </c>
      <c r="G23" s="73">
        <v>19.100000000000001</v>
      </c>
      <c r="H23" s="73">
        <v>42.4</v>
      </c>
      <c r="I23" s="73">
        <v>61.2</v>
      </c>
      <c r="J23" s="73">
        <v>77.400000000000006</v>
      </c>
      <c r="K23" s="73">
        <v>88.3</v>
      </c>
      <c r="L23" s="74">
        <v>100</v>
      </c>
      <c r="M23" s="75">
        <f t="shared" si="1"/>
        <v>4.75</v>
      </c>
      <c r="N23" s="76">
        <f t="shared" si="0"/>
        <v>2.8860000000000001</v>
      </c>
      <c r="O23" s="77">
        <v>8.3000000000000007</v>
      </c>
      <c r="P23" s="77" t="s">
        <v>24</v>
      </c>
      <c r="Q23" s="78">
        <v>2.67</v>
      </c>
      <c r="R23" s="78">
        <v>1.51</v>
      </c>
      <c r="S23" s="77">
        <v>1.1000000000000001</v>
      </c>
      <c r="T23" s="79" t="s">
        <v>82</v>
      </c>
      <c r="U23" s="80" t="s">
        <v>75</v>
      </c>
      <c r="V23" s="3"/>
      <c r="Z23" s="1"/>
    </row>
    <row r="24" spans="1:26" ht="27" customHeight="1" x14ac:dyDescent="0.25">
      <c r="A24" s="69">
        <v>39817</v>
      </c>
      <c r="B24" s="70">
        <v>18</v>
      </c>
      <c r="C24" s="71">
        <v>39833</v>
      </c>
      <c r="D24" s="72">
        <v>0</v>
      </c>
      <c r="E24" s="73">
        <v>0</v>
      </c>
      <c r="F24" s="73">
        <v>0.4</v>
      </c>
      <c r="G24" s="73">
        <v>19.100000000000001</v>
      </c>
      <c r="H24" s="73">
        <v>42.4</v>
      </c>
      <c r="I24" s="73">
        <v>61.1</v>
      </c>
      <c r="J24" s="73">
        <v>76.099999999999994</v>
      </c>
      <c r="K24" s="73">
        <v>86.4</v>
      </c>
      <c r="L24" s="74">
        <v>100</v>
      </c>
      <c r="M24" s="75">
        <f t="shared" si="1"/>
        <v>4.75</v>
      </c>
      <c r="N24" s="76">
        <f t="shared" si="0"/>
        <v>2.855</v>
      </c>
      <c r="O24" s="77" t="s">
        <v>24</v>
      </c>
      <c r="P24" s="77" t="s">
        <v>24</v>
      </c>
      <c r="Q24" s="77" t="s">
        <v>24</v>
      </c>
      <c r="R24" s="77" t="s">
        <v>24</v>
      </c>
      <c r="S24" s="77" t="s">
        <v>24</v>
      </c>
      <c r="T24" s="79" t="s">
        <v>82</v>
      </c>
      <c r="U24" s="80" t="s">
        <v>75</v>
      </c>
      <c r="V24" s="3"/>
      <c r="Z24" s="1"/>
    </row>
    <row r="25" spans="1:26" ht="27" customHeight="1" x14ac:dyDescent="0.25">
      <c r="A25" s="69">
        <v>39817</v>
      </c>
      <c r="B25" s="70">
        <v>19</v>
      </c>
      <c r="C25" s="71">
        <v>39835</v>
      </c>
      <c r="D25" s="72">
        <v>0</v>
      </c>
      <c r="E25" s="73">
        <v>0</v>
      </c>
      <c r="F25" s="73">
        <v>0.4</v>
      </c>
      <c r="G25" s="73">
        <v>17.600000000000001</v>
      </c>
      <c r="H25" s="73">
        <v>41.8</v>
      </c>
      <c r="I25" s="73">
        <v>62.2</v>
      </c>
      <c r="J25" s="73">
        <v>78.5</v>
      </c>
      <c r="K25" s="73">
        <v>88.7</v>
      </c>
      <c r="L25" s="74">
        <v>100</v>
      </c>
      <c r="M25" s="75">
        <f t="shared" si="1"/>
        <v>4.75</v>
      </c>
      <c r="N25" s="76">
        <f t="shared" si="0"/>
        <v>2.8919999999999999</v>
      </c>
      <c r="O25" s="77" t="s">
        <v>24</v>
      </c>
      <c r="P25" s="77" t="s">
        <v>24</v>
      </c>
      <c r="Q25" s="77" t="s">
        <v>24</v>
      </c>
      <c r="R25" s="77" t="s">
        <v>24</v>
      </c>
      <c r="S25" s="77" t="s">
        <v>24</v>
      </c>
      <c r="T25" s="79" t="s">
        <v>82</v>
      </c>
      <c r="U25" s="80" t="s">
        <v>75</v>
      </c>
      <c r="V25" s="3"/>
      <c r="Z25" s="1"/>
    </row>
    <row r="26" spans="1:26" ht="27" customHeight="1" x14ac:dyDescent="0.25">
      <c r="A26" s="492" t="s">
        <v>86</v>
      </c>
      <c r="B26" s="493"/>
      <c r="C26" s="493"/>
      <c r="D26" s="493"/>
      <c r="E26" s="493"/>
      <c r="F26" s="493"/>
      <c r="G26" s="493"/>
      <c r="H26" s="493"/>
      <c r="I26" s="493"/>
      <c r="J26" s="493"/>
      <c r="K26" s="493"/>
      <c r="L26" s="493"/>
      <c r="M26" s="493"/>
      <c r="N26" s="493"/>
      <c r="O26" s="493"/>
      <c r="P26" s="493"/>
      <c r="Q26" s="493"/>
      <c r="R26" s="493"/>
      <c r="S26" s="493"/>
      <c r="T26" s="493"/>
      <c r="U26" s="494"/>
      <c r="V26" s="3"/>
      <c r="Z26" s="1"/>
    </row>
    <row r="27" spans="1:26" ht="27" customHeight="1" x14ac:dyDescent="0.25">
      <c r="A27" s="69"/>
      <c r="B27" s="70"/>
      <c r="C27" s="71"/>
      <c r="D27" s="72"/>
      <c r="E27" s="73"/>
      <c r="F27" s="73"/>
      <c r="G27" s="73"/>
      <c r="H27" s="73"/>
      <c r="I27" s="73"/>
      <c r="J27" s="73"/>
      <c r="K27" s="73"/>
      <c r="L27" s="74"/>
      <c r="M27" s="75" t="str">
        <f t="shared" si="1"/>
        <v/>
      </c>
      <c r="N27" s="76" t="str">
        <f t="shared" si="0"/>
        <v/>
      </c>
      <c r="O27" s="77"/>
      <c r="P27" s="77"/>
      <c r="Q27" s="78"/>
      <c r="R27" s="78"/>
      <c r="S27" s="77"/>
      <c r="T27" s="79"/>
      <c r="U27" s="80"/>
      <c r="V27" s="3"/>
      <c r="Z27" s="1"/>
    </row>
    <row r="28" spans="1:26" ht="27" customHeight="1" x14ac:dyDescent="0.25">
      <c r="A28" s="69"/>
      <c r="B28" s="70"/>
      <c r="C28" s="71"/>
      <c r="D28" s="72"/>
      <c r="E28" s="73"/>
      <c r="F28" s="73"/>
      <c r="G28" s="73"/>
      <c r="H28" s="73"/>
      <c r="I28" s="73"/>
      <c r="J28" s="73"/>
      <c r="K28" s="73"/>
      <c r="L28" s="74"/>
      <c r="M28" s="75" t="str">
        <f t="shared" si="1"/>
        <v/>
      </c>
      <c r="N28" s="76" t="str">
        <f t="shared" si="0"/>
        <v/>
      </c>
      <c r="O28" s="77"/>
      <c r="P28" s="77"/>
      <c r="Q28" s="78"/>
      <c r="R28" s="78"/>
      <c r="S28" s="77"/>
      <c r="T28" s="79"/>
      <c r="U28" s="80"/>
      <c r="V28" s="3"/>
      <c r="Z28" s="1"/>
    </row>
    <row r="29" spans="1:26" ht="27" customHeight="1" x14ac:dyDescent="0.25">
      <c r="A29" s="69"/>
      <c r="B29" s="70"/>
      <c r="C29" s="71"/>
      <c r="D29" s="72"/>
      <c r="E29" s="73"/>
      <c r="F29" s="73"/>
      <c r="G29" s="73"/>
      <c r="H29" s="73"/>
      <c r="I29" s="73"/>
      <c r="J29" s="73"/>
      <c r="K29" s="73"/>
      <c r="L29" s="74"/>
      <c r="M29" s="75" t="str">
        <f t="shared" si="1"/>
        <v/>
      </c>
      <c r="N29" s="76" t="str">
        <f t="shared" si="0"/>
        <v/>
      </c>
      <c r="O29" s="77"/>
      <c r="P29" s="77"/>
      <c r="Q29" s="78"/>
      <c r="R29" s="78"/>
      <c r="S29" s="77"/>
      <c r="T29" s="79"/>
      <c r="U29" s="80"/>
      <c r="V29" s="3"/>
      <c r="Z29" s="1"/>
    </row>
    <row r="30" spans="1:26" ht="27" customHeight="1" x14ac:dyDescent="0.25">
      <c r="A30" s="69"/>
      <c r="B30" s="70"/>
      <c r="C30" s="71"/>
      <c r="D30" s="72"/>
      <c r="E30" s="73"/>
      <c r="F30" s="73"/>
      <c r="G30" s="73"/>
      <c r="H30" s="73"/>
      <c r="I30" s="73"/>
      <c r="J30" s="73"/>
      <c r="K30" s="73"/>
      <c r="L30" s="74"/>
      <c r="M30" s="75" t="str">
        <f>IF(B30="","",IF(E30&gt;5,D$6,IF(F30&gt;5,E$6,IF(G30&gt;5,F$6,IF(H30&gt;5,G$6,IF(I30&gt;5,H$6,IF(J30&gt;5,I$6,IF(K30&gt;5,J$6))))))))</f>
        <v/>
      </c>
      <c r="N30" s="76" t="str">
        <f t="shared" si="0"/>
        <v/>
      </c>
      <c r="O30" s="77"/>
      <c r="P30" s="77"/>
      <c r="Q30" s="78"/>
      <c r="R30" s="78"/>
      <c r="S30" s="77"/>
      <c r="T30" s="79"/>
      <c r="U30" s="80"/>
      <c r="V30" s="3"/>
      <c r="Z30" s="1"/>
    </row>
    <row r="31" spans="1:26" ht="27" customHeight="1" x14ac:dyDescent="0.25">
      <c r="A31" s="69"/>
      <c r="B31" s="70"/>
      <c r="C31" s="71"/>
      <c r="D31" s="72"/>
      <c r="E31" s="73"/>
      <c r="F31" s="73"/>
      <c r="G31" s="73"/>
      <c r="H31" s="73"/>
      <c r="I31" s="73"/>
      <c r="J31" s="73"/>
      <c r="K31" s="73"/>
      <c r="L31" s="74"/>
      <c r="M31" s="75"/>
      <c r="N31" s="76"/>
      <c r="O31" s="77"/>
      <c r="P31" s="77"/>
      <c r="Q31" s="78"/>
      <c r="R31" s="78"/>
      <c r="S31" s="77"/>
      <c r="T31" s="79"/>
      <c r="U31" s="80"/>
      <c r="V31" s="3"/>
      <c r="Z31" s="1"/>
    </row>
    <row r="32" spans="1:26" ht="27" customHeight="1" x14ac:dyDescent="0.25">
      <c r="A32" s="69"/>
      <c r="B32" s="70"/>
      <c r="C32" s="71"/>
      <c r="D32" s="72"/>
      <c r="E32" s="73"/>
      <c r="F32" s="73"/>
      <c r="G32" s="73"/>
      <c r="H32" s="73"/>
      <c r="I32" s="73"/>
      <c r="J32" s="73"/>
      <c r="K32" s="73"/>
      <c r="L32" s="74"/>
      <c r="M32" s="75" t="str">
        <f t="shared" si="1"/>
        <v/>
      </c>
      <c r="N32" s="76" t="str">
        <f t="shared" si="0"/>
        <v/>
      </c>
      <c r="O32" s="77"/>
      <c r="P32" s="77"/>
      <c r="Q32" s="78"/>
      <c r="R32" s="78"/>
      <c r="S32" s="77"/>
      <c r="T32" s="79"/>
      <c r="U32" s="80"/>
      <c r="V32" s="3"/>
      <c r="Z32" s="1"/>
    </row>
    <row r="33" spans="1:26" ht="27" customHeight="1" x14ac:dyDescent="0.25">
      <c r="A33" s="69"/>
      <c r="B33" s="70"/>
      <c r="C33" s="71"/>
      <c r="D33" s="72"/>
      <c r="E33" s="73"/>
      <c r="F33" s="73"/>
      <c r="G33" s="73"/>
      <c r="H33" s="73"/>
      <c r="I33" s="73"/>
      <c r="J33" s="73"/>
      <c r="K33" s="73"/>
      <c r="L33" s="74"/>
      <c r="M33" s="75" t="str">
        <f t="shared" si="1"/>
        <v/>
      </c>
      <c r="N33" s="76" t="str">
        <f t="shared" si="0"/>
        <v/>
      </c>
      <c r="O33" s="77"/>
      <c r="P33" s="77"/>
      <c r="Q33" s="78"/>
      <c r="R33" s="78"/>
      <c r="S33" s="77"/>
      <c r="T33" s="79"/>
      <c r="U33" s="80"/>
      <c r="V33" s="3"/>
      <c r="Z33" s="1"/>
    </row>
    <row r="34" spans="1:26" ht="27" customHeight="1" thickBot="1" x14ac:dyDescent="0.3">
      <c r="A34" s="69"/>
      <c r="B34" s="70"/>
      <c r="C34" s="71"/>
      <c r="D34" s="72"/>
      <c r="E34" s="73"/>
      <c r="F34" s="73"/>
      <c r="G34" s="73"/>
      <c r="H34" s="73"/>
      <c r="I34" s="73"/>
      <c r="J34" s="73"/>
      <c r="K34" s="73"/>
      <c r="L34" s="74"/>
      <c r="M34" s="75" t="str">
        <f t="shared" si="1"/>
        <v/>
      </c>
      <c r="N34" s="76" t="str">
        <f t="shared" si="0"/>
        <v/>
      </c>
      <c r="O34" s="77"/>
      <c r="P34" s="77"/>
      <c r="Q34" s="78"/>
      <c r="R34" s="78"/>
      <c r="S34" s="77"/>
      <c r="T34" s="79"/>
      <c r="U34" s="80"/>
      <c r="V34" s="3"/>
      <c r="Z34" s="1"/>
    </row>
    <row r="35" spans="1:26" ht="27" hidden="1" customHeight="1" thickBot="1" x14ac:dyDescent="0.3">
      <c r="A35" s="81"/>
      <c r="B35" s="82"/>
      <c r="C35" s="83"/>
      <c r="D35" s="96"/>
      <c r="E35" s="84"/>
      <c r="F35" s="84"/>
      <c r="G35" s="84"/>
      <c r="H35" s="84"/>
      <c r="I35" s="84"/>
      <c r="J35" s="84"/>
      <c r="K35" s="84"/>
      <c r="L35" s="85"/>
      <c r="M35" s="75" t="str">
        <f t="shared" si="1"/>
        <v/>
      </c>
      <c r="N35" s="76" t="str">
        <f t="shared" si="0"/>
        <v/>
      </c>
      <c r="O35" s="86"/>
      <c r="P35" s="86"/>
      <c r="Q35" s="87"/>
      <c r="R35" s="78"/>
      <c r="S35" s="86"/>
      <c r="T35" s="88"/>
      <c r="U35" s="89"/>
      <c r="V35" s="3"/>
      <c r="Z35" s="1"/>
    </row>
    <row r="36" spans="1:26" ht="27" customHeight="1" thickTop="1" x14ac:dyDescent="0.25">
      <c r="A36" s="456" t="s">
        <v>0</v>
      </c>
      <c r="B36" s="457"/>
      <c r="C36" s="458"/>
      <c r="D36" s="21">
        <f t="shared" ref="D36:S36" si="2">AVERAGE(D7:D35)</f>
        <v>0</v>
      </c>
      <c r="E36" s="22">
        <f t="shared" si="2"/>
        <v>0</v>
      </c>
      <c r="F36" s="22">
        <f t="shared" si="2"/>
        <v>0.26315789473684215</v>
      </c>
      <c r="G36" s="22">
        <f t="shared" si="2"/>
        <v>19.763157894736846</v>
      </c>
      <c r="H36" s="22">
        <f t="shared" si="2"/>
        <v>43.842105263157897</v>
      </c>
      <c r="I36" s="22">
        <f>AVERAGE(I7:I35)</f>
        <v>62.415789473684207</v>
      </c>
      <c r="J36" s="22">
        <f t="shared" si="2"/>
        <v>77.921052631578945</v>
      </c>
      <c r="K36" s="22">
        <f t="shared" si="2"/>
        <v>87.936842105263153</v>
      </c>
      <c r="L36" s="23">
        <f t="shared" si="2"/>
        <v>100</v>
      </c>
      <c r="M36" s="25" t="s">
        <v>24</v>
      </c>
      <c r="N36" s="25">
        <f t="shared" si="2"/>
        <v>2.9214210526315791</v>
      </c>
      <c r="O36" s="25">
        <f t="shared" si="2"/>
        <v>8.0625</v>
      </c>
      <c r="P36" s="25" t="e">
        <f t="shared" si="2"/>
        <v>#DIV/0!</v>
      </c>
      <c r="Q36" s="26">
        <f t="shared" si="2"/>
        <v>2.6733333333333333</v>
      </c>
      <c r="R36" s="26">
        <f t="shared" si="2"/>
        <v>1.4883333333333333</v>
      </c>
      <c r="S36" s="25">
        <f t="shared" si="2"/>
        <v>1.2166666666666668</v>
      </c>
      <c r="T36" s="27"/>
      <c r="U36" s="28"/>
      <c r="V36" s="3"/>
      <c r="Z36" s="1"/>
    </row>
    <row r="37" spans="1:26" ht="27" customHeight="1" x14ac:dyDescent="0.25">
      <c r="A37" s="450" t="s">
        <v>26</v>
      </c>
      <c r="B37" s="451"/>
      <c r="C37" s="452"/>
      <c r="D37" s="29">
        <f>MAX(D7:D35)</f>
        <v>0</v>
      </c>
      <c r="E37" s="30">
        <f>MAX(E7:E35)</f>
        <v>0</v>
      </c>
      <c r="F37" s="30">
        <f>MAX(F7:F35)</f>
        <v>1.1000000000000001</v>
      </c>
      <c r="G37" s="30">
        <f t="shared" ref="G37:S37" si="3">MAX(G7:G35)</f>
        <v>27.6</v>
      </c>
      <c r="H37" s="30">
        <f t="shared" si="3"/>
        <v>52.8</v>
      </c>
      <c r="I37" s="30">
        <f t="shared" si="3"/>
        <v>70.3</v>
      </c>
      <c r="J37" s="30">
        <f t="shared" si="3"/>
        <v>83.7</v>
      </c>
      <c r="K37" s="30">
        <f t="shared" si="3"/>
        <v>91.3</v>
      </c>
      <c r="L37" s="31">
        <f t="shared" si="3"/>
        <v>100</v>
      </c>
      <c r="M37" s="32">
        <f>MAX(M7:M35)</f>
        <v>4.75</v>
      </c>
      <c r="N37" s="33">
        <f t="shared" si="3"/>
        <v>3.2549999999999999</v>
      </c>
      <c r="O37" s="33">
        <f t="shared" si="3"/>
        <v>9.3000000000000007</v>
      </c>
      <c r="P37" s="33">
        <f t="shared" si="3"/>
        <v>0</v>
      </c>
      <c r="Q37" s="34">
        <f t="shared" si="3"/>
        <v>2.68</v>
      </c>
      <c r="R37" s="34">
        <f>MAX(R7:R35)</f>
        <v>1.51</v>
      </c>
      <c r="S37" s="33">
        <f t="shared" si="3"/>
        <v>1.4</v>
      </c>
      <c r="T37" s="35"/>
      <c r="U37" s="36"/>
    </row>
    <row r="38" spans="1:26" ht="27" customHeight="1" x14ac:dyDescent="0.25">
      <c r="A38" s="450" t="s">
        <v>25</v>
      </c>
      <c r="B38" s="451"/>
      <c r="C38" s="452"/>
      <c r="D38" s="29">
        <f>MIN(D7:D35)</f>
        <v>0</v>
      </c>
      <c r="E38" s="30">
        <f t="shared" ref="E38:L38" si="4">MIN(E7:E35)</f>
        <v>0</v>
      </c>
      <c r="F38" s="30">
        <f t="shared" si="4"/>
        <v>0</v>
      </c>
      <c r="G38" s="30">
        <f t="shared" si="4"/>
        <v>13.1</v>
      </c>
      <c r="H38" s="30">
        <f t="shared" si="4"/>
        <v>34.5</v>
      </c>
      <c r="I38" s="30">
        <f t="shared" si="4"/>
        <v>54.3</v>
      </c>
      <c r="J38" s="30">
        <f t="shared" si="4"/>
        <v>72.2</v>
      </c>
      <c r="K38" s="30">
        <f t="shared" si="4"/>
        <v>84.6</v>
      </c>
      <c r="L38" s="31">
        <f t="shared" si="4"/>
        <v>100</v>
      </c>
      <c r="M38" s="37" t="s">
        <v>24</v>
      </c>
      <c r="N38" s="33">
        <f t="shared" ref="N38:S38" si="5">MIN(N7:N35)</f>
        <v>2.5950000000000002</v>
      </c>
      <c r="O38" s="33">
        <f t="shared" si="5"/>
        <v>5.9</v>
      </c>
      <c r="P38" s="33">
        <f t="shared" si="5"/>
        <v>0</v>
      </c>
      <c r="Q38" s="34">
        <f t="shared" si="5"/>
        <v>2.65</v>
      </c>
      <c r="R38" s="34">
        <f t="shared" si="5"/>
        <v>1.44</v>
      </c>
      <c r="S38" s="33">
        <f t="shared" si="5"/>
        <v>1.1000000000000001</v>
      </c>
      <c r="T38" s="35"/>
      <c r="U38" s="36"/>
    </row>
    <row r="39" spans="1:26" ht="27" customHeight="1" thickBot="1" x14ac:dyDescent="0.3">
      <c r="A39" s="453" t="s">
        <v>1</v>
      </c>
      <c r="B39" s="454"/>
      <c r="C39" s="455"/>
      <c r="D39" s="38">
        <f>STDEV(D7:D35)</f>
        <v>0</v>
      </c>
      <c r="E39" s="39">
        <f t="shared" ref="E39:L39" si="6">STDEV(E7:E35)</f>
        <v>0</v>
      </c>
      <c r="F39" s="39">
        <f t="shared" si="6"/>
        <v>0.26291216597476785</v>
      </c>
      <c r="G39" s="39">
        <f t="shared" si="6"/>
        <v>3.5932360107902293</v>
      </c>
      <c r="H39" s="39">
        <f t="shared" si="6"/>
        <v>4.6496494239976407</v>
      </c>
      <c r="I39" s="39">
        <f t="shared" si="6"/>
        <v>3.9668435755921072</v>
      </c>
      <c r="J39" s="39">
        <f t="shared" si="6"/>
        <v>2.7857931141514802</v>
      </c>
      <c r="K39" s="39">
        <f t="shared" si="6"/>
        <v>1.7269789055894322</v>
      </c>
      <c r="L39" s="40">
        <f t="shared" si="6"/>
        <v>0</v>
      </c>
      <c r="M39" s="41" t="s">
        <v>24</v>
      </c>
      <c r="N39" s="42">
        <f t="shared" ref="N39:S39" si="7">STDEV(N7:N35)</f>
        <v>0.16134618261141118</v>
      </c>
      <c r="O39" s="42">
        <f t="shared" si="7"/>
        <v>1.0418904521521031</v>
      </c>
      <c r="P39" s="42" t="e">
        <f t="shared" si="7"/>
        <v>#DIV/0!</v>
      </c>
      <c r="Q39" s="43">
        <f t="shared" si="7"/>
        <v>1.2110601416390072E-2</v>
      </c>
      <c r="R39" s="43">
        <f t="shared" si="7"/>
        <v>2.5625508125043446E-2</v>
      </c>
      <c r="S39" s="42">
        <f t="shared" si="7"/>
        <v>9.8319208025017465E-2</v>
      </c>
      <c r="T39" s="44"/>
      <c r="U39" s="45"/>
    </row>
    <row r="40" spans="1:26" ht="13" thickBo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46"/>
      <c r="O40" s="47"/>
      <c r="P40" s="47"/>
      <c r="Q40" s="46"/>
      <c r="R40" s="46"/>
      <c r="S40" s="47"/>
      <c r="T40" s="5"/>
      <c r="U40" s="5"/>
    </row>
    <row r="41" spans="1:26" ht="22.5" customHeight="1" thickBot="1" x14ac:dyDescent="0.3">
      <c r="A41" s="355" t="s">
        <v>39</v>
      </c>
      <c r="B41" s="356"/>
      <c r="C41" s="356"/>
      <c r="D41" s="356"/>
      <c r="E41" s="356"/>
      <c r="F41" s="356"/>
      <c r="G41" s="356"/>
      <c r="H41" s="356"/>
      <c r="I41" s="356"/>
      <c r="J41" s="356"/>
      <c r="K41" s="356"/>
      <c r="L41" s="356"/>
      <c r="M41" s="444" t="s">
        <v>34</v>
      </c>
      <c r="N41" s="445"/>
      <c r="O41" s="445"/>
      <c r="P41" s="445"/>
      <c r="Q41" s="445"/>
      <c r="R41" s="445"/>
      <c r="S41" s="446"/>
      <c r="T41" s="5"/>
      <c r="U41" s="5"/>
    </row>
    <row r="42" spans="1:26" ht="20.25" customHeight="1" x14ac:dyDescent="0.25">
      <c r="A42" s="359" t="s">
        <v>35</v>
      </c>
      <c r="B42" s="360"/>
      <c r="C42" s="360"/>
      <c r="D42" s="48">
        <f>100-D46</f>
        <v>100</v>
      </c>
      <c r="E42" s="48">
        <f>100-E46</f>
        <v>100</v>
      </c>
      <c r="F42" s="48">
        <f t="shared" ref="F42:K42" si="8">100-F46</f>
        <v>95</v>
      </c>
      <c r="G42" s="48">
        <f t="shared" si="8"/>
        <v>80</v>
      </c>
      <c r="H42" s="48">
        <f t="shared" si="8"/>
        <v>70</v>
      </c>
      <c r="I42" s="48">
        <f t="shared" si="8"/>
        <v>45</v>
      </c>
      <c r="J42" s="48">
        <f t="shared" si="8"/>
        <v>15</v>
      </c>
      <c r="K42" s="48">
        <f t="shared" si="8"/>
        <v>5</v>
      </c>
      <c r="L42" s="50" t="s">
        <v>24</v>
      </c>
      <c r="M42" s="459" t="s">
        <v>51</v>
      </c>
      <c r="N42" s="433"/>
      <c r="O42" s="433" t="s">
        <v>50</v>
      </c>
      <c r="P42" s="489" t="s">
        <v>40</v>
      </c>
      <c r="Q42" s="433" t="s">
        <v>52</v>
      </c>
      <c r="R42" s="433"/>
      <c r="S42" s="436"/>
      <c r="T42" s="5"/>
      <c r="U42" s="5"/>
    </row>
    <row r="43" spans="1:26" ht="20.25" customHeight="1" x14ac:dyDescent="0.25">
      <c r="A43" s="345"/>
      <c r="B43" s="346"/>
      <c r="C43" s="346"/>
      <c r="D43" s="51">
        <f>100-D47</f>
        <v>100</v>
      </c>
      <c r="E43" s="51">
        <f t="shared" ref="E43:K45" si="9">100-E47</f>
        <v>100</v>
      </c>
      <c r="F43" s="51">
        <f t="shared" si="9"/>
        <v>100</v>
      </c>
      <c r="G43" s="51">
        <f t="shared" si="9"/>
        <v>90</v>
      </c>
      <c r="H43" s="51">
        <f t="shared" si="9"/>
        <v>80</v>
      </c>
      <c r="I43" s="51">
        <f t="shared" si="9"/>
        <v>65</v>
      </c>
      <c r="J43" s="51">
        <f t="shared" si="9"/>
        <v>35</v>
      </c>
      <c r="K43" s="51">
        <f t="shared" si="9"/>
        <v>10</v>
      </c>
      <c r="L43" s="53" t="s">
        <v>24</v>
      </c>
      <c r="M43" s="460"/>
      <c r="N43" s="434"/>
      <c r="O43" s="434"/>
      <c r="P43" s="490"/>
      <c r="Q43" s="434"/>
      <c r="R43" s="434"/>
      <c r="S43" s="437"/>
      <c r="T43" s="5"/>
      <c r="U43" s="5"/>
    </row>
    <row r="44" spans="1:26" ht="20.25" customHeight="1" x14ac:dyDescent="0.25">
      <c r="A44" s="345" t="s">
        <v>36</v>
      </c>
      <c r="B44" s="346"/>
      <c r="C44" s="346"/>
      <c r="D44" s="51">
        <f>100-D48</f>
        <v>100</v>
      </c>
      <c r="E44" s="51">
        <f t="shared" si="9"/>
        <v>93</v>
      </c>
      <c r="F44" s="51">
        <f t="shared" si="9"/>
        <v>90</v>
      </c>
      <c r="G44" s="51">
        <f t="shared" si="9"/>
        <v>75</v>
      </c>
      <c r="H44" s="51">
        <f t="shared" si="9"/>
        <v>50</v>
      </c>
      <c r="I44" s="51">
        <f t="shared" si="9"/>
        <v>30</v>
      </c>
      <c r="J44" s="51">
        <f t="shared" si="9"/>
        <v>5</v>
      </c>
      <c r="K44" s="51">
        <f t="shared" si="9"/>
        <v>0</v>
      </c>
      <c r="L44" s="53" t="s">
        <v>24</v>
      </c>
      <c r="M44" s="460"/>
      <c r="N44" s="434"/>
      <c r="O44" s="434"/>
      <c r="P44" s="490"/>
      <c r="Q44" s="434"/>
      <c r="R44" s="434"/>
      <c r="S44" s="437"/>
      <c r="T44" s="5"/>
      <c r="U44" s="5"/>
    </row>
    <row r="45" spans="1:26" ht="20.25" customHeight="1" thickBot="1" x14ac:dyDescent="0.3">
      <c r="A45" s="347"/>
      <c r="B45" s="348"/>
      <c r="C45" s="348"/>
      <c r="D45" s="54">
        <f>100-D49</f>
        <v>100</v>
      </c>
      <c r="E45" s="54">
        <f>100-E49</f>
        <v>100</v>
      </c>
      <c r="F45" s="54">
        <f t="shared" si="9"/>
        <v>100</v>
      </c>
      <c r="G45" s="54">
        <f t="shared" si="9"/>
        <v>100</v>
      </c>
      <c r="H45" s="54">
        <f t="shared" si="9"/>
        <v>95</v>
      </c>
      <c r="I45" s="54">
        <f t="shared" si="9"/>
        <v>85</v>
      </c>
      <c r="J45" s="54">
        <f t="shared" si="9"/>
        <v>50</v>
      </c>
      <c r="K45" s="54">
        <f t="shared" si="9"/>
        <v>15</v>
      </c>
      <c r="L45" s="56" t="s">
        <v>24</v>
      </c>
      <c r="M45" s="460"/>
      <c r="N45" s="434"/>
      <c r="O45" s="434"/>
      <c r="P45" s="490"/>
      <c r="Q45" s="434"/>
      <c r="R45" s="434"/>
      <c r="S45" s="437"/>
      <c r="T45" s="5"/>
      <c r="U45" s="5"/>
    </row>
    <row r="46" spans="1:26" ht="20.25" customHeight="1" thickTop="1" x14ac:dyDescent="0.25">
      <c r="A46" s="464" t="s">
        <v>37</v>
      </c>
      <c r="B46" s="465"/>
      <c r="C46" s="465"/>
      <c r="D46" s="93">
        <v>0</v>
      </c>
      <c r="E46" s="57">
        <v>0</v>
      </c>
      <c r="F46" s="57">
        <v>5</v>
      </c>
      <c r="G46" s="57">
        <v>20</v>
      </c>
      <c r="H46" s="57">
        <v>30</v>
      </c>
      <c r="I46" s="57">
        <v>55</v>
      </c>
      <c r="J46" s="57">
        <v>85</v>
      </c>
      <c r="K46" s="57">
        <v>95</v>
      </c>
      <c r="L46" s="59" t="s">
        <v>24</v>
      </c>
      <c r="M46" s="460"/>
      <c r="N46" s="434"/>
      <c r="O46" s="434"/>
      <c r="P46" s="490"/>
      <c r="Q46" s="434"/>
      <c r="R46" s="434"/>
      <c r="S46" s="437"/>
      <c r="T46" s="5"/>
      <c r="U46" s="5"/>
    </row>
    <row r="47" spans="1:26" ht="20.25" customHeight="1" x14ac:dyDescent="0.25">
      <c r="A47" s="345"/>
      <c r="B47" s="346"/>
      <c r="C47" s="346"/>
      <c r="D47" s="94">
        <v>0</v>
      </c>
      <c r="E47" s="51">
        <v>0</v>
      </c>
      <c r="F47" s="51">
        <v>0</v>
      </c>
      <c r="G47" s="51">
        <v>10</v>
      </c>
      <c r="H47" s="51">
        <v>20</v>
      </c>
      <c r="I47" s="51">
        <v>35</v>
      </c>
      <c r="J47" s="51">
        <v>65</v>
      </c>
      <c r="K47" s="51">
        <v>90</v>
      </c>
      <c r="L47" s="61" t="s">
        <v>24</v>
      </c>
      <c r="M47" s="460"/>
      <c r="N47" s="434"/>
      <c r="O47" s="434"/>
      <c r="P47" s="490"/>
      <c r="Q47" s="434"/>
      <c r="R47" s="434"/>
      <c r="S47" s="437"/>
      <c r="T47" s="5"/>
      <c r="U47" s="5"/>
    </row>
    <row r="48" spans="1:26" ht="20.25" customHeight="1" x14ac:dyDescent="0.25">
      <c r="A48" s="345" t="s">
        <v>38</v>
      </c>
      <c r="B48" s="346"/>
      <c r="C48" s="346"/>
      <c r="D48" s="94">
        <v>0</v>
      </c>
      <c r="E48" s="51">
        <v>7</v>
      </c>
      <c r="F48" s="51">
        <v>10</v>
      </c>
      <c r="G48" s="51">
        <v>25</v>
      </c>
      <c r="H48" s="51">
        <v>50</v>
      </c>
      <c r="I48" s="51">
        <v>70</v>
      </c>
      <c r="J48" s="51">
        <v>95</v>
      </c>
      <c r="K48" s="51">
        <v>100</v>
      </c>
      <c r="L48" s="61" t="s">
        <v>24</v>
      </c>
      <c r="M48" s="460"/>
      <c r="N48" s="434"/>
      <c r="O48" s="434"/>
      <c r="P48" s="490"/>
      <c r="Q48" s="434"/>
      <c r="R48" s="434"/>
      <c r="S48" s="437"/>
      <c r="T48" s="5"/>
      <c r="U48" s="5"/>
    </row>
    <row r="49" spans="1:21" ht="20.25" customHeight="1" thickBot="1" x14ac:dyDescent="0.3">
      <c r="A49" s="462"/>
      <c r="B49" s="463"/>
      <c r="C49" s="463"/>
      <c r="D49" s="95">
        <v>0</v>
      </c>
      <c r="E49" s="62">
        <v>0</v>
      </c>
      <c r="F49" s="62">
        <v>0</v>
      </c>
      <c r="G49" s="62">
        <v>0</v>
      </c>
      <c r="H49" s="62">
        <v>5</v>
      </c>
      <c r="I49" s="62">
        <v>15</v>
      </c>
      <c r="J49" s="62">
        <v>50</v>
      </c>
      <c r="K49" s="62">
        <v>85</v>
      </c>
      <c r="L49" s="64" t="s">
        <v>24</v>
      </c>
      <c r="M49" s="461"/>
      <c r="N49" s="435"/>
      <c r="O49" s="435"/>
      <c r="P49" s="491"/>
      <c r="Q49" s="435"/>
      <c r="R49" s="435"/>
      <c r="S49" s="438"/>
      <c r="T49" s="5"/>
      <c r="U49" s="5"/>
    </row>
    <row r="50" spans="1:21" ht="18.75" customHeight="1" thickBot="1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ht="15.75" customHeight="1" thickBot="1" x14ac:dyDescent="0.3">
      <c r="A51" s="5"/>
      <c r="B51" s="5"/>
      <c r="C51" s="5"/>
      <c r="D51" s="5"/>
      <c r="E51" s="466" t="s">
        <v>42</v>
      </c>
      <c r="F51" s="467"/>
      <c r="G51" s="467"/>
      <c r="H51" s="467"/>
      <c r="I51" s="467"/>
      <c r="J51" s="467"/>
      <c r="K51" s="467"/>
      <c r="L51" s="467"/>
      <c r="M51" s="467"/>
      <c r="N51" s="467"/>
      <c r="O51" s="467"/>
      <c r="P51" s="467"/>
      <c r="Q51" s="467"/>
      <c r="R51" s="467"/>
      <c r="S51" s="467"/>
      <c r="T51" s="5"/>
      <c r="U51" s="5"/>
    </row>
    <row r="52" spans="1:21" ht="18.75" customHeight="1" thickBot="1" x14ac:dyDescent="0.3">
      <c r="A52" s="5"/>
      <c r="B52" s="5"/>
      <c r="C52" s="5"/>
      <c r="D52" s="5"/>
      <c r="E52" s="469" t="s">
        <v>43</v>
      </c>
      <c r="F52" s="470"/>
      <c r="G52" s="470"/>
      <c r="H52" s="470"/>
      <c r="I52" s="470"/>
      <c r="J52" s="470"/>
      <c r="K52" s="470"/>
      <c r="L52" s="470"/>
      <c r="M52" s="470"/>
      <c r="N52" s="470"/>
      <c r="O52" s="66" t="s">
        <v>44</v>
      </c>
      <c r="P52" s="66" t="s">
        <v>45</v>
      </c>
      <c r="Q52" s="67" t="s">
        <v>48</v>
      </c>
      <c r="R52" s="66" t="s">
        <v>49</v>
      </c>
      <c r="S52" s="66" t="s">
        <v>46</v>
      </c>
      <c r="T52" s="5"/>
      <c r="U52" s="5"/>
    </row>
  </sheetData>
  <sheetProtection insertRows="0"/>
  <mergeCells count="36">
    <mergeCell ref="A1:U1"/>
    <mergeCell ref="A2:U2"/>
    <mergeCell ref="A4:A6"/>
    <mergeCell ref="B4:B6"/>
    <mergeCell ref="C4:C6"/>
    <mergeCell ref="D4:L4"/>
    <mergeCell ref="M4:M6"/>
    <mergeCell ref="N4:N6"/>
    <mergeCell ref="O4:O6"/>
    <mergeCell ref="P4:P6"/>
    <mergeCell ref="M41:S41"/>
    <mergeCell ref="Q4:Q6"/>
    <mergeCell ref="R4:R6"/>
    <mergeCell ref="S4:S6"/>
    <mergeCell ref="T4:T6"/>
    <mergeCell ref="A26:U26"/>
    <mergeCell ref="A36:C36"/>
    <mergeCell ref="A37:C37"/>
    <mergeCell ref="A38:C38"/>
    <mergeCell ref="A39:C39"/>
    <mergeCell ref="A41:L41"/>
    <mergeCell ref="U4:U6"/>
    <mergeCell ref="L5:L6"/>
    <mergeCell ref="E52:N52"/>
    <mergeCell ref="R42:R49"/>
    <mergeCell ref="S42:S49"/>
    <mergeCell ref="A44:C45"/>
    <mergeCell ref="A46:C47"/>
    <mergeCell ref="A48:C49"/>
    <mergeCell ref="E51:S51"/>
    <mergeCell ref="A42:C43"/>
    <mergeCell ref="M42:M49"/>
    <mergeCell ref="N42:N49"/>
    <mergeCell ref="O42:O49"/>
    <mergeCell ref="P42:P49"/>
    <mergeCell ref="Q42:Q49"/>
  </mergeCells>
  <conditionalFormatting sqref="M7:N25">
    <cfRule type="cellIs" dxfId="8" priority="1" operator="equal">
      <formula>""</formula>
    </cfRule>
  </conditionalFormatting>
  <conditionalFormatting sqref="M27:N35">
    <cfRule type="cellIs" dxfId="7" priority="2" operator="equal">
      <formula>""</formula>
    </cfRule>
  </conditionalFormatting>
  <printOptions horizontalCentered="1"/>
  <pageMargins left="0.39370078740157483" right="0.39370078740157483" top="0.82677165354330717" bottom="0.55118110236220474" header="0.51181102362204722" footer="0.35433070866141736"/>
  <pageSetup paperSize="9" scale="51" firstPageNumber="41" fitToHeight="0" orientation="landscape" errors="dash" r:id="rId1"/>
  <headerFooter alignWithMargins="0">
    <oddHeader>&amp;R&amp;G</oddHeader>
    <oddFooter>&amp;C&amp;P&amp;R&amp;F</oddFooter>
  </headerFooter>
  <legacy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1"/>
    <pageSetUpPr fitToPage="1"/>
  </sheetPr>
  <dimension ref="A1:W143"/>
  <sheetViews>
    <sheetView zoomScale="70" zoomScaleNormal="70" zoomScaleSheetLayoutView="70" workbookViewId="0">
      <pane ySplit="6" topLeftCell="A7" activePane="bottomLeft" state="frozen"/>
      <selection activeCell="B12" sqref="B12"/>
      <selection pane="bottomLeft" activeCell="B12" sqref="B12"/>
    </sheetView>
  </sheetViews>
  <sheetFormatPr defaultColWidth="9.1796875" defaultRowHeight="12.5" x14ac:dyDescent="0.25"/>
  <cols>
    <col min="1" max="3" width="15.7265625" style="1" customWidth="1"/>
    <col min="4" max="9" width="11.81640625" style="1" customWidth="1"/>
    <col min="10" max="16" width="14.1796875" style="1" customWidth="1"/>
    <col min="17" max="18" width="28.81640625" style="1" customWidth="1"/>
    <col min="19" max="22" width="9.1796875" style="1"/>
    <col min="23" max="23" width="15.453125" style="2" customWidth="1"/>
    <col min="24" max="24" width="13" style="1" customWidth="1"/>
    <col min="25" max="16384" width="9.1796875" style="1"/>
  </cols>
  <sheetData>
    <row r="1" spans="1:23" ht="31.5" customHeight="1" x14ac:dyDescent="0.25">
      <c r="A1" s="471" t="s">
        <v>62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  <c r="P1" s="471"/>
      <c r="Q1" s="471"/>
      <c r="R1" s="471"/>
    </row>
    <row r="2" spans="1:23" ht="22.5" customHeight="1" x14ac:dyDescent="0.25">
      <c r="A2" s="472" t="s">
        <v>80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</row>
    <row r="3" spans="1:23" ht="14.25" customHeight="1" thickBot="1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spans="1:23" ht="31.5" customHeight="1" x14ac:dyDescent="0.25">
      <c r="A4" s="480" t="s">
        <v>2</v>
      </c>
      <c r="B4" s="477" t="s">
        <v>3</v>
      </c>
      <c r="C4" s="486" t="s">
        <v>19</v>
      </c>
      <c r="D4" s="441" t="s">
        <v>4</v>
      </c>
      <c r="E4" s="442"/>
      <c r="F4" s="442"/>
      <c r="G4" s="442"/>
      <c r="H4" s="442"/>
      <c r="I4" s="443"/>
      <c r="J4" s="483" t="s">
        <v>29</v>
      </c>
      <c r="K4" s="474" t="s">
        <v>5</v>
      </c>
      <c r="L4" s="447" t="s">
        <v>21</v>
      </c>
      <c r="M4" s="447" t="s">
        <v>30</v>
      </c>
      <c r="N4" s="447" t="s">
        <v>66</v>
      </c>
      <c r="O4" s="447" t="s">
        <v>31</v>
      </c>
      <c r="P4" s="447" t="s">
        <v>28</v>
      </c>
      <c r="Q4" s="474" t="s">
        <v>20</v>
      </c>
      <c r="R4" s="473" t="s">
        <v>6</v>
      </c>
    </row>
    <row r="5" spans="1:23" ht="16.5" customHeight="1" x14ac:dyDescent="0.25">
      <c r="A5" s="481"/>
      <c r="B5" s="478"/>
      <c r="C5" s="487"/>
      <c r="D5" s="6" t="s">
        <v>16</v>
      </c>
      <c r="E5" s="7" t="s">
        <v>7</v>
      </c>
      <c r="F5" s="7" t="s">
        <v>8</v>
      </c>
      <c r="G5" s="7" t="s">
        <v>9</v>
      </c>
      <c r="H5" s="7" t="s">
        <v>10</v>
      </c>
      <c r="I5" s="439" t="s">
        <v>15</v>
      </c>
      <c r="J5" s="484"/>
      <c r="K5" s="475"/>
      <c r="L5" s="448"/>
      <c r="M5" s="448"/>
      <c r="N5" s="448"/>
      <c r="O5" s="448"/>
      <c r="P5" s="448"/>
      <c r="Q5" s="475"/>
      <c r="R5" s="439"/>
    </row>
    <row r="6" spans="1:23" ht="16.5" customHeight="1" thickBot="1" x14ac:dyDescent="0.3">
      <c r="A6" s="482"/>
      <c r="B6" s="479"/>
      <c r="C6" s="488"/>
      <c r="D6" s="90">
        <v>12.5</v>
      </c>
      <c r="E6" s="91">
        <v>9.5</v>
      </c>
      <c r="F6" s="91">
        <v>6.3</v>
      </c>
      <c r="G6" s="9">
        <v>4.75</v>
      </c>
      <c r="H6" s="9">
        <v>2.36</v>
      </c>
      <c r="I6" s="440"/>
      <c r="J6" s="485"/>
      <c r="K6" s="476"/>
      <c r="L6" s="449"/>
      <c r="M6" s="449"/>
      <c r="N6" s="449"/>
      <c r="O6" s="449"/>
      <c r="P6" s="449"/>
      <c r="Q6" s="476"/>
      <c r="R6" s="440"/>
    </row>
    <row r="7" spans="1:23" ht="27.75" customHeight="1" thickTop="1" x14ac:dyDescent="0.25">
      <c r="A7" s="69">
        <v>39707</v>
      </c>
      <c r="B7" s="70">
        <v>1</v>
      </c>
      <c r="C7" s="71">
        <v>39707</v>
      </c>
      <c r="D7" s="72">
        <v>1.5</v>
      </c>
      <c r="E7" s="73">
        <v>3.2</v>
      </c>
      <c r="F7" s="73">
        <v>22.8</v>
      </c>
      <c r="G7" s="73">
        <v>50.5</v>
      </c>
      <c r="H7" s="73">
        <v>86.4</v>
      </c>
      <c r="I7" s="74">
        <v>100</v>
      </c>
      <c r="J7" s="103">
        <f>IF(B7="","",IF(E7&gt;5,D$6,IF(F7&gt;5,E$6,IF(G7&gt;5,F$6,IF(H7&gt;5,G$6,$H$6)))))</f>
        <v>9.5</v>
      </c>
      <c r="K7" s="76">
        <f>IF(B7="","",(E7+G7+H7+400)/100)</f>
        <v>5.4009999999999998</v>
      </c>
      <c r="L7" s="77">
        <v>0.5</v>
      </c>
      <c r="M7" s="77" t="s">
        <v>24</v>
      </c>
      <c r="N7" s="78">
        <v>2.68</v>
      </c>
      <c r="O7" s="78">
        <v>1.33</v>
      </c>
      <c r="P7" s="77">
        <v>0.6</v>
      </c>
      <c r="Q7" s="79" t="s">
        <v>69</v>
      </c>
      <c r="R7" s="80" t="s">
        <v>75</v>
      </c>
      <c r="S7" s="3"/>
      <c r="W7" s="1"/>
    </row>
    <row r="8" spans="1:23" ht="27" customHeight="1" x14ac:dyDescent="0.25">
      <c r="A8" s="69">
        <v>39783</v>
      </c>
      <c r="B8" s="70">
        <v>2</v>
      </c>
      <c r="C8" s="71">
        <v>39785</v>
      </c>
      <c r="D8" s="72">
        <v>0.2</v>
      </c>
      <c r="E8" s="73">
        <v>1.5</v>
      </c>
      <c r="F8" s="73">
        <v>43.7</v>
      </c>
      <c r="G8" s="73">
        <v>76.3</v>
      </c>
      <c r="H8" s="73">
        <v>97.2</v>
      </c>
      <c r="I8" s="74">
        <v>100</v>
      </c>
      <c r="J8" s="103">
        <f>IF(B8="","",IF(E8&gt;5,D$6,IF(F8&gt;5,E$6,IF(G8&gt;5,F$6,IF(H8&gt;5,G$6,$H$6)))))</f>
        <v>9.5</v>
      </c>
      <c r="K8" s="76">
        <f>IF(B8="","",(E8+G8+H8+400)/100)</f>
        <v>5.75</v>
      </c>
      <c r="L8" s="77">
        <v>0.8</v>
      </c>
      <c r="M8" s="77" t="s">
        <v>24</v>
      </c>
      <c r="N8" s="78">
        <v>2.62</v>
      </c>
      <c r="O8" s="78">
        <v>1.36</v>
      </c>
      <c r="P8" s="77">
        <v>0.8</v>
      </c>
      <c r="Q8" s="79" t="s">
        <v>69</v>
      </c>
      <c r="R8" s="80" t="s">
        <v>75</v>
      </c>
      <c r="S8" s="3"/>
      <c r="W8" s="1"/>
    </row>
    <row r="9" spans="1:23" ht="27" customHeight="1" x14ac:dyDescent="0.25">
      <c r="A9" s="69">
        <v>39783</v>
      </c>
      <c r="B9" s="70">
        <v>3</v>
      </c>
      <c r="C9" s="71">
        <v>39791</v>
      </c>
      <c r="D9" s="72">
        <v>0</v>
      </c>
      <c r="E9" s="73">
        <v>0.4</v>
      </c>
      <c r="F9" s="73">
        <v>30.9</v>
      </c>
      <c r="G9" s="73">
        <v>71.099999999999994</v>
      </c>
      <c r="H9" s="73">
        <v>97.5</v>
      </c>
      <c r="I9" s="74">
        <v>100</v>
      </c>
      <c r="J9" s="103">
        <f>IF(B9="","",IF(E9&gt;5,D$6,IF(F9&gt;5,E$6,IF(G9&gt;5,F$6,IF(H9&gt;5,G$6,$H$6)))))</f>
        <v>9.5</v>
      </c>
      <c r="K9" s="76">
        <f t="shared" ref="K9:K35" si="0">IF(B9="","",(E9+G9+H9+400)/100)</f>
        <v>5.69</v>
      </c>
      <c r="L9" s="77" t="s">
        <v>24</v>
      </c>
      <c r="M9" s="77" t="s">
        <v>24</v>
      </c>
      <c r="N9" s="77" t="s">
        <v>24</v>
      </c>
      <c r="O9" s="77" t="s">
        <v>24</v>
      </c>
      <c r="P9" s="77" t="s">
        <v>24</v>
      </c>
      <c r="Q9" s="79" t="s">
        <v>69</v>
      </c>
      <c r="R9" s="80" t="s">
        <v>75</v>
      </c>
      <c r="S9" s="3"/>
      <c r="W9" s="1"/>
    </row>
    <row r="10" spans="1:23" ht="27" customHeight="1" x14ac:dyDescent="0.25">
      <c r="A10" s="69">
        <v>39783</v>
      </c>
      <c r="B10" s="70">
        <v>4</v>
      </c>
      <c r="C10" s="71">
        <v>39797</v>
      </c>
      <c r="D10" s="72">
        <v>0.1</v>
      </c>
      <c r="E10" s="73">
        <v>0.7</v>
      </c>
      <c r="F10" s="73">
        <v>22.7</v>
      </c>
      <c r="G10" s="73">
        <v>50.4</v>
      </c>
      <c r="H10" s="73">
        <v>85</v>
      </c>
      <c r="I10" s="74">
        <v>100</v>
      </c>
      <c r="J10" s="103">
        <f>IF(B10="","",IF(E10&gt;5,D$6,IF(F10&gt;5,E$6,IF(G10&gt;5,F$6,IF(H10&gt;5,G$6,$H$6)))))</f>
        <v>9.5</v>
      </c>
      <c r="K10" s="76">
        <f t="shared" si="0"/>
        <v>5.3610000000000007</v>
      </c>
      <c r="L10" s="77" t="s">
        <v>24</v>
      </c>
      <c r="M10" s="77" t="s">
        <v>24</v>
      </c>
      <c r="N10" s="77" t="s">
        <v>24</v>
      </c>
      <c r="O10" s="77" t="s">
        <v>24</v>
      </c>
      <c r="P10" s="77" t="s">
        <v>24</v>
      </c>
      <c r="Q10" s="79" t="s">
        <v>69</v>
      </c>
      <c r="R10" s="80" t="s">
        <v>75</v>
      </c>
      <c r="S10" s="3"/>
      <c r="W10" s="1"/>
    </row>
    <row r="11" spans="1:23" ht="27" customHeight="1" x14ac:dyDescent="0.25">
      <c r="A11" s="69">
        <v>39783</v>
      </c>
      <c r="B11" s="70">
        <v>5</v>
      </c>
      <c r="C11" s="71">
        <v>39800</v>
      </c>
      <c r="D11" s="72">
        <v>0</v>
      </c>
      <c r="E11" s="73">
        <v>0.1</v>
      </c>
      <c r="F11" s="73">
        <v>33.200000000000003</v>
      </c>
      <c r="G11" s="73">
        <v>63</v>
      </c>
      <c r="H11" s="73">
        <v>93.9</v>
      </c>
      <c r="I11" s="74">
        <v>100</v>
      </c>
      <c r="J11" s="103">
        <f t="shared" ref="J11:J35" si="1">IF(B11="","",IF(E11&gt;5,D$6,IF(F11&gt;5,E$6,IF(G11&gt;5,F$6,IF(H11&gt;5,G$6,$H$6)))))</f>
        <v>9.5</v>
      </c>
      <c r="K11" s="76">
        <f t="shared" si="0"/>
        <v>5.57</v>
      </c>
      <c r="L11" s="77">
        <v>1.2</v>
      </c>
      <c r="M11" s="77" t="s">
        <v>24</v>
      </c>
      <c r="N11" s="78">
        <v>2.62</v>
      </c>
      <c r="O11" s="78">
        <v>1.35</v>
      </c>
      <c r="P11" s="77">
        <v>0.8</v>
      </c>
      <c r="Q11" s="79" t="s">
        <v>69</v>
      </c>
      <c r="R11" s="80" t="s">
        <v>75</v>
      </c>
      <c r="S11" s="3"/>
      <c r="W11" s="1"/>
    </row>
    <row r="12" spans="1:23" ht="27" customHeight="1" x14ac:dyDescent="0.25">
      <c r="A12" s="492" t="s">
        <v>86</v>
      </c>
      <c r="B12" s="493"/>
      <c r="C12" s="493"/>
      <c r="D12" s="493"/>
      <c r="E12" s="493"/>
      <c r="F12" s="493"/>
      <c r="G12" s="493"/>
      <c r="H12" s="493"/>
      <c r="I12" s="493"/>
      <c r="J12" s="493"/>
      <c r="K12" s="493"/>
      <c r="L12" s="493"/>
      <c r="M12" s="493"/>
      <c r="N12" s="493"/>
      <c r="O12" s="493"/>
      <c r="P12" s="493"/>
      <c r="Q12" s="493"/>
      <c r="R12" s="494"/>
      <c r="S12" s="3"/>
      <c r="W12" s="1"/>
    </row>
    <row r="13" spans="1:23" ht="27" customHeight="1" x14ac:dyDescent="0.25">
      <c r="A13" s="69"/>
      <c r="B13" s="70"/>
      <c r="C13" s="71"/>
      <c r="D13" s="72"/>
      <c r="E13" s="73"/>
      <c r="F13" s="73"/>
      <c r="G13" s="73"/>
      <c r="H13" s="73"/>
      <c r="I13" s="74"/>
      <c r="J13" s="103" t="str">
        <f t="shared" si="1"/>
        <v/>
      </c>
      <c r="K13" s="76" t="str">
        <f t="shared" si="0"/>
        <v/>
      </c>
      <c r="L13" s="77"/>
      <c r="M13" s="77"/>
      <c r="N13" s="78"/>
      <c r="O13" s="78"/>
      <c r="P13" s="77"/>
      <c r="Q13" s="79"/>
      <c r="R13" s="80"/>
      <c r="S13" s="3"/>
      <c r="W13" s="1"/>
    </row>
    <row r="14" spans="1:23" ht="27" customHeight="1" x14ac:dyDescent="0.25">
      <c r="A14" s="69"/>
      <c r="B14" s="70"/>
      <c r="C14" s="71"/>
      <c r="D14" s="72"/>
      <c r="E14" s="73"/>
      <c r="F14" s="73"/>
      <c r="G14" s="73"/>
      <c r="H14" s="73"/>
      <c r="I14" s="74"/>
      <c r="J14" s="103" t="str">
        <f t="shared" si="1"/>
        <v/>
      </c>
      <c r="K14" s="76" t="str">
        <f t="shared" si="0"/>
        <v/>
      </c>
      <c r="L14" s="77"/>
      <c r="M14" s="77"/>
      <c r="N14" s="78"/>
      <c r="O14" s="78"/>
      <c r="P14" s="77"/>
      <c r="Q14" s="79"/>
      <c r="R14" s="80"/>
      <c r="S14" s="3"/>
      <c r="W14" s="1"/>
    </row>
    <row r="15" spans="1:23" ht="27" customHeight="1" x14ac:dyDescent="0.25">
      <c r="A15" s="69"/>
      <c r="B15" s="70"/>
      <c r="C15" s="71"/>
      <c r="D15" s="72"/>
      <c r="E15" s="73"/>
      <c r="F15" s="73"/>
      <c r="G15" s="73"/>
      <c r="H15" s="73"/>
      <c r="I15" s="74"/>
      <c r="J15" s="103" t="str">
        <f t="shared" si="1"/>
        <v/>
      </c>
      <c r="K15" s="76" t="str">
        <f t="shared" si="0"/>
        <v/>
      </c>
      <c r="L15" s="77"/>
      <c r="M15" s="77"/>
      <c r="N15" s="78"/>
      <c r="O15" s="78"/>
      <c r="P15" s="77"/>
      <c r="Q15" s="79"/>
      <c r="R15" s="80"/>
      <c r="S15" s="3"/>
      <c r="W15" s="1"/>
    </row>
    <row r="16" spans="1:23" ht="27" customHeight="1" x14ac:dyDescent="0.25">
      <c r="A16" s="69"/>
      <c r="B16" s="70"/>
      <c r="C16" s="71"/>
      <c r="D16" s="72"/>
      <c r="E16" s="73"/>
      <c r="F16" s="73"/>
      <c r="G16" s="73"/>
      <c r="H16" s="73"/>
      <c r="I16" s="74"/>
      <c r="J16" s="103" t="str">
        <f t="shared" si="1"/>
        <v/>
      </c>
      <c r="K16" s="76" t="str">
        <f t="shared" si="0"/>
        <v/>
      </c>
      <c r="L16" s="77"/>
      <c r="M16" s="77"/>
      <c r="N16" s="78"/>
      <c r="O16" s="78"/>
      <c r="P16" s="77"/>
      <c r="Q16" s="79"/>
      <c r="R16" s="80"/>
      <c r="S16" s="3"/>
      <c r="W16" s="1"/>
    </row>
    <row r="17" spans="1:23" ht="27" customHeight="1" x14ac:dyDescent="0.25">
      <c r="A17" s="69"/>
      <c r="B17" s="70"/>
      <c r="C17" s="71"/>
      <c r="D17" s="72"/>
      <c r="E17" s="73"/>
      <c r="F17" s="73"/>
      <c r="G17" s="73"/>
      <c r="H17" s="73"/>
      <c r="I17" s="74"/>
      <c r="J17" s="103" t="str">
        <f t="shared" si="1"/>
        <v/>
      </c>
      <c r="K17" s="76" t="str">
        <f t="shared" si="0"/>
        <v/>
      </c>
      <c r="L17" s="77"/>
      <c r="M17" s="77"/>
      <c r="N17" s="78"/>
      <c r="O17" s="78"/>
      <c r="P17" s="77"/>
      <c r="Q17" s="79"/>
      <c r="R17" s="80"/>
      <c r="S17" s="3"/>
      <c r="W17" s="1"/>
    </row>
    <row r="18" spans="1:23" ht="27" customHeight="1" x14ac:dyDescent="0.25">
      <c r="A18" s="69"/>
      <c r="B18" s="70"/>
      <c r="C18" s="71"/>
      <c r="D18" s="72"/>
      <c r="E18" s="73"/>
      <c r="F18" s="73"/>
      <c r="G18" s="73"/>
      <c r="H18" s="73"/>
      <c r="I18" s="74"/>
      <c r="J18" s="103" t="str">
        <f t="shared" si="1"/>
        <v/>
      </c>
      <c r="K18" s="76" t="str">
        <f t="shared" si="0"/>
        <v/>
      </c>
      <c r="L18" s="77"/>
      <c r="M18" s="77"/>
      <c r="N18" s="78"/>
      <c r="O18" s="78"/>
      <c r="P18" s="77"/>
      <c r="Q18" s="79"/>
      <c r="R18" s="80"/>
      <c r="S18" s="3"/>
      <c r="W18" s="1"/>
    </row>
    <row r="19" spans="1:23" ht="27" customHeight="1" x14ac:dyDescent="0.25">
      <c r="A19" s="69"/>
      <c r="B19" s="70"/>
      <c r="C19" s="71"/>
      <c r="D19" s="72"/>
      <c r="E19" s="73"/>
      <c r="F19" s="73"/>
      <c r="G19" s="73"/>
      <c r="H19" s="73"/>
      <c r="I19" s="74"/>
      <c r="J19" s="103" t="str">
        <f t="shared" si="1"/>
        <v/>
      </c>
      <c r="K19" s="76" t="str">
        <f t="shared" si="0"/>
        <v/>
      </c>
      <c r="L19" s="77"/>
      <c r="M19" s="77"/>
      <c r="N19" s="78"/>
      <c r="O19" s="78"/>
      <c r="P19" s="77"/>
      <c r="Q19" s="79"/>
      <c r="R19" s="80"/>
      <c r="S19" s="3"/>
      <c r="W19" s="1"/>
    </row>
    <row r="20" spans="1:23" ht="27" customHeight="1" x14ac:dyDescent="0.25">
      <c r="A20" s="69"/>
      <c r="B20" s="70"/>
      <c r="C20" s="71"/>
      <c r="D20" s="72"/>
      <c r="E20" s="73"/>
      <c r="F20" s="73"/>
      <c r="G20" s="73"/>
      <c r="H20" s="73"/>
      <c r="I20" s="74"/>
      <c r="J20" s="103" t="str">
        <f t="shared" si="1"/>
        <v/>
      </c>
      <c r="K20" s="76" t="str">
        <f t="shared" si="0"/>
        <v/>
      </c>
      <c r="L20" s="77"/>
      <c r="M20" s="77"/>
      <c r="N20" s="78"/>
      <c r="O20" s="78"/>
      <c r="P20" s="77"/>
      <c r="Q20" s="79"/>
      <c r="R20" s="80"/>
      <c r="S20" s="3"/>
      <c r="W20" s="1"/>
    </row>
    <row r="21" spans="1:23" ht="27" customHeight="1" x14ac:dyDescent="0.25">
      <c r="A21" s="69"/>
      <c r="B21" s="70"/>
      <c r="C21" s="71"/>
      <c r="D21" s="72"/>
      <c r="E21" s="73"/>
      <c r="F21" s="73"/>
      <c r="G21" s="73"/>
      <c r="H21" s="73"/>
      <c r="I21" s="74"/>
      <c r="J21" s="103" t="str">
        <f t="shared" si="1"/>
        <v/>
      </c>
      <c r="K21" s="76" t="str">
        <f t="shared" si="0"/>
        <v/>
      </c>
      <c r="L21" s="77"/>
      <c r="M21" s="77"/>
      <c r="N21" s="78"/>
      <c r="O21" s="78"/>
      <c r="P21" s="77"/>
      <c r="Q21" s="79"/>
      <c r="R21" s="80"/>
      <c r="S21" s="3"/>
      <c r="W21" s="1"/>
    </row>
    <row r="22" spans="1:23" ht="27" customHeight="1" x14ac:dyDescent="0.25">
      <c r="A22" s="69"/>
      <c r="B22" s="70"/>
      <c r="C22" s="71"/>
      <c r="D22" s="72"/>
      <c r="E22" s="73"/>
      <c r="F22" s="73"/>
      <c r="G22" s="73"/>
      <c r="H22" s="73"/>
      <c r="I22" s="74"/>
      <c r="J22" s="103" t="str">
        <f t="shared" si="1"/>
        <v/>
      </c>
      <c r="K22" s="76" t="str">
        <f t="shared" si="0"/>
        <v/>
      </c>
      <c r="L22" s="77"/>
      <c r="M22" s="77"/>
      <c r="N22" s="78"/>
      <c r="O22" s="78"/>
      <c r="P22" s="77"/>
      <c r="Q22" s="79"/>
      <c r="R22" s="80"/>
      <c r="S22" s="3"/>
      <c r="W22" s="1"/>
    </row>
    <row r="23" spans="1:23" ht="27" customHeight="1" x14ac:dyDescent="0.25">
      <c r="A23" s="69"/>
      <c r="B23" s="70"/>
      <c r="C23" s="71"/>
      <c r="D23" s="72"/>
      <c r="E23" s="73"/>
      <c r="F23" s="73"/>
      <c r="G23" s="73"/>
      <c r="H23" s="73"/>
      <c r="I23" s="74"/>
      <c r="J23" s="103" t="str">
        <f t="shared" si="1"/>
        <v/>
      </c>
      <c r="K23" s="76" t="str">
        <f t="shared" si="0"/>
        <v/>
      </c>
      <c r="L23" s="77"/>
      <c r="M23" s="77"/>
      <c r="N23" s="78"/>
      <c r="O23" s="78"/>
      <c r="P23" s="77"/>
      <c r="Q23" s="79"/>
      <c r="R23" s="80"/>
      <c r="S23" s="3"/>
      <c r="W23" s="1"/>
    </row>
    <row r="24" spans="1:23" ht="27" customHeight="1" x14ac:dyDescent="0.25">
      <c r="A24" s="69"/>
      <c r="B24" s="70"/>
      <c r="C24" s="71"/>
      <c r="D24" s="72"/>
      <c r="E24" s="73"/>
      <c r="F24" s="73"/>
      <c r="G24" s="73"/>
      <c r="H24" s="73"/>
      <c r="I24" s="74"/>
      <c r="J24" s="103" t="str">
        <f t="shared" si="1"/>
        <v/>
      </c>
      <c r="K24" s="76" t="str">
        <f t="shared" si="0"/>
        <v/>
      </c>
      <c r="L24" s="77"/>
      <c r="M24" s="77"/>
      <c r="N24" s="78"/>
      <c r="O24" s="78"/>
      <c r="P24" s="77"/>
      <c r="Q24" s="79"/>
      <c r="R24" s="80"/>
      <c r="S24" s="3"/>
      <c r="W24" s="1"/>
    </row>
    <row r="25" spans="1:23" ht="27" customHeight="1" x14ac:dyDescent="0.25">
      <c r="A25" s="69"/>
      <c r="B25" s="70"/>
      <c r="C25" s="71"/>
      <c r="D25" s="72"/>
      <c r="E25" s="73"/>
      <c r="F25" s="73"/>
      <c r="G25" s="73"/>
      <c r="H25" s="73"/>
      <c r="I25" s="74"/>
      <c r="J25" s="103" t="str">
        <f t="shared" si="1"/>
        <v/>
      </c>
      <c r="K25" s="76" t="str">
        <f t="shared" si="0"/>
        <v/>
      </c>
      <c r="L25" s="77"/>
      <c r="M25" s="77"/>
      <c r="N25" s="78"/>
      <c r="O25" s="78"/>
      <c r="P25" s="77"/>
      <c r="Q25" s="79"/>
      <c r="R25" s="80"/>
      <c r="S25" s="3"/>
      <c r="W25" s="1"/>
    </row>
    <row r="26" spans="1:23" ht="27" customHeight="1" x14ac:dyDescent="0.25">
      <c r="A26" s="69"/>
      <c r="B26" s="70"/>
      <c r="C26" s="71"/>
      <c r="D26" s="72"/>
      <c r="E26" s="73"/>
      <c r="F26" s="73"/>
      <c r="G26" s="73"/>
      <c r="H26" s="73"/>
      <c r="I26" s="74"/>
      <c r="J26" s="103" t="str">
        <f t="shared" si="1"/>
        <v/>
      </c>
      <c r="K26" s="76" t="str">
        <f t="shared" si="0"/>
        <v/>
      </c>
      <c r="L26" s="77"/>
      <c r="M26" s="77"/>
      <c r="N26" s="78"/>
      <c r="O26" s="78"/>
      <c r="P26" s="77"/>
      <c r="Q26" s="79"/>
      <c r="R26" s="80"/>
      <c r="S26" s="3"/>
      <c r="W26" s="1"/>
    </row>
    <row r="27" spans="1:23" ht="27" customHeight="1" x14ac:dyDescent="0.25">
      <c r="A27" s="69"/>
      <c r="B27" s="70"/>
      <c r="C27" s="71"/>
      <c r="D27" s="72"/>
      <c r="E27" s="73"/>
      <c r="F27" s="73"/>
      <c r="G27" s="73"/>
      <c r="H27" s="73"/>
      <c r="I27" s="74"/>
      <c r="J27" s="103" t="str">
        <f t="shared" si="1"/>
        <v/>
      </c>
      <c r="K27" s="76" t="str">
        <f t="shared" si="0"/>
        <v/>
      </c>
      <c r="L27" s="77"/>
      <c r="M27" s="77"/>
      <c r="N27" s="78"/>
      <c r="O27" s="78"/>
      <c r="P27" s="77"/>
      <c r="Q27" s="79"/>
      <c r="R27" s="80"/>
      <c r="S27" s="3"/>
      <c r="W27" s="1"/>
    </row>
    <row r="28" spans="1:23" ht="27" customHeight="1" x14ac:dyDescent="0.25">
      <c r="A28" s="69"/>
      <c r="B28" s="70"/>
      <c r="C28" s="71"/>
      <c r="D28" s="72"/>
      <c r="E28" s="73"/>
      <c r="F28" s="73"/>
      <c r="G28" s="73"/>
      <c r="H28" s="73"/>
      <c r="I28" s="74"/>
      <c r="J28" s="103" t="str">
        <f t="shared" si="1"/>
        <v/>
      </c>
      <c r="K28" s="76" t="str">
        <f t="shared" si="0"/>
        <v/>
      </c>
      <c r="L28" s="77"/>
      <c r="M28" s="77"/>
      <c r="N28" s="78"/>
      <c r="O28" s="78"/>
      <c r="P28" s="77"/>
      <c r="Q28" s="79"/>
      <c r="R28" s="80"/>
      <c r="S28" s="3"/>
      <c r="W28" s="1"/>
    </row>
    <row r="29" spans="1:23" ht="27" customHeight="1" x14ac:dyDescent="0.25">
      <c r="A29" s="69"/>
      <c r="B29" s="70"/>
      <c r="C29" s="71"/>
      <c r="D29" s="72"/>
      <c r="E29" s="73"/>
      <c r="F29" s="73"/>
      <c r="G29" s="73"/>
      <c r="H29" s="73"/>
      <c r="I29" s="74"/>
      <c r="J29" s="103"/>
      <c r="K29" s="76"/>
      <c r="L29" s="77"/>
      <c r="M29" s="77"/>
      <c r="N29" s="78"/>
      <c r="O29" s="78"/>
      <c r="P29" s="77"/>
      <c r="Q29" s="79"/>
      <c r="R29" s="80"/>
      <c r="S29" s="3"/>
      <c r="W29" s="1"/>
    </row>
    <row r="30" spans="1:23" ht="27" customHeight="1" x14ac:dyDescent="0.25">
      <c r="A30" s="69"/>
      <c r="B30" s="70"/>
      <c r="C30" s="71"/>
      <c r="D30" s="72"/>
      <c r="E30" s="73"/>
      <c r="F30" s="73"/>
      <c r="G30" s="73"/>
      <c r="H30" s="73"/>
      <c r="I30" s="74"/>
      <c r="J30" s="103" t="str">
        <f t="shared" si="1"/>
        <v/>
      </c>
      <c r="K30" s="76" t="str">
        <f t="shared" si="0"/>
        <v/>
      </c>
      <c r="L30" s="77"/>
      <c r="M30" s="77"/>
      <c r="N30" s="78"/>
      <c r="O30" s="78"/>
      <c r="P30" s="77"/>
      <c r="Q30" s="79"/>
      <c r="R30" s="80"/>
      <c r="S30" s="3"/>
      <c r="W30" s="1"/>
    </row>
    <row r="31" spans="1:23" ht="27" customHeight="1" x14ac:dyDescent="0.25">
      <c r="A31" s="69"/>
      <c r="B31" s="70"/>
      <c r="C31" s="71"/>
      <c r="D31" s="72"/>
      <c r="E31" s="73"/>
      <c r="F31" s="73"/>
      <c r="G31" s="73"/>
      <c r="H31" s="73"/>
      <c r="I31" s="74"/>
      <c r="J31" s="103" t="str">
        <f t="shared" si="1"/>
        <v/>
      </c>
      <c r="K31" s="76" t="str">
        <f t="shared" si="0"/>
        <v/>
      </c>
      <c r="L31" s="77"/>
      <c r="M31" s="77"/>
      <c r="N31" s="78"/>
      <c r="O31" s="78"/>
      <c r="P31" s="77"/>
      <c r="Q31" s="79"/>
      <c r="R31" s="80"/>
      <c r="S31" s="3"/>
      <c r="W31" s="1"/>
    </row>
    <row r="32" spans="1:23" ht="27" customHeight="1" x14ac:dyDescent="0.25">
      <c r="A32" s="69"/>
      <c r="B32" s="70"/>
      <c r="C32" s="71"/>
      <c r="D32" s="72"/>
      <c r="E32" s="73"/>
      <c r="F32" s="73"/>
      <c r="G32" s="73"/>
      <c r="H32" s="73"/>
      <c r="I32" s="74"/>
      <c r="J32" s="103" t="str">
        <f t="shared" si="1"/>
        <v/>
      </c>
      <c r="K32" s="76" t="str">
        <f t="shared" si="0"/>
        <v/>
      </c>
      <c r="L32" s="77"/>
      <c r="M32" s="77"/>
      <c r="N32" s="78"/>
      <c r="O32" s="78"/>
      <c r="P32" s="77"/>
      <c r="Q32" s="79"/>
      <c r="R32" s="80"/>
      <c r="S32" s="3"/>
      <c r="W32" s="1"/>
    </row>
    <row r="33" spans="1:23" ht="27" customHeight="1" x14ac:dyDescent="0.25">
      <c r="A33" s="69"/>
      <c r="B33" s="70"/>
      <c r="C33" s="71"/>
      <c r="D33" s="72"/>
      <c r="E33" s="73"/>
      <c r="F33" s="73"/>
      <c r="G33" s="73"/>
      <c r="H33" s="73"/>
      <c r="I33" s="74"/>
      <c r="J33" s="103" t="str">
        <f t="shared" si="1"/>
        <v/>
      </c>
      <c r="K33" s="76" t="str">
        <f t="shared" si="0"/>
        <v/>
      </c>
      <c r="L33" s="77"/>
      <c r="M33" s="77"/>
      <c r="N33" s="78"/>
      <c r="O33" s="78"/>
      <c r="P33" s="77"/>
      <c r="Q33" s="79"/>
      <c r="R33" s="80"/>
      <c r="S33" s="3"/>
      <c r="W33" s="1"/>
    </row>
    <row r="34" spans="1:23" ht="27" customHeight="1" thickBot="1" x14ac:dyDescent="0.3">
      <c r="A34" s="69"/>
      <c r="B34" s="70"/>
      <c r="C34" s="71"/>
      <c r="D34" s="72"/>
      <c r="E34" s="73"/>
      <c r="F34" s="73"/>
      <c r="G34" s="73"/>
      <c r="H34" s="73"/>
      <c r="I34" s="74"/>
      <c r="J34" s="103" t="str">
        <f t="shared" si="1"/>
        <v/>
      </c>
      <c r="K34" s="76" t="str">
        <f t="shared" si="0"/>
        <v/>
      </c>
      <c r="L34" s="77"/>
      <c r="M34" s="77"/>
      <c r="N34" s="78"/>
      <c r="O34" s="78"/>
      <c r="P34" s="77"/>
      <c r="Q34" s="79"/>
      <c r="R34" s="80"/>
      <c r="S34" s="3"/>
      <c r="W34" s="1"/>
    </row>
    <row r="35" spans="1:23" ht="27" hidden="1" customHeight="1" thickBot="1" x14ac:dyDescent="0.3">
      <c r="A35" s="81"/>
      <c r="B35" s="82"/>
      <c r="C35" s="83"/>
      <c r="D35" s="96"/>
      <c r="E35" s="84"/>
      <c r="F35" s="84"/>
      <c r="G35" s="84"/>
      <c r="H35" s="84"/>
      <c r="I35" s="85"/>
      <c r="J35" s="103" t="str">
        <f t="shared" si="1"/>
        <v/>
      </c>
      <c r="K35" s="76" t="str">
        <f t="shared" si="0"/>
        <v/>
      </c>
      <c r="L35" s="86"/>
      <c r="M35" s="86"/>
      <c r="N35" s="87"/>
      <c r="O35" s="78"/>
      <c r="P35" s="86"/>
      <c r="Q35" s="88"/>
      <c r="R35" s="89"/>
      <c r="S35" s="3"/>
      <c r="W35" s="1"/>
    </row>
    <row r="36" spans="1:23" ht="27" customHeight="1" thickTop="1" x14ac:dyDescent="0.25">
      <c r="A36" s="456" t="s">
        <v>0</v>
      </c>
      <c r="B36" s="457"/>
      <c r="C36" s="458"/>
      <c r="D36" s="21">
        <f t="shared" ref="D36:I36" si="2">AVERAGE(D7:D35)</f>
        <v>0.36</v>
      </c>
      <c r="E36" s="22">
        <f t="shared" si="2"/>
        <v>1.1800000000000002</v>
      </c>
      <c r="F36" s="22">
        <f t="shared" si="2"/>
        <v>30.660000000000004</v>
      </c>
      <c r="G36" s="22">
        <f t="shared" si="2"/>
        <v>62.259999999999991</v>
      </c>
      <c r="H36" s="22">
        <f t="shared" si="2"/>
        <v>92</v>
      </c>
      <c r="I36" s="23">
        <f t="shared" si="2"/>
        <v>100</v>
      </c>
      <c r="J36" s="24" t="s">
        <v>24</v>
      </c>
      <c r="K36" s="25">
        <f t="shared" ref="K36:P36" si="3">AVERAGE(K7:K35)</f>
        <v>5.5544000000000002</v>
      </c>
      <c r="L36" s="25">
        <f t="shared" si="3"/>
        <v>0.83333333333333337</v>
      </c>
      <c r="M36" s="25" t="e">
        <f t="shared" si="3"/>
        <v>#DIV/0!</v>
      </c>
      <c r="N36" s="26">
        <f t="shared" si="3"/>
        <v>2.64</v>
      </c>
      <c r="O36" s="26">
        <f t="shared" si="3"/>
        <v>1.3466666666666669</v>
      </c>
      <c r="P36" s="25">
        <f t="shared" si="3"/>
        <v>0.73333333333333339</v>
      </c>
      <c r="Q36" s="27"/>
      <c r="R36" s="28"/>
      <c r="S36" s="3"/>
      <c r="W36" s="1"/>
    </row>
    <row r="37" spans="1:23" ht="27" customHeight="1" x14ac:dyDescent="0.25">
      <c r="A37" s="450" t="s">
        <v>26</v>
      </c>
      <c r="B37" s="451"/>
      <c r="C37" s="452"/>
      <c r="D37" s="29">
        <f>MAX(D7:D35)</f>
        <v>1.5</v>
      </c>
      <c r="E37" s="30">
        <f>MAX(E7:E35)</f>
        <v>3.2</v>
      </c>
      <c r="F37" s="30">
        <f>MAX(F7:F35)</f>
        <v>43.7</v>
      </c>
      <c r="G37" s="30">
        <f t="shared" ref="G37:P37" si="4">MAX(G7:G35)</f>
        <v>76.3</v>
      </c>
      <c r="H37" s="30">
        <f t="shared" si="4"/>
        <v>97.5</v>
      </c>
      <c r="I37" s="31">
        <f t="shared" si="4"/>
        <v>100</v>
      </c>
      <c r="J37" s="37">
        <f>MAX(J7:J35)</f>
        <v>9.5</v>
      </c>
      <c r="K37" s="33">
        <f t="shared" si="4"/>
        <v>5.75</v>
      </c>
      <c r="L37" s="33">
        <f t="shared" si="4"/>
        <v>1.2</v>
      </c>
      <c r="M37" s="33">
        <f t="shared" ref="M37" si="5">MAX(M7:M35)</f>
        <v>0</v>
      </c>
      <c r="N37" s="34">
        <f t="shared" si="4"/>
        <v>2.68</v>
      </c>
      <c r="O37" s="34">
        <f>MAX(O7:O35)</f>
        <v>1.36</v>
      </c>
      <c r="P37" s="33">
        <f t="shared" si="4"/>
        <v>0.8</v>
      </c>
      <c r="Q37" s="35"/>
      <c r="R37" s="36"/>
    </row>
    <row r="38" spans="1:23" ht="27" customHeight="1" x14ac:dyDescent="0.25">
      <c r="A38" s="450" t="s">
        <v>25</v>
      </c>
      <c r="B38" s="451"/>
      <c r="C38" s="452"/>
      <c r="D38" s="29">
        <f t="shared" ref="D38:I38" si="6">MIN(D7:D35)</f>
        <v>0</v>
      </c>
      <c r="E38" s="30">
        <f t="shared" si="6"/>
        <v>0.1</v>
      </c>
      <c r="F38" s="30">
        <f t="shared" si="6"/>
        <v>22.7</v>
      </c>
      <c r="G38" s="30">
        <f t="shared" si="6"/>
        <v>50.4</v>
      </c>
      <c r="H38" s="30">
        <f t="shared" si="6"/>
        <v>85</v>
      </c>
      <c r="I38" s="31">
        <f t="shared" si="6"/>
        <v>100</v>
      </c>
      <c r="J38" s="37" t="s">
        <v>24</v>
      </c>
      <c r="K38" s="33">
        <f t="shared" ref="K38:P38" si="7">MIN(K7:K35)</f>
        <v>5.3610000000000007</v>
      </c>
      <c r="L38" s="33">
        <f t="shared" si="7"/>
        <v>0.5</v>
      </c>
      <c r="M38" s="33">
        <f t="shared" si="7"/>
        <v>0</v>
      </c>
      <c r="N38" s="34">
        <f t="shared" si="7"/>
        <v>2.62</v>
      </c>
      <c r="O38" s="34">
        <f t="shared" si="7"/>
        <v>1.33</v>
      </c>
      <c r="P38" s="33">
        <f t="shared" si="7"/>
        <v>0.6</v>
      </c>
      <c r="Q38" s="35"/>
      <c r="R38" s="36"/>
    </row>
    <row r="39" spans="1:23" ht="27" customHeight="1" thickBot="1" x14ac:dyDescent="0.3">
      <c r="A39" s="453" t="s">
        <v>1</v>
      </c>
      <c r="B39" s="454"/>
      <c r="C39" s="455"/>
      <c r="D39" s="38">
        <f t="shared" ref="D39:I39" si="8">STDEV(D7:D35)</f>
        <v>0.64265076052238512</v>
      </c>
      <c r="E39" s="39">
        <f t="shared" si="8"/>
        <v>1.2437845472588893</v>
      </c>
      <c r="F39" s="39">
        <f t="shared" si="8"/>
        <v>8.6846416160944724</v>
      </c>
      <c r="G39" s="39">
        <f t="shared" si="8"/>
        <v>11.776799225596109</v>
      </c>
      <c r="H39" s="39">
        <f t="shared" si="8"/>
        <v>5.9426425098604074</v>
      </c>
      <c r="I39" s="40">
        <f t="shared" si="8"/>
        <v>0</v>
      </c>
      <c r="J39" s="41" t="s">
        <v>24</v>
      </c>
      <c r="K39" s="42">
        <f t="shared" ref="K39:P39" si="9">STDEV(K7:K35)</f>
        <v>0.17162837760696795</v>
      </c>
      <c r="L39" s="42">
        <f t="shared" si="9"/>
        <v>0.35118845842842455</v>
      </c>
      <c r="M39" s="42" t="e">
        <f t="shared" si="9"/>
        <v>#DIV/0!</v>
      </c>
      <c r="N39" s="43">
        <f t="shared" si="9"/>
        <v>3.4641016151377574E-2</v>
      </c>
      <c r="O39" s="43">
        <f t="shared" si="9"/>
        <v>1.527525231651948E-2</v>
      </c>
      <c r="P39" s="42">
        <f t="shared" si="9"/>
        <v>0.11547005383792504</v>
      </c>
      <c r="Q39" s="44"/>
      <c r="R39" s="45"/>
    </row>
    <row r="40" spans="1:23" ht="13" thickBo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46"/>
      <c r="L40" s="47"/>
      <c r="M40" s="47"/>
      <c r="N40" s="46"/>
      <c r="O40" s="46"/>
      <c r="P40" s="47"/>
      <c r="Q40" s="5"/>
      <c r="R40" s="5"/>
    </row>
    <row r="41" spans="1:23" ht="22.5" customHeight="1" thickBot="1" x14ac:dyDescent="0.3">
      <c r="A41" s="355" t="s">
        <v>39</v>
      </c>
      <c r="B41" s="356"/>
      <c r="C41" s="356"/>
      <c r="D41" s="356"/>
      <c r="E41" s="356"/>
      <c r="F41" s="356"/>
      <c r="G41" s="356"/>
      <c r="H41" s="356"/>
      <c r="I41" s="495"/>
      <c r="J41" s="444" t="s">
        <v>34</v>
      </c>
      <c r="K41" s="445"/>
      <c r="L41" s="445"/>
      <c r="M41" s="445"/>
      <c r="N41" s="445"/>
      <c r="O41" s="445"/>
      <c r="P41" s="446"/>
      <c r="Q41" s="5"/>
      <c r="R41" s="5"/>
    </row>
    <row r="42" spans="1:23" ht="40.5" customHeight="1" x14ac:dyDescent="0.25">
      <c r="A42" s="359" t="s">
        <v>53</v>
      </c>
      <c r="B42" s="360"/>
      <c r="C42" s="360"/>
      <c r="D42" s="48">
        <f>100-D44</f>
        <v>100</v>
      </c>
      <c r="E42" s="48">
        <f>100-E44</f>
        <v>98</v>
      </c>
      <c r="F42" s="48">
        <f t="shared" ref="F42:H42" si="10">100-F44</f>
        <v>60</v>
      </c>
      <c r="G42" s="48">
        <f t="shared" si="10"/>
        <v>20</v>
      </c>
      <c r="H42" s="48">
        <f t="shared" si="10"/>
        <v>5</v>
      </c>
      <c r="I42" s="97" t="s">
        <v>24</v>
      </c>
      <c r="J42" s="459" t="s">
        <v>51</v>
      </c>
      <c r="K42" s="433"/>
      <c r="L42" s="433" t="s">
        <v>55</v>
      </c>
      <c r="M42" s="489" t="s">
        <v>57</v>
      </c>
      <c r="N42" s="433" t="s">
        <v>52</v>
      </c>
      <c r="O42" s="433"/>
      <c r="P42" s="436"/>
      <c r="Q42" s="5"/>
      <c r="R42" s="5"/>
    </row>
    <row r="43" spans="1:23" ht="40.5" customHeight="1" x14ac:dyDescent="0.25">
      <c r="A43" s="345"/>
      <c r="B43" s="346"/>
      <c r="C43" s="346"/>
      <c r="D43" s="51">
        <f>100-D45</f>
        <v>95</v>
      </c>
      <c r="E43" s="51">
        <f>100-E45</f>
        <v>85</v>
      </c>
      <c r="F43" s="51">
        <f t="shared" ref="F43:H43" si="11">100-F45</f>
        <v>35</v>
      </c>
      <c r="G43" s="51">
        <f t="shared" si="11"/>
        <v>0</v>
      </c>
      <c r="H43" s="51">
        <f t="shared" si="11"/>
        <v>0</v>
      </c>
      <c r="I43" s="98" t="s">
        <v>24</v>
      </c>
      <c r="J43" s="460"/>
      <c r="K43" s="434"/>
      <c r="L43" s="434"/>
      <c r="M43" s="490"/>
      <c r="N43" s="434"/>
      <c r="O43" s="434"/>
      <c r="P43" s="437"/>
      <c r="Q43" s="5"/>
      <c r="R43" s="5"/>
    </row>
    <row r="44" spans="1:23" ht="40.5" customHeight="1" x14ac:dyDescent="0.25">
      <c r="A44" s="464" t="s">
        <v>54</v>
      </c>
      <c r="B44" s="465"/>
      <c r="C44" s="465"/>
      <c r="D44" s="93">
        <v>0</v>
      </c>
      <c r="E44" s="57">
        <v>2</v>
      </c>
      <c r="F44" s="57">
        <v>40</v>
      </c>
      <c r="G44" s="57">
        <v>80</v>
      </c>
      <c r="H44" s="57">
        <v>95</v>
      </c>
      <c r="I44" s="99" t="s">
        <v>24</v>
      </c>
      <c r="J44" s="460"/>
      <c r="K44" s="434"/>
      <c r="L44" s="434"/>
      <c r="M44" s="490"/>
      <c r="N44" s="434"/>
      <c r="O44" s="434"/>
      <c r="P44" s="437"/>
      <c r="Q44" s="5"/>
      <c r="R44" s="5"/>
    </row>
    <row r="45" spans="1:23" ht="40.5" customHeight="1" thickBot="1" x14ac:dyDescent="0.3">
      <c r="A45" s="462"/>
      <c r="B45" s="463"/>
      <c r="C45" s="463"/>
      <c r="D45" s="95">
        <v>5</v>
      </c>
      <c r="E45" s="62">
        <v>15</v>
      </c>
      <c r="F45" s="62">
        <v>65</v>
      </c>
      <c r="G45" s="62">
        <v>100</v>
      </c>
      <c r="H45" s="62">
        <v>100</v>
      </c>
      <c r="I45" s="100" t="s">
        <v>24</v>
      </c>
      <c r="J45" s="460"/>
      <c r="K45" s="434"/>
      <c r="L45" s="434"/>
      <c r="M45" s="433"/>
      <c r="N45" s="434"/>
      <c r="O45" s="434"/>
      <c r="P45" s="437"/>
      <c r="Q45" s="5"/>
      <c r="R45" s="5"/>
    </row>
    <row r="46" spans="1:23" ht="32.25" customHeight="1" x14ac:dyDescent="0.25">
      <c r="A46" s="496" t="s">
        <v>58</v>
      </c>
      <c r="B46" s="496"/>
      <c r="C46" s="496"/>
      <c r="D46" s="496"/>
      <c r="E46" s="496"/>
      <c r="F46" s="496"/>
      <c r="G46" s="496"/>
      <c r="H46" s="496"/>
      <c r="I46" s="496"/>
      <c r="J46" s="101"/>
      <c r="K46" s="101"/>
      <c r="L46" s="101"/>
      <c r="M46" s="101"/>
      <c r="N46" s="101"/>
      <c r="O46" s="101"/>
      <c r="P46" s="101"/>
      <c r="Q46" s="5"/>
      <c r="R46" s="5"/>
    </row>
    <row r="47" spans="1:23" ht="18.75" customHeight="1" thickBo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spans="1:23" ht="15.75" customHeight="1" thickBot="1" x14ac:dyDescent="0.3">
      <c r="A48" s="5"/>
      <c r="B48" s="5"/>
      <c r="C48" s="5"/>
      <c r="D48" s="5"/>
      <c r="E48" s="466" t="s">
        <v>42</v>
      </c>
      <c r="F48" s="467"/>
      <c r="G48" s="467"/>
      <c r="H48" s="467"/>
      <c r="I48" s="467"/>
      <c r="J48" s="467"/>
      <c r="K48" s="467"/>
      <c r="L48" s="467"/>
      <c r="M48" s="467"/>
      <c r="N48" s="467"/>
      <c r="O48" s="467"/>
      <c r="P48" s="467"/>
      <c r="Q48" s="5"/>
      <c r="R48" s="5"/>
    </row>
    <row r="49" spans="1:18" ht="18.75" customHeight="1" thickBot="1" x14ac:dyDescent="0.3">
      <c r="A49" s="5"/>
      <c r="B49" s="5"/>
      <c r="C49" s="5"/>
      <c r="D49" s="5"/>
      <c r="E49" s="469" t="s">
        <v>43</v>
      </c>
      <c r="F49" s="470"/>
      <c r="G49" s="470"/>
      <c r="H49" s="470"/>
      <c r="I49" s="470"/>
      <c r="J49" s="470"/>
      <c r="K49" s="470"/>
      <c r="L49" s="66" t="s">
        <v>44</v>
      </c>
      <c r="M49" s="102" t="s">
        <v>45</v>
      </c>
      <c r="N49" s="497" t="s">
        <v>56</v>
      </c>
      <c r="O49" s="498"/>
      <c r="P49" s="499"/>
      <c r="Q49" s="5"/>
      <c r="R49" s="5"/>
    </row>
    <row r="50" spans="1:18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spans="1:18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8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</row>
    <row r="53" spans="1:18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1:18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1:18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spans="1:18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spans="1:18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spans="1:18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</row>
    <row r="59" spans="1:18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1:18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</row>
    <row r="61" spans="1:18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1:18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</row>
    <row r="63" spans="1:18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spans="1:18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</row>
    <row r="65" spans="1:18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</row>
    <row r="66" spans="1:18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spans="1:18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</row>
    <row r="68" spans="1:18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</row>
    <row r="69" spans="1:18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</row>
    <row r="70" spans="1:18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</row>
    <row r="71" spans="1:18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spans="1:18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</row>
    <row r="73" spans="1:18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</row>
    <row r="74" spans="1:18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</row>
    <row r="75" spans="1:18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</row>
    <row r="76" spans="1:18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</row>
    <row r="77" spans="1:18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</row>
    <row r="78" spans="1:18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</row>
    <row r="79" spans="1:18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spans="1:18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</row>
    <row r="81" spans="1:18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spans="1:18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</row>
    <row r="83" spans="1:18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</row>
    <row r="84" spans="1:18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</row>
    <row r="85" spans="1:18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spans="1:18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spans="1:18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spans="1:18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</row>
    <row r="89" spans="1:18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spans="1:18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</row>
    <row r="91" spans="1:18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</row>
    <row r="92" spans="1:18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spans="1:18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</row>
    <row r="94" spans="1:18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</row>
    <row r="95" spans="1:18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spans="1:18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</row>
    <row r="97" spans="1:18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</row>
    <row r="98" spans="1:18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spans="1:18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</row>
    <row r="100" spans="1:18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</row>
    <row r="101" spans="1:18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</row>
    <row r="102" spans="1:18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</row>
    <row r="103" spans="1:18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</row>
    <row r="104" spans="1:18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</row>
    <row r="105" spans="1:18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</row>
    <row r="106" spans="1:18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</row>
    <row r="107" spans="1:18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spans="1:18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spans="1:18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spans="1:18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spans="1:18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</row>
    <row r="112" spans="1:18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spans="1:18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spans="1:18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spans="1:18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spans="1:18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spans="1:18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spans="1:18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</row>
    <row r="119" spans="1:18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spans="1:18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</row>
    <row r="121" spans="1:18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</row>
    <row r="122" spans="1:18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spans="1:18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</row>
    <row r="124" spans="1:18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spans="1:18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</row>
    <row r="126" spans="1:18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</row>
    <row r="127" spans="1:18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spans="1:18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</row>
    <row r="129" spans="1:18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spans="1:18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</row>
    <row r="131" spans="1:18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spans="1:18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</row>
    <row r="133" spans="1:18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</row>
    <row r="134" spans="1:18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spans="1:18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</row>
    <row r="136" spans="1:18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</row>
    <row r="137" spans="1:18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spans="1:18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spans="1:18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spans="1:18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spans="1:18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spans="1:18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spans="1:18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</sheetData>
  <sheetProtection insertRows="0"/>
  <mergeCells count="36">
    <mergeCell ref="J41:P41"/>
    <mergeCell ref="E49:K49"/>
    <mergeCell ref="O42:O45"/>
    <mergeCell ref="P42:P45"/>
    <mergeCell ref="A44:C45"/>
    <mergeCell ref="E48:P48"/>
    <mergeCell ref="A42:C43"/>
    <mergeCell ref="J42:J45"/>
    <mergeCell ref="K42:K45"/>
    <mergeCell ref="L42:L45"/>
    <mergeCell ref="N42:N45"/>
    <mergeCell ref="A46:I46"/>
    <mergeCell ref="N49:P49"/>
    <mergeCell ref="M42:M45"/>
    <mergeCell ref="A39:C39"/>
    <mergeCell ref="A41:I41"/>
    <mergeCell ref="A36:C36"/>
    <mergeCell ref="A1:R1"/>
    <mergeCell ref="A2:R2"/>
    <mergeCell ref="A4:A6"/>
    <mergeCell ref="B4:B6"/>
    <mergeCell ref="C4:C6"/>
    <mergeCell ref="D4:I4"/>
    <mergeCell ref="J4:J6"/>
    <mergeCell ref="K4:K6"/>
    <mergeCell ref="L4:L6"/>
    <mergeCell ref="N4:N6"/>
    <mergeCell ref="M4:M6"/>
    <mergeCell ref="O4:O6"/>
    <mergeCell ref="A12:R12"/>
    <mergeCell ref="P4:P6"/>
    <mergeCell ref="Q4:Q6"/>
    <mergeCell ref="R4:R6"/>
    <mergeCell ref="I5:I6"/>
    <mergeCell ref="A38:C38"/>
    <mergeCell ref="A37:C37"/>
  </mergeCells>
  <conditionalFormatting sqref="J7:K11">
    <cfRule type="cellIs" dxfId="6" priority="1" operator="equal">
      <formula>""</formula>
    </cfRule>
  </conditionalFormatting>
  <conditionalFormatting sqref="J13:K35">
    <cfRule type="cellIs" dxfId="5" priority="2" operator="equal">
      <formula>""</formula>
    </cfRule>
  </conditionalFormatting>
  <printOptions horizontalCentered="1"/>
  <pageMargins left="0.39370078740157483" right="0.39370078740157483" top="0.82677165354330717" bottom="0.55118110236220474" header="0.51181102362204722" footer="0.35433070866141736"/>
  <pageSetup paperSize="9" scale="51" firstPageNumber="41" fitToHeight="0" orientation="landscape" errors="dash" r:id="rId1"/>
  <headerFooter alignWithMargins="0">
    <oddHeader>&amp;R&amp;G</oddHeader>
    <oddFooter>&amp;C&amp;P&amp;R&amp;F</oddFooter>
  </headerFooter>
  <drawing r:id="rId2"/>
  <legacyDrawing r:id="rId3"/>
  <legacyDrawingHF r:id="rId4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1"/>
    <pageSetUpPr fitToPage="1"/>
  </sheetPr>
  <dimension ref="A1:Y52"/>
  <sheetViews>
    <sheetView zoomScale="70" zoomScaleNormal="70" zoomScaleSheetLayoutView="70" workbookViewId="0">
      <pane ySplit="6" topLeftCell="A7" activePane="bottomLeft" state="frozen"/>
      <selection activeCell="B12" sqref="B12"/>
      <selection pane="bottomLeft" activeCell="B12" sqref="B12"/>
    </sheetView>
  </sheetViews>
  <sheetFormatPr defaultColWidth="9.1796875" defaultRowHeight="12.5" x14ac:dyDescent="0.25"/>
  <cols>
    <col min="1" max="3" width="14" style="1" customWidth="1"/>
    <col min="4" max="10" width="11" style="1" customWidth="1"/>
    <col min="11" max="18" width="12.54296875" style="1" customWidth="1"/>
    <col min="19" max="20" width="28.81640625" style="1" customWidth="1"/>
    <col min="21" max="24" width="9.1796875" style="1"/>
    <col min="25" max="25" width="15.453125" style="2" customWidth="1"/>
    <col min="26" max="26" width="13" style="1" customWidth="1"/>
    <col min="27" max="16384" width="9.1796875" style="1"/>
  </cols>
  <sheetData>
    <row r="1" spans="1:25" ht="31.5" customHeight="1" x14ac:dyDescent="0.25">
      <c r="A1" s="471" t="s">
        <v>91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  <c r="P1" s="471"/>
      <c r="Q1" s="471"/>
      <c r="R1" s="471"/>
      <c r="S1" s="471"/>
      <c r="T1" s="471"/>
    </row>
    <row r="2" spans="1:25" ht="22.5" customHeight="1" x14ac:dyDescent="0.25">
      <c r="A2" s="472" t="s">
        <v>80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</row>
    <row r="3" spans="1:25" ht="14.25" customHeight="1" thickBot="1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5" ht="31.5" customHeight="1" x14ac:dyDescent="0.25">
      <c r="A4" s="480" t="s">
        <v>2</v>
      </c>
      <c r="B4" s="477" t="s">
        <v>3</v>
      </c>
      <c r="C4" s="486" t="s">
        <v>19</v>
      </c>
      <c r="D4" s="441" t="s">
        <v>4</v>
      </c>
      <c r="E4" s="442"/>
      <c r="F4" s="442"/>
      <c r="G4" s="442"/>
      <c r="H4" s="442"/>
      <c r="I4" s="442"/>
      <c r="J4" s="443"/>
      <c r="K4" s="483" t="s">
        <v>29</v>
      </c>
      <c r="L4" s="474" t="s">
        <v>5</v>
      </c>
      <c r="M4" s="447" t="s">
        <v>21</v>
      </c>
      <c r="N4" s="447" t="s">
        <v>30</v>
      </c>
      <c r="O4" s="447" t="s">
        <v>66</v>
      </c>
      <c r="P4" s="447" t="s">
        <v>31</v>
      </c>
      <c r="Q4" s="447" t="s">
        <v>28</v>
      </c>
      <c r="R4" s="447" t="s">
        <v>59</v>
      </c>
      <c r="S4" s="474" t="s">
        <v>20</v>
      </c>
      <c r="T4" s="473" t="s">
        <v>6</v>
      </c>
    </row>
    <row r="5" spans="1:25" ht="16.5" customHeight="1" x14ac:dyDescent="0.25">
      <c r="A5" s="481"/>
      <c r="B5" s="478"/>
      <c r="C5" s="487"/>
      <c r="D5" s="6" t="s">
        <v>17</v>
      </c>
      <c r="E5" s="7" t="s">
        <v>18</v>
      </c>
      <c r="F5" s="104" t="s">
        <v>16</v>
      </c>
      <c r="G5" s="104" t="s">
        <v>7</v>
      </c>
      <c r="H5" s="7" t="s">
        <v>8</v>
      </c>
      <c r="I5" s="7" t="s">
        <v>9</v>
      </c>
      <c r="J5" s="439" t="s">
        <v>15</v>
      </c>
      <c r="K5" s="484"/>
      <c r="L5" s="475"/>
      <c r="M5" s="448"/>
      <c r="N5" s="448"/>
      <c r="O5" s="448"/>
      <c r="P5" s="448"/>
      <c r="Q5" s="448"/>
      <c r="R5" s="448"/>
      <c r="S5" s="475"/>
      <c r="T5" s="439"/>
    </row>
    <row r="6" spans="1:25" ht="16.5" customHeight="1" thickBot="1" x14ac:dyDescent="0.3">
      <c r="A6" s="482"/>
      <c r="B6" s="479"/>
      <c r="C6" s="488"/>
      <c r="D6" s="105">
        <v>25</v>
      </c>
      <c r="E6" s="106">
        <v>19</v>
      </c>
      <c r="F6" s="91">
        <v>12.5</v>
      </c>
      <c r="G6" s="91">
        <v>9.5</v>
      </c>
      <c r="H6" s="91">
        <v>6.3</v>
      </c>
      <c r="I6" s="9">
        <v>4.75</v>
      </c>
      <c r="J6" s="440"/>
      <c r="K6" s="485"/>
      <c r="L6" s="476"/>
      <c r="M6" s="449"/>
      <c r="N6" s="449"/>
      <c r="O6" s="449"/>
      <c r="P6" s="449"/>
      <c r="Q6" s="449"/>
      <c r="R6" s="449"/>
      <c r="S6" s="476"/>
      <c r="T6" s="440"/>
    </row>
    <row r="7" spans="1:25" ht="27.75" customHeight="1" thickTop="1" x14ac:dyDescent="0.25">
      <c r="A7" s="69">
        <v>39720</v>
      </c>
      <c r="B7" s="70">
        <v>1</v>
      </c>
      <c r="C7" s="71">
        <v>39720</v>
      </c>
      <c r="D7" s="72">
        <v>0</v>
      </c>
      <c r="E7" s="73">
        <v>1.3</v>
      </c>
      <c r="F7" s="73">
        <v>50</v>
      </c>
      <c r="G7" s="73">
        <v>76.599999999999994</v>
      </c>
      <c r="H7" s="73">
        <v>99.2</v>
      </c>
      <c r="I7" s="73">
        <v>99.8</v>
      </c>
      <c r="J7" s="74">
        <v>100</v>
      </c>
      <c r="K7" s="112">
        <f t="shared" ref="K7:K8" si="0">IF(B7="","",IF(E7&gt;5,D$6,IF(F7&gt;5,E$6,IF(G7&gt;5,F$6,IF(H7&gt;5,G$6,$H$6)))))</f>
        <v>19</v>
      </c>
      <c r="L7" s="76">
        <f>IF(B7="","",(E7+G7+I7+500)/100)</f>
        <v>6.7770000000000001</v>
      </c>
      <c r="M7" s="77">
        <v>0.3</v>
      </c>
      <c r="N7" s="77" t="s">
        <v>24</v>
      </c>
      <c r="O7" s="78">
        <v>2.74</v>
      </c>
      <c r="P7" s="78" t="s">
        <v>24</v>
      </c>
      <c r="Q7" s="77">
        <v>0.3</v>
      </c>
      <c r="R7" s="113" t="s">
        <v>24</v>
      </c>
      <c r="S7" s="79" t="s">
        <v>69</v>
      </c>
      <c r="T7" s="80" t="s">
        <v>74</v>
      </c>
      <c r="U7" s="3"/>
      <c r="Y7" s="1"/>
    </row>
    <row r="8" spans="1:25" ht="27" customHeight="1" x14ac:dyDescent="0.25">
      <c r="A8" s="69">
        <v>39727</v>
      </c>
      <c r="B8" s="70">
        <v>2</v>
      </c>
      <c r="C8" s="71">
        <v>39727</v>
      </c>
      <c r="D8" s="72">
        <v>0</v>
      </c>
      <c r="E8" s="73">
        <v>0.7</v>
      </c>
      <c r="F8" s="73">
        <v>48.7</v>
      </c>
      <c r="G8" s="73">
        <v>75.8</v>
      </c>
      <c r="H8" s="73">
        <v>97.5</v>
      </c>
      <c r="I8" s="73">
        <v>98.9</v>
      </c>
      <c r="J8" s="74">
        <v>100</v>
      </c>
      <c r="K8" s="112">
        <f t="shared" si="0"/>
        <v>19</v>
      </c>
      <c r="L8" s="76">
        <f>IF(B8="","",(E8+G8+I8+500)/100)</f>
        <v>6.7539999999999996</v>
      </c>
      <c r="M8" s="77" t="s">
        <v>24</v>
      </c>
      <c r="N8" s="77" t="s">
        <v>24</v>
      </c>
      <c r="O8" s="77" t="s">
        <v>24</v>
      </c>
      <c r="P8" s="77" t="s">
        <v>24</v>
      </c>
      <c r="Q8" s="77" t="s">
        <v>24</v>
      </c>
      <c r="R8" s="77" t="s">
        <v>24</v>
      </c>
      <c r="S8" s="79" t="s">
        <v>69</v>
      </c>
      <c r="T8" s="80" t="s">
        <v>74</v>
      </c>
      <c r="U8" s="3"/>
      <c r="Y8" s="1"/>
    </row>
    <row r="9" spans="1:25" ht="27" customHeight="1" x14ac:dyDescent="0.25">
      <c r="A9" s="69">
        <v>39731</v>
      </c>
      <c r="B9" s="70">
        <v>3</v>
      </c>
      <c r="C9" s="71">
        <v>39735</v>
      </c>
      <c r="D9" s="72">
        <v>0</v>
      </c>
      <c r="E9" s="73">
        <v>2.9</v>
      </c>
      <c r="F9" s="73">
        <v>47.6</v>
      </c>
      <c r="G9" s="73">
        <v>75.2</v>
      </c>
      <c r="H9" s="73">
        <v>98.2</v>
      </c>
      <c r="I9" s="73">
        <v>99.5</v>
      </c>
      <c r="J9" s="74">
        <v>100</v>
      </c>
      <c r="K9" s="112">
        <f t="shared" ref="K9:K35" si="1">IF(B9="","",IF(E9&gt;5,D$6,IF(F9&gt;5,E$6,IF(G9&gt;5,F$6,IF(H9&gt;5,G$6,$H$6)))))</f>
        <v>19</v>
      </c>
      <c r="L9" s="76">
        <f>IF(B9="","",(E9+G9+I9+500)/100)</f>
        <v>6.7759999999999998</v>
      </c>
      <c r="M9" s="77" t="s">
        <v>24</v>
      </c>
      <c r="N9" s="77" t="s">
        <v>24</v>
      </c>
      <c r="O9" s="77" t="s">
        <v>24</v>
      </c>
      <c r="P9" s="77" t="s">
        <v>24</v>
      </c>
      <c r="Q9" s="77" t="s">
        <v>24</v>
      </c>
      <c r="R9" s="77" t="s">
        <v>24</v>
      </c>
      <c r="S9" s="79" t="s">
        <v>69</v>
      </c>
      <c r="T9" s="80" t="s">
        <v>74</v>
      </c>
      <c r="U9" s="3"/>
      <c r="Y9" s="1"/>
    </row>
    <row r="10" spans="1:25" ht="27" customHeight="1" x14ac:dyDescent="0.25">
      <c r="A10" s="69">
        <v>39814</v>
      </c>
      <c r="B10" s="70">
        <v>4</v>
      </c>
      <c r="C10" s="71">
        <v>39821</v>
      </c>
      <c r="D10" s="72">
        <v>0</v>
      </c>
      <c r="E10" s="73">
        <v>0.6</v>
      </c>
      <c r="F10" s="73">
        <v>46.3</v>
      </c>
      <c r="G10" s="73">
        <v>73.8</v>
      </c>
      <c r="H10" s="73">
        <v>94</v>
      </c>
      <c r="I10" s="73">
        <v>96.1</v>
      </c>
      <c r="J10" s="74">
        <v>100</v>
      </c>
      <c r="K10" s="112">
        <f t="shared" si="1"/>
        <v>19</v>
      </c>
      <c r="L10" s="76">
        <f t="shared" ref="L10:L35" si="2">IF(B10="","",(E10+G10+I10+500)/100)</f>
        <v>6.7050000000000001</v>
      </c>
      <c r="M10" s="77">
        <v>1.7</v>
      </c>
      <c r="N10" s="77" t="s">
        <v>24</v>
      </c>
      <c r="O10" s="78">
        <v>2.69</v>
      </c>
      <c r="P10" s="78">
        <v>1.43</v>
      </c>
      <c r="Q10" s="77">
        <v>0.2</v>
      </c>
      <c r="R10" s="113" t="s">
        <v>24</v>
      </c>
      <c r="S10" s="79" t="s">
        <v>83</v>
      </c>
      <c r="T10" s="80" t="s">
        <v>74</v>
      </c>
      <c r="U10" s="3"/>
      <c r="Y10" s="1"/>
    </row>
    <row r="11" spans="1:25" ht="27" customHeight="1" x14ac:dyDescent="0.25">
      <c r="A11" s="69">
        <v>39814</v>
      </c>
      <c r="B11" s="70">
        <v>5</v>
      </c>
      <c r="C11" s="71">
        <v>39828</v>
      </c>
      <c r="D11" s="72">
        <v>0</v>
      </c>
      <c r="E11" s="73">
        <v>0.9</v>
      </c>
      <c r="F11" s="73">
        <v>46.9</v>
      </c>
      <c r="G11" s="73">
        <v>74</v>
      </c>
      <c r="H11" s="73">
        <v>92.6</v>
      </c>
      <c r="I11" s="73">
        <v>94.3</v>
      </c>
      <c r="J11" s="74">
        <v>100</v>
      </c>
      <c r="K11" s="112">
        <f>IF(B11="","",IF(E11&gt;5,D$6,IF(F11&gt;5,E$6,IF(G11&gt;5,F$6,IF(H11&gt;5,G$6,$H$6)))))</f>
        <v>19</v>
      </c>
      <c r="L11" s="76">
        <f>IF(B11="","",(E11+G11+I11+500)/100)</f>
        <v>6.6920000000000002</v>
      </c>
      <c r="M11" s="77">
        <v>1.9</v>
      </c>
      <c r="N11" s="77" t="s">
        <v>24</v>
      </c>
      <c r="O11" s="78">
        <v>2.7</v>
      </c>
      <c r="P11" s="78">
        <v>1.44</v>
      </c>
      <c r="Q11" s="77">
        <v>0.2</v>
      </c>
      <c r="R11" s="113" t="s">
        <v>24</v>
      </c>
      <c r="S11" s="79" t="s">
        <v>69</v>
      </c>
      <c r="T11" s="80" t="s">
        <v>74</v>
      </c>
      <c r="U11" s="3"/>
      <c r="Y11" s="1"/>
    </row>
    <row r="12" spans="1:25" ht="27" customHeight="1" x14ac:dyDescent="0.25">
      <c r="A12" s="69">
        <v>39814</v>
      </c>
      <c r="B12" s="70">
        <v>6</v>
      </c>
      <c r="C12" s="71">
        <v>39833</v>
      </c>
      <c r="D12" s="72">
        <v>0</v>
      </c>
      <c r="E12" s="73">
        <v>1.4</v>
      </c>
      <c r="F12" s="73">
        <v>55.8</v>
      </c>
      <c r="G12" s="73">
        <v>80.099999999999994</v>
      </c>
      <c r="H12" s="73">
        <v>95.6</v>
      </c>
      <c r="I12" s="73">
        <v>97.3</v>
      </c>
      <c r="J12" s="74">
        <v>100</v>
      </c>
      <c r="K12" s="112">
        <f t="shared" si="1"/>
        <v>19</v>
      </c>
      <c r="L12" s="76">
        <f t="shared" si="2"/>
        <v>6.7879999999999994</v>
      </c>
      <c r="M12" s="77" t="s">
        <v>24</v>
      </c>
      <c r="N12" s="77" t="s">
        <v>24</v>
      </c>
      <c r="O12" s="77" t="s">
        <v>24</v>
      </c>
      <c r="P12" s="77" t="s">
        <v>24</v>
      </c>
      <c r="Q12" s="77" t="s">
        <v>24</v>
      </c>
      <c r="R12" s="77" t="s">
        <v>24</v>
      </c>
      <c r="S12" s="79" t="s">
        <v>83</v>
      </c>
      <c r="T12" s="80" t="s">
        <v>74</v>
      </c>
      <c r="U12" s="3"/>
      <c r="Y12" s="1"/>
    </row>
    <row r="13" spans="1:25" ht="27" customHeight="1" x14ac:dyDescent="0.25">
      <c r="A13" s="69"/>
      <c r="B13" s="70"/>
      <c r="C13" s="71"/>
      <c r="D13" s="72"/>
      <c r="E13" s="73"/>
      <c r="F13" s="73"/>
      <c r="G13" s="73"/>
      <c r="H13" s="73"/>
      <c r="I13" s="73"/>
      <c r="J13" s="74"/>
      <c r="K13" s="112" t="str">
        <f t="shared" si="1"/>
        <v/>
      </c>
      <c r="L13" s="76" t="str">
        <f t="shared" si="2"/>
        <v/>
      </c>
      <c r="M13" s="77"/>
      <c r="N13" s="77"/>
      <c r="O13" s="78"/>
      <c r="P13" s="78"/>
      <c r="Q13" s="77"/>
      <c r="R13" s="113"/>
      <c r="S13" s="79"/>
      <c r="T13" s="80"/>
      <c r="U13" s="3"/>
      <c r="Y13" s="1"/>
    </row>
    <row r="14" spans="1:25" ht="27" customHeight="1" x14ac:dyDescent="0.25">
      <c r="A14" s="69"/>
      <c r="B14" s="70"/>
      <c r="C14" s="71"/>
      <c r="D14" s="72"/>
      <c r="E14" s="73"/>
      <c r="F14" s="73"/>
      <c r="G14" s="73"/>
      <c r="H14" s="73"/>
      <c r="I14" s="73"/>
      <c r="J14" s="74"/>
      <c r="K14" s="112" t="str">
        <f t="shared" si="1"/>
        <v/>
      </c>
      <c r="L14" s="76" t="str">
        <f t="shared" si="2"/>
        <v/>
      </c>
      <c r="M14" s="77"/>
      <c r="N14" s="77"/>
      <c r="O14" s="78"/>
      <c r="P14" s="78"/>
      <c r="Q14" s="77"/>
      <c r="R14" s="113"/>
      <c r="S14" s="79"/>
      <c r="T14" s="80"/>
      <c r="U14" s="3"/>
      <c r="Y14" s="1"/>
    </row>
    <row r="15" spans="1:25" ht="27" customHeight="1" x14ac:dyDescent="0.25">
      <c r="A15" s="69"/>
      <c r="B15" s="70"/>
      <c r="C15" s="71"/>
      <c r="D15" s="72"/>
      <c r="E15" s="73"/>
      <c r="F15" s="73"/>
      <c r="G15" s="73"/>
      <c r="H15" s="73"/>
      <c r="I15" s="73"/>
      <c r="J15" s="74"/>
      <c r="K15" s="112" t="str">
        <f t="shared" si="1"/>
        <v/>
      </c>
      <c r="L15" s="76" t="str">
        <f t="shared" si="2"/>
        <v/>
      </c>
      <c r="M15" s="77"/>
      <c r="N15" s="77"/>
      <c r="O15" s="78"/>
      <c r="P15" s="78"/>
      <c r="Q15" s="77"/>
      <c r="R15" s="113"/>
      <c r="S15" s="79"/>
      <c r="T15" s="80"/>
      <c r="U15" s="3"/>
      <c r="Y15" s="1"/>
    </row>
    <row r="16" spans="1:25" ht="27" customHeight="1" x14ac:dyDescent="0.25">
      <c r="A16" s="69"/>
      <c r="B16" s="70"/>
      <c r="C16" s="71"/>
      <c r="D16" s="72"/>
      <c r="E16" s="73"/>
      <c r="F16" s="73"/>
      <c r="G16" s="73"/>
      <c r="H16" s="73"/>
      <c r="I16" s="73"/>
      <c r="J16" s="74"/>
      <c r="K16" s="112" t="str">
        <f t="shared" si="1"/>
        <v/>
      </c>
      <c r="L16" s="76" t="str">
        <f t="shared" si="2"/>
        <v/>
      </c>
      <c r="M16" s="77"/>
      <c r="N16" s="77"/>
      <c r="O16" s="78"/>
      <c r="P16" s="78"/>
      <c r="Q16" s="77"/>
      <c r="R16" s="113"/>
      <c r="S16" s="79"/>
      <c r="T16" s="80"/>
      <c r="U16" s="3"/>
      <c r="Y16" s="1"/>
    </row>
    <row r="17" spans="1:25" ht="27" customHeight="1" x14ac:dyDescent="0.25">
      <c r="A17" s="69"/>
      <c r="B17" s="70"/>
      <c r="C17" s="71"/>
      <c r="D17" s="72"/>
      <c r="E17" s="73"/>
      <c r="F17" s="73"/>
      <c r="G17" s="73"/>
      <c r="H17" s="73"/>
      <c r="I17" s="73"/>
      <c r="J17" s="74"/>
      <c r="K17" s="112" t="str">
        <f t="shared" si="1"/>
        <v/>
      </c>
      <c r="L17" s="76" t="str">
        <f t="shared" si="2"/>
        <v/>
      </c>
      <c r="M17" s="77"/>
      <c r="N17" s="77"/>
      <c r="O17" s="78"/>
      <c r="P17" s="78"/>
      <c r="Q17" s="77"/>
      <c r="R17" s="113"/>
      <c r="S17" s="79"/>
      <c r="T17" s="80"/>
      <c r="U17" s="3"/>
      <c r="Y17" s="1"/>
    </row>
    <row r="18" spans="1:25" ht="27" customHeight="1" x14ac:dyDescent="0.25">
      <c r="A18" s="69"/>
      <c r="B18" s="70"/>
      <c r="C18" s="71"/>
      <c r="D18" s="72"/>
      <c r="E18" s="73"/>
      <c r="F18" s="73"/>
      <c r="G18" s="73"/>
      <c r="H18" s="73"/>
      <c r="I18" s="73"/>
      <c r="J18" s="74"/>
      <c r="K18" s="112" t="str">
        <f t="shared" si="1"/>
        <v/>
      </c>
      <c r="L18" s="76" t="str">
        <f t="shared" si="2"/>
        <v/>
      </c>
      <c r="M18" s="77"/>
      <c r="N18" s="77"/>
      <c r="O18" s="78"/>
      <c r="P18" s="78"/>
      <c r="Q18" s="77"/>
      <c r="R18" s="113"/>
      <c r="S18" s="79"/>
      <c r="T18" s="80"/>
      <c r="U18" s="3"/>
      <c r="Y18" s="1"/>
    </row>
    <row r="19" spans="1:25" ht="27" customHeight="1" x14ac:dyDescent="0.25">
      <c r="A19" s="69"/>
      <c r="B19" s="70"/>
      <c r="C19" s="71"/>
      <c r="D19" s="72"/>
      <c r="E19" s="73"/>
      <c r="F19" s="73"/>
      <c r="G19" s="73"/>
      <c r="H19" s="73"/>
      <c r="I19" s="73"/>
      <c r="J19" s="74"/>
      <c r="K19" s="112" t="str">
        <f t="shared" si="1"/>
        <v/>
      </c>
      <c r="L19" s="76" t="str">
        <f t="shared" si="2"/>
        <v/>
      </c>
      <c r="M19" s="77"/>
      <c r="N19" s="77"/>
      <c r="O19" s="78"/>
      <c r="P19" s="78"/>
      <c r="Q19" s="77"/>
      <c r="R19" s="113"/>
      <c r="S19" s="79"/>
      <c r="T19" s="80"/>
      <c r="U19" s="3"/>
      <c r="Y19" s="1"/>
    </row>
    <row r="20" spans="1:25" ht="27" customHeight="1" x14ac:dyDescent="0.25">
      <c r="A20" s="69"/>
      <c r="B20" s="70"/>
      <c r="C20" s="71"/>
      <c r="D20" s="72"/>
      <c r="E20" s="73"/>
      <c r="F20" s="73"/>
      <c r="G20" s="73"/>
      <c r="H20" s="73"/>
      <c r="I20" s="73"/>
      <c r="J20" s="74"/>
      <c r="K20" s="112" t="str">
        <f t="shared" si="1"/>
        <v/>
      </c>
      <c r="L20" s="76" t="str">
        <f t="shared" si="2"/>
        <v/>
      </c>
      <c r="M20" s="77"/>
      <c r="N20" s="77"/>
      <c r="O20" s="78"/>
      <c r="P20" s="78"/>
      <c r="Q20" s="77"/>
      <c r="R20" s="113"/>
      <c r="S20" s="79"/>
      <c r="T20" s="80"/>
      <c r="U20" s="3"/>
      <c r="Y20" s="1"/>
    </row>
    <row r="21" spans="1:25" ht="27" customHeight="1" x14ac:dyDescent="0.25">
      <c r="A21" s="69"/>
      <c r="B21" s="70"/>
      <c r="C21" s="71"/>
      <c r="D21" s="72"/>
      <c r="E21" s="73"/>
      <c r="F21" s="73"/>
      <c r="G21" s="73"/>
      <c r="H21" s="73"/>
      <c r="I21" s="73"/>
      <c r="J21" s="74"/>
      <c r="K21" s="112" t="str">
        <f>IF(B21="","",IF(E21&gt;5,D$6,IF(F21&gt;5,E$6,IF(G21&gt;5,F$6,IF(H21&gt;5,G$6,$H$6)))))</f>
        <v/>
      </c>
      <c r="L21" s="76" t="str">
        <f>IF(B21="","",(E21+G21+I21+500)/100)</f>
        <v/>
      </c>
      <c r="M21" s="77"/>
      <c r="N21" s="77"/>
      <c r="O21" s="78"/>
      <c r="P21" s="78"/>
      <c r="Q21" s="77"/>
      <c r="R21" s="113"/>
      <c r="S21" s="79"/>
      <c r="T21" s="80"/>
      <c r="U21" s="3"/>
      <c r="Y21" s="1"/>
    </row>
    <row r="22" spans="1:25" ht="27" customHeight="1" x14ac:dyDescent="0.25">
      <c r="A22" s="69"/>
      <c r="B22" s="70"/>
      <c r="C22" s="71"/>
      <c r="D22" s="72"/>
      <c r="E22" s="73"/>
      <c r="F22" s="73"/>
      <c r="G22" s="73"/>
      <c r="H22" s="73"/>
      <c r="I22" s="73"/>
      <c r="J22" s="74"/>
      <c r="K22" s="112" t="str">
        <f t="shared" si="1"/>
        <v/>
      </c>
      <c r="L22" s="76" t="str">
        <f t="shared" si="2"/>
        <v/>
      </c>
      <c r="M22" s="77"/>
      <c r="N22" s="77"/>
      <c r="O22" s="78"/>
      <c r="P22" s="78"/>
      <c r="Q22" s="77"/>
      <c r="R22" s="113"/>
      <c r="S22" s="79"/>
      <c r="T22" s="80"/>
      <c r="U22" s="3"/>
      <c r="Y22" s="1"/>
    </row>
    <row r="23" spans="1:25" ht="27" customHeight="1" x14ac:dyDescent="0.25">
      <c r="A23" s="69"/>
      <c r="B23" s="70"/>
      <c r="C23" s="71"/>
      <c r="D23" s="72"/>
      <c r="E23" s="73"/>
      <c r="F23" s="73"/>
      <c r="G23" s="73"/>
      <c r="H23" s="73"/>
      <c r="I23" s="73"/>
      <c r="J23" s="74"/>
      <c r="K23" s="112" t="str">
        <f t="shared" si="1"/>
        <v/>
      </c>
      <c r="L23" s="76" t="str">
        <f t="shared" si="2"/>
        <v/>
      </c>
      <c r="M23" s="77"/>
      <c r="N23" s="77"/>
      <c r="O23" s="78"/>
      <c r="P23" s="78"/>
      <c r="Q23" s="77"/>
      <c r="R23" s="113"/>
      <c r="S23" s="79"/>
      <c r="T23" s="80"/>
      <c r="U23" s="3"/>
      <c r="Y23" s="1"/>
    </row>
    <row r="24" spans="1:25" ht="27" customHeight="1" x14ac:dyDescent="0.25">
      <c r="A24" s="69"/>
      <c r="B24" s="70"/>
      <c r="C24" s="71"/>
      <c r="D24" s="72"/>
      <c r="E24" s="73"/>
      <c r="F24" s="73"/>
      <c r="G24" s="73"/>
      <c r="H24" s="73"/>
      <c r="I24" s="73"/>
      <c r="J24" s="74"/>
      <c r="K24" s="112" t="str">
        <f t="shared" si="1"/>
        <v/>
      </c>
      <c r="L24" s="76" t="str">
        <f t="shared" si="2"/>
        <v/>
      </c>
      <c r="M24" s="77"/>
      <c r="N24" s="77"/>
      <c r="O24" s="78"/>
      <c r="P24" s="78"/>
      <c r="Q24" s="77"/>
      <c r="R24" s="113"/>
      <c r="S24" s="79"/>
      <c r="T24" s="80"/>
      <c r="U24" s="3"/>
      <c r="Y24" s="1"/>
    </row>
    <row r="25" spans="1:25" ht="27" customHeight="1" x14ac:dyDescent="0.25">
      <c r="A25" s="69"/>
      <c r="B25" s="70"/>
      <c r="C25" s="71"/>
      <c r="D25" s="72"/>
      <c r="E25" s="73"/>
      <c r="F25" s="73"/>
      <c r="G25" s="73"/>
      <c r="H25" s="73"/>
      <c r="I25" s="73"/>
      <c r="J25" s="74"/>
      <c r="K25" s="112" t="str">
        <f t="shared" si="1"/>
        <v/>
      </c>
      <c r="L25" s="76" t="str">
        <f t="shared" si="2"/>
        <v/>
      </c>
      <c r="M25" s="77"/>
      <c r="N25" s="77"/>
      <c r="O25" s="78"/>
      <c r="P25" s="78"/>
      <c r="Q25" s="77"/>
      <c r="R25" s="113"/>
      <c r="S25" s="79"/>
      <c r="T25" s="80"/>
      <c r="U25" s="3"/>
      <c r="Y25" s="1"/>
    </row>
    <row r="26" spans="1:25" ht="27" customHeight="1" x14ac:dyDescent="0.25">
      <c r="A26" s="69"/>
      <c r="B26" s="70"/>
      <c r="C26" s="71"/>
      <c r="D26" s="72"/>
      <c r="E26" s="73"/>
      <c r="F26" s="73"/>
      <c r="G26" s="73"/>
      <c r="H26" s="73"/>
      <c r="I26" s="73"/>
      <c r="J26" s="74"/>
      <c r="K26" s="112" t="str">
        <f t="shared" si="1"/>
        <v/>
      </c>
      <c r="L26" s="76" t="str">
        <f t="shared" si="2"/>
        <v/>
      </c>
      <c r="M26" s="77"/>
      <c r="N26" s="77"/>
      <c r="O26" s="78"/>
      <c r="P26" s="78"/>
      <c r="Q26" s="77"/>
      <c r="R26" s="113"/>
      <c r="S26" s="79"/>
      <c r="T26" s="80"/>
      <c r="U26" s="3"/>
      <c r="Y26" s="1"/>
    </row>
    <row r="27" spans="1:25" ht="27" customHeight="1" x14ac:dyDescent="0.25">
      <c r="A27" s="69"/>
      <c r="B27" s="70"/>
      <c r="C27" s="71"/>
      <c r="D27" s="72"/>
      <c r="E27" s="73"/>
      <c r="F27" s="73"/>
      <c r="G27" s="73"/>
      <c r="H27" s="73"/>
      <c r="I27" s="73"/>
      <c r="J27" s="74"/>
      <c r="K27" s="112" t="str">
        <f t="shared" si="1"/>
        <v/>
      </c>
      <c r="L27" s="76" t="str">
        <f t="shared" si="2"/>
        <v/>
      </c>
      <c r="M27" s="77"/>
      <c r="N27" s="77"/>
      <c r="O27" s="78"/>
      <c r="P27" s="78"/>
      <c r="Q27" s="77"/>
      <c r="R27" s="113"/>
      <c r="S27" s="79"/>
      <c r="T27" s="80"/>
      <c r="U27" s="3"/>
      <c r="Y27" s="1"/>
    </row>
    <row r="28" spans="1:25" ht="27" customHeight="1" x14ac:dyDescent="0.25">
      <c r="A28" s="69"/>
      <c r="B28" s="70"/>
      <c r="C28" s="71"/>
      <c r="D28" s="72"/>
      <c r="E28" s="73"/>
      <c r="F28" s="73"/>
      <c r="G28" s="73"/>
      <c r="H28" s="73"/>
      <c r="I28" s="73"/>
      <c r="J28" s="74"/>
      <c r="K28" s="112" t="str">
        <f t="shared" si="1"/>
        <v/>
      </c>
      <c r="L28" s="76" t="str">
        <f t="shared" si="2"/>
        <v/>
      </c>
      <c r="M28" s="77"/>
      <c r="N28" s="77"/>
      <c r="O28" s="78"/>
      <c r="P28" s="78"/>
      <c r="Q28" s="77"/>
      <c r="R28" s="113"/>
      <c r="S28" s="79"/>
      <c r="T28" s="80"/>
      <c r="U28" s="3"/>
      <c r="Y28" s="1"/>
    </row>
    <row r="29" spans="1:25" ht="27" customHeight="1" x14ac:dyDescent="0.25">
      <c r="A29" s="69"/>
      <c r="B29" s="70"/>
      <c r="C29" s="71"/>
      <c r="D29" s="72"/>
      <c r="E29" s="73"/>
      <c r="F29" s="73"/>
      <c r="G29" s="73"/>
      <c r="H29" s="73"/>
      <c r="I29" s="73"/>
      <c r="J29" s="74"/>
      <c r="K29" s="112" t="str">
        <f t="shared" si="1"/>
        <v/>
      </c>
      <c r="L29" s="76" t="str">
        <f t="shared" si="2"/>
        <v/>
      </c>
      <c r="M29" s="77"/>
      <c r="N29" s="77"/>
      <c r="O29" s="78"/>
      <c r="P29" s="78"/>
      <c r="Q29" s="77"/>
      <c r="R29" s="113"/>
      <c r="S29" s="79"/>
      <c r="T29" s="80"/>
      <c r="U29" s="3"/>
      <c r="Y29" s="1"/>
    </row>
    <row r="30" spans="1:25" ht="27" customHeight="1" x14ac:dyDescent="0.25">
      <c r="A30" s="69"/>
      <c r="B30" s="70"/>
      <c r="C30" s="71"/>
      <c r="D30" s="72"/>
      <c r="E30" s="73"/>
      <c r="F30" s="73"/>
      <c r="G30" s="73"/>
      <c r="H30" s="73"/>
      <c r="I30" s="73"/>
      <c r="J30" s="74"/>
      <c r="K30" s="112" t="str">
        <f t="shared" si="1"/>
        <v/>
      </c>
      <c r="L30" s="76" t="str">
        <f t="shared" si="2"/>
        <v/>
      </c>
      <c r="M30" s="77"/>
      <c r="N30" s="77"/>
      <c r="O30" s="78"/>
      <c r="P30" s="78"/>
      <c r="Q30" s="77"/>
      <c r="R30" s="113"/>
      <c r="S30" s="79"/>
      <c r="T30" s="80"/>
      <c r="U30" s="3"/>
      <c r="Y30" s="1"/>
    </row>
    <row r="31" spans="1:25" ht="27" customHeight="1" x14ac:dyDescent="0.25">
      <c r="A31" s="69"/>
      <c r="B31" s="70"/>
      <c r="C31" s="71"/>
      <c r="D31" s="72"/>
      <c r="E31" s="73"/>
      <c r="F31" s="73"/>
      <c r="G31" s="73"/>
      <c r="H31" s="73"/>
      <c r="I31" s="73"/>
      <c r="J31" s="74"/>
      <c r="K31" s="112" t="str">
        <f t="shared" si="1"/>
        <v/>
      </c>
      <c r="L31" s="76" t="str">
        <f t="shared" si="2"/>
        <v/>
      </c>
      <c r="M31" s="77"/>
      <c r="N31" s="77"/>
      <c r="O31" s="78"/>
      <c r="P31" s="78"/>
      <c r="Q31" s="77"/>
      <c r="R31" s="113"/>
      <c r="S31" s="79"/>
      <c r="T31" s="80"/>
      <c r="U31" s="3"/>
      <c r="Y31" s="1"/>
    </row>
    <row r="32" spans="1:25" ht="27" customHeight="1" x14ac:dyDescent="0.25">
      <c r="A32" s="69"/>
      <c r="B32" s="70"/>
      <c r="C32" s="71"/>
      <c r="D32" s="72"/>
      <c r="E32" s="73"/>
      <c r="F32" s="73"/>
      <c r="G32" s="73"/>
      <c r="H32" s="73"/>
      <c r="I32" s="73"/>
      <c r="J32" s="74"/>
      <c r="K32" s="112"/>
      <c r="L32" s="76"/>
      <c r="M32" s="77"/>
      <c r="N32" s="77"/>
      <c r="O32" s="78"/>
      <c r="P32" s="78"/>
      <c r="Q32" s="77"/>
      <c r="R32" s="113"/>
      <c r="S32" s="79"/>
      <c r="T32" s="80"/>
      <c r="U32" s="3"/>
      <c r="Y32" s="1"/>
    </row>
    <row r="33" spans="1:25" ht="27" customHeight="1" x14ac:dyDescent="0.25">
      <c r="A33" s="69"/>
      <c r="B33" s="70"/>
      <c r="C33" s="71"/>
      <c r="D33" s="72"/>
      <c r="E33" s="73"/>
      <c r="F33" s="73"/>
      <c r="G33" s="73"/>
      <c r="H33" s="73"/>
      <c r="I33" s="73"/>
      <c r="J33" s="74"/>
      <c r="K33" s="112" t="str">
        <f t="shared" si="1"/>
        <v/>
      </c>
      <c r="L33" s="76" t="str">
        <f t="shared" si="2"/>
        <v/>
      </c>
      <c r="M33" s="77"/>
      <c r="N33" s="77"/>
      <c r="O33" s="78"/>
      <c r="P33" s="78"/>
      <c r="Q33" s="77"/>
      <c r="R33" s="113"/>
      <c r="S33" s="79"/>
      <c r="T33" s="80"/>
      <c r="U33" s="3"/>
      <c r="Y33" s="1"/>
    </row>
    <row r="34" spans="1:25" ht="27" customHeight="1" thickBot="1" x14ac:dyDescent="0.3">
      <c r="A34" s="69"/>
      <c r="B34" s="70"/>
      <c r="C34" s="71"/>
      <c r="D34" s="72"/>
      <c r="E34" s="73"/>
      <c r="F34" s="73"/>
      <c r="G34" s="73"/>
      <c r="H34" s="73"/>
      <c r="I34" s="73"/>
      <c r="J34" s="74"/>
      <c r="K34" s="112" t="str">
        <f t="shared" si="1"/>
        <v/>
      </c>
      <c r="L34" s="76" t="str">
        <f t="shared" si="2"/>
        <v/>
      </c>
      <c r="M34" s="77"/>
      <c r="N34" s="77"/>
      <c r="O34" s="78"/>
      <c r="P34" s="78"/>
      <c r="Q34" s="77"/>
      <c r="R34" s="113"/>
      <c r="S34" s="79"/>
      <c r="T34" s="80"/>
      <c r="U34" s="3"/>
      <c r="Y34" s="1"/>
    </row>
    <row r="35" spans="1:25" ht="27" hidden="1" customHeight="1" thickBot="1" x14ac:dyDescent="0.3">
      <c r="A35" s="81"/>
      <c r="B35" s="82"/>
      <c r="C35" s="83"/>
      <c r="D35" s="96"/>
      <c r="E35" s="84"/>
      <c r="F35" s="84"/>
      <c r="G35" s="84"/>
      <c r="H35" s="84"/>
      <c r="I35" s="84"/>
      <c r="J35" s="85"/>
      <c r="K35" s="112" t="str">
        <f t="shared" si="1"/>
        <v/>
      </c>
      <c r="L35" s="76" t="str">
        <f t="shared" si="2"/>
        <v/>
      </c>
      <c r="M35" s="86"/>
      <c r="N35" s="86"/>
      <c r="O35" s="87"/>
      <c r="P35" s="78"/>
      <c r="Q35" s="86"/>
      <c r="R35" s="114"/>
      <c r="S35" s="88"/>
      <c r="T35" s="89"/>
      <c r="U35" s="3"/>
      <c r="Y35" s="1"/>
    </row>
    <row r="36" spans="1:25" ht="27" customHeight="1" thickTop="1" x14ac:dyDescent="0.25">
      <c r="A36" s="456" t="s">
        <v>0</v>
      </c>
      <c r="B36" s="457"/>
      <c r="C36" s="458"/>
      <c r="D36" s="21">
        <f t="shared" ref="D36:J36" si="3">AVERAGE(D7:D35)</f>
        <v>0</v>
      </c>
      <c r="E36" s="22">
        <f t="shared" si="3"/>
        <v>1.3</v>
      </c>
      <c r="F36" s="22">
        <f t="shared" si="3"/>
        <v>49.216666666666669</v>
      </c>
      <c r="G36" s="22">
        <f t="shared" ref="G36" si="4">AVERAGE(G7:G35)</f>
        <v>75.916666666666671</v>
      </c>
      <c r="H36" s="22">
        <f t="shared" si="3"/>
        <v>96.183333333333337</v>
      </c>
      <c r="I36" s="22">
        <f t="shared" si="3"/>
        <v>97.649999999999991</v>
      </c>
      <c r="J36" s="23">
        <f t="shared" si="3"/>
        <v>100</v>
      </c>
      <c r="K36" s="24" t="s">
        <v>24</v>
      </c>
      <c r="L36" s="25">
        <f t="shared" ref="L36:R36" si="5">AVERAGE(L7:L35)</f>
        <v>6.7486666666666659</v>
      </c>
      <c r="M36" s="25">
        <f t="shared" si="5"/>
        <v>1.3</v>
      </c>
      <c r="N36" s="25" t="e">
        <f t="shared" si="5"/>
        <v>#DIV/0!</v>
      </c>
      <c r="O36" s="26">
        <f t="shared" si="5"/>
        <v>2.7099999999999995</v>
      </c>
      <c r="P36" s="26">
        <f t="shared" si="5"/>
        <v>1.4350000000000001</v>
      </c>
      <c r="Q36" s="25">
        <f t="shared" si="5"/>
        <v>0.23333333333333331</v>
      </c>
      <c r="R36" s="22" t="e">
        <f t="shared" si="5"/>
        <v>#DIV/0!</v>
      </c>
      <c r="S36" s="27"/>
      <c r="T36" s="28"/>
      <c r="U36" s="3"/>
      <c r="Y36" s="1"/>
    </row>
    <row r="37" spans="1:25" ht="27" customHeight="1" x14ac:dyDescent="0.25">
      <c r="A37" s="450" t="s">
        <v>26</v>
      </c>
      <c r="B37" s="451"/>
      <c r="C37" s="452"/>
      <c r="D37" s="29">
        <f>MAX(D7:D35)</f>
        <v>0</v>
      </c>
      <c r="E37" s="30">
        <f>MAX(E7:E35)</f>
        <v>2.9</v>
      </c>
      <c r="F37" s="30">
        <f>MAX(F7:F35)</f>
        <v>55.8</v>
      </c>
      <c r="G37" s="30">
        <f>MAX(G7:G35)</f>
        <v>80.099999999999994</v>
      </c>
      <c r="H37" s="30">
        <f t="shared" ref="H37:Q37" si="6">MAX(H7:H35)</f>
        <v>99.2</v>
      </c>
      <c r="I37" s="30">
        <f t="shared" si="6"/>
        <v>99.8</v>
      </c>
      <c r="J37" s="31">
        <f t="shared" si="6"/>
        <v>100</v>
      </c>
      <c r="K37" s="109">
        <f>MAX(K7:K35)</f>
        <v>19</v>
      </c>
      <c r="L37" s="33">
        <f t="shared" si="6"/>
        <v>6.7879999999999994</v>
      </c>
      <c r="M37" s="33">
        <f t="shared" si="6"/>
        <v>1.9</v>
      </c>
      <c r="N37" s="33">
        <f t="shared" si="6"/>
        <v>0</v>
      </c>
      <c r="O37" s="34">
        <f t="shared" si="6"/>
        <v>2.74</v>
      </c>
      <c r="P37" s="34">
        <f>MAX(P7:P35)</f>
        <v>1.44</v>
      </c>
      <c r="Q37" s="33">
        <f t="shared" si="6"/>
        <v>0.3</v>
      </c>
      <c r="R37" s="30">
        <f t="shared" ref="R37" si="7">MAX(R7:R35)</f>
        <v>0</v>
      </c>
      <c r="S37" s="35"/>
      <c r="T37" s="36"/>
    </row>
    <row r="38" spans="1:25" ht="27" customHeight="1" x14ac:dyDescent="0.25">
      <c r="A38" s="450" t="s">
        <v>25</v>
      </c>
      <c r="B38" s="451"/>
      <c r="C38" s="452"/>
      <c r="D38" s="29">
        <f t="shared" ref="D38:J38" si="8">MIN(D7:D35)</f>
        <v>0</v>
      </c>
      <c r="E38" s="30">
        <f t="shared" si="8"/>
        <v>0.6</v>
      </c>
      <c r="F38" s="30">
        <f t="shared" si="8"/>
        <v>46.3</v>
      </c>
      <c r="G38" s="30">
        <f t="shared" ref="G38" si="9">MIN(G7:G35)</f>
        <v>73.8</v>
      </c>
      <c r="H38" s="30">
        <f t="shared" si="8"/>
        <v>92.6</v>
      </c>
      <c r="I38" s="30">
        <f t="shared" si="8"/>
        <v>94.3</v>
      </c>
      <c r="J38" s="31">
        <f t="shared" si="8"/>
        <v>100</v>
      </c>
      <c r="K38" s="37" t="s">
        <v>24</v>
      </c>
      <c r="L38" s="33">
        <f t="shared" ref="L38:R38" si="10">MIN(L7:L35)</f>
        <v>6.6920000000000002</v>
      </c>
      <c r="M38" s="33">
        <f t="shared" si="10"/>
        <v>0.3</v>
      </c>
      <c r="N38" s="33">
        <f t="shared" si="10"/>
        <v>0</v>
      </c>
      <c r="O38" s="34">
        <f t="shared" si="10"/>
        <v>2.69</v>
      </c>
      <c r="P38" s="34">
        <f t="shared" si="10"/>
        <v>1.43</v>
      </c>
      <c r="Q38" s="33">
        <f t="shared" si="10"/>
        <v>0.2</v>
      </c>
      <c r="R38" s="30">
        <f t="shared" si="10"/>
        <v>0</v>
      </c>
      <c r="S38" s="35"/>
      <c r="T38" s="36"/>
    </row>
    <row r="39" spans="1:25" ht="27" customHeight="1" thickBot="1" x14ac:dyDescent="0.3">
      <c r="A39" s="453" t="s">
        <v>1</v>
      </c>
      <c r="B39" s="454"/>
      <c r="C39" s="455"/>
      <c r="D39" s="38">
        <f t="shared" ref="D39:J39" si="11">STDEV(D7:D35)</f>
        <v>0</v>
      </c>
      <c r="E39" s="39">
        <f t="shared" si="11"/>
        <v>0.84616783205224677</v>
      </c>
      <c r="F39" s="39">
        <f t="shared" si="11"/>
        <v>3.4844894413194401</v>
      </c>
      <c r="G39" s="39">
        <f t="shared" ref="G39" si="12">STDEV(G7:G35)</f>
        <v>2.308607083647336</v>
      </c>
      <c r="H39" s="39">
        <f t="shared" si="11"/>
        <v>2.5631360999109436</v>
      </c>
      <c r="I39" s="39">
        <f t="shared" si="11"/>
        <v>2.1612496385193469</v>
      </c>
      <c r="J39" s="40">
        <f t="shared" si="11"/>
        <v>0</v>
      </c>
      <c r="K39" s="41" t="s">
        <v>24</v>
      </c>
      <c r="L39" s="42">
        <f t="shared" ref="L39:R39" si="13">STDEV(L7:L35)</f>
        <v>4.0603776507446329E-2</v>
      </c>
      <c r="M39" s="42">
        <f t="shared" si="13"/>
        <v>0.87177978870813488</v>
      </c>
      <c r="N39" s="42" t="e">
        <f t="shared" si="13"/>
        <v>#DIV/0!</v>
      </c>
      <c r="O39" s="43">
        <f t="shared" si="13"/>
        <v>2.6457513110646015E-2</v>
      </c>
      <c r="P39" s="43">
        <f t="shared" si="13"/>
        <v>7.0710678118654814E-3</v>
      </c>
      <c r="Q39" s="42">
        <f t="shared" si="13"/>
        <v>5.7735026918962762E-2</v>
      </c>
      <c r="R39" s="39" t="e">
        <f t="shared" si="13"/>
        <v>#DIV/0!</v>
      </c>
      <c r="S39" s="44"/>
      <c r="T39" s="45"/>
    </row>
    <row r="40" spans="1:25" ht="13" thickBo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46"/>
      <c r="M40" s="47"/>
      <c r="N40" s="47"/>
      <c r="O40" s="46"/>
      <c r="P40" s="46"/>
      <c r="Q40" s="47"/>
      <c r="R40" s="47"/>
      <c r="S40" s="5"/>
      <c r="T40" s="5"/>
    </row>
    <row r="41" spans="1:25" ht="22.5" customHeight="1" thickBot="1" x14ac:dyDescent="0.3">
      <c r="A41" s="355" t="s">
        <v>39</v>
      </c>
      <c r="B41" s="356"/>
      <c r="C41" s="356"/>
      <c r="D41" s="356"/>
      <c r="E41" s="356"/>
      <c r="F41" s="356"/>
      <c r="G41" s="356"/>
      <c r="H41" s="356"/>
      <c r="I41" s="356"/>
      <c r="J41" s="356"/>
      <c r="K41" s="466" t="s">
        <v>34</v>
      </c>
      <c r="L41" s="467"/>
      <c r="M41" s="467"/>
      <c r="N41" s="467"/>
      <c r="O41" s="467"/>
      <c r="P41" s="467"/>
      <c r="Q41" s="467"/>
      <c r="R41" s="468"/>
      <c r="S41" s="5"/>
      <c r="T41" s="5"/>
    </row>
    <row r="42" spans="1:25" ht="40.5" customHeight="1" x14ac:dyDescent="0.25">
      <c r="A42" s="359" t="s">
        <v>63</v>
      </c>
      <c r="B42" s="360"/>
      <c r="C42" s="360"/>
      <c r="D42" s="48">
        <f>100-D44</f>
        <v>100</v>
      </c>
      <c r="E42" s="48">
        <f>100-E44</f>
        <v>98</v>
      </c>
      <c r="F42" s="48">
        <f t="shared" ref="F42:I42" si="14">100-F44</f>
        <v>60</v>
      </c>
      <c r="G42" s="48">
        <f t="shared" si="14"/>
        <v>20</v>
      </c>
      <c r="H42" s="48">
        <f t="shared" si="14"/>
        <v>8</v>
      </c>
      <c r="I42" s="48">
        <f t="shared" si="14"/>
        <v>5</v>
      </c>
      <c r="J42" s="50" t="s">
        <v>24</v>
      </c>
      <c r="K42" s="459" t="s">
        <v>51</v>
      </c>
      <c r="L42" s="433"/>
      <c r="M42" s="433" t="s">
        <v>55</v>
      </c>
      <c r="N42" s="433" t="s">
        <v>57</v>
      </c>
      <c r="O42" s="433" t="s">
        <v>52</v>
      </c>
      <c r="P42" s="433"/>
      <c r="Q42" s="433"/>
      <c r="R42" s="436" t="s">
        <v>60</v>
      </c>
      <c r="S42" s="5"/>
      <c r="T42" s="5"/>
    </row>
    <row r="43" spans="1:25" ht="40.5" customHeight="1" x14ac:dyDescent="0.25">
      <c r="A43" s="345"/>
      <c r="B43" s="346"/>
      <c r="C43" s="346"/>
      <c r="D43" s="51">
        <f>100-D45</f>
        <v>95</v>
      </c>
      <c r="E43" s="51">
        <f>100-E45</f>
        <v>85</v>
      </c>
      <c r="F43" s="51">
        <f t="shared" ref="F43:I43" si="15">100-F45</f>
        <v>35</v>
      </c>
      <c r="G43" s="51">
        <f t="shared" si="15"/>
        <v>0</v>
      </c>
      <c r="H43" s="51">
        <f t="shared" si="15"/>
        <v>0</v>
      </c>
      <c r="I43" s="51">
        <f t="shared" si="15"/>
        <v>0</v>
      </c>
      <c r="J43" s="53" t="s">
        <v>24</v>
      </c>
      <c r="K43" s="460"/>
      <c r="L43" s="434"/>
      <c r="M43" s="434"/>
      <c r="N43" s="434"/>
      <c r="O43" s="434"/>
      <c r="P43" s="434"/>
      <c r="Q43" s="434"/>
      <c r="R43" s="437"/>
      <c r="S43" s="5"/>
      <c r="T43" s="5"/>
    </row>
    <row r="44" spans="1:25" ht="40.5" customHeight="1" x14ac:dyDescent="0.25">
      <c r="A44" s="464" t="s">
        <v>64</v>
      </c>
      <c r="B44" s="465"/>
      <c r="C44" s="465"/>
      <c r="D44" s="93">
        <v>0</v>
      </c>
      <c r="E44" s="57">
        <v>2</v>
      </c>
      <c r="F44" s="57">
        <v>40</v>
      </c>
      <c r="G44" s="57">
        <v>80</v>
      </c>
      <c r="H44" s="57">
        <v>92</v>
      </c>
      <c r="I44" s="57">
        <v>95</v>
      </c>
      <c r="J44" s="59" t="s">
        <v>24</v>
      </c>
      <c r="K44" s="460"/>
      <c r="L44" s="434"/>
      <c r="M44" s="434"/>
      <c r="N44" s="434"/>
      <c r="O44" s="434"/>
      <c r="P44" s="434"/>
      <c r="Q44" s="434"/>
      <c r="R44" s="437"/>
      <c r="S44" s="5"/>
      <c r="T44" s="5"/>
    </row>
    <row r="45" spans="1:25" ht="40.5" customHeight="1" thickBot="1" x14ac:dyDescent="0.3">
      <c r="A45" s="462"/>
      <c r="B45" s="463"/>
      <c r="C45" s="463"/>
      <c r="D45" s="95">
        <v>5</v>
      </c>
      <c r="E45" s="62">
        <v>15</v>
      </c>
      <c r="F45" s="62">
        <v>65</v>
      </c>
      <c r="G45" s="62">
        <v>100</v>
      </c>
      <c r="H45" s="62">
        <v>100</v>
      </c>
      <c r="I45" s="62">
        <v>100</v>
      </c>
      <c r="J45" s="64" t="s">
        <v>24</v>
      </c>
      <c r="K45" s="461"/>
      <c r="L45" s="435"/>
      <c r="M45" s="435"/>
      <c r="N45" s="435"/>
      <c r="O45" s="435"/>
      <c r="P45" s="435"/>
      <c r="Q45" s="435"/>
      <c r="R45" s="438"/>
      <c r="S45" s="5"/>
      <c r="T45" s="5"/>
    </row>
    <row r="46" spans="1:25" ht="32.25" customHeight="1" x14ac:dyDescent="0.25">
      <c r="A46" s="496" t="s">
        <v>58</v>
      </c>
      <c r="B46" s="496"/>
      <c r="C46" s="496"/>
      <c r="D46" s="496"/>
      <c r="E46" s="496"/>
      <c r="F46" s="496"/>
      <c r="G46" s="496"/>
      <c r="H46" s="496"/>
      <c r="I46" s="496"/>
      <c r="J46" s="496"/>
      <c r="K46" s="101"/>
      <c r="L46" s="101"/>
      <c r="M46" s="101"/>
      <c r="N46" s="101"/>
      <c r="O46" s="101"/>
      <c r="P46" s="101"/>
      <c r="Q46" s="101"/>
      <c r="R46" s="101"/>
      <c r="S46" s="5"/>
      <c r="T46" s="5"/>
    </row>
    <row r="47" spans="1:25" ht="18.75" customHeight="1" thickBo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5" ht="15.75" customHeight="1" x14ac:dyDescent="0.25">
      <c r="A48" s="5"/>
      <c r="B48" s="5"/>
      <c r="C48" s="5"/>
      <c r="D48" s="5"/>
      <c r="E48" s="500" t="s">
        <v>42</v>
      </c>
      <c r="F48" s="501"/>
      <c r="G48" s="501"/>
      <c r="H48" s="501"/>
      <c r="I48" s="501"/>
      <c r="J48" s="501"/>
      <c r="K48" s="501"/>
      <c r="L48" s="501"/>
      <c r="M48" s="501"/>
      <c r="N48" s="501"/>
      <c r="O48" s="501"/>
      <c r="P48" s="501"/>
      <c r="Q48" s="501"/>
      <c r="R48" s="502"/>
      <c r="S48" s="5"/>
      <c r="T48" s="5"/>
    </row>
    <row r="49" spans="1:20" ht="18.75" customHeight="1" thickBot="1" x14ac:dyDescent="0.3">
      <c r="A49" s="5"/>
      <c r="B49" s="5"/>
      <c r="C49" s="5"/>
      <c r="D49" s="5"/>
      <c r="E49" s="503" t="s">
        <v>43</v>
      </c>
      <c r="F49" s="504"/>
      <c r="G49" s="504"/>
      <c r="H49" s="504"/>
      <c r="I49" s="504"/>
      <c r="J49" s="504"/>
      <c r="K49" s="504"/>
      <c r="L49" s="504"/>
      <c r="M49" s="110" t="s">
        <v>44</v>
      </c>
      <c r="N49" s="110" t="s">
        <v>45</v>
      </c>
      <c r="O49" s="505" t="s">
        <v>56</v>
      </c>
      <c r="P49" s="505"/>
      <c r="Q49" s="505"/>
      <c r="R49" s="111" t="s">
        <v>61</v>
      </c>
      <c r="S49" s="5"/>
      <c r="T49" s="5"/>
    </row>
    <row r="50" spans="1:20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</sheetData>
  <sheetProtection insertRows="0"/>
  <mergeCells count="37">
    <mergeCell ref="A1:T1"/>
    <mergeCell ref="A2:T2"/>
    <mergeCell ref="A4:A6"/>
    <mergeCell ref="B4:B6"/>
    <mergeCell ref="C4:C6"/>
    <mergeCell ref="D4:J4"/>
    <mergeCell ref="K4:K6"/>
    <mergeCell ref="L4:L6"/>
    <mergeCell ref="M4:M6"/>
    <mergeCell ref="N4:N6"/>
    <mergeCell ref="O4:O6"/>
    <mergeCell ref="P4:P6"/>
    <mergeCell ref="Q4:Q6"/>
    <mergeCell ref="S4:S6"/>
    <mergeCell ref="T4:T6"/>
    <mergeCell ref="R4:R6"/>
    <mergeCell ref="A36:C36"/>
    <mergeCell ref="A37:C37"/>
    <mergeCell ref="A38:C38"/>
    <mergeCell ref="A39:C39"/>
    <mergeCell ref="J5:J6"/>
    <mergeCell ref="E49:L49"/>
    <mergeCell ref="O49:Q49"/>
    <mergeCell ref="A42:C43"/>
    <mergeCell ref="K42:K45"/>
    <mergeCell ref="L42:L45"/>
    <mergeCell ref="M42:M45"/>
    <mergeCell ref="N42:N45"/>
    <mergeCell ref="O42:O45"/>
    <mergeCell ref="R42:R45"/>
    <mergeCell ref="K41:R41"/>
    <mergeCell ref="E48:R48"/>
    <mergeCell ref="P42:P45"/>
    <mergeCell ref="Q42:Q45"/>
    <mergeCell ref="A41:J41"/>
    <mergeCell ref="A44:C45"/>
    <mergeCell ref="A46:J46"/>
  </mergeCells>
  <conditionalFormatting sqref="K7:L35">
    <cfRule type="cellIs" dxfId="4" priority="1" operator="equal">
      <formula>""</formula>
    </cfRule>
  </conditionalFormatting>
  <printOptions horizontalCentered="1"/>
  <pageMargins left="0.39370078740157483" right="0.39370078740157483" top="0.82677165354330717" bottom="0.55118110236220474" header="0.51181102362204722" footer="0.35433070866141736"/>
  <pageSetup paperSize="9" scale="51" firstPageNumber="41" fitToHeight="0" orientation="landscape" errors="dash" r:id="rId1"/>
  <headerFooter alignWithMargins="0">
    <oddHeader>&amp;R&amp;G</oddHeader>
    <oddFooter>&amp;C&amp;P&amp;R&amp;F</oddFooter>
  </headerFooter>
  <drawing r:id="rId2"/>
  <legacyDrawing r:id="rId3"/>
  <legacyDrawingHF r:id="rId4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1"/>
    <pageSetUpPr fitToPage="1"/>
  </sheetPr>
  <dimension ref="A1:Y52"/>
  <sheetViews>
    <sheetView zoomScale="75" zoomScaleNormal="75" zoomScaleSheetLayoutView="70" workbookViewId="0">
      <pane ySplit="6" topLeftCell="A15" activePane="bottomLeft" state="frozen"/>
      <selection activeCell="B12" sqref="B12"/>
      <selection pane="bottomLeft" activeCell="B12" sqref="B12"/>
    </sheetView>
  </sheetViews>
  <sheetFormatPr defaultColWidth="9.1796875" defaultRowHeight="12.5" x14ac:dyDescent="0.25"/>
  <cols>
    <col min="1" max="3" width="14" style="1" customWidth="1"/>
    <col min="4" max="10" width="11" style="1" customWidth="1"/>
    <col min="11" max="18" width="12.54296875" style="1" customWidth="1"/>
    <col min="19" max="20" width="28.81640625" style="1" customWidth="1"/>
    <col min="21" max="24" width="9.1796875" style="1"/>
    <col min="25" max="25" width="15.453125" style="2" customWidth="1"/>
    <col min="26" max="26" width="13" style="1" customWidth="1"/>
    <col min="27" max="16384" width="9.1796875" style="1"/>
  </cols>
  <sheetData>
    <row r="1" spans="1:25" ht="31.5" customHeight="1" x14ac:dyDescent="0.25">
      <c r="A1" s="471" t="s">
        <v>90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  <c r="P1" s="471"/>
      <c r="Q1" s="471"/>
      <c r="R1" s="471"/>
      <c r="S1" s="471"/>
      <c r="T1" s="471"/>
    </row>
    <row r="2" spans="1:25" ht="22.5" customHeight="1" x14ac:dyDescent="0.25">
      <c r="A2" s="472" t="s">
        <v>79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  <c r="T2" s="472"/>
    </row>
    <row r="3" spans="1:25" ht="14.25" customHeight="1" thickBot="1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</row>
    <row r="4" spans="1:25" ht="31.5" customHeight="1" x14ac:dyDescent="0.25">
      <c r="A4" s="480" t="s">
        <v>2</v>
      </c>
      <c r="B4" s="477" t="s">
        <v>3</v>
      </c>
      <c r="C4" s="486" t="s">
        <v>19</v>
      </c>
      <c r="D4" s="441" t="s">
        <v>4</v>
      </c>
      <c r="E4" s="442"/>
      <c r="F4" s="442"/>
      <c r="G4" s="442"/>
      <c r="H4" s="442"/>
      <c r="I4" s="442"/>
      <c r="J4" s="443"/>
      <c r="K4" s="483" t="s">
        <v>29</v>
      </c>
      <c r="L4" s="474" t="s">
        <v>5</v>
      </c>
      <c r="M4" s="447" t="s">
        <v>21</v>
      </c>
      <c r="N4" s="447" t="s">
        <v>30</v>
      </c>
      <c r="O4" s="447" t="s">
        <v>66</v>
      </c>
      <c r="P4" s="447" t="s">
        <v>31</v>
      </c>
      <c r="Q4" s="447" t="s">
        <v>28</v>
      </c>
      <c r="R4" s="447" t="s">
        <v>59</v>
      </c>
      <c r="S4" s="474" t="s">
        <v>20</v>
      </c>
      <c r="T4" s="473" t="s">
        <v>6</v>
      </c>
    </row>
    <row r="5" spans="1:25" ht="16.5" customHeight="1" x14ac:dyDescent="0.25">
      <c r="A5" s="481"/>
      <c r="B5" s="478"/>
      <c r="C5" s="487"/>
      <c r="D5" s="6" t="s">
        <v>17</v>
      </c>
      <c r="E5" s="7" t="s">
        <v>18</v>
      </c>
      <c r="F5" s="104" t="s">
        <v>16</v>
      </c>
      <c r="G5" s="104" t="s">
        <v>7</v>
      </c>
      <c r="H5" s="7" t="s">
        <v>8</v>
      </c>
      <c r="I5" s="7" t="s">
        <v>9</v>
      </c>
      <c r="J5" s="439" t="s">
        <v>15</v>
      </c>
      <c r="K5" s="484"/>
      <c r="L5" s="475"/>
      <c r="M5" s="448"/>
      <c r="N5" s="448"/>
      <c r="O5" s="448"/>
      <c r="P5" s="448"/>
      <c r="Q5" s="448"/>
      <c r="R5" s="448"/>
      <c r="S5" s="475"/>
      <c r="T5" s="439"/>
    </row>
    <row r="6" spans="1:25" ht="16.5" customHeight="1" thickBot="1" x14ac:dyDescent="0.3">
      <c r="A6" s="482"/>
      <c r="B6" s="479"/>
      <c r="C6" s="488"/>
      <c r="D6" s="105">
        <v>25</v>
      </c>
      <c r="E6" s="106">
        <v>19</v>
      </c>
      <c r="F6" s="91">
        <v>12.5</v>
      </c>
      <c r="G6" s="91">
        <v>9.5</v>
      </c>
      <c r="H6" s="91">
        <v>6.3</v>
      </c>
      <c r="I6" s="9">
        <v>4.75</v>
      </c>
      <c r="J6" s="440"/>
      <c r="K6" s="485"/>
      <c r="L6" s="476"/>
      <c r="M6" s="449"/>
      <c r="N6" s="449"/>
      <c r="O6" s="449"/>
      <c r="P6" s="449"/>
      <c r="Q6" s="449"/>
      <c r="R6" s="449"/>
      <c r="S6" s="476"/>
      <c r="T6" s="440"/>
    </row>
    <row r="7" spans="1:25" ht="27.75" customHeight="1" thickTop="1" x14ac:dyDescent="0.25">
      <c r="A7" s="69">
        <v>39720</v>
      </c>
      <c r="B7" s="70">
        <v>1</v>
      </c>
      <c r="C7" s="71">
        <v>39719</v>
      </c>
      <c r="D7" s="72">
        <v>0</v>
      </c>
      <c r="E7" s="73">
        <v>1.6</v>
      </c>
      <c r="F7" s="73">
        <v>54.7</v>
      </c>
      <c r="G7" s="73">
        <v>79.3</v>
      </c>
      <c r="H7" s="73">
        <v>98</v>
      </c>
      <c r="I7" s="73">
        <v>99.2</v>
      </c>
      <c r="J7" s="74">
        <v>100</v>
      </c>
      <c r="K7" s="112">
        <f t="shared" ref="K7:K8" si="0">IF(B7="","",IF(E7&gt;5,D$6,IF(F7&gt;5,E$6,IF(G7&gt;5,F$6,IF(H7&gt;5,G$6,$H$6)))))</f>
        <v>19</v>
      </c>
      <c r="L7" s="76">
        <f>IF(B7="","",(E7+G7+I7+500)/100)</f>
        <v>6.8010000000000002</v>
      </c>
      <c r="M7" s="77">
        <v>0.3</v>
      </c>
      <c r="N7" s="77" t="s">
        <v>24</v>
      </c>
      <c r="O7" s="78">
        <v>2.69</v>
      </c>
      <c r="P7" s="78">
        <v>1.35</v>
      </c>
      <c r="Q7" s="77">
        <v>0.3</v>
      </c>
      <c r="R7" s="113" t="s">
        <v>24</v>
      </c>
      <c r="S7" s="79" t="s">
        <v>69</v>
      </c>
      <c r="T7" s="80" t="s">
        <v>75</v>
      </c>
      <c r="U7" s="3"/>
      <c r="Y7" s="1"/>
    </row>
    <row r="8" spans="1:25" ht="27" customHeight="1" x14ac:dyDescent="0.25">
      <c r="A8" s="69">
        <v>39738</v>
      </c>
      <c r="B8" s="70">
        <v>2</v>
      </c>
      <c r="C8" s="71">
        <v>39738</v>
      </c>
      <c r="D8" s="72">
        <v>0</v>
      </c>
      <c r="E8" s="73">
        <v>4.7</v>
      </c>
      <c r="F8" s="73">
        <v>44.3</v>
      </c>
      <c r="G8" s="73">
        <v>71.599999999999994</v>
      </c>
      <c r="H8" s="73">
        <v>97.6</v>
      </c>
      <c r="I8" s="73">
        <v>99.1</v>
      </c>
      <c r="J8" s="74">
        <v>100</v>
      </c>
      <c r="K8" s="112">
        <f t="shared" si="0"/>
        <v>19</v>
      </c>
      <c r="L8" s="76">
        <f>IF(B8="","",(E8+G8+I8+500)/100)</f>
        <v>6.7539999999999996</v>
      </c>
      <c r="M8" s="77" t="s">
        <v>24</v>
      </c>
      <c r="N8" s="77" t="s">
        <v>24</v>
      </c>
      <c r="O8" s="77" t="s">
        <v>24</v>
      </c>
      <c r="P8" s="77" t="s">
        <v>24</v>
      </c>
      <c r="Q8" s="77" t="s">
        <v>24</v>
      </c>
      <c r="R8" s="77" t="s">
        <v>24</v>
      </c>
      <c r="S8" s="79" t="s">
        <v>69</v>
      </c>
      <c r="T8" s="80" t="s">
        <v>75</v>
      </c>
      <c r="U8" s="3"/>
      <c r="Y8" s="1"/>
    </row>
    <row r="9" spans="1:25" ht="27" customHeight="1" x14ac:dyDescent="0.25">
      <c r="A9" s="69">
        <v>39741</v>
      </c>
      <c r="B9" s="70">
        <v>3</v>
      </c>
      <c r="C9" s="71">
        <v>39741</v>
      </c>
      <c r="D9" s="72">
        <v>0</v>
      </c>
      <c r="E9" s="73">
        <v>0.8</v>
      </c>
      <c r="F9" s="73">
        <v>44.3</v>
      </c>
      <c r="G9" s="73">
        <v>70.5</v>
      </c>
      <c r="H9" s="73">
        <v>95.3</v>
      </c>
      <c r="I9" s="73">
        <v>98.3</v>
      </c>
      <c r="J9" s="74">
        <v>100</v>
      </c>
      <c r="K9" s="112">
        <f t="shared" ref="K9:K35" si="1">IF(B9="","",IF(E9&gt;5,D$6,IF(F9&gt;5,E$6,IF(G9&gt;5,F$6,IF(H9&gt;5,G$6,$H$6)))))</f>
        <v>19</v>
      </c>
      <c r="L9" s="76">
        <f>IF(B9="","",(E9+G9+I9+500)/100)</f>
        <v>6.6960000000000006</v>
      </c>
      <c r="M9" s="77" t="s">
        <v>24</v>
      </c>
      <c r="N9" s="77" t="s">
        <v>24</v>
      </c>
      <c r="O9" s="77" t="s">
        <v>24</v>
      </c>
      <c r="P9" s="77" t="s">
        <v>24</v>
      </c>
      <c r="Q9" s="77" t="s">
        <v>24</v>
      </c>
      <c r="R9" s="77" t="s">
        <v>24</v>
      </c>
      <c r="S9" s="79" t="s">
        <v>69</v>
      </c>
      <c r="T9" s="80" t="s">
        <v>75</v>
      </c>
      <c r="U9" s="3"/>
      <c r="Y9" s="1"/>
    </row>
    <row r="10" spans="1:25" ht="27" customHeight="1" x14ac:dyDescent="0.25">
      <c r="A10" s="69">
        <v>39753</v>
      </c>
      <c r="B10" s="70">
        <v>4</v>
      </c>
      <c r="C10" s="71">
        <v>39759</v>
      </c>
      <c r="D10" s="72">
        <v>0</v>
      </c>
      <c r="E10" s="73">
        <v>1.3</v>
      </c>
      <c r="F10" s="73">
        <v>45.5</v>
      </c>
      <c r="G10" s="73">
        <v>78.2</v>
      </c>
      <c r="H10" s="73">
        <v>98.5</v>
      </c>
      <c r="I10" s="73">
        <v>99.5</v>
      </c>
      <c r="J10" s="74">
        <v>100</v>
      </c>
      <c r="K10" s="112">
        <f t="shared" si="1"/>
        <v>19</v>
      </c>
      <c r="L10" s="76">
        <f t="shared" ref="L10:L35" si="2">IF(B10="","",(E10+G10+I10+500)/100)</f>
        <v>6.79</v>
      </c>
      <c r="M10" s="77" t="s">
        <v>24</v>
      </c>
      <c r="N10" s="77" t="s">
        <v>24</v>
      </c>
      <c r="O10" s="77" t="s">
        <v>24</v>
      </c>
      <c r="P10" s="77" t="s">
        <v>24</v>
      </c>
      <c r="Q10" s="77" t="s">
        <v>24</v>
      </c>
      <c r="R10" s="77" t="s">
        <v>24</v>
      </c>
      <c r="S10" s="79" t="s">
        <v>69</v>
      </c>
      <c r="T10" s="80" t="s">
        <v>75</v>
      </c>
      <c r="U10" s="3"/>
      <c r="Y10" s="1"/>
    </row>
    <row r="11" spans="1:25" ht="27" customHeight="1" x14ac:dyDescent="0.25">
      <c r="A11" s="69">
        <v>39753</v>
      </c>
      <c r="B11" s="70">
        <v>5</v>
      </c>
      <c r="C11" s="71">
        <v>39765</v>
      </c>
      <c r="D11" s="72">
        <v>0</v>
      </c>
      <c r="E11" s="73">
        <v>0.5</v>
      </c>
      <c r="F11" s="73">
        <v>47.4</v>
      </c>
      <c r="G11" s="73">
        <v>73.5</v>
      </c>
      <c r="H11" s="73">
        <v>96.5</v>
      </c>
      <c r="I11" s="73">
        <v>97.9</v>
      </c>
      <c r="J11" s="74">
        <v>100</v>
      </c>
      <c r="K11" s="112">
        <f>IF(B11="","",IF(E11&gt;5,D$6,IF(F11&gt;5,E$6,IF(G11&gt;5,F$6,IF(H11&gt;5,G$6,$H$6)))))</f>
        <v>19</v>
      </c>
      <c r="L11" s="76">
        <f>IF(B11="","",(E11+G11+I11+500)/100)</f>
        <v>6.7189999999999994</v>
      </c>
      <c r="M11" s="77">
        <v>0.9</v>
      </c>
      <c r="N11" s="77" t="s">
        <v>24</v>
      </c>
      <c r="O11" s="78">
        <v>2.7</v>
      </c>
      <c r="P11" s="78">
        <v>1.3</v>
      </c>
      <c r="Q11" s="77">
        <v>0.4</v>
      </c>
      <c r="R11" s="113" t="s">
        <v>24</v>
      </c>
      <c r="S11" s="79" t="s">
        <v>69</v>
      </c>
      <c r="T11" s="80" t="s">
        <v>75</v>
      </c>
      <c r="U11" s="3"/>
      <c r="Y11" s="1"/>
    </row>
    <row r="12" spans="1:25" ht="27" customHeight="1" x14ac:dyDescent="0.25">
      <c r="A12" s="69">
        <v>39753</v>
      </c>
      <c r="B12" s="70">
        <v>6</v>
      </c>
      <c r="C12" s="71">
        <v>39771</v>
      </c>
      <c r="D12" s="72">
        <v>0</v>
      </c>
      <c r="E12" s="73">
        <v>0.3</v>
      </c>
      <c r="F12" s="73">
        <v>39.6</v>
      </c>
      <c r="G12" s="73">
        <v>64</v>
      </c>
      <c r="H12" s="73">
        <v>96.8</v>
      </c>
      <c r="I12" s="73">
        <v>98.9</v>
      </c>
      <c r="J12" s="74">
        <v>100</v>
      </c>
      <c r="K12" s="112">
        <f t="shared" si="1"/>
        <v>19</v>
      </c>
      <c r="L12" s="76">
        <f t="shared" si="2"/>
        <v>6.6320000000000006</v>
      </c>
      <c r="M12" s="77" t="s">
        <v>24</v>
      </c>
      <c r="N12" s="77" t="s">
        <v>24</v>
      </c>
      <c r="O12" s="78" t="s">
        <v>24</v>
      </c>
      <c r="P12" s="78" t="s">
        <v>24</v>
      </c>
      <c r="Q12" s="77" t="s">
        <v>24</v>
      </c>
      <c r="R12" s="113" t="s">
        <v>24</v>
      </c>
      <c r="S12" s="79" t="s">
        <v>69</v>
      </c>
      <c r="T12" s="80" t="s">
        <v>75</v>
      </c>
      <c r="U12" s="3"/>
      <c r="Y12" s="1"/>
    </row>
    <row r="13" spans="1:25" ht="27" customHeight="1" x14ac:dyDescent="0.25">
      <c r="A13" s="69">
        <v>39753</v>
      </c>
      <c r="B13" s="70">
        <v>7</v>
      </c>
      <c r="C13" s="71">
        <v>39773</v>
      </c>
      <c r="D13" s="72">
        <v>0</v>
      </c>
      <c r="E13" s="73">
        <v>1</v>
      </c>
      <c r="F13" s="73">
        <v>51</v>
      </c>
      <c r="G13" s="73">
        <v>78</v>
      </c>
      <c r="H13" s="73">
        <v>98.5</v>
      </c>
      <c r="I13" s="73">
        <v>99.5</v>
      </c>
      <c r="J13" s="74">
        <v>100</v>
      </c>
      <c r="K13" s="112">
        <f t="shared" si="1"/>
        <v>19</v>
      </c>
      <c r="L13" s="76">
        <f t="shared" si="2"/>
        <v>6.7850000000000001</v>
      </c>
      <c r="M13" s="77" t="s">
        <v>24</v>
      </c>
      <c r="N13" s="77" t="s">
        <v>24</v>
      </c>
      <c r="O13" s="78" t="s">
        <v>24</v>
      </c>
      <c r="P13" s="78" t="s">
        <v>24</v>
      </c>
      <c r="Q13" s="77" t="s">
        <v>24</v>
      </c>
      <c r="R13" s="113" t="s">
        <v>24</v>
      </c>
      <c r="S13" s="79" t="s">
        <v>69</v>
      </c>
      <c r="T13" s="80" t="s">
        <v>75</v>
      </c>
      <c r="U13" s="3"/>
      <c r="Y13" s="1"/>
    </row>
    <row r="14" spans="1:25" ht="27" customHeight="1" x14ac:dyDescent="0.25">
      <c r="A14" s="69">
        <v>39753</v>
      </c>
      <c r="B14" s="70">
        <v>8</v>
      </c>
      <c r="C14" s="71">
        <v>39779</v>
      </c>
      <c r="D14" s="72">
        <v>0</v>
      </c>
      <c r="E14" s="73">
        <v>0.4</v>
      </c>
      <c r="F14" s="73">
        <v>40.200000000000003</v>
      </c>
      <c r="G14" s="73">
        <v>68.599999999999994</v>
      </c>
      <c r="H14" s="73">
        <v>95.1</v>
      </c>
      <c r="I14" s="73">
        <v>97.9</v>
      </c>
      <c r="J14" s="74">
        <v>100</v>
      </c>
      <c r="K14" s="112">
        <f t="shared" si="1"/>
        <v>19</v>
      </c>
      <c r="L14" s="76">
        <f t="shared" si="2"/>
        <v>6.6689999999999996</v>
      </c>
      <c r="M14" s="77" t="s">
        <v>24</v>
      </c>
      <c r="N14" s="77" t="s">
        <v>24</v>
      </c>
      <c r="O14" s="77" t="s">
        <v>24</v>
      </c>
      <c r="P14" s="77" t="s">
        <v>24</v>
      </c>
      <c r="Q14" s="77" t="s">
        <v>24</v>
      </c>
      <c r="R14" s="77" t="s">
        <v>24</v>
      </c>
      <c r="S14" s="79" t="s">
        <v>69</v>
      </c>
      <c r="T14" s="80" t="s">
        <v>75</v>
      </c>
      <c r="U14" s="3"/>
      <c r="Y14" s="1"/>
    </row>
    <row r="15" spans="1:25" ht="27" customHeight="1" x14ac:dyDescent="0.25">
      <c r="A15" s="69">
        <v>39783</v>
      </c>
      <c r="B15" s="70">
        <v>9</v>
      </c>
      <c r="C15" s="71">
        <v>39783</v>
      </c>
      <c r="D15" s="72">
        <v>0</v>
      </c>
      <c r="E15" s="73">
        <v>0.2</v>
      </c>
      <c r="F15" s="73">
        <v>46.6</v>
      </c>
      <c r="G15" s="73">
        <v>73.599999999999994</v>
      </c>
      <c r="H15" s="73">
        <v>96.9</v>
      </c>
      <c r="I15" s="73">
        <v>98.3</v>
      </c>
      <c r="J15" s="74">
        <v>100</v>
      </c>
      <c r="K15" s="112">
        <f t="shared" si="1"/>
        <v>19</v>
      </c>
      <c r="L15" s="76">
        <f t="shared" si="2"/>
        <v>6.7210000000000001</v>
      </c>
      <c r="M15" s="77" t="s">
        <v>24</v>
      </c>
      <c r="N15" s="77" t="s">
        <v>24</v>
      </c>
      <c r="O15" s="77" t="s">
        <v>24</v>
      </c>
      <c r="P15" s="77" t="s">
        <v>24</v>
      </c>
      <c r="Q15" s="77" t="s">
        <v>24</v>
      </c>
      <c r="R15" s="77" t="s">
        <v>24</v>
      </c>
      <c r="S15" s="79" t="s">
        <v>69</v>
      </c>
      <c r="T15" s="80" t="s">
        <v>75</v>
      </c>
      <c r="U15" s="3"/>
      <c r="Y15" s="1"/>
    </row>
    <row r="16" spans="1:25" ht="27" customHeight="1" x14ac:dyDescent="0.25">
      <c r="A16" s="69">
        <v>39783</v>
      </c>
      <c r="B16" s="70">
        <v>10</v>
      </c>
      <c r="C16" s="71">
        <v>39785</v>
      </c>
      <c r="D16" s="72">
        <v>0</v>
      </c>
      <c r="E16" s="73">
        <v>0.6</v>
      </c>
      <c r="F16" s="73">
        <v>58.1</v>
      </c>
      <c r="G16" s="73">
        <v>86.8</v>
      </c>
      <c r="H16" s="73">
        <v>98.6</v>
      </c>
      <c r="I16" s="73">
        <v>99.1</v>
      </c>
      <c r="J16" s="74">
        <v>100</v>
      </c>
      <c r="K16" s="112">
        <f t="shared" si="1"/>
        <v>19</v>
      </c>
      <c r="L16" s="76">
        <f t="shared" si="2"/>
        <v>6.8650000000000002</v>
      </c>
      <c r="M16" s="77">
        <v>0.3</v>
      </c>
      <c r="N16" s="77" t="s">
        <v>24</v>
      </c>
      <c r="O16" s="78">
        <v>2.65</v>
      </c>
      <c r="P16" s="78">
        <v>1.34</v>
      </c>
      <c r="Q16" s="77">
        <v>0.5</v>
      </c>
      <c r="R16" s="113">
        <v>2.1</v>
      </c>
      <c r="S16" s="79" t="s">
        <v>69</v>
      </c>
      <c r="T16" s="80" t="s">
        <v>75</v>
      </c>
      <c r="U16" s="3"/>
      <c r="Y16" s="1"/>
    </row>
    <row r="17" spans="1:25" ht="27" customHeight="1" x14ac:dyDescent="0.25">
      <c r="A17" s="69">
        <v>39783</v>
      </c>
      <c r="B17" s="70">
        <v>11</v>
      </c>
      <c r="C17" s="71">
        <v>39791</v>
      </c>
      <c r="D17" s="72">
        <v>0</v>
      </c>
      <c r="E17" s="73">
        <v>0.5</v>
      </c>
      <c r="F17" s="73">
        <v>47.3</v>
      </c>
      <c r="G17" s="73">
        <v>78.099999999999994</v>
      </c>
      <c r="H17" s="73">
        <v>97.1</v>
      </c>
      <c r="I17" s="73">
        <v>98.4</v>
      </c>
      <c r="J17" s="74">
        <v>100</v>
      </c>
      <c r="K17" s="112">
        <f t="shared" si="1"/>
        <v>19</v>
      </c>
      <c r="L17" s="76">
        <f t="shared" si="2"/>
        <v>6.77</v>
      </c>
      <c r="M17" s="77" t="s">
        <v>24</v>
      </c>
      <c r="N17" s="77" t="s">
        <v>24</v>
      </c>
      <c r="O17" s="77" t="s">
        <v>24</v>
      </c>
      <c r="P17" s="77" t="s">
        <v>24</v>
      </c>
      <c r="Q17" s="77" t="s">
        <v>24</v>
      </c>
      <c r="R17" s="77" t="s">
        <v>24</v>
      </c>
      <c r="S17" s="79" t="s">
        <v>69</v>
      </c>
      <c r="T17" s="80" t="s">
        <v>75</v>
      </c>
      <c r="U17" s="3"/>
      <c r="Y17" s="1"/>
    </row>
    <row r="18" spans="1:25" ht="27" customHeight="1" x14ac:dyDescent="0.25">
      <c r="A18" s="69">
        <v>39783</v>
      </c>
      <c r="B18" s="70">
        <v>12</v>
      </c>
      <c r="C18" s="71">
        <v>39797</v>
      </c>
      <c r="D18" s="72">
        <v>0</v>
      </c>
      <c r="E18" s="73">
        <v>1.4</v>
      </c>
      <c r="F18" s="73">
        <v>44.5</v>
      </c>
      <c r="G18" s="73">
        <v>74.2</v>
      </c>
      <c r="H18" s="73">
        <v>93.4</v>
      </c>
      <c r="I18" s="73">
        <v>96.4</v>
      </c>
      <c r="J18" s="74">
        <v>100</v>
      </c>
      <c r="K18" s="112">
        <f t="shared" si="1"/>
        <v>19</v>
      </c>
      <c r="L18" s="76">
        <f t="shared" si="2"/>
        <v>6.72</v>
      </c>
      <c r="M18" s="77" t="s">
        <v>24</v>
      </c>
      <c r="N18" s="77" t="s">
        <v>24</v>
      </c>
      <c r="O18" s="77" t="s">
        <v>24</v>
      </c>
      <c r="P18" s="77" t="s">
        <v>24</v>
      </c>
      <c r="Q18" s="77" t="s">
        <v>24</v>
      </c>
      <c r="R18" s="77" t="s">
        <v>24</v>
      </c>
      <c r="S18" s="79" t="s">
        <v>69</v>
      </c>
      <c r="T18" s="80" t="s">
        <v>75</v>
      </c>
      <c r="U18" s="3"/>
      <c r="Y18" s="1"/>
    </row>
    <row r="19" spans="1:25" ht="27" customHeight="1" x14ac:dyDescent="0.25">
      <c r="A19" s="69">
        <v>39783</v>
      </c>
      <c r="B19" s="70">
        <v>13</v>
      </c>
      <c r="C19" s="71">
        <v>39800</v>
      </c>
      <c r="D19" s="72">
        <v>0</v>
      </c>
      <c r="E19" s="73">
        <v>0.8</v>
      </c>
      <c r="F19" s="73">
        <v>51.8</v>
      </c>
      <c r="G19" s="73">
        <v>74</v>
      </c>
      <c r="H19" s="73">
        <v>95.1</v>
      </c>
      <c r="I19" s="73">
        <v>97.4</v>
      </c>
      <c r="J19" s="74">
        <v>100</v>
      </c>
      <c r="K19" s="112">
        <f t="shared" si="1"/>
        <v>19</v>
      </c>
      <c r="L19" s="76">
        <f t="shared" si="2"/>
        <v>6.7220000000000004</v>
      </c>
      <c r="M19" s="77">
        <v>0.6</v>
      </c>
      <c r="N19" s="77" t="s">
        <v>24</v>
      </c>
      <c r="O19" s="78">
        <v>2.64</v>
      </c>
      <c r="P19" s="78">
        <v>1.34</v>
      </c>
      <c r="Q19" s="77">
        <v>0.5</v>
      </c>
      <c r="R19" s="113" t="s">
        <v>24</v>
      </c>
      <c r="S19" s="79" t="s">
        <v>82</v>
      </c>
      <c r="T19" s="80" t="s">
        <v>75</v>
      </c>
      <c r="U19" s="3"/>
      <c r="Y19" s="1"/>
    </row>
    <row r="20" spans="1:25" ht="27" customHeight="1" x14ac:dyDescent="0.25">
      <c r="A20" s="69">
        <v>39814</v>
      </c>
      <c r="B20" s="70">
        <v>14</v>
      </c>
      <c r="C20" s="71">
        <v>39815</v>
      </c>
      <c r="D20" s="72">
        <v>0</v>
      </c>
      <c r="E20" s="73">
        <v>0.8</v>
      </c>
      <c r="F20" s="73">
        <v>48.7</v>
      </c>
      <c r="G20" s="73">
        <v>77.8</v>
      </c>
      <c r="H20" s="73">
        <v>95.1</v>
      </c>
      <c r="I20" s="73">
        <v>96.7</v>
      </c>
      <c r="J20" s="74">
        <v>100</v>
      </c>
      <c r="K20" s="112">
        <f t="shared" si="1"/>
        <v>19</v>
      </c>
      <c r="L20" s="76">
        <f t="shared" si="2"/>
        <v>6.7529999999999992</v>
      </c>
      <c r="M20" s="77" t="s">
        <v>24</v>
      </c>
      <c r="N20" s="77" t="s">
        <v>24</v>
      </c>
      <c r="O20" s="78" t="s">
        <v>24</v>
      </c>
      <c r="P20" s="78" t="s">
        <v>24</v>
      </c>
      <c r="Q20" s="77" t="s">
        <v>24</v>
      </c>
      <c r="R20" s="113" t="s">
        <v>24</v>
      </c>
      <c r="S20" s="79" t="s">
        <v>82</v>
      </c>
      <c r="T20" s="80" t="s">
        <v>75</v>
      </c>
      <c r="U20" s="3"/>
      <c r="Y20" s="1"/>
    </row>
    <row r="21" spans="1:25" ht="27" customHeight="1" x14ac:dyDescent="0.25">
      <c r="A21" s="69">
        <v>39814</v>
      </c>
      <c r="B21" s="70">
        <v>15</v>
      </c>
      <c r="C21" s="71">
        <v>39821</v>
      </c>
      <c r="D21" s="72">
        <v>0</v>
      </c>
      <c r="E21" s="73">
        <v>4.4000000000000004</v>
      </c>
      <c r="F21" s="73">
        <v>68.2</v>
      </c>
      <c r="G21" s="73">
        <v>93</v>
      </c>
      <c r="H21" s="73">
        <v>99.1</v>
      </c>
      <c r="I21" s="73">
        <v>99.2</v>
      </c>
      <c r="J21" s="74">
        <v>100</v>
      </c>
      <c r="K21" s="112">
        <f>IF(B21="","",IF(E21&gt;5,D$6,IF(F21&gt;5,E$6,IF(G21&gt;5,F$6,IF(H21&gt;5,G$6,$H$6)))))</f>
        <v>19</v>
      </c>
      <c r="L21" s="76">
        <f>IF(B21="","",(E21+G21+I21+500)/100)</f>
        <v>6.9660000000000002</v>
      </c>
      <c r="M21" s="77">
        <v>0.8</v>
      </c>
      <c r="N21" s="77" t="s">
        <v>24</v>
      </c>
      <c r="O21" s="78">
        <v>2.65</v>
      </c>
      <c r="P21" s="78">
        <v>1.39</v>
      </c>
      <c r="Q21" s="77">
        <v>0.4</v>
      </c>
      <c r="R21" s="113" t="s">
        <v>24</v>
      </c>
      <c r="S21" s="79" t="s">
        <v>69</v>
      </c>
      <c r="T21" s="80" t="s">
        <v>75</v>
      </c>
      <c r="U21" s="3"/>
      <c r="Y21" s="1"/>
    </row>
    <row r="22" spans="1:25" ht="27" customHeight="1" x14ac:dyDescent="0.25">
      <c r="A22" s="69">
        <v>39814</v>
      </c>
      <c r="B22" s="70">
        <v>16</v>
      </c>
      <c r="C22" s="71">
        <v>39828</v>
      </c>
      <c r="D22" s="72">
        <v>0</v>
      </c>
      <c r="E22" s="73">
        <v>1.1000000000000001</v>
      </c>
      <c r="F22" s="73">
        <v>51.3</v>
      </c>
      <c r="G22" s="73">
        <v>83.1</v>
      </c>
      <c r="H22" s="73">
        <v>97.8</v>
      </c>
      <c r="I22" s="73">
        <v>98.5</v>
      </c>
      <c r="J22" s="74">
        <v>100</v>
      </c>
      <c r="K22" s="112">
        <f t="shared" si="1"/>
        <v>19</v>
      </c>
      <c r="L22" s="76">
        <f t="shared" si="2"/>
        <v>6.8270000000000008</v>
      </c>
      <c r="M22" s="77" t="s">
        <v>24</v>
      </c>
      <c r="N22" s="77" t="s">
        <v>24</v>
      </c>
      <c r="O22" s="77" t="s">
        <v>24</v>
      </c>
      <c r="P22" s="77" t="s">
        <v>24</v>
      </c>
      <c r="Q22" s="77" t="s">
        <v>24</v>
      </c>
      <c r="R22" s="77" t="s">
        <v>24</v>
      </c>
      <c r="S22" s="79" t="s">
        <v>82</v>
      </c>
      <c r="T22" s="80" t="s">
        <v>75</v>
      </c>
      <c r="U22" s="3"/>
      <c r="Y22" s="1"/>
    </row>
    <row r="23" spans="1:25" ht="27" customHeight="1" x14ac:dyDescent="0.25">
      <c r="A23" s="69">
        <v>39814</v>
      </c>
      <c r="B23" s="70">
        <v>17</v>
      </c>
      <c r="C23" s="71">
        <v>39833</v>
      </c>
      <c r="D23" s="72">
        <v>0</v>
      </c>
      <c r="E23" s="73">
        <v>2.9</v>
      </c>
      <c r="F23" s="73">
        <v>65.099999999999994</v>
      </c>
      <c r="G23" s="73">
        <v>92.1</v>
      </c>
      <c r="H23" s="73">
        <v>99.1</v>
      </c>
      <c r="I23" s="73">
        <v>99.2</v>
      </c>
      <c r="J23" s="74">
        <v>100</v>
      </c>
      <c r="K23" s="112">
        <f t="shared" si="1"/>
        <v>19</v>
      </c>
      <c r="L23" s="76">
        <f t="shared" si="2"/>
        <v>6.9420000000000002</v>
      </c>
      <c r="M23" s="77" t="s">
        <v>24</v>
      </c>
      <c r="N23" s="77" t="s">
        <v>24</v>
      </c>
      <c r="O23" s="77" t="s">
        <v>24</v>
      </c>
      <c r="P23" s="77" t="s">
        <v>24</v>
      </c>
      <c r="Q23" s="77" t="s">
        <v>24</v>
      </c>
      <c r="R23" s="77" t="s">
        <v>24</v>
      </c>
      <c r="S23" s="79" t="s">
        <v>82</v>
      </c>
      <c r="T23" s="80" t="s">
        <v>75</v>
      </c>
      <c r="U23" s="3"/>
      <c r="Y23" s="1"/>
    </row>
    <row r="24" spans="1:25" ht="27" customHeight="1" x14ac:dyDescent="0.25">
      <c r="A24" s="69">
        <v>39814</v>
      </c>
      <c r="B24" s="70">
        <v>18</v>
      </c>
      <c r="C24" s="71">
        <v>39835</v>
      </c>
      <c r="D24" s="72">
        <v>0</v>
      </c>
      <c r="E24" s="73">
        <v>1.8</v>
      </c>
      <c r="F24" s="73">
        <v>66.099999999999994</v>
      </c>
      <c r="G24" s="73">
        <v>91.5</v>
      </c>
      <c r="H24" s="73">
        <v>99.5</v>
      </c>
      <c r="I24" s="73">
        <v>99.6</v>
      </c>
      <c r="J24" s="74">
        <v>100</v>
      </c>
      <c r="K24" s="112">
        <f t="shared" si="1"/>
        <v>19</v>
      </c>
      <c r="L24" s="76">
        <f t="shared" si="2"/>
        <v>6.9289999999999994</v>
      </c>
      <c r="M24" s="77" t="s">
        <v>24</v>
      </c>
      <c r="N24" s="77" t="s">
        <v>24</v>
      </c>
      <c r="O24" s="77" t="s">
        <v>24</v>
      </c>
      <c r="P24" s="77" t="s">
        <v>24</v>
      </c>
      <c r="Q24" s="77" t="s">
        <v>24</v>
      </c>
      <c r="R24" s="77" t="s">
        <v>24</v>
      </c>
      <c r="S24" s="79" t="s">
        <v>82</v>
      </c>
      <c r="T24" s="80" t="s">
        <v>75</v>
      </c>
      <c r="U24" s="3"/>
      <c r="Y24" s="1"/>
    </row>
    <row r="25" spans="1:25" ht="27" customHeight="1" x14ac:dyDescent="0.25">
      <c r="A25" s="492" t="s">
        <v>87</v>
      </c>
      <c r="B25" s="493"/>
      <c r="C25" s="493"/>
      <c r="D25" s="493"/>
      <c r="E25" s="493"/>
      <c r="F25" s="493"/>
      <c r="G25" s="493"/>
      <c r="H25" s="493"/>
      <c r="I25" s="493"/>
      <c r="J25" s="493"/>
      <c r="K25" s="493"/>
      <c r="L25" s="493"/>
      <c r="M25" s="493"/>
      <c r="N25" s="493"/>
      <c r="O25" s="493"/>
      <c r="P25" s="493"/>
      <c r="Q25" s="493"/>
      <c r="R25" s="493"/>
      <c r="S25" s="493"/>
      <c r="T25" s="494"/>
      <c r="U25" s="3"/>
      <c r="Y25" s="1"/>
    </row>
    <row r="26" spans="1:25" ht="27" customHeight="1" x14ac:dyDescent="0.25">
      <c r="A26" s="69"/>
      <c r="B26" s="70"/>
      <c r="C26" s="71"/>
      <c r="D26" s="72"/>
      <c r="E26" s="73"/>
      <c r="F26" s="73"/>
      <c r="G26" s="73"/>
      <c r="H26" s="73"/>
      <c r="I26" s="73"/>
      <c r="J26" s="74"/>
      <c r="K26" s="112" t="str">
        <f t="shared" si="1"/>
        <v/>
      </c>
      <c r="L26" s="76" t="str">
        <f t="shared" si="2"/>
        <v/>
      </c>
      <c r="M26" s="77"/>
      <c r="N26" s="77"/>
      <c r="O26" s="78"/>
      <c r="P26" s="78"/>
      <c r="Q26" s="77"/>
      <c r="R26" s="113"/>
      <c r="S26" s="79"/>
      <c r="T26" s="80"/>
      <c r="U26" s="3"/>
      <c r="Y26" s="1"/>
    </row>
    <row r="27" spans="1:25" ht="27" customHeight="1" x14ac:dyDescent="0.25">
      <c r="A27" s="69"/>
      <c r="B27" s="70"/>
      <c r="C27" s="71"/>
      <c r="D27" s="72"/>
      <c r="E27" s="73"/>
      <c r="F27" s="73"/>
      <c r="G27" s="73"/>
      <c r="H27" s="73"/>
      <c r="I27" s="73"/>
      <c r="J27" s="74"/>
      <c r="K27" s="112" t="str">
        <f t="shared" si="1"/>
        <v/>
      </c>
      <c r="L27" s="76" t="str">
        <f t="shared" si="2"/>
        <v/>
      </c>
      <c r="M27" s="77"/>
      <c r="N27" s="77"/>
      <c r="O27" s="78"/>
      <c r="P27" s="78"/>
      <c r="Q27" s="77"/>
      <c r="R27" s="113"/>
      <c r="S27" s="79"/>
      <c r="T27" s="80"/>
      <c r="U27" s="3"/>
      <c r="Y27" s="1"/>
    </row>
    <row r="28" spans="1:25" ht="27" customHeight="1" x14ac:dyDescent="0.25">
      <c r="A28" s="69"/>
      <c r="B28" s="70"/>
      <c r="C28" s="71"/>
      <c r="D28" s="72"/>
      <c r="E28" s="73"/>
      <c r="F28" s="73"/>
      <c r="G28" s="73"/>
      <c r="H28" s="73"/>
      <c r="I28" s="73"/>
      <c r="J28" s="74"/>
      <c r="K28" s="112" t="str">
        <f t="shared" si="1"/>
        <v/>
      </c>
      <c r="L28" s="76" t="str">
        <f t="shared" si="2"/>
        <v/>
      </c>
      <c r="M28" s="77"/>
      <c r="N28" s="77"/>
      <c r="O28" s="78"/>
      <c r="P28" s="78"/>
      <c r="Q28" s="77"/>
      <c r="R28" s="113"/>
      <c r="S28" s="79"/>
      <c r="T28" s="80"/>
      <c r="U28" s="3"/>
      <c r="Y28" s="1"/>
    </row>
    <row r="29" spans="1:25" ht="27" customHeight="1" x14ac:dyDescent="0.25">
      <c r="A29" s="69"/>
      <c r="B29" s="70"/>
      <c r="C29" s="71"/>
      <c r="D29" s="72"/>
      <c r="E29" s="73"/>
      <c r="F29" s="73"/>
      <c r="G29" s="73"/>
      <c r="H29" s="73"/>
      <c r="I29" s="73"/>
      <c r="J29" s="74"/>
      <c r="K29" s="112" t="str">
        <f t="shared" si="1"/>
        <v/>
      </c>
      <c r="L29" s="76" t="str">
        <f t="shared" si="2"/>
        <v/>
      </c>
      <c r="M29" s="77"/>
      <c r="N29" s="77"/>
      <c r="O29" s="78"/>
      <c r="P29" s="78"/>
      <c r="Q29" s="77"/>
      <c r="R29" s="113"/>
      <c r="S29" s="79"/>
      <c r="T29" s="80"/>
      <c r="U29" s="3"/>
      <c r="Y29" s="1"/>
    </row>
    <row r="30" spans="1:25" ht="27" customHeight="1" x14ac:dyDescent="0.25">
      <c r="A30" s="69"/>
      <c r="B30" s="70"/>
      <c r="C30" s="71"/>
      <c r="D30" s="72"/>
      <c r="E30" s="73"/>
      <c r="F30" s="73"/>
      <c r="G30" s="73"/>
      <c r="H30" s="73"/>
      <c r="I30" s="73"/>
      <c r="J30" s="74"/>
      <c r="K30" s="112" t="str">
        <f t="shared" si="1"/>
        <v/>
      </c>
      <c r="L30" s="76" t="str">
        <f t="shared" si="2"/>
        <v/>
      </c>
      <c r="M30" s="77"/>
      <c r="N30" s="77"/>
      <c r="O30" s="78"/>
      <c r="P30" s="78"/>
      <c r="Q30" s="77"/>
      <c r="R30" s="113"/>
      <c r="S30" s="79"/>
      <c r="T30" s="80"/>
      <c r="U30" s="3"/>
      <c r="Y30" s="1"/>
    </row>
    <row r="31" spans="1:25" ht="27" customHeight="1" x14ac:dyDescent="0.25">
      <c r="A31" s="69"/>
      <c r="B31" s="70"/>
      <c r="C31" s="71"/>
      <c r="D31" s="72"/>
      <c r="E31" s="73"/>
      <c r="F31" s="73"/>
      <c r="G31" s="73"/>
      <c r="H31" s="73"/>
      <c r="I31" s="73"/>
      <c r="J31" s="74"/>
      <c r="K31" s="112" t="str">
        <f t="shared" si="1"/>
        <v/>
      </c>
      <c r="L31" s="76" t="str">
        <f t="shared" si="2"/>
        <v/>
      </c>
      <c r="M31" s="77"/>
      <c r="N31" s="77"/>
      <c r="O31" s="78"/>
      <c r="P31" s="78"/>
      <c r="Q31" s="77"/>
      <c r="R31" s="113"/>
      <c r="S31" s="79"/>
      <c r="T31" s="80"/>
      <c r="U31" s="3"/>
      <c r="Y31" s="1"/>
    </row>
    <row r="32" spans="1:25" ht="27" customHeight="1" x14ac:dyDescent="0.25">
      <c r="A32" s="69"/>
      <c r="B32" s="70"/>
      <c r="C32" s="71"/>
      <c r="D32" s="72"/>
      <c r="E32" s="73"/>
      <c r="F32" s="73"/>
      <c r="G32" s="73"/>
      <c r="H32" s="73"/>
      <c r="I32" s="73"/>
      <c r="J32" s="74"/>
      <c r="K32" s="112"/>
      <c r="L32" s="76"/>
      <c r="M32" s="77"/>
      <c r="N32" s="77"/>
      <c r="O32" s="78"/>
      <c r="P32" s="78"/>
      <c r="Q32" s="77"/>
      <c r="R32" s="113"/>
      <c r="S32" s="79"/>
      <c r="T32" s="80"/>
      <c r="U32" s="3"/>
      <c r="Y32" s="1"/>
    </row>
    <row r="33" spans="1:25" ht="27" customHeight="1" x14ac:dyDescent="0.25">
      <c r="A33" s="69"/>
      <c r="B33" s="70"/>
      <c r="C33" s="71"/>
      <c r="D33" s="72"/>
      <c r="E33" s="73"/>
      <c r="F33" s="73"/>
      <c r="G33" s="73"/>
      <c r="H33" s="73"/>
      <c r="I33" s="73"/>
      <c r="J33" s="74"/>
      <c r="K33" s="112" t="str">
        <f t="shared" si="1"/>
        <v/>
      </c>
      <c r="L33" s="76" t="str">
        <f t="shared" si="2"/>
        <v/>
      </c>
      <c r="M33" s="77"/>
      <c r="N33" s="77"/>
      <c r="O33" s="78"/>
      <c r="P33" s="78"/>
      <c r="Q33" s="77"/>
      <c r="R33" s="113"/>
      <c r="S33" s="79"/>
      <c r="T33" s="80"/>
      <c r="U33" s="3"/>
      <c r="Y33" s="1"/>
    </row>
    <row r="34" spans="1:25" ht="27" customHeight="1" thickBot="1" x14ac:dyDescent="0.3">
      <c r="A34" s="69"/>
      <c r="B34" s="70"/>
      <c r="C34" s="71"/>
      <c r="D34" s="72"/>
      <c r="E34" s="73"/>
      <c r="F34" s="73"/>
      <c r="G34" s="73"/>
      <c r="H34" s="73"/>
      <c r="I34" s="73"/>
      <c r="J34" s="74"/>
      <c r="K34" s="112" t="str">
        <f t="shared" si="1"/>
        <v/>
      </c>
      <c r="L34" s="76" t="str">
        <f t="shared" si="2"/>
        <v/>
      </c>
      <c r="M34" s="77"/>
      <c r="N34" s="77"/>
      <c r="O34" s="78"/>
      <c r="P34" s="78"/>
      <c r="Q34" s="77"/>
      <c r="R34" s="113"/>
      <c r="S34" s="79"/>
      <c r="T34" s="80"/>
      <c r="U34" s="3"/>
      <c r="Y34" s="1"/>
    </row>
    <row r="35" spans="1:25" ht="27" hidden="1" customHeight="1" thickBot="1" x14ac:dyDescent="0.3">
      <c r="A35" s="81"/>
      <c r="B35" s="82"/>
      <c r="C35" s="83"/>
      <c r="D35" s="96"/>
      <c r="E35" s="84"/>
      <c r="F35" s="84"/>
      <c r="G35" s="84"/>
      <c r="H35" s="84"/>
      <c r="I35" s="84"/>
      <c r="J35" s="85"/>
      <c r="K35" s="112" t="str">
        <f t="shared" si="1"/>
        <v/>
      </c>
      <c r="L35" s="76" t="str">
        <f t="shared" si="2"/>
        <v/>
      </c>
      <c r="M35" s="86"/>
      <c r="N35" s="86"/>
      <c r="O35" s="87"/>
      <c r="P35" s="78"/>
      <c r="Q35" s="86"/>
      <c r="R35" s="114"/>
      <c r="S35" s="88"/>
      <c r="T35" s="89"/>
      <c r="U35" s="3"/>
      <c r="Y35" s="1"/>
    </row>
    <row r="36" spans="1:25" ht="27" customHeight="1" thickTop="1" x14ac:dyDescent="0.25">
      <c r="A36" s="456" t="s">
        <v>0</v>
      </c>
      <c r="B36" s="457"/>
      <c r="C36" s="458"/>
      <c r="D36" s="21">
        <f t="shared" ref="D36:J36" si="3">AVERAGE(D7:D35)</f>
        <v>0</v>
      </c>
      <c r="E36" s="22">
        <f t="shared" si="3"/>
        <v>1.3944444444444448</v>
      </c>
      <c r="F36" s="22">
        <f t="shared" si="3"/>
        <v>50.81666666666667</v>
      </c>
      <c r="G36" s="22">
        <f t="shared" si="3"/>
        <v>78.216666666666654</v>
      </c>
      <c r="H36" s="22">
        <f t="shared" si="3"/>
        <v>97.111111111111086</v>
      </c>
      <c r="I36" s="22">
        <f>AVERAGE(I7:I35)</f>
        <v>98.50555555555556</v>
      </c>
      <c r="J36" s="23">
        <f t="shared" si="3"/>
        <v>100</v>
      </c>
      <c r="K36" s="24" t="s">
        <v>24</v>
      </c>
      <c r="L36" s="25">
        <f t="shared" ref="L36:R36" si="4">AVERAGE(L7:L35)</f>
        <v>6.7811666666666657</v>
      </c>
      <c r="M36" s="25">
        <f t="shared" si="4"/>
        <v>0.58000000000000007</v>
      </c>
      <c r="N36" s="25" t="e">
        <f t="shared" si="4"/>
        <v>#DIV/0!</v>
      </c>
      <c r="O36" s="26">
        <f t="shared" si="4"/>
        <v>2.6660000000000004</v>
      </c>
      <c r="P36" s="26">
        <f t="shared" si="4"/>
        <v>1.3439999999999999</v>
      </c>
      <c r="Q36" s="25">
        <f t="shared" si="4"/>
        <v>0.42000000000000004</v>
      </c>
      <c r="R36" s="22">
        <f t="shared" si="4"/>
        <v>2.1</v>
      </c>
      <c r="S36" s="27"/>
      <c r="T36" s="28"/>
      <c r="U36" s="3"/>
      <c r="Y36" s="1"/>
    </row>
    <row r="37" spans="1:25" ht="27" customHeight="1" x14ac:dyDescent="0.25">
      <c r="A37" s="450" t="s">
        <v>26</v>
      </c>
      <c r="B37" s="451"/>
      <c r="C37" s="452"/>
      <c r="D37" s="29">
        <f>MAX(D7:D35)</f>
        <v>0</v>
      </c>
      <c r="E37" s="30">
        <f>MAX(E7:E35)</f>
        <v>4.7</v>
      </c>
      <c r="F37" s="30">
        <f>MAX(F7:F35)</f>
        <v>68.2</v>
      </c>
      <c r="G37" s="30">
        <f>MAX(G7:G35)</f>
        <v>93</v>
      </c>
      <c r="H37" s="30">
        <f t="shared" ref="H37:R37" si="5">MAX(H7:H35)</f>
        <v>99.5</v>
      </c>
      <c r="I37" s="30">
        <f t="shared" si="5"/>
        <v>99.6</v>
      </c>
      <c r="J37" s="31">
        <f t="shared" si="5"/>
        <v>100</v>
      </c>
      <c r="K37" s="109">
        <f>MAX(K7:K35)</f>
        <v>19</v>
      </c>
      <c r="L37" s="33">
        <f t="shared" si="5"/>
        <v>6.9660000000000002</v>
      </c>
      <c r="M37" s="33">
        <f t="shared" si="5"/>
        <v>0.9</v>
      </c>
      <c r="N37" s="33">
        <f t="shared" si="5"/>
        <v>0</v>
      </c>
      <c r="O37" s="34">
        <f t="shared" si="5"/>
        <v>2.7</v>
      </c>
      <c r="P37" s="34">
        <f>MAX(P7:P35)</f>
        <v>1.39</v>
      </c>
      <c r="Q37" s="33">
        <f t="shared" si="5"/>
        <v>0.5</v>
      </c>
      <c r="R37" s="30">
        <f t="shared" si="5"/>
        <v>2.1</v>
      </c>
      <c r="S37" s="35"/>
      <c r="T37" s="36"/>
    </row>
    <row r="38" spans="1:25" ht="27" customHeight="1" x14ac:dyDescent="0.25">
      <c r="A38" s="450" t="s">
        <v>25</v>
      </c>
      <c r="B38" s="451"/>
      <c r="C38" s="452"/>
      <c r="D38" s="29">
        <f t="shared" ref="D38:J38" si="6">MIN(D7:D35)</f>
        <v>0</v>
      </c>
      <c r="E38" s="30">
        <f t="shared" si="6"/>
        <v>0.2</v>
      </c>
      <c r="F38" s="30">
        <f t="shared" si="6"/>
        <v>39.6</v>
      </c>
      <c r="G38" s="30">
        <f t="shared" si="6"/>
        <v>64</v>
      </c>
      <c r="H38" s="30">
        <f t="shared" si="6"/>
        <v>93.4</v>
      </c>
      <c r="I38" s="30">
        <f t="shared" si="6"/>
        <v>96.4</v>
      </c>
      <c r="J38" s="31">
        <f t="shared" si="6"/>
        <v>100</v>
      </c>
      <c r="K38" s="37" t="s">
        <v>24</v>
      </c>
      <c r="L38" s="33">
        <f t="shared" ref="L38:R38" si="7">MIN(L7:L35)</f>
        <v>6.6320000000000006</v>
      </c>
      <c r="M38" s="33">
        <f t="shared" si="7"/>
        <v>0.3</v>
      </c>
      <c r="N38" s="33">
        <f t="shared" si="7"/>
        <v>0</v>
      </c>
      <c r="O38" s="34">
        <f t="shared" si="7"/>
        <v>2.64</v>
      </c>
      <c r="P38" s="34">
        <f t="shared" si="7"/>
        <v>1.3</v>
      </c>
      <c r="Q38" s="33">
        <f t="shared" si="7"/>
        <v>0.3</v>
      </c>
      <c r="R38" s="30">
        <f t="shared" si="7"/>
        <v>2.1</v>
      </c>
      <c r="S38" s="35"/>
      <c r="T38" s="36"/>
    </row>
    <row r="39" spans="1:25" ht="27" customHeight="1" thickBot="1" x14ac:dyDescent="0.3">
      <c r="A39" s="453" t="s">
        <v>1</v>
      </c>
      <c r="B39" s="454"/>
      <c r="C39" s="455"/>
      <c r="D39" s="38">
        <f t="shared" ref="D39:J39" si="8">STDEV(D7:D35)</f>
        <v>0</v>
      </c>
      <c r="E39" s="39">
        <f t="shared" si="8"/>
        <v>1.3193011618108865</v>
      </c>
      <c r="F39" s="39">
        <f t="shared" si="8"/>
        <v>8.564856373920259</v>
      </c>
      <c r="G39" s="39">
        <f t="shared" si="8"/>
        <v>8.2678149898194597</v>
      </c>
      <c r="H39" s="39">
        <f t="shared" si="8"/>
        <v>1.7303141125542993</v>
      </c>
      <c r="I39" s="39">
        <f t="shared" si="8"/>
        <v>0.94649335613231345</v>
      </c>
      <c r="J39" s="40">
        <f t="shared" si="8"/>
        <v>0</v>
      </c>
      <c r="K39" s="41" t="s">
        <v>24</v>
      </c>
      <c r="L39" s="42">
        <f t="shared" ref="L39:R39" si="9">STDEV(L7:L35)</f>
        <v>9.3923780112324232E-2</v>
      </c>
      <c r="M39" s="42">
        <f t="shared" si="9"/>
        <v>0.27748873851023209</v>
      </c>
      <c r="N39" s="42" t="e">
        <f t="shared" si="9"/>
        <v>#DIV/0!</v>
      </c>
      <c r="O39" s="43">
        <f t="shared" si="9"/>
        <v>2.7018512172212631E-2</v>
      </c>
      <c r="P39" s="43">
        <f t="shared" si="9"/>
        <v>3.2093613071762374E-2</v>
      </c>
      <c r="Q39" s="42">
        <f t="shared" si="9"/>
        <v>8.3666002653407595E-2</v>
      </c>
      <c r="R39" s="39" t="e">
        <f t="shared" si="9"/>
        <v>#DIV/0!</v>
      </c>
      <c r="S39" s="44"/>
      <c r="T39" s="45"/>
    </row>
    <row r="40" spans="1:25" ht="13" thickBo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46"/>
      <c r="M40" s="47"/>
      <c r="N40" s="47"/>
      <c r="O40" s="46"/>
      <c r="P40" s="46"/>
      <c r="Q40" s="47"/>
      <c r="R40" s="47"/>
      <c r="S40" s="5"/>
      <c r="T40" s="5"/>
    </row>
    <row r="41" spans="1:25" ht="22.5" customHeight="1" thickBot="1" x14ac:dyDescent="0.3">
      <c r="A41" s="355" t="s">
        <v>39</v>
      </c>
      <c r="B41" s="356"/>
      <c r="C41" s="356"/>
      <c r="D41" s="356"/>
      <c r="E41" s="356"/>
      <c r="F41" s="356"/>
      <c r="G41" s="356"/>
      <c r="H41" s="356"/>
      <c r="I41" s="356"/>
      <c r="J41" s="356"/>
      <c r="K41" s="466" t="s">
        <v>34</v>
      </c>
      <c r="L41" s="467"/>
      <c r="M41" s="467"/>
      <c r="N41" s="467"/>
      <c r="O41" s="467"/>
      <c r="P41" s="467"/>
      <c r="Q41" s="467"/>
      <c r="R41" s="468"/>
      <c r="S41" s="5"/>
      <c r="T41" s="5"/>
    </row>
    <row r="42" spans="1:25" ht="40.5" customHeight="1" x14ac:dyDescent="0.25">
      <c r="A42" s="359" t="s">
        <v>63</v>
      </c>
      <c r="B42" s="360"/>
      <c r="C42" s="360"/>
      <c r="D42" s="48">
        <f>100-D44</f>
        <v>100</v>
      </c>
      <c r="E42" s="48">
        <f>100-E44</f>
        <v>98</v>
      </c>
      <c r="F42" s="48">
        <f t="shared" ref="F42:I43" si="10">100-F44</f>
        <v>60</v>
      </c>
      <c r="G42" s="48">
        <f t="shared" si="10"/>
        <v>20</v>
      </c>
      <c r="H42" s="48">
        <f t="shared" si="10"/>
        <v>8</v>
      </c>
      <c r="I42" s="48">
        <f t="shared" si="10"/>
        <v>5</v>
      </c>
      <c r="J42" s="50" t="s">
        <v>24</v>
      </c>
      <c r="K42" s="459" t="s">
        <v>51</v>
      </c>
      <c r="L42" s="433"/>
      <c r="M42" s="433" t="s">
        <v>55</v>
      </c>
      <c r="N42" s="433" t="s">
        <v>57</v>
      </c>
      <c r="O42" s="433" t="s">
        <v>52</v>
      </c>
      <c r="P42" s="433"/>
      <c r="Q42" s="433"/>
      <c r="R42" s="436" t="s">
        <v>60</v>
      </c>
      <c r="S42" s="5"/>
      <c r="T42" s="5"/>
    </row>
    <row r="43" spans="1:25" ht="40.5" customHeight="1" x14ac:dyDescent="0.25">
      <c r="A43" s="345"/>
      <c r="B43" s="346"/>
      <c r="C43" s="346"/>
      <c r="D43" s="51">
        <f>100-D45</f>
        <v>95</v>
      </c>
      <c r="E43" s="51">
        <f>100-E45</f>
        <v>85</v>
      </c>
      <c r="F43" s="51">
        <f t="shared" si="10"/>
        <v>35</v>
      </c>
      <c r="G43" s="51">
        <f t="shared" si="10"/>
        <v>0</v>
      </c>
      <c r="H43" s="51">
        <f t="shared" si="10"/>
        <v>0</v>
      </c>
      <c r="I43" s="51">
        <f t="shared" si="10"/>
        <v>0</v>
      </c>
      <c r="J43" s="53" t="s">
        <v>24</v>
      </c>
      <c r="K43" s="460"/>
      <c r="L43" s="434"/>
      <c r="M43" s="434"/>
      <c r="N43" s="434"/>
      <c r="O43" s="434"/>
      <c r="P43" s="434"/>
      <c r="Q43" s="434"/>
      <c r="R43" s="437"/>
      <c r="S43" s="5"/>
      <c r="T43" s="5"/>
    </row>
    <row r="44" spans="1:25" ht="40.5" customHeight="1" x14ac:dyDescent="0.25">
      <c r="A44" s="464" t="s">
        <v>64</v>
      </c>
      <c r="B44" s="465"/>
      <c r="C44" s="465"/>
      <c r="D44" s="93">
        <v>0</v>
      </c>
      <c r="E44" s="57">
        <v>2</v>
      </c>
      <c r="F44" s="57">
        <v>40</v>
      </c>
      <c r="G44" s="57">
        <v>80</v>
      </c>
      <c r="H44" s="57">
        <v>92</v>
      </c>
      <c r="I44" s="57">
        <v>95</v>
      </c>
      <c r="J44" s="59" t="s">
        <v>24</v>
      </c>
      <c r="K44" s="460"/>
      <c r="L44" s="434"/>
      <c r="M44" s="434"/>
      <c r="N44" s="434"/>
      <c r="O44" s="434"/>
      <c r="P44" s="434"/>
      <c r="Q44" s="434"/>
      <c r="R44" s="437"/>
      <c r="S44" s="5"/>
      <c r="T44" s="5"/>
    </row>
    <row r="45" spans="1:25" ht="40.5" customHeight="1" thickBot="1" x14ac:dyDescent="0.3">
      <c r="A45" s="462"/>
      <c r="B45" s="463"/>
      <c r="C45" s="463"/>
      <c r="D45" s="95">
        <v>5</v>
      </c>
      <c r="E45" s="62">
        <v>15</v>
      </c>
      <c r="F45" s="62">
        <v>65</v>
      </c>
      <c r="G45" s="62">
        <v>100</v>
      </c>
      <c r="H45" s="62">
        <v>100</v>
      </c>
      <c r="I45" s="62">
        <v>100</v>
      </c>
      <c r="J45" s="64" t="s">
        <v>24</v>
      </c>
      <c r="K45" s="461"/>
      <c r="L45" s="435"/>
      <c r="M45" s="435"/>
      <c r="N45" s="435"/>
      <c r="O45" s="435"/>
      <c r="P45" s="435"/>
      <c r="Q45" s="435"/>
      <c r="R45" s="438"/>
      <c r="S45" s="5"/>
      <c r="T45" s="5"/>
    </row>
    <row r="46" spans="1:25" ht="32.25" customHeight="1" x14ac:dyDescent="0.25">
      <c r="A46" s="496" t="s">
        <v>58</v>
      </c>
      <c r="B46" s="496"/>
      <c r="C46" s="496"/>
      <c r="D46" s="496"/>
      <c r="E46" s="496"/>
      <c r="F46" s="496"/>
      <c r="G46" s="496"/>
      <c r="H46" s="496"/>
      <c r="I46" s="496"/>
      <c r="J46" s="496"/>
      <c r="K46" s="101"/>
      <c r="L46" s="101"/>
      <c r="M46" s="101"/>
      <c r="N46" s="101"/>
      <c r="O46" s="101"/>
      <c r="P46" s="101"/>
      <c r="Q46" s="101"/>
      <c r="R46" s="101"/>
      <c r="S46" s="5"/>
      <c r="T46" s="5"/>
    </row>
    <row r="47" spans="1:25" ht="18.75" customHeight="1" thickBo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</row>
    <row r="48" spans="1:25" ht="15.75" customHeight="1" x14ac:dyDescent="0.25">
      <c r="A48" s="5"/>
      <c r="B48" s="5"/>
      <c r="C48" s="5"/>
      <c r="D48" s="5"/>
      <c r="E48" s="500" t="s">
        <v>42</v>
      </c>
      <c r="F48" s="501"/>
      <c r="G48" s="501"/>
      <c r="H48" s="501"/>
      <c r="I48" s="501"/>
      <c r="J48" s="501"/>
      <c r="K48" s="501"/>
      <c r="L48" s="501"/>
      <c r="M48" s="501"/>
      <c r="N48" s="501"/>
      <c r="O48" s="501"/>
      <c r="P48" s="501"/>
      <c r="Q48" s="501"/>
      <c r="R48" s="502"/>
      <c r="S48" s="5"/>
      <c r="T48" s="5"/>
    </row>
    <row r="49" spans="1:20" ht="18.75" customHeight="1" thickBot="1" x14ac:dyDescent="0.3">
      <c r="A49" s="5"/>
      <c r="B49" s="5"/>
      <c r="C49" s="5"/>
      <c r="D49" s="5"/>
      <c r="E49" s="503" t="s">
        <v>43</v>
      </c>
      <c r="F49" s="504"/>
      <c r="G49" s="504"/>
      <c r="H49" s="504"/>
      <c r="I49" s="504"/>
      <c r="J49" s="504"/>
      <c r="K49" s="504"/>
      <c r="L49" s="504"/>
      <c r="M49" s="110" t="s">
        <v>44</v>
      </c>
      <c r="N49" s="110" t="s">
        <v>45</v>
      </c>
      <c r="O49" s="505" t="s">
        <v>56</v>
      </c>
      <c r="P49" s="505"/>
      <c r="Q49" s="505"/>
      <c r="R49" s="111" t="s">
        <v>61</v>
      </c>
      <c r="S49" s="5"/>
      <c r="T49" s="5"/>
    </row>
    <row r="50" spans="1:20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</row>
    <row r="51" spans="1:20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</row>
    <row r="52" spans="1:20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</row>
  </sheetData>
  <sheetProtection insertRows="0"/>
  <mergeCells count="38">
    <mergeCell ref="E49:L49"/>
    <mergeCell ref="O49:Q49"/>
    <mergeCell ref="K41:R41"/>
    <mergeCell ref="A42:C43"/>
    <mergeCell ref="K42:K45"/>
    <mergeCell ref="L42:L45"/>
    <mergeCell ref="M42:M45"/>
    <mergeCell ref="N42:N45"/>
    <mergeCell ref="O42:O45"/>
    <mergeCell ref="P42:P45"/>
    <mergeCell ref="Q42:Q45"/>
    <mergeCell ref="R42:R45"/>
    <mergeCell ref="A25:T25"/>
    <mergeCell ref="A44:C45"/>
    <mergeCell ref="T4:T6"/>
    <mergeCell ref="A46:J46"/>
    <mergeCell ref="E48:R48"/>
    <mergeCell ref="A41:J41"/>
    <mergeCell ref="A36:C36"/>
    <mergeCell ref="A37:C37"/>
    <mergeCell ref="A38:C38"/>
    <mergeCell ref="A39:C39"/>
    <mergeCell ref="A1:T1"/>
    <mergeCell ref="A2:T2"/>
    <mergeCell ref="A4:A6"/>
    <mergeCell ref="B4:B6"/>
    <mergeCell ref="C4:C6"/>
    <mergeCell ref="D4:J4"/>
    <mergeCell ref="K4:K6"/>
    <mergeCell ref="L4:L6"/>
    <mergeCell ref="M4:M6"/>
    <mergeCell ref="N4:N6"/>
    <mergeCell ref="O4:O6"/>
    <mergeCell ref="P4:P6"/>
    <mergeCell ref="Q4:Q6"/>
    <mergeCell ref="R4:R6"/>
    <mergeCell ref="S4:S6"/>
    <mergeCell ref="J5:J6"/>
  </mergeCells>
  <conditionalFormatting sqref="K7:L24">
    <cfRule type="cellIs" dxfId="3" priority="1" operator="equal">
      <formula>""</formula>
    </cfRule>
  </conditionalFormatting>
  <conditionalFormatting sqref="K26:L35">
    <cfRule type="cellIs" dxfId="2" priority="2" operator="equal">
      <formula>""</formula>
    </cfRule>
  </conditionalFormatting>
  <printOptions horizontalCentered="1"/>
  <pageMargins left="0.39370078740157483" right="0.39370078740157483" top="0.82677165354330717" bottom="0.55118110236220474" header="0.51181102362204722" footer="0.35433070866141736"/>
  <pageSetup paperSize="9" scale="51" firstPageNumber="41" fitToHeight="0" orientation="landscape" errors="dash" r:id="rId1"/>
  <headerFooter alignWithMargins="0">
    <oddHeader>&amp;R&amp;G</oddHeader>
    <oddFooter>&amp;C&amp;P&amp;R&amp;F</oddFooter>
  </headerFooter>
  <drawing r:id="rId2"/>
  <legacyDrawing r:id="rId3"/>
  <legacyDrawingHF r:id="rId4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1"/>
    <pageSetUpPr fitToPage="1"/>
  </sheetPr>
  <dimension ref="A1:X63"/>
  <sheetViews>
    <sheetView zoomScale="70" zoomScaleNormal="70" zoomScaleSheetLayoutView="70" workbookViewId="0">
      <pane ySplit="6" topLeftCell="A7" activePane="bottomLeft" state="frozen"/>
      <selection activeCell="B12" sqref="B12"/>
      <selection pane="bottomLeft" activeCell="B12" sqref="B12"/>
    </sheetView>
  </sheetViews>
  <sheetFormatPr defaultColWidth="9.1796875" defaultRowHeight="12.5" x14ac:dyDescent="0.25"/>
  <cols>
    <col min="1" max="3" width="14.81640625" style="1" customWidth="1"/>
    <col min="4" max="9" width="12.26953125" style="1" customWidth="1"/>
    <col min="10" max="17" width="13.81640625" style="1" customWidth="1"/>
    <col min="18" max="18" width="24.7265625" style="1" customWidth="1"/>
    <col min="19" max="19" width="24.1796875" style="1" customWidth="1"/>
    <col min="20" max="23" width="9.1796875" style="1"/>
    <col min="24" max="24" width="15.453125" style="2" customWidth="1"/>
    <col min="25" max="25" width="13" style="1" customWidth="1"/>
    <col min="26" max="16384" width="9.1796875" style="1"/>
  </cols>
  <sheetData>
    <row r="1" spans="1:24" ht="31.5" customHeight="1" x14ac:dyDescent="0.25">
      <c r="A1" s="471" t="s">
        <v>89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  <c r="P1" s="471"/>
      <c r="Q1" s="471"/>
      <c r="R1" s="471"/>
      <c r="S1" s="471"/>
    </row>
    <row r="2" spans="1:24" ht="22.5" customHeight="1" x14ac:dyDescent="0.25">
      <c r="A2" s="472" t="s">
        <v>80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</row>
    <row r="3" spans="1:24" ht="14.25" customHeight="1" thickBot="1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24" ht="31.5" customHeight="1" x14ac:dyDescent="0.25">
      <c r="A4" s="480" t="s">
        <v>2</v>
      </c>
      <c r="B4" s="477" t="s">
        <v>3</v>
      </c>
      <c r="C4" s="486" t="s">
        <v>19</v>
      </c>
      <c r="D4" s="441" t="s">
        <v>4</v>
      </c>
      <c r="E4" s="442"/>
      <c r="F4" s="442"/>
      <c r="G4" s="442"/>
      <c r="H4" s="442"/>
      <c r="I4" s="443"/>
      <c r="J4" s="483" t="s">
        <v>29</v>
      </c>
      <c r="K4" s="474" t="s">
        <v>5</v>
      </c>
      <c r="L4" s="447" t="s">
        <v>21</v>
      </c>
      <c r="M4" s="447" t="s">
        <v>30</v>
      </c>
      <c r="N4" s="447" t="s">
        <v>66</v>
      </c>
      <c r="O4" s="447" t="s">
        <v>31</v>
      </c>
      <c r="P4" s="447" t="s">
        <v>28</v>
      </c>
      <c r="Q4" s="447" t="s">
        <v>59</v>
      </c>
      <c r="R4" s="474" t="s">
        <v>20</v>
      </c>
      <c r="S4" s="473" t="s">
        <v>6</v>
      </c>
    </row>
    <row r="5" spans="1:24" ht="16.5" customHeight="1" x14ac:dyDescent="0.25">
      <c r="A5" s="481"/>
      <c r="B5" s="478"/>
      <c r="C5" s="487"/>
      <c r="D5" s="6" t="s">
        <v>70</v>
      </c>
      <c r="E5" s="7" t="s">
        <v>17</v>
      </c>
      <c r="F5" s="7" t="s">
        <v>18</v>
      </c>
      <c r="G5" s="7" t="s">
        <v>16</v>
      </c>
      <c r="H5" s="7" t="s">
        <v>7</v>
      </c>
      <c r="I5" s="439" t="s">
        <v>15</v>
      </c>
      <c r="J5" s="484"/>
      <c r="K5" s="475"/>
      <c r="L5" s="448"/>
      <c r="M5" s="448"/>
      <c r="N5" s="448"/>
      <c r="O5" s="448"/>
      <c r="P5" s="448"/>
      <c r="Q5" s="448"/>
      <c r="R5" s="475"/>
      <c r="S5" s="439"/>
    </row>
    <row r="6" spans="1:24" ht="16.5" customHeight="1" thickBot="1" x14ac:dyDescent="0.3">
      <c r="A6" s="482"/>
      <c r="B6" s="479"/>
      <c r="C6" s="488"/>
      <c r="D6" s="90">
        <v>31.5</v>
      </c>
      <c r="E6" s="91">
        <v>25</v>
      </c>
      <c r="F6" s="91">
        <v>19</v>
      </c>
      <c r="G6" s="91">
        <v>12.5</v>
      </c>
      <c r="H6" s="91">
        <v>9.5</v>
      </c>
      <c r="I6" s="440"/>
      <c r="J6" s="485"/>
      <c r="K6" s="476"/>
      <c r="L6" s="449"/>
      <c r="M6" s="449"/>
      <c r="N6" s="449"/>
      <c r="O6" s="449"/>
      <c r="P6" s="449"/>
      <c r="Q6" s="449"/>
      <c r="R6" s="476"/>
      <c r="S6" s="440"/>
    </row>
    <row r="7" spans="1:24" ht="27" customHeight="1" thickTop="1" x14ac:dyDescent="0.25">
      <c r="A7" s="69">
        <v>39661</v>
      </c>
      <c r="B7" s="70">
        <v>1</v>
      </c>
      <c r="C7" s="71">
        <v>39688</v>
      </c>
      <c r="D7" s="72">
        <v>0</v>
      </c>
      <c r="E7" s="73">
        <v>20.3</v>
      </c>
      <c r="F7" s="73">
        <v>69.099999999999994</v>
      </c>
      <c r="G7" s="73">
        <v>99</v>
      </c>
      <c r="H7" s="73">
        <v>99.4</v>
      </c>
      <c r="I7" s="74">
        <v>100</v>
      </c>
      <c r="J7" s="112">
        <f>IF(B7="","",IF(E7&gt;5,D$6,IF(F7&gt;5,E$6,IF(#REF!&gt;5,F$6,IF(G7&gt;5,#REF!,$G$6)))))</f>
        <v>31.5</v>
      </c>
      <c r="K7" s="76">
        <f t="shared" ref="K7" si="0">IF(B7="","",(E7+H7+700)/100)</f>
        <v>8.197000000000001</v>
      </c>
      <c r="L7" s="77">
        <v>0.2</v>
      </c>
      <c r="M7" s="77" t="s">
        <v>24</v>
      </c>
      <c r="N7" s="78">
        <v>2.73</v>
      </c>
      <c r="O7" s="78">
        <v>1.33</v>
      </c>
      <c r="P7" s="77">
        <v>0.3</v>
      </c>
      <c r="Q7" s="113" t="s">
        <v>24</v>
      </c>
      <c r="R7" s="79" t="s">
        <v>69</v>
      </c>
      <c r="S7" s="80" t="s">
        <v>75</v>
      </c>
      <c r="T7" s="3"/>
      <c r="X7" s="1"/>
    </row>
    <row r="8" spans="1:24" ht="27" customHeight="1" x14ac:dyDescent="0.25">
      <c r="A8" s="492" t="s">
        <v>94</v>
      </c>
      <c r="B8" s="493"/>
      <c r="C8" s="493"/>
      <c r="D8" s="493"/>
      <c r="E8" s="493"/>
      <c r="F8" s="493"/>
      <c r="G8" s="493"/>
      <c r="H8" s="493"/>
      <c r="I8" s="493"/>
      <c r="J8" s="493"/>
      <c r="K8" s="493"/>
      <c r="L8" s="493"/>
      <c r="M8" s="493"/>
      <c r="N8" s="493"/>
      <c r="O8" s="493"/>
      <c r="P8" s="493"/>
      <c r="Q8" s="493"/>
      <c r="R8" s="493"/>
      <c r="S8" s="494"/>
      <c r="T8" s="3"/>
      <c r="X8" s="1"/>
    </row>
    <row r="9" spans="1:24" ht="27" customHeight="1" x14ac:dyDescent="0.25">
      <c r="A9" s="69"/>
      <c r="B9" s="70"/>
      <c r="C9" s="71"/>
      <c r="D9" s="72"/>
      <c r="E9" s="73"/>
      <c r="F9" s="73"/>
      <c r="G9" s="73"/>
      <c r="H9" s="73"/>
      <c r="I9" s="74"/>
      <c r="J9" s="116" t="str">
        <f>IF(B9="","",IF(E9&gt;5,D$6,IF(F9&gt;5,E$6,IF(#REF!&gt;5,F$6,IF(G9&gt;5,#REF!,$G$6)))))</f>
        <v/>
      </c>
      <c r="K9" s="117" t="str">
        <f>IF(B9="","",(E9+H9+700)/100)</f>
        <v/>
      </c>
      <c r="L9" s="77"/>
      <c r="M9" s="77"/>
      <c r="N9" s="78"/>
      <c r="O9" s="78"/>
      <c r="P9" s="77"/>
      <c r="Q9" s="113"/>
      <c r="R9" s="79"/>
      <c r="S9" s="80"/>
      <c r="T9" s="3"/>
      <c r="X9" s="1"/>
    </row>
    <row r="10" spans="1:24" ht="27" customHeight="1" x14ac:dyDescent="0.25">
      <c r="A10" s="69"/>
      <c r="B10" s="70"/>
      <c r="C10" s="71"/>
      <c r="D10" s="72"/>
      <c r="E10" s="73"/>
      <c r="F10" s="73"/>
      <c r="G10" s="73"/>
      <c r="H10" s="73"/>
      <c r="I10" s="74"/>
      <c r="J10" s="116" t="str">
        <f>IF(B10="","",IF(E10&gt;5,D$6,IF(F10&gt;5,E$6,IF(#REF!&gt;5,F$6,IF(G10&gt;5,#REF!,$G$6)))))</f>
        <v/>
      </c>
      <c r="K10" s="117" t="str">
        <f t="shared" ref="K10:K35" si="1">IF(B10="","",(E10+H10+700)/100)</f>
        <v/>
      </c>
      <c r="L10" s="77"/>
      <c r="M10" s="77"/>
      <c r="N10" s="78"/>
      <c r="O10" s="78"/>
      <c r="P10" s="77"/>
      <c r="Q10" s="113"/>
      <c r="R10" s="79"/>
      <c r="S10" s="80"/>
      <c r="T10" s="3"/>
      <c r="X10" s="1"/>
    </row>
    <row r="11" spans="1:24" ht="27" customHeight="1" x14ac:dyDescent="0.25">
      <c r="A11" s="69"/>
      <c r="B11" s="70"/>
      <c r="C11" s="71"/>
      <c r="D11" s="72"/>
      <c r="E11" s="73"/>
      <c r="F11" s="73"/>
      <c r="G11" s="73"/>
      <c r="H11" s="73"/>
      <c r="I11" s="74"/>
      <c r="J11" s="116" t="str">
        <f>IF(B11="","",IF(E11&gt;5,D$6,IF(F11&gt;5,E$6,IF(#REF!&gt;5,F$6,IF(G11&gt;5,#REF!,$G$6)))))</f>
        <v/>
      </c>
      <c r="K11" s="117" t="str">
        <f>IF(B11="","",(E11+H11+700)/100)</f>
        <v/>
      </c>
      <c r="L11" s="77"/>
      <c r="M11" s="77"/>
      <c r="N11" s="78"/>
      <c r="O11" s="78"/>
      <c r="P11" s="77"/>
      <c r="Q11" s="113"/>
      <c r="R11" s="79"/>
      <c r="S11" s="80"/>
      <c r="T11" s="3"/>
      <c r="X11" s="1"/>
    </row>
    <row r="12" spans="1:24" ht="27" customHeight="1" x14ac:dyDescent="0.25">
      <c r="A12" s="69"/>
      <c r="B12" s="70"/>
      <c r="C12" s="71"/>
      <c r="D12" s="72"/>
      <c r="E12" s="73"/>
      <c r="F12" s="73"/>
      <c r="G12" s="73"/>
      <c r="H12" s="73"/>
      <c r="I12" s="74"/>
      <c r="J12" s="116" t="str">
        <f>IF(B12="","",IF(E12&gt;5,D$6,IF(F12&gt;5,E$6,IF(#REF!&gt;5,F$6,IF(G12&gt;5,#REF!,$G$6)))))</f>
        <v/>
      </c>
      <c r="K12" s="117" t="str">
        <f t="shared" si="1"/>
        <v/>
      </c>
      <c r="L12" s="77"/>
      <c r="M12" s="77"/>
      <c r="N12" s="78"/>
      <c r="O12" s="78"/>
      <c r="P12" s="77"/>
      <c r="Q12" s="113"/>
      <c r="R12" s="79"/>
      <c r="S12" s="80"/>
      <c r="T12" s="3"/>
      <c r="X12" s="1"/>
    </row>
    <row r="13" spans="1:24" ht="27" customHeight="1" x14ac:dyDescent="0.25">
      <c r="A13" s="69"/>
      <c r="B13" s="70"/>
      <c r="C13" s="71"/>
      <c r="D13" s="72"/>
      <c r="E13" s="73"/>
      <c r="F13" s="73"/>
      <c r="G13" s="73"/>
      <c r="H13" s="73"/>
      <c r="I13" s="74"/>
      <c r="J13" s="116" t="str">
        <f>IF(B13="","",IF(E13&gt;5,D$6,IF(F13&gt;5,E$6,IF(#REF!&gt;5,F$6,IF(G13&gt;5,#REF!,$G$6)))))</f>
        <v/>
      </c>
      <c r="K13" s="117" t="str">
        <f t="shared" si="1"/>
        <v/>
      </c>
      <c r="L13" s="77"/>
      <c r="M13" s="77"/>
      <c r="N13" s="78"/>
      <c r="O13" s="78"/>
      <c r="P13" s="77"/>
      <c r="Q13" s="113"/>
      <c r="R13" s="79"/>
      <c r="S13" s="80"/>
      <c r="T13" s="3"/>
      <c r="X13" s="1"/>
    </row>
    <row r="14" spans="1:24" ht="27" customHeight="1" x14ac:dyDescent="0.25">
      <c r="A14" s="69"/>
      <c r="B14" s="70"/>
      <c r="C14" s="71"/>
      <c r="D14" s="72"/>
      <c r="E14" s="73"/>
      <c r="F14" s="73"/>
      <c r="G14" s="73"/>
      <c r="H14" s="73"/>
      <c r="I14" s="74"/>
      <c r="J14" s="116" t="str">
        <f>IF(B14="","",IF(E14&gt;5,D$6,IF(F14&gt;5,E$6,IF(#REF!&gt;5,F$6,IF(G14&gt;5,#REF!,$G$6)))))</f>
        <v/>
      </c>
      <c r="K14" s="117" t="str">
        <f t="shared" si="1"/>
        <v/>
      </c>
      <c r="L14" s="77"/>
      <c r="M14" s="77"/>
      <c r="N14" s="78"/>
      <c r="O14" s="78"/>
      <c r="P14" s="77"/>
      <c r="Q14" s="113"/>
      <c r="R14" s="79"/>
      <c r="S14" s="80"/>
      <c r="T14" s="3"/>
      <c r="X14" s="1"/>
    </row>
    <row r="15" spans="1:24" ht="27" customHeight="1" x14ac:dyDescent="0.25">
      <c r="A15" s="69"/>
      <c r="B15" s="70"/>
      <c r="C15" s="71"/>
      <c r="D15" s="72"/>
      <c r="E15" s="73"/>
      <c r="F15" s="73"/>
      <c r="G15" s="73"/>
      <c r="H15" s="73"/>
      <c r="I15" s="74"/>
      <c r="J15" s="116" t="str">
        <f>IF(B15="","",IF(E15&gt;5,D$6,IF(F15&gt;5,E$6,IF(#REF!&gt;5,F$6,IF(G15&gt;5,#REF!,$G$6)))))</f>
        <v/>
      </c>
      <c r="K15" s="117" t="str">
        <f t="shared" si="1"/>
        <v/>
      </c>
      <c r="L15" s="77"/>
      <c r="M15" s="77"/>
      <c r="N15" s="78"/>
      <c r="O15" s="78"/>
      <c r="P15" s="77"/>
      <c r="Q15" s="113"/>
      <c r="R15" s="79"/>
      <c r="S15" s="80"/>
      <c r="T15" s="3"/>
      <c r="X15" s="1"/>
    </row>
    <row r="16" spans="1:24" ht="27" customHeight="1" x14ac:dyDescent="0.25">
      <c r="A16" s="69"/>
      <c r="B16" s="70"/>
      <c r="C16" s="71"/>
      <c r="D16" s="72"/>
      <c r="E16" s="73"/>
      <c r="F16" s="73"/>
      <c r="G16" s="73"/>
      <c r="H16" s="73"/>
      <c r="I16" s="74"/>
      <c r="J16" s="116" t="str">
        <f>IF(B16="","",IF(E16&gt;5,D$6,IF(F16&gt;5,E$6,IF(#REF!&gt;5,F$6,IF(G16&gt;5,#REF!,$G$6)))))</f>
        <v/>
      </c>
      <c r="K16" s="117" t="str">
        <f t="shared" si="1"/>
        <v/>
      </c>
      <c r="L16" s="77"/>
      <c r="M16" s="77"/>
      <c r="N16" s="78"/>
      <c r="O16" s="78"/>
      <c r="P16" s="77"/>
      <c r="Q16" s="113"/>
      <c r="R16" s="79"/>
      <c r="S16" s="80"/>
      <c r="T16" s="3"/>
      <c r="X16" s="1"/>
    </row>
    <row r="17" spans="1:24" ht="27" customHeight="1" x14ac:dyDescent="0.25">
      <c r="A17" s="69"/>
      <c r="B17" s="70"/>
      <c r="C17" s="71"/>
      <c r="D17" s="72"/>
      <c r="E17" s="73"/>
      <c r="F17" s="73"/>
      <c r="G17" s="73"/>
      <c r="H17" s="73"/>
      <c r="I17" s="74"/>
      <c r="J17" s="116" t="str">
        <f>IF(B17="","",IF(E17&gt;5,D$6,IF(F17&gt;5,E$6,IF(#REF!&gt;5,F$6,IF(G17&gt;5,#REF!,$G$6)))))</f>
        <v/>
      </c>
      <c r="K17" s="117" t="str">
        <f t="shared" si="1"/>
        <v/>
      </c>
      <c r="L17" s="77"/>
      <c r="M17" s="77"/>
      <c r="N17" s="78"/>
      <c r="O17" s="78"/>
      <c r="P17" s="77"/>
      <c r="Q17" s="113"/>
      <c r="R17" s="79"/>
      <c r="S17" s="80"/>
      <c r="T17" s="3"/>
      <c r="X17" s="1"/>
    </row>
    <row r="18" spans="1:24" ht="27" customHeight="1" x14ac:dyDescent="0.25">
      <c r="A18" s="69"/>
      <c r="B18" s="70"/>
      <c r="C18" s="71"/>
      <c r="D18" s="72"/>
      <c r="E18" s="73"/>
      <c r="F18" s="73"/>
      <c r="G18" s="73"/>
      <c r="H18" s="73"/>
      <c r="I18" s="74"/>
      <c r="J18" s="116" t="str">
        <f>IF(B18="","",IF(E18&gt;5,D$6,IF(F18&gt;5,E$6,IF(#REF!&gt;5,F$6,IF(G18&gt;5,#REF!,$G$6)))))</f>
        <v/>
      </c>
      <c r="K18" s="117" t="str">
        <f t="shared" si="1"/>
        <v/>
      </c>
      <c r="L18" s="77"/>
      <c r="M18" s="77"/>
      <c r="N18" s="78"/>
      <c r="O18" s="78"/>
      <c r="P18" s="77"/>
      <c r="Q18" s="113"/>
      <c r="R18" s="79"/>
      <c r="S18" s="80"/>
      <c r="T18" s="3"/>
      <c r="X18" s="1"/>
    </row>
    <row r="19" spans="1:24" ht="27" customHeight="1" x14ac:dyDescent="0.25">
      <c r="A19" s="69"/>
      <c r="B19" s="70"/>
      <c r="C19" s="71"/>
      <c r="D19" s="72"/>
      <c r="E19" s="73"/>
      <c r="F19" s="73"/>
      <c r="G19" s="73"/>
      <c r="H19" s="73"/>
      <c r="I19" s="74"/>
      <c r="J19" s="116" t="str">
        <f>IF(B19="","",IF(E19&gt;5,D$6,IF(F19&gt;5,E$6,IF(#REF!&gt;5,F$6,IF(G19&gt;5,#REF!,$G$6)))))</f>
        <v/>
      </c>
      <c r="K19" s="117" t="str">
        <f t="shared" si="1"/>
        <v/>
      </c>
      <c r="L19" s="77"/>
      <c r="M19" s="77"/>
      <c r="N19" s="78"/>
      <c r="O19" s="78"/>
      <c r="P19" s="77"/>
      <c r="Q19" s="113"/>
      <c r="R19" s="79"/>
      <c r="S19" s="80"/>
      <c r="T19" s="3"/>
      <c r="X19" s="1"/>
    </row>
    <row r="20" spans="1:24" ht="27" customHeight="1" x14ac:dyDescent="0.25">
      <c r="A20" s="69"/>
      <c r="B20" s="70"/>
      <c r="C20" s="71"/>
      <c r="D20" s="72"/>
      <c r="E20" s="73"/>
      <c r="F20" s="73"/>
      <c r="G20" s="73"/>
      <c r="H20" s="73"/>
      <c r="I20" s="74"/>
      <c r="J20" s="116" t="str">
        <f>IF(B20="","",IF(E20&gt;5,D$6,IF(F20&gt;5,E$6,IF(#REF!&gt;5,F$6,IF(G20&gt;5,#REF!,$G$6)))))</f>
        <v/>
      </c>
      <c r="K20" s="117" t="str">
        <f t="shared" si="1"/>
        <v/>
      </c>
      <c r="L20" s="77"/>
      <c r="M20" s="77"/>
      <c r="N20" s="78"/>
      <c r="O20" s="78"/>
      <c r="P20" s="77"/>
      <c r="Q20" s="113"/>
      <c r="R20" s="79"/>
      <c r="S20" s="80"/>
      <c r="T20" s="3"/>
      <c r="X20" s="1"/>
    </row>
    <row r="21" spans="1:24" ht="27" customHeight="1" x14ac:dyDescent="0.25">
      <c r="A21" s="69"/>
      <c r="B21" s="70"/>
      <c r="C21" s="71"/>
      <c r="D21" s="72"/>
      <c r="E21" s="73"/>
      <c r="F21" s="73"/>
      <c r="G21" s="73"/>
      <c r="H21" s="73"/>
      <c r="I21" s="74"/>
      <c r="J21" s="116" t="str">
        <f>IF(B21="","",IF(E21&gt;5,D$6,IF(F21&gt;5,E$6,IF(#REF!&gt;5,F$6,IF(G21&gt;5,#REF!,$G$6)))))</f>
        <v/>
      </c>
      <c r="K21" s="117" t="str">
        <f t="shared" si="1"/>
        <v/>
      </c>
      <c r="L21" s="77"/>
      <c r="M21" s="77"/>
      <c r="N21" s="78"/>
      <c r="O21" s="78"/>
      <c r="P21" s="77"/>
      <c r="Q21" s="113"/>
      <c r="R21" s="79"/>
      <c r="S21" s="80"/>
      <c r="T21" s="3"/>
      <c r="X21" s="1"/>
    </row>
    <row r="22" spans="1:24" ht="27" customHeight="1" x14ac:dyDescent="0.25">
      <c r="A22" s="69"/>
      <c r="B22" s="70"/>
      <c r="C22" s="71"/>
      <c r="D22" s="72"/>
      <c r="E22" s="73"/>
      <c r="F22" s="73"/>
      <c r="G22" s="73"/>
      <c r="H22" s="73"/>
      <c r="I22" s="74"/>
      <c r="J22" s="116" t="str">
        <f>IF(B22="","",IF(E22&gt;5,D$6,IF(F22&gt;5,E$6,IF(#REF!&gt;5,F$6,IF(G22&gt;5,#REF!,$G$6)))))</f>
        <v/>
      </c>
      <c r="K22" s="117" t="str">
        <f t="shared" si="1"/>
        <v/>
      </c>
      <c r="L22" s="77"/>
      <c r="M22" s="77"/>
      <c r="N22" s="78"/>
      <c r="O22" s="78"/>
      <c r="P22" s="77"/>
      <c r="Q22" s="113"/>
      <c r="R22" s="79"/>
      <c r="S22" s="80"/>
      <c r="T22" s="3"/>
      <c r="X22" s="1"/>
    </row>
    <row r="23" spans="1:24" ht="27" customHeight="1" x14ac:dyDescent="0.25">
      <c r="A23" s="69"/>
      <c r="B23" s="70"/>
      <c r="C23" s="71"/>
      <c r="D23" s="72"/>
      <c r="E23" s="73"/>
      <c r="F23" s="73"/>
      <c r="G23" s="73"/>
      <c r="H23" s="73"/>
      <c r="I23" s="74"/>
      <c r="J23" s="116"/>
      <c r="K23" s="117"/>
      <c r="L23" s="77"/>
      <c r="M23" s="77"/>
      <c r="N23" s="78"/>
      <c r="O23" s="78"/>
      <c r="P23" s="77"/>
      <c r="Q23" s="113"/>
      <c r="R23" s="79"/>
      <c r="S23" s="80"/>
      <c r="T23" s="3"/>
      <c r="X23" s="1"/>
    </row>
    <row r="24" spans="1:24" ht="27" customHeight="1" x14ac:dyDescent="0.25">
      <c r="A24" s="69"/>
      <c r="B24" s="70"/>
      <c r="C24" s="71"/>
      <c r="D24" s="72"/>
      <c r="E24" s="73"/>
      <c r="F24" s="73"/>
      <c r="G24" s="73"/>
      <c r="H24" s="73"/>
      <c r="I24" s="74"/>
      <c r="J24" s="116" t="str">
        <f>IF(B24="","",IF(E24&gt;5,D$6,IF(F24&gt;5,E$6,IF(#REF!&gt;5,F$6,IF(G24&gt;5,#REF!,$G$6)))))</f>
        <v/>
      </c>
      <c r="K24" s="117" t="str">
        <f t="shared" si="1"/>
        <v/>
      </c>
      <c r="L24" s="77"/>
      <c r="M24" s="77"/>
      <c r="N24" s="78"/>
      <c r="O24" s="78"/>
      <c r="P24" s="77"/>
      <c r="Q24" s="113"/>
      <c r="R24" s="79"/>
      <c r="S24" s="80"/>
      <c r="T24" s="3"/>
      <c r="X24" s="1"/>
    </row>
    <row r="25" spans="1:24" ht="27" customHeight="1" x14ac:dyDescent="0.25">
      <c r="A25" s="69"/>
      <c r="B25" s="70"/>
      <c r="C25" s="71"/>
      <c r="D25" s="72"/>
      <c r="E25" s="73"/>
      <c r="F25" s="73"/>
      <c r="G25" s="73"/>
      <c r="H25" s="73"/>
      <c r="I25" s="74"/>
      <c r="J25" s="116" t="str">
        <f>IF(B25="","",IF(E25&gt;5,D$6,IF(F25&gt;5,E$6,IF(#REF!&gt;5,F$6,IF(G25&gt;5,#REF!,$G$6)))))</f>
        <v/>
      </c>
      <c r="K25" s="117" t="str">
        <f>IF(B25="","",(E25+H25+700)/100)</f>
        <v/>
      </c>
      <c r="L25" s="77"/>
      <c r="M25" s="77"/>
      <c r="N25" s="78"/>
      <c r="O25" s="78"/>
      <c r="P25" s="77"/>
      <c r="Q25" s="113"/>
      <c r="R25" s="79"/>
      <c r="S25" s="80"/>
      <c r="T25" s="3"/>
      <c r="X25" s="1"/>
    </row>
    <row r="26" spans="1:24" ht="27" customHeight="1" x14ac:dyDescent="0.25">
      <c r="A26" s="69"/>
      <c r="B26" s="70"/>
      <c r="C26" s="71"/>
      <c r="D26" s="72"/>
      <c r="E26" s="73"/>
      <c r="F26" s="73"/>
      <c r="G26" s="73"/>
      <c r="H26" s="73"/>
      <c r="I26" s="74"/>
      <c r="J26" s="116" t="str">
        <f>IF(B26="","",IF(E26&gt;5,D$6,IF(F26&gt;5,E$6,IF(#REF!&gt;5,F$6,IF(G26&gt;5,#REF!,$G$6)))))</f>
        <v/>
      </c>
      <c r="K26" s="117" t="str">
        <f t="shared" si="1"/>
        <v/>
      </c>
      <c r="L26" s="77"/>
      <c r="M26" s="77"/>
      <c r="N26" s="78"/>
      <c r="O26" s="78"/>
      <c r="P26" s="77"/>
      <c r="Q26" s="113"/>
      <c r="R26" s="79"/>
      <c r="S26" s="80"/>
      <c r="T26" s="3"/>
      <c r="X26" s="1"/>
    </row>
    <row r="27" spans="1:24" ht="27" customHeight="1" x14ac:dyDescent="0.25">
      <c r="A27" s="69"/>
      <c r="B27" s="70"/>
      <c r="C27" s="71"/>
      <c r="D27" s="72"/>
      <c r="E27" s="73"/>
      <c r="F27" s="73"/>
      <c r="G27" s="73"/>
      <c r="H27" s="73"/>
      <c r="I27" s="74"/>
      <c r="J27" s="116" t="str">
        <f>IF(B27="","",IF(E27&gt;5,D$6,IF(F27&gt;5,E$6,IF(#REF!&gt;5,F$6,IF(G27&gt;5,#REF!,$G$6)))))</f>
        <v/>
      </c>
      <c r="K27" s="117" t="str">
        <f t="shared" si="1"/>
        <v/>
      </c>
      <c r="L27" s="77"/>
      <c r="M27" s="77"/>
      <c r="N27" s="78"/>
      <c r="O27" s="78"/>
      <c r="P27" s="77"/>
      <c r="Q27" s="113"/>
      <c r="R27" s="79"/>
      <c r="S27" s="80"/>
      <c r="T27" s="3"/>
      <c r="X27" s="1"/>
    </row>
    <row r="28" spans="1:24" ht="27" customHeight="1" x14ac:dyDescent="0.25">
      <c r="A28" s="69"/>
      <c r="B28" s="70"/>
      <c r="C28" s="71"/>
      <c r="D28" s="72"/>
      <c r="E28" s="73"/>
      <c r="F28" s="73"/>
      <c r="G28" s="73"/>
      <c r="H28" s="73"/>
      <c r="I28" s="74"/>
      <c r="J28" s="116" t="str">
        <f>IF(B28="","",IF(E28&gt;5,D$6,IF(F28&gt;5,E$6,IF(#REF!&gt;5,F$6,IF(G28&gt;5,#REF!,$G$6)))))</f>
        <v/>
      </c>
      <c r="K28" s="117" t="str">
        <f t="shared" si="1"/>
        <v/>
      </c>
      <c r="L28" s="77"/>
      <c r="M28" s="77"/>
      <c r="N28" s="78"/>
      <c r="O28" s="78"/>
      <c r="P28" s="77"/>
      <c r="Q28" s="113"/>
      <c r="R28" s="79"/>
      <c r="S28" s="80"/>
      <c r="T28" s="3"/>
      <c r="X28" s="1"/>
    </row>
    <row r="29" spans="1:24" ht="27" customHeight="1" x14ac:dyDescent="0.25">
      <c r="A29" s="69"/>
      <c r="B29" s="70"/>
      <c r="C29" s="71"/>
      <c r="D29" s="72"/>
      <c r="E29" s="73"/>
      <c r="F29" s="73"/>
      <c r="G29" s="73"/>
      <c r="H29" s="73"/>
      <c r="I29" s="74"/>
      <c r="J29" s="116" t="str">
        <f>IF(B29="","",IF(E29&gt;5,D$6,IF(F29&gt;5,E$6,IF(#REF!&gt;5,F$6,IF(G29&gt;5,#REF!,$G$6)))))</f>
        <v/>
      </c>
      <c r="K29" s="117" t="str">
        <f t="shared" si="1"/>
        <v/>
      </c>
      <c r="L29" s="77"/>
      <c r="M29" s="77"/>
      <c r="N29" s="78"/>
      <c r="O29" s="78"/>
      <c r="P29" s="77"/>
      <c r="Q29" s="113"/>
      <c r="R29" s="79"/>
      <c r="S29" s="80"/>
      <c r="T29" s="3"/>
      <c r="X29" s="1"/>
    </row>
    <row r="30" spans="1:24" ht="27" customHeight="1" x14ac:dyDescent="0.25">
      <c r="A30" s="69"/>
      <c r="B30" s="70"/>
      <c r="C30" s="71"/>
      <c r="D30" s="72"/>
      <c r="E30" s="73"/>
      <c r="F30" s="73"/>
      <c r="G30" s="73"/>
      <c r="H30" s="73"/>
      <c r="I30" s="74"/>
      <c r="J30" s="116" t="str">
        <f>IF(B30="","",IF(E30&gt;5,D$6,IF(F30&gt;5,E$6,IF(#REF!&gt;5,F$6,IF(G30&gt;5,#REF!,$G$6)))))</f>
        <v/>
      </c>
      <c r="K30" s="117" t="str">
        <f t="shared" si="1"/>
        <v/>
      </c>
      <c r="L30" s="77"/>
      <c r="M30" s="77"/>
      <c r="N30" s="78"/>
      <c r="O30" s="78"/>
      <c r="P30" s="77"/>
      <c r="Q30" s="113"/>
      <c r="R30" s="79"/>
      <c r="S30" s="80"/>
      <c r="T30" s="3"/>
      <c r="X30" s="1"/>
    </row>
    <row r="31" spans="1:24" ht="27" customHeight="1" x14ac:dyDescent="0.25">
      <c r="A31" s="69"/>
      <c r="B31" s="70"/>
      <c r="C31" s="71"/>
      <c r="D31" s="72"/>
      <c r="E31" s="73"/>
      <c r="F31" s="73"/>
      <c r="G31" s="73"/>
      <c r="H31" s="73"/>
      <c r="I31" s="74"/>
      <c r="J31" s="116" t="str">
        <f>IF(B31="","",IF(E31&gt;5,D$6,IF(F31&gt;5,E$6,IF(#REF!&gt;5,F$6,IF(G31&gt;5,#REF!,$G$6)))))</f>
        <v/>
      </c>
      <c r="K31" s="117" t="str">
        <f t="shared" si="1"/>
        <v/>
      </c>
      <c r="L31" s="77"/>
      <c r="M31" s="77"/>
      <c r="N31" s="78"/>
      <c r="O31" s="78"/>
      <c r="P31" s="77"/>
      <c r="Q31" s="113"/>
      <c r="R31" s="79"/>
      <c r="S31" s="80"/>
      <c r="T31" s="3"/>
      <c r="X31" s="1"/>
    </row>
    <row r="32" spans="1:24" ht="27" customHeight="1" x14ac:dyDescent="0.25">
      <c r="A32" s="69"/>
      <c r="B32" s="70"/>
      <c r="C32" s="71"/>
      <c r="D32" s="72"/>
      <c r="E32" s="73"/>
      <c r="F32" s="73"/>
      <c r="G32" s="73"/>
      <c r="H32" s="73"/>
      <c r="I32" s="74"/>
      <c r="J32" s="116" t="str">
        <f>IF(B32="","",IF(E32&gt;5,D$6,IF(F32&gt;5,E$6,IF(#REF!&gt;5,F$6,IF(G32&gt;5,#REF!,$G$6)))))</f>
        <v/>
      </c>
      <c r="K32" s="117" t="str">
        <f t="shared" si="1"/>
        <v/>
      </c>
      <c r="L32" s="77"/>
      <c r="M32" s="77"/>
      <c r="N32" s="78"/>
      <c r="O32" s="78"/>
      <c r="P32" s="77"/>
      <c r="Q32" s="113"/>
      <c r="R32" s="79"/>
      <c r="S32" s="80"/>
      <c r="T32" s="3"/>
      <c r="X32" s="1"/>
    </row>
    <row r="33" spans="1:24" ht="27" customHeight="1" x14ac:dyDescent="0.25">
      <c r="A33" s="69"/>
      <c r="B33" s="70"/>
      <c r="C33" s="71"/>
      <c r="D33" s="72"/>
      <c r="E33" s="73"/>
      <c r="F33" s="73"/>
      <c r="G33" s="73"/>
      <c r="H33" s="73"/>
      <c r="I33" s="74"/>
      <c r="J33" s="116" t="str">
        <f>IF(B33="","",IF(E33&gt;5,D$6,IF(F33&gt;5,E$6,IF(#REF!&gt;5,F$6,IF(G33&gt;5,#REF!,$G$6)))))</f>
        <v/>
      </c>
      <c r="K33" s="117" t="str">
        <f t="shared" si="1"/>
        <v/>
      </c>
      <c r="L33" s="77"/>
      <c r="M33" s="77"/>
      <c r="N33" s="78"/>
      <c r="O33" s="78"/>
      <c r="P33" s="77"/>
      <c r="Q33" s="113"/>
      <c r="R33" s="79"/>
      <c r="S33" s="80"/>
      <c r="T33" s="3"/>
      <c r="X33" s="1"/>
    </row>
    <row r="34" spans="1:24" ht="26.25" customHeight="1" thickBot="1" x14ac:dyDescent="0.3">
      <c r="A34" s="69"/>
      <c r="B34" s="70"/>
      <c r="C34" s="71"/>
      <c r="D34" s="72"/>
      <c r="E34" s="73"/>
      <c r="F34" s="73"/>
      <c r="G34" s="73"/>
      <c r="H34" s="73"/>
      <c r="I34" s="74"/>
      <c r="J34" s="116" t="str">
        <f>IF(B34="","",IF(E34&gt;5,D$6,IF(F34&gt;5,E$6,IF(#REF!&gt;5,F$6,IF(G34&gt;5,#REF!,$G$6)))))</f>
        <v/>
      </c>
      <c r="K34" s="117" t="str">
        <f t="shared" si="1"/>
        <v/>
      </c>
      <c r="L34" s="77"/>
      <c r="M34" s="77"/>
      <c r="N34" s="78"/>
      <c r="O34" s="78"/>
      <c r="P34" s="77"/>
      <c r="Q34" s="113"/>
      <c r="R34" s="79"/>
      <c r="S34" s="80"/>
      <c r="T34" s="3"/>
      <c r="X34" s="1"/>
    </row>
    <row r="35" spans="1:24" ht="27" hidden="1" customHeight="1" thickBot="1" x14ac:dyDescent="0.3">
      <c r="A35" s="12"/>
      <c r="B35" s="13"/>
      <c r="C35" s="14"/>
      <c r="D35" s="92"/>
      <c r="E35" s="15"/>
      <c r="F35" s="15"/>
      <c r="G35" s="15"/>
      <c r="H35" s="15"/>
      <c r="I35" s="16"/>
      <c r="J35" s="107" t="str">
        <f>IF(B35="","",IF(E35&gt;5,D$6,IF(F35&gt;5,E$6,IF(#REF!&gt;5,F$6,IF(G35&gt;5,#REF!,$G$6)))))</f>
        <v/>
      </c>
      <c r="K35" s="10" t="str">
        <f t="shared" si="1"/>
        <v/>
      </c>
      <c r="L35" s="17"/>
      <c r="M35" s="17"/>
      <c r="N35" s="18"/>
      <c r="O35" s="11"/>
      <c r="P35" s="17"/>
      <c r="Q35" s="108"/>
      <c r="R35" s="19"/>
      <c r="S35" s="20"/>
      <c r="T35" s="3"/>
      <c r="X35" s="1"/>
    </row>
    <row r="36" spans="1:24" ht="27" customHeight="1" thickTop="1" x14ac:dyDescent="0.25">
      <c r="A36" s="456" t="s">
        <v>0</v>
      </c>
      <c r="B36" s="457"/>
      <c r="C36" s="458"/>
      <c r="D36" s="21">
        <f t="shared" ref="D36:I36" si="2">AVERAGE(D7:D35)</f>
        <v>0</v>
      </c>
      <c r="E36" s="22">
        <f t="shared" si="2"/>
        <v>20.3</v>
      </c>
      <c r="F36" s="22">
        <f t="shared" si="2"/>
        <v>69.099999999999994</v>
      </c>
      <c r="G36" s="22">
        <f t="shared" si="2"/>
        <v>99</v>
      </c>
      <c r="H36" s="22">
        <f t="shared" si="2"/>
        <v>99.4</v>
      </c>
      <c r="I36" s="23">
        <f t="shared" si="2"/>
        <v>100</v>
      </c>
      <c r="J36" s="115" t="s">
        <v>24</v>
      </c>
      <c r="K36" s="25">
        <f t="shared" ref="K36:Q36" si="3">AVERAGE(K7:K35)</f>
        <v>8.197000000000001</v>
      </c>
      <c r="L36" s="25">
        <f t="shared" si="3"/>
        <v>0.2</v>
      </c>
      <c r="M36" s="25" t="e">
        <f t="shared" si="3"/>
        <v>#DIV/0!</v>
      </c>
      <c r="N36" s="26">
        <f t="shared" si="3"/>
        <v>2.73</v>
      </c>
      <c r="O36" s="26">
        <f t="shared" si="3"/>
        <v>1.33</v>
      </c>
      <c r="P36" s="25">
        <f t="shared" si="3"/>
        <v>0.3</v>
      </c>
      <c r="Q36" s="22" t="e">
        <f t="shared" si="3"/>
        <v>#DIV/0!</v>
      </c>
      <c r="R36" s="27"/>
      <c r="S36" s="28"/>
      <c r="T36" s="3"/>
      <c r="X36" s="1"/>
    </row>
    <row r="37" spans="1:24" ht="27" customHeight="1" x14ac:dyDescent="0.25">
      <c r="A37" s="450" t="s">
        <v>26</v>
      </c>
      <c r="B37" s="451"/>
      <c r="C37" s="452"/>
      <c r="D37" s="29">
        <f t="shared" ref="D37:Q37" si="4">MAX(D7:D35)</f>
        <v>0</v>
      </c>
      <c r="E37" s="30">
        <f t="shared" si="4"/>
        <v>20.3</v>
      </c>
      <c r="F37" s="30">
        <f t="shared" si="4"/>
        <v>69.099999999999994</v>
      </c>
      <c r="G37" s="30">
        <f t="shared" si="4"/>
        <v>99</v>
      </c>
      <c r="H37" s="30">
        <f t="shared" si="4"/>
        <v>99.4</v>
      </c>
      <c r="I37" s="31">
        <f t="shared" si="4"/>
        <v>100</v>
      </c>
      <c r="J37" s="109">
        <f t="shared" si="4"/>
        <v>31.5</v>
      </c>
      <c r="K37" s="33">
        <f t="shared" si="4"/>
        <v>8.197000000000001</v>
      </c>
      <c r="L37" s="33">
        <f t="shared" si="4"/>
        <v>0.2</v>
      </c>
      <c r="M37" s="33">
        <f t="shared" si="4"/>
        <v>0</v>
      </c>
      <c r="N37" s="34">
        <f t="shared" si="4"/>
        <v>2.73</v>
      </c>
      <c r="O37" s="34">
        <f t="shared" si="4"/>
        <v>1.33</v>
      </c>
      <c r="P37" s="33">
        <f t="shared" si="4"/>
        <v>0.3</v>
      </c>
      <c r="Q37" s="30">
        <f t="shared" si="4"/>
        <v>0</v>
      </c>
      <c r="R37" s="35"/>
      <c r="S37" s="36"/>
    </row>
    <row r="38" spans="1:24" ht="27" customHeight="1" x14ac:dyDescent="0.25">
      <c r="A38" s="450" t="s">
        <v>25</v>
      </c>
      <c r="B38" s="451"/>
      <c r="C38" s="452"/>
      <c r="D38" s="29">
        <f t="shared" ref="D38:I38" si="5">MIN(D7:D35)</f>
        <v>0</v>
      </c>
      <c r="E38" s="30">
        <f t="shared" si="5"/>
        <v>20.3</v>
      </c>
      <c r="F38" s="30">
        <f t="shared" si="5"/>
        <v>69.099999999999994</v>
      </c>
      <c r="G38" s="30">
        <f t="shared" si="5"/>
        <v>99</v>
      </c>
      <c r="H38" s="30">
        <f t="shared" si="5"/>
        <v>99.4</v>
      </c>
      <c r="I38" s="31">
        <f t="shared" si="5"/>
        <v>100</v>
      </c>
      <c r="J38" s="37" t="s">
        <v>24</v>
      </c>
      <c r="K38" s="33">
        <f t="shared" ref="K38:Q38" si="6">MIN(K7:K35)</f>
        <v>8.197000000000001</v>
      </c>
      <c r="L38" s="33">
        <f t="shared" si="6"/>
        <v>0.2</v>
      </c>
      <c r="M38" s="33">
        <f t="shared" si="6"/>
        <v>0</v>
      </c>
      <c r="N38" s="34">
        <f t="shared" si="6"/>
        <v>2.73</v>
      </c>
      <c r="O38" s="34">
        <f t="shared" si="6"/>
        <v>1.33</v>
      </c>
      <c r="P38" s="33">
        <f t="shared" si="6"/>
        <v>0.3</v>
      </c>
      <c r="Q38" s="30">
        <f t="shared" si="6"/>
        <v>0</v>
      </c>
      <c r="R38" s="35"/>
      <c r="S38" s="36"/>
    </row>
    <row r="39" spans="1:24" ht="27" customHeight="1" thickBot="1" x14ac:dyDescent="0.3">
      <c r="A39" s="453" t="s">
        <v>1</v>
      </c>
      <c r="B39" s="454"/>
      <c r="C39" s="455"/>
      <c r="D39" s="38" t="e">
        <f t="shared" ref="D39:I39" si="7">STDEV(D7:D35)</f>
        <v>#DIV/0!</v>
      </c>
      <c r="E39" s="39" t="e">
        <f t="shared" si="7"/>
        <v>#DIV/0!</v>
      </c>
      <c r="F39" s="39" t="e">
        <f t="shared" si="7"/>
        <v>#DIV/0!</v>
      </c>
      <c r="G39" s="39" t="e">
        <f t="shared" si="7"/>
        <v>#DIV/0!</v>
      </c>
      <c r="H39" s="39" t="e">
        <f t="shared" si="7"/>
        <v>#DIV/0!</v>
      </c>
      <c r="I39" s="40" t="e">
        <f t="shared" si="7"/>
        <v>#DIV/0!</v>
      </c>
      <c r="J39" s="41" t="s">
        <v>24</v>
      </c>
      <c r="K39" s="42" t="e">
        <f t="shared" ref="K39:Q39" si="8">STDEV(K7:K35)</f>
        <v>#DIV/0!</v>
      </c>
      <c r="L39" s="42" t="e">
        <f t="shared" si="8"/>
        <v>#DIV/0!</v>
      </c>
      <c r="M39" s="42" t="e">
        <f t="shared" si="8"/>
        <v>#DIV/0!</v>
      </c>
      <c r="N39" s="43" t="e">
        <f t="shared" si="8"/>
        <v>#DIV/0!</v>
      </c>
      <c r="O39" s="43" t="e">
        <f t="shared" si="8"/>
        <v>#DIV/0!</v>
      </c>
      <c r="P39" s="42" t="e">
        <f t="shared" si="8"/>
        <v>#DIV/0!</v>
      </c>
      <c r="Q39" s="39" t="e">
        <f t="shared" si="8"/>
        <v>#DIV/0!</v>
      </c>
      <c r="R39" s="44"/>
      <c r="S39" s="45"/>
    </row>
    <row r="40" spans="1:24" ht="13" thickBo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46"/>
      <c r="L40" s="47"/>
      <c r="M40" s="47"/>
      <c r="N40" s="46"/>
      <c r="O40" s="46"/>
      <c r="P40" s="47"/>
      <c r="Q40" s="47"/>
      <c r="R40" s="5"/>
      <c r="S40" s="5"/>
    </row>
    <row r="41" spans="1:24" ht="22.5" customHeight="1" thickBot="1" x14ac:dyDescent="0.3">
      <c r="A41" s="355" t="s">
        <v>39</v>
      </c>
      <c r="B41" s="356"/>
      <c r="C41" s="356"/>
      <c r="D41" s="356"/>
      <c r="E41" s="356"/>
      <c r="F41" s="356"/>
      <c r="G41" s="356"/>
      <c r="H41" s="356"/>
      <c r="I41" s="356"/>
      <c r="J41" s="466" t="s">
        <v>34</v>
      </c>
      <c r="K41" s="467"/>
      <c r="L41" s="467"/>
      <c r="M41" s="467"/>
      <c r="N41" s="467"/>
      <c r="O41" s="467"/>
      <c r="P41" s="467"/>
      <c r="Q41" s="468"/>
      <c r="R41" s="5"/>
      <c r="S41" s="5"/>
    </row>
    <row r="42" spans="1:24" ht="40.5" customHeight="1" x14ac:dyDescent="0.25">
      <c r="A42" s="359" t="s">
        <v>72</v>
      </c>
      <c r="B42" s="360"/>
      <c r="C42" s="360"/>
      <c r="D42" s="48">
        <f>100-D44</f>
        <v>100</v>
      </c>
      <c r="E42" s="48">
        <f>100-E44</f>
        <v>95</v>
      </c>
      <c r="F42" s="48">
        <f t="shared" ref="F42:H43" si="9">100-F44</f>
        <v>35</v>
      </c>
      <c r="G42" s="48">
        <f t="shared" si="9"/>
        <v>8</v>
      </c>
      <c r="H42" s="48">
        <f t="shared" si="9"/>
        <v>5</v>
      </c>
      <c r="I42" s="50" t="s">
        <v>24</v>
      </c>
      <c r="J42" s="459" t="s">
        <v>51</v>
      </c>
      <c r="K42" s="433"/>
      <c r="L42" s="433" t="s">
        <v>55</v>
      </c>
      <c r="M42" s="433" t="s">
        <v>57</v>
      </c>
      <c r="N42" s="433" t="s">
        <v>52</v>
      </c>
      <c r="O42" s="433"/>
      <c r="P42" s="433"/>
      <c r="Q42" s="436" t="s">
        <v>60</v>
      </c>
      <c r="R42" s="5"/>
      <c r="S42" s="5"/>
    </row>
    <row r="43" spans="1:24" ht="40.5" customHeight="1" x14ac:dyDescent="0.25">
      <c r="A43" s="345"/>
      <c r="B43" s="346"/>
      <c r="C43" s="346"/>
      <c r="D43" s="51">
        <f>100-D45</f>
        <v>95</v>
      </c>
      <c r="E43" s="51">
        <f>100-E45</f>
        <v>75</v>
      </c>
      <c r="F43" s="51">
        <f t="shared" si="9"/>
        <v>5</v>
      </c>
      <c r="G43" s="51">
        <f t="shared" si="9"/>
        <v>0</v>
      </c>
      <c r="H43" s="51">
        <f t="shared" si="9"/>
        <v>0</v>
      </c>
      <c r="I43" s="53" t="s">
        <v>24</v>
      </c>
      <c r="J43" s="460"/>
      <c r="K43" s="434"/>
      <c r="L43" s="434"/>
      <c r="M43" s="434"/>
      <c r="N43" s="434"/>
      <c r="O43" s="434"/>
      <c r="P43" s="434"/>
      <c r="Q43" s="437"/>
      <c r="R43" s="5"/>
      <c r="S43" s="5"/>
    </row>
    <row r="44" spans="1:24" ht="40.5" customHeight="1" x14ac:dyDescent="0.25">
      <c r="A44" s="464" t="s">
        <v>71</v>
      </c>
      <c r="B44" s="465"/>
      <c r="C44" s="465"/>
      <c r="D44" s="93">
        <v>0</v>
      </c>
      <c r="E44" s="57">
        <v>5</v>
      </c>
      <c r="F44" s="57">
        <v>65</v>
      </c>
      <c r="G44" s="57">
        <v>92</v>
      </c>
      <c r="H44" s="57">
        <v>95</v>
      </c>
      <c r="I44" s="59" t="s">
        <v>24</v>
      </c>
      <c r="J44" s="460"/>
      <c r="K44" s="434"/>
      <c r="L44" s="434"/>
      <c r="M44" s="434"/>
      <c r="N44" s="434"/>
      <c r="O44" s="434"/>
      <c r="P44" s="434"/>
      <c r="Q44" s="437"/>
      <c r="R44" s="5"/>
      <c r="S44" s="5"/>
    </row>
    <row r="45" spans="1:24" ht="40.5" customHeight="1" thickBot="1" x14ac:dyDescent="0.3">
      <c r="A45" s="462"/>
      <c r="B45" s="463"/>
      <c r="C45" s="463"/>
      <c r="D45" s="95">
        <v>5</v>
      </c>
      <c r="E45" s="62">
        <v>25</v>
      </c>
      <c r="F45" s="62">
        <v>95</v>
      </c>
      <c r="G45" s="62">
        <v>100</v>
      </c>
      <c r="H45" s="62">
        <v>100</v>
      </c>
      <c r="I45" s="64" t="s">
        <v>24</v>
      </c>
      <c r="J45" s="461"/>
      <c r="K45" s="435"/>
      <c r="L45" s="435"/>
      <c r="M45" s="435"/>
      <c r="N45" s="435"/>
      <c r="O45" s="435"/>
      <c r="P45" s="435"/>
      <c r="Q45" s="438"/>
      <c r="R45" s="5"/>
      <c r="S45" s="5"/>
    </row>
    <row r="46" spans="1:24" ht="32.25" customHeight="1" x14ac:dyDescent="0.25">
      <c r="A46" s="496"/>
      <c r="B46" s="496"/>
      <c r="C46" s="496"/>
      <c r="D46" s="496"/>
      <c r="E46" s="496"/>
      <c r="F46" s="496"/>
      <c r="G46" s="496"/>
      <c r="H46" s="496"/>
      <c r="I46" s="496"/>
      <c r="J46" s="101"/>
      <c r="K46" s="101"/>
      <c r="L46" s="101"/>
      <c r="M46" s="101"/>
      <c r="N46" s="101"/>
      <c r="O46" s="101"/>
      <c r="P46" s="101"/>
      <c r="Q46" s="101"/>
      <c r="R46" s="5"/>
      <c r="S46" s="5"/>
    </row>
    <row r="47" spans="1:24" ht="18.75" customHeight="1" thickBo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1:24" ht="15.75" customHeight="1" x14ac:dyDescent="0.25">
      <c r="A48" s="5"/>
      <c r="B48" s="5"/>
      <c r="C48" s="5"/>
      <c r="D48" s="5"/>
      <c r="E48" s="500" t="s">
        <v>42</v>
      </c>
      <c r="F48" s="501"/>
      <c r="G48" s="501"/>
      <c r="H48" s="501"/>
      <c r="I48" s="501"/>
      <c r="J48" s="501"/>
      <c r="K48" s="501"/>
      <c r="L48" s="501"/>
      <c r="M48" s="501"/>
      <c r="N48" s="501"/>
      <c r="O48" s="501"/>
      <c r="P48" s="501"/>
      <c r="Q48" s="502"/>
      <c r="R48" s="5"/>
      <c r="S48" s="5"/>
    </row>
    <row r="49" spans="1:19" ht="18.75" customHeight="1" thickBot="1" x14ac:dyDescent="0.3">
      <c r="A49" s="5"/>
      <c r="B49" s="5"/>
      <c r="C49" s="5"/>
      <c r="D49" s="5"/>
      <c r="E49" s="503" t="s">
        <v>43</v>
      </c>
      <c r="F49" s="504"/>
      <c r="G49" s="504"/>
      <c r="H49" s="504"/>
      <c r="I49" s="504"/>
      <c r="J49" s="504"/>
      <c r="K49" s="504"/>
      <c r="L49" s="110" t="s">
        <v>44</v>
      </c>
      <c r="M49" s="110" t="s">
        <v>45</v>
      </c>
      <c r="N49" s="505" t="s">
        <v>56</v>
      </c>
      <c r="O49" s="505"/>
      <c r="P49" s="505"/>
      <c r="Q49" s="111" t="s">
        <v>61</v>
      </c>
      <c r="R49" s="5"/>
      <c r="S49" s="5"/>
    </row>
    <row r="50" spans="1:19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1:19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1:19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1:19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spans="1:19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spans="1:19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spans="1:19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spans="1:19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spans="1:19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spans="1:19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spans="1:19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spans="1:19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spans="1:19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spans="1:19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</sheetData>
  <sheetProtection insertRows="0"/>
  <mergeCells count="38">
    <mergeCell ref="A46:I46"/>
    <mergeCell ref="E48:Q48"/>
    <mergeCell ref="E49:K49"/>
    <mergeCell ref="N49:P49"/>
    <mergeCell ref="A41:I41"/>
    <mergeCell ref="J41:Q41"/>
    <mergeCell ref="A42:C43"/>
    <mergeCell ref="J42:J45"/>
    <mergeCell ref="K42:K45"/>
    <mergeCell ref="L42:L45"/>
    <mergeCell ref="M42:M45"/>
    <mergeCell ref="N42:N45"/>
    <mergeCell ref="O42:O45"/>
    <mergeCell ref="P42:P45"/>
    <mergeCell ref="Q42:Q45"/>
    <mergeCell ref="A44:C45"/>
    <mergeCell ref="A39:C39"/>
    <mergeCell ref="N4:N6"/>
    <mergeCell ref="O4:O6"/>
    <mergeCell ref="P4:P6"/>
    <mergeCell ref="Q4:Q6"/>
    <mergeCell ref="I5:I6"/>
    <mergeCell ref="A8:S8"/>
    <mergeCell ref="A36:C36"/>
    <mergeCell ref="A37:C37"/>
    <mergeCell ref="A38:C38"/>
    <mergeCell ref="R4:R6"/>
    <mergeCell ref="S4:S6"/>
    <mergeCell ref="A1:S1"/>
    <mergeCell ref="A2:S2"/>
    <mergeCell ref="A4:A6"/>
    <mergeCell ref="B4:B6"/>
    <mergeCell ref="C4:C6"/>
    <mergeCell ref="D4:I4"/>
    <mergeCell ref="J4:J6"/>
    <mergeCell ref="K4:K6"/>
    <mergeCell ref="L4:L6"/>
    <mergeCell ref="M4:M6"/>
  </mergeCells>
  <conditionalFormatting sqref="J7:K7 J9:K35">
    <cfRule type="cellIs" dxfId="1" priority="1" operator="equal">
      <formula>""</formula>
    </cfRule>
  </conditionalFormatting>
  <printOptions horizontalCentered="1"/>
  <pageMargins left="0.39370078740157483" right="0.39370078740157483" top="0.82677165354330717" bottom="0.55118110236220474" header="0.51181102362204722" footer="0.35433070866141736"/>
  <pageSetup paperSize="9" scale="51" firstPageNumber="41" fitToHeight="0" orientation="landscape" errors="dash" r:id="rId1"/>
  <headerFooter alignWithMargins="0">
    <oddHeader>&amp;R&amp;G</oddHeader>
    <oddFooter>&amp;C&amp;P&amp;R&amp;F</oddFooter>
  </headerFooter>
  <legacyDrawing r:id="rId2"/>
  <legacyDrawingHF r:id="rId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1"/>
    <pageSetUpPr fitToPage="1"/>
  </sheetPr>
  <dimension ref="A1:X63"/>
  <sheetViews>
    <sheetView zoomScale="70" zoomScaleNormal="70" zoomScaleSheetLayoutView="70" workbookViewId="0">
      <pane ySplit="6" topLeftCell="A7" activePane="bottomLeft" state="frozen"/>
      <selection activeCell="B12" sqref="B12"/>
      <selection pane="bottomLeft" activeCell="B12" sqref="B12"/>
    </sheetView>
  </sheetViews>
  <sheetFormatPr defaultColWidth="9.1796875" defaultRowHeight="12.5" x14ac:dyDescent="0.25"/>
  <cols>
    <col min="1" max="3" width="14.81640625" style="1" customWidth="1"/>
    <col min="4" max="9" width="12.26953125" style="1" customWidth="1"/>
    <col min="10" max="17" width="13.81640625" style="1" customWidth="1"/>
    <col min="18" max="18" width="24.7265625" style="1" customWidth="1"/>
    <col min="19" max="19" width="28" style="1" customWidth="1"/>
    <col min="20" max="23" width="9.1796875" style="1"/>
    <col min="24" max="24" width="15.453125" style="2" customWidth="1"/>
    <col min="25" max="25" width="13" style="1" customWidth="1"/>
    <col min="26" max="16384" width="9.1796875" style="1"/>
  </cols>
  <sheetData>
    <row r="1" spans="1:24" ht="31.5" customHeight="1" x14ac:dyDescent="0.25">
      <c r="A1" s="471" t="s">
        <v>88</v>
      </c>
      <c r="B1" s="471"/>
      <c r="C1" s="471"/>
      <c r="D1" s="471"/>
      <c r="E1" s="471"/>
      <c r="F1" s="471"/>
      <c r="G1" s="471"/>
      <c r="H1" s="471"/>
      <c r="I1" s="471"/>
      <c r="J1" s="471"/>
      <c r="K1" s="471"/>
      <c r="L1" s="471"/>
      <c r="M1" s="471"/>
      <c r="N1" s="471"/>
      <c r="O1" s="471"/>
      <c r="P1" s="471"/>
      <c r="Q1" s="471"/>
      <c r="R1" s="471"/>
      <c r="S1" s="471"/>
    </row>
    <row r="2" spans="1:24" ht="22.5" customHeight="1" x14ac:dyDescent="0.25">
      <c r="A2" s="472" t="s">
        <v>80</v>
      </c>
      <c r="B2" s="472"/>
      <c r="C2" s="472"/>
      <c r="D2" s="472"/>
      <c r="E2" s="472"/>
      <c r="F2" s="472"/>
      <c r="G2" s="472"/>
      <c r="H2" s="472"/>
      <c r="I2" s="472"/>
      <c r="J2" s="472"/>
      <c r="K2" s="472"/>
      <c r="L2" s="472"/>
      <c r="M2" s="472"/>
      <c r="N2" s="472"/>
      <c r="O2" s="472"/>
      <c r="P2" s="472"/>
      <c r="Q2" s="472"/>
      <c r="R2" s="472"/>
      <c r="S2" s="472"/>
    </row>
    <row r="3" spans="1:24" ht="14.25" customHeight="1" thickBot="1" x14ac:dyDescent="0.35">
      <c r="A3" s="4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24" ht="31.5" customHeight="1" x14ac:dyDescent="0.25">
      <c r="A4" s="480" t="s">
        <v>2</v>
      </c>
      <c r="B4" s="477" t="s">
        <v>3</v>
      </c>
      <c r="C4" s="486" t="s">
        <v>19</v>
      </c>
      <c r="D4" s="441" t="s">
        <v>4</v>
      </c>
      <c r="E4" s="442"/>
      <c r="F4" s="442"/>
      <c r="G4" s="442"/>
      <c r="H4" s="442"/>
      <c r="I4" s="443"/>
      <c r="J4" s="483" t="s">
        <v>29</v>
      </c>
      <c r="K4" s="474" t="s">
        <v>5</v>
      </c>
      <c r="L4" s="447" t="s">
        <v>21</v>
      </c>
      <c r="M4" s="447" t="s">
        <v>30</v>
      </c>
      <c r="N4" s="447" t="s">
        <v>66</v>
      </c>
      <c r="O4" s="447" t="s">
        <v>31</v>
      </c>
      <c r="P4" s="447" t="s">
        <v>28</v>
      </c>
      <c r="Q4" s="447" t="s">
        <v>59</v>
      </c>
      <c r="R4" s="474" t="s">
        <v>20</v>
      </c>
      <c r="S4" s="473" t="s">
        <v>6</v>
      </c>
    </row>
    <row r="5" spans="1:24" ht="16.5" customHeight="1" x14ac:dyDescent="0.25">
      <c r="A5" s="481"/>
      <c r="B5" s="478"/>
      <c r="C5" s="487"/>
      <c r="D5" s="6" t="s">
        <v>70</v>
      </c>
      <c r="E5" s="7" t="s">
        <v>17</v>
      </c>
      <c r="F5" s="7" t="s">
        <v>18</v>
      </c>
      <c r="G5" s="7" t="s">
        <v>16</v>
      </c>
      <c r="H5" s="7" t="s">
        <v>7</v>
      </c>
      <c r="I5" s="439" t="s">
        <v>15</v>
      </c>
      <c r="J5" s="484"/>
      <c r="K5" s="475"/>
      <c r="L5" s="448"/>
      <c r="M5" s="448"/>
      <c r="N5" s="448"/>
      <c r="O5" s="448"/>
      <c r="P5" s="448"/>
      <c r="Q5" s="448"/>
      <c r="R5" s="475"/>
      <c r="S5" s="439"/>
    </row>
    <row r="6" spans="1:24" ht="16.5" customHeight="1" thickBot="1" x14ac:dyDescent="0.3">
      <c r="A6" s="482"/>
      <c r="B6" s="479"/>
      <c r="C6" s="488"/>
      <c r="D6" s="90">
        <v>31.5</v>
      </c>
      <c r="E6" s="91">
        <v>25</v>
      </c>
      <c r="F6" s="91">
        <v>19</v>
      </c>
      <c r="G6" s="91">
        <v>12.5</v>
      </c>
      <c r="H6" s="91">
        <v>9.5</v>
      </c>
      <c r="I6" s="440"/>
      <c r="J6" s="485"/>
      <c r="K6" s="476"/>
      <c r="L6" s="449"/>
      <c r="M6" s="449"/>
      <c r="N6" s="449"/>
      <c r="O6" s="449"/>
      <c r="P6" s="449"/>
      <c r="Q6" s="449"/>
      <c r="R6" s="476"/>
      <c r="S6" s="440"/>
    </row>
    <row r="7" spans="1:24" ht="27.75" customHeight="1" thickTop="1" x14ac:dyDescent="0.25">
      <c r="A7" s="69">
        <v>39814</v>
      </c>
      <c r="B7" s="70">
        <v>1</v>
      </c>
      <c r="C7" s="71">
        <v>39821</v>
      </c>
      <c r="D7" s="72">
        <v>0</v>
      </c>
      <c r="E7" s="73">
        <v>40.4</v>
      </c>
      <c r="F7" s="73">
        <v>84.4</v>
      </c>
      <c r="G7" s="73">
        <v>98.8</v>
      </c>
      <c r="H7" s="73">
        <v>99.2</v>
      </c>
      <c r="I7" s="74">
        <v>100</v>
      </c>
      <c r="J7" s="112">
        <f>IF(B7="","",IF(E7&gt;5,D$6,IF(F7&gt;5,E$6,IF(#REF!&gt;5,F$6,IF(G7&gt;5,#REF!,$G$6)))))</f>
        <v>31.5</v>
      </c>
      <c r="K7" s="76">
        <f>IF(B7="","",(F7+H7+600)/100)</f>
        <v>7.8360000000000003</v>
      </c>
      <c r="L7" s="77">
        <v>0.8</v>
      </c>
      <c r="M7" s="77" t="s">
        <v>24</v>
      </c>
      <c r="N7" s="78">
        <v>2.73</v>
      </c>
      <c r="O7" s="78">
        <v>1.34</v>
      </c>
      <c r="P7" s="77">
        <v>0.2</v>
      </c>
      <c r="Q7" s="113" t="s">
        <v>24</v>
      </c>
      <c r="R7" s="79" t="s">
        <v>84</v>
      </c>
      <c r="S7" s="80"/>
      <c r="T7" s="3"/>
      <c r="X7" s="1"/>
    </row>
    <row r="8" spans="1:24" ht="27" customHeight="1" x14ac:dyDescent="0.25">
      <c r="A8" s="69">
        <v>39814</v>
      </c>
      <c r="B8" s="70">
        <v>2</v>
      </c>
      <c r="C8" s="71">
        <v>39826</v>
      </c>
      <c r="D8" s="72">
        <v>0</v>
      </c>
      <c r="E8" s="73">
        <v>31.9</v>
      </c>
      <c r="F8" s="73">
        <v>75.3</v>
      </c>
      <c r="G8" s="73">
        <v>97.2</v>
      </c>
      <c r="H8" s="73">
        <v>98.5</v>
      </c>
      <c r="I8" s="74">
        <v>100</v>
      </c>
      <c r="J8" s="116">
        <f>IF(B8="","",IF(E8&gt;5,D$6,IF(F8&gt;5,E$6,IF(#REF!&gt;5,F$6,IF(G8&gt;5,#REF!,$G$6)))))</f>
        <v>31.5</v>
      </c>
      <c r="K8" s="76">
        <f t="shared" ref="K8" si="0">IF(B8="","",(F8+H8+600)/100)</f>
        <v>7.7379999999999995</v>
      </c>
      <c r="L8" s="77" t="s">
        <v>24</v>
      </c>
      <c r="M8" s="77" t="s">
        <v>24</v>
      </c>
      <c r="N8" s="77" t="s">
        <v>24</v>
      </c>
      <c r="O8" s="77" t="s">
        <v>24</v>
      </c>
      <c r="P8" s="77" t="s">
        <v>24</v>
      </c>
      <c r="Q8" s="77" t="s">
        <v>24</v>
      </c>
      <c r="R8" s="79" t="s">
        <v>84</v>
      </c>
      <c r="S8" s="80"/>
      <c r="T8" s="3"/>
      <c r="X8" s="1"/>
    </row>
    <row r="9" spans="1:24" ht="27" customHeight="1" x14ac:dyDescent="0.25">
      <c r="A9" s="69">
        <v>39814</v>
      </c>
      <c r="B9" s="70">
        <v>3</v>
      </c>
      <c r="C9" s="71">
        <v>39828</v>
      </c>
      <c r="D9" s="72">
        <v>0</v>
      </c>
      <c r="E9" s="73">
        <v>23.8</v>
      </c>
      <c r="F9" s="73">
        <v>70.5</v>
      </c>
      <c r="G9" s="73">
        <v>96.6</v>
      </c>
      <c r="H9" s="73">
        <v>98.3</v>
      </c>
      <c r="I9" s="74">
        <v>100</v>
      </c>
      <c r="J9" s="116">
        <f>IF(B9="","",IF(E9&gt;5,D$6,IF(F9&gt;5,E$6,IF(#REF!&gt;5,F$6,IF(G9&gt;5,#REF!,$G$6)))))</f>
        <v>31.5</v>
      </c>
      <c r="K9" s="76">
        <f t="shared" ref="K9:K34" si="1">IF(B9="","",(F9+H9+600)/100)</f>
        <v>7.6879999999999997</v>
      </c>
      <c r="L9" s="77">
        <v>0.9</v>
      </c>
      <c r="M9" s="77" t="s">
        <v>24</v>
      </c>
      <c r="N9" s="78">
        <v>2.71</v>
      </c>
      <c r="O9" s="78">
        <v>1.34</v>
      </c>
      <c r="P9" s="77">
        <v>0.2</v>
      </c>
      <c r="Q9" s="113" t="s">
        <v>24</v>
      </c>
      <c r="R9" s="79" t="s">
        <v>84</v>
      </c>
      <c r="S9" s="80" t="s">
        <v>85</v>
      </c>
      <c r="T9" s="3"/>
      <c r="X9" s="1"/>
    </row>
    <row r="10" spans="1:24" ht="27" customHeight="1" x14ac:dyDescent="0.25">
      <c r="A10" s="69">
        <v>39814</v>
      </c>
      <c r="B10" s="70">
        <v>4</v>
      </c>
      <c r="C10" s="71">
        <v>39833</v>
      </c>
      <c r="D10" s="72">
        <v>0</v>
      </c>
      <c r="E10" s="73">
        <v>28.9</v>
      </c>
      <c r="F10" s="73">
        <v>78.8</v>
      </c>
      <c r="G10" s="73">
        <v>98.5</v>
      </c>
      <c r="H10" s="73">
        <v>99.1</v>
      </c>
      <c r="I10" s="74">
        <v>100</v>
      </c>
      <c r="J10" s="116">
        <f>IF(B10="","",IF(E10&gt;5,D$6,IF(F10&gt;5,E$6,IF(#REF!&gt;5,F$6,IF(G10&gt;5,#REF!,$G$6)))))</f>
        <v>31.5</v>
      </c>
      <c r="K10" s="76">
        <f t="shared" si="1"/>
        <v>7.7789999999999999</v>
      </c>
      <c r="L10" s="77" t="s">
        <v>24</v>
      </c>
      <c r="M10" s="77" t="s">
        <v>24</v>
      </c>
      <c r="N10" s="77" t="s">
        <v>24</v>
      </c>
      <c r="O10" s="77" t="s">
        <v>24</v>
      </c>
      <c r="P10" s="77" t="s">
        <v>24</v>
      </c>
      <c r="Q10" s="77" t="s">
        <v>24</v>
      </c>
      <c r="R10" s="79" t="s">
        <v>82</v>
      </c>
      <c r="S10" s="80" t="s">
        <v>85</v>
      </c>
      <c r="T10" s="3"/>
      <c r="X10" s="1"/>
    </row>
    <row r="11" spans="1:24" ht="27" customHeight="1" x14ac:dyDescent="0.25">
      <c r="A11" s="69">
        <v>39814</v>
      </c>
      <c r="B11" s="70">
        <v>5</v>
      </c>
      <c r="C11" s="71">
        <v>39835</v>
      </c>
      <c r="D11" s="72">
        <v>0</v>
      </c>
      <c r="E11" s="73">
        <v>31.4</v>
      </c>
      <c r="F11" s="73">
        <v>79.400000000000006</v>
      </c>
      <c r="G11" s="73">
        <v>98.2</v>
      </c>
      <c r="H11" s="73">
        <v>99.1</v>
      </c>
      <c r="I11" s="74">
        <v>100</v>
      </c>
      <c r="J11" s="116">
        <f>IF(B11="","",IF(E11&gt;5,D$6,IF(F11&gt;5,E$6,IF(#REF!&gt;5,F$6,IF(G11&gt;5,#REF!,$G$6)))))</f>
        <v>31.5</v>
      </c>
      <c r="K11" s="76">
        <f t="shared" si="1"/>
        <v>7.7850000000000001</v>
      </c>
      <c r="L11" s="77" t="s">
        <v>24</v>
      </c>
      <c r="M11" s="77" t="s">
        <v>24</v>
      </c>
      <c r="N11" s="77" t="s">
        <v>24</v>
      </c>
      <c r="O11" s="77" t="s">
        <v>24</v>
      </c>
      <c r="P11" s="77" t="s">
        <v>24</v>
      </c>
      <c r="Q11" s="77" t="s">
        <v>24</v>
      </c>
      <c r="R11" s="79" t="s">
        <v>82</v>
      </c>
      <c r="S11" s="80" t="s">
        <v>85</v>
      </c>
      <c r="T11" s="3"/>
      <c r="X11" s="1"/>
    </row>
    <row r="12" spans="1:24" ht="27" customHeight="1" x14ac:dyDescent="0.25">
      <c r="A12" s="69"/>
      <c r="B12" s="70"/>
      <c r="C12" s="71"/>
      <c r="D12" s="72"/>
      <c r="E12" s="73"/>
      <c r="F12" s="73"/>
      <c r="G12" s="73"/>
      <c r="H12" s="73"/>
      <c r="I12" s="74"/>
      <c r="J12" s="116" t="str">
        <f>IF(B12="","",IF(E12&gt;5,D$6,IF(F12&gt;5,E$6,IF(#REF!&gt;5,F$6,IF(G12&gt;5,#REF!,$G$6)))))</f>
        <v/>
      </c>
      <c r="K12" s="76" t="str">
        <f t="shared" si="1"/>
        <v/>
      </c>
      <c r="L12" s="77"/>
      <c r="M12" s="77"/>
      <c r="N12" s="78"/>
      <c r="O12" s="78"/>
      <c r="P12" s="77"/>
      <c r="Q12" s="113"/>
      <c r="R12" s="79"/>
      <c r="S12" s="80"/>
      <c r="T12" s="3"/>
      <c r="X12" s="1"/>
    </row>
    <row r="13" spans="1:24" ht="27" customHeight="1" x14ac:dyDescent="0.25">
      <c r="A13" s="69"/>
      <c r="B13" s="70"/>
      <c r="C13" s="71"/>
      <c r="D13" s="72"/>
      <c r="E13" s="73"/>
      <c r="F13" s="73"/>
      <c r="G13" s="73"/>
      <c r="H13" s="73"/>
      <c r="I13" s="74"/>
      <c r="J13" s="116" t="str">
        <f>IF(B13="","",IF(E13&gt;5,D$6,IF(F13&gt;5,E$6,IF(#REF!&gt;5,F$6,IF(G13&gt;5,#REF!,$G$6)))))</f>
        <v/>
      </c>
      <c r="K13" s="76" t="str">
        <f t="shared" si="1"/>
        <v/>
      </c>
      <c r="L13" s="77"/>
      <c r="M13" s="77"/>
      <c r="N13" s="78"/>
      <c r="O13" s="78"/>
      <c r="P13" s="77"/>
      <c r="Q13" s="113"/>
      <c r="R13" s="79"/>
      <c r="S13" s="80"/>
      <c r="T13" s="3"/>
      <c r="X13" s="1"/>
    </row>
    <row r="14" spans="1:24" ht="27" customHeight="1" x14ac:dyDescent="0.25">
      <c r="A14" s="69"/>
      <c r="B14" s="70"/>
      <c r="C14" s="71"/>
      <c r="D14" s="72"/>
      <c r="E14" s="73"/>
      <c r="F14" s="73"/>
      <c r="G14" s="73"/>
      <c r="H14" s="73"/>
      <c r="I14" s="74"/>
      <c r="J14" s="116" t="str">
        <f>IF(B14="","",IF(E14&gt;5,D$6,IF(F14&gt;5,E$6,IF(#REF!&gt;5,F$6,IF(G14&gt;5,#REF!,$G$6)))))</f>
        <v/>
      </c>
      <c r="K14" s="76" t="str">
        <f t="shared" si="1"/>
        <v/>
      </c>
      <c r="L14" s="77"/>
      <c r="M14" s="77"/>
      <c r="N14" s="78"/>
      <c r="O14" s="78"/>
      <c r="P14" s="77"/>
      <c r="Q14" s="113"/>
      <c r="R14" s="79"/>
      <c r="S14" s="80"/>
      <c r="T14" s="3"/>
      <c r="X14" s="1"/>
    </row>
    <row r="15" spans="1:24" ht="27" customHeight="1" x14ac:dyDescent="0.25">
      <c r="A15" s="69"/>
      <c r="B15" s="70"/>
      <c r="C15" s="71"/>
      <c r="D15" s="72"/>
      <c r="E15" s="73"/>
      <c r="F15" s="73"/>
      <c r="G15" s="73"/>
      <c r="H15" s="73"/>
      <c r="I15" s="74"/>
      <c r="J15" s="116" t="str">
        <f>IF(B15="","",IF(E15&gt;5,D$6,IF(F15&gt;5,E$6,IF(#REF!&gt;5,F$6,IF(G15&gt;5,#REF!,$G$6)))))</f>
        <v/>
      </c>
      <c r="K15" s="76" t="str">
        <f t="shared" si="1"/>
        <v/>
      </c>
      <c r="L15" s="77"/>
      <c r="M15" s="77"/>
      <c r="N15" s="78"/>
      <c r="O15" s="78"/>
      <c r="P15" s="77"/>
      <c r="Q15" s="113"/>
      <c r="R15" s="79"/>
      <c r="S15" s="80"/>
      <c r="T15" s="3"/>
      <c r="X15" s="1"/>
    </row>
    <row r="16" spans="1:24" ht="27" customHeight="1" x14ac:dyDescent="0.25">
      <c r="A16" s="69"/>
      <c r="B16" s="70"/>
      <c r="C16" s="71"/>
      <c r="D16" s="72"/>
      <c r="E16" s="73"/>
      <c r="F16" s="73"/>
      <c r="G16" s="73"/>
      <c r="H16" s="73"/>
      <c r="I16" s="74"/>
      <c r="J16" s="116" t="str">
        <f>IF(B16="","",IF(E16&gt;5,D$6,IF(F16&gt;5,E$6,IF(#REF!&gt;5,F$6,IF(G16&gt;5,#REF!,$G$6)))))</f>
        <v/>
      </c>
      <c r="K16" s="76" t="str">
        <f t="shared" si="1"/>
        <v/>
      </c>
      <c r="L16" s="77"/>
      <c r="M16" s="77"/>
      <c r="N16" s="78"/>
      <c r="O16" s="78"/>
      <c r="P16" s="77"/>
      <c r="Q16" s="113"/>
      <c r="R16" s="79"/>
      <c r="S16" s="80"/>
      <c r="T16" s="3"/>
      <c r="X16" s="1"/>
    </row>
    <row r="17" spans="1:24" ht="27" customHeight="1" x14ac:dyDescent="0.25">
      <c r="A17" s="69"/>
      <c r="B17" s="70"/>
      <c r="C17" s="71"/>
      <c r="D17" s="72"/>
      <c r="E17" s="73"/>
      <c r="F17" s="73"/>
      <c r="G17" s="73"/>
      <c r="H17" s="73"/>
      <c r="I17" s="74"/>
      <c r="J17" s="116" t="str">
        <f>IF(B17="","",IF(E17&gt;5,D$6,IF(F17&gt;5,E$6,IF(#REF!&gt;5,F$6,IF(G17&gt;5,#REF!,$G$6)))))</f>
        <v/>
      </c>
      <c r="K17" s="76" t="str">
        <f t="shared" si="1"/>
        <v/>
      </c>
      <c r="L17" s="77"/>
      <c r="M17" s="77"/>
      <c r="N17" s="78"/>
      <c r="O17" s="78"/>
      <c r="P17" s="77"/>
      <c r="Q17" s="113"/>
      <c r="R17" s="79"/>
      <c r="S17" s="80"/>
      <c r="T17" s="3"/>
      <c r="X17" s="1"/>
    </row>
    <row r="18" spans="1:24" ht="27" customHeight="1" x14ac:dyDescent="0.25">
      <c r="A18" s="69"/>
      <c r="B18" s="70"/>
      <c r="C18" s="71"/>
      <c r="D18" s="72"/>
      <c r="E18" s="73"/>
      <c r="F18" s="73"/>
      <c r="G18" s="73"/>
      <c r="H18" s="73"/>
      <c r="I18" s="74"/>
      <c r="J18" s="116" t="str">
        <f>IF(B18="","",IF(E18&gt;5,D$6,IF(F18&gt;5,E$6,IF(#REF!&gt;5,F$6,IF(G18&gt;5,#REF!,$G$6)))))</f>
        <v/>
      </c>
      <c r="K18" s="76" t="str">
        <f t="shared" si="1"/>
        <v/>
      </c>
      <c r="L18" s="77"/>
      <c r="M18" s="77"/>
      <c r="N18" s="78"/>
      <c r="O18" s="78"/>
      <c r="P18" s="77"/>
      <c r="Q18" s="113"/>
      <c r="R18" s="79"/>
      <c r="S18" s="80"/>
      <c r="T18" s="3"/>
      <c r="X18" s="1"/>
    </row>
    <row r="19" spans="1:24" ht="27" customHeight="1" x14ac:dyDescent="0.25">
      <c r="A19" s="69"/>
      <c r="B19" s="70"/>
      <c r="C19" s="71"/>
      <c r="D19" s="72"/>
      <c r="E19" s="73"/>
      <c r="F19" s="73"/>
      <c r="G19" s="73"/>
      <c r="H19" s="73"/>
      <c r="I19" s="74"/>
      <c r="J19" s="116" t="str">
        <f>IF(B19="","",IF(E19&gt;5,D$6,IF(F19&gt;5,E$6,IF(#REF!&gt;5,F$6,IF(G19&gt;5,#REF!,$G$6)))))</f>
        <v/>
      </c>
      <c r="K19" s="76" t="str">
        <f t="shared" si="1"/>
        <v/>
      </c>
      <c r="L19" s="77"/>
      <c r="M19" s="77"/>
      <c r="N19" s="78"/>
      <c r="O19" s="78"/>
      <c r="P19" s="77"/>
      <c r="Q19" s="113"/>
      <c r="R19" s="79"/>
      <c r="S19" s="80"/>
      <c r="T19" s="3"/>
      <c r="X19" s="1"/>
    </row>
    <row r="20" spans="1:24" ht="27" customHeight="1" x14ac:dyDescent="0.25">
      <c r="A20" s="69"/>
      <c r="B20" s="70"/>
      <c r="C20" s="71"/>
      <c r="D20" s="72"/>
      <c r="E20" s="73"/>
      <c r="F20" s="73"/>
      <c r="G20" s="73"/>
      <c r="H20" s="73"/>
      <c r="I20" s="74"/>
      <c r="J20" s="116" t="str">
        <f>IF(B20="","",IF(E20&gt;5,D$6,IF(F20&gt;5,E$6,IF(#REF!&gt;5,F$6,IF(G20&gt;5,#REF!,$G$6)))))</f>
        <v/>
      </c>
      <c r="K20" s="76" t="str">
        <f t="shared" si="1"/>
        <v/>
      </c>
      <c r="L20" s="77"/>
      <c r="M20" s="77"/>
      <c r="N20" s="78"/>
      <c r="O20" s="78"/>
      <c r="P20" s="77"/>
      <c r="Q20" s="113"/>
      <c r="R20" s="79"/>
      <c r="S20" s="80"/>
      <c r="T20" s="3"/>
      <c r="X20" s="1"/>
    </row>
    <row r="21" spans="1:24" ht="27" customHeight="1" x14ac:dyDescent="0.25">
      <c r="A21" s="69"/>
      <c r="B21" s="70"/>
      <c r="C21" s="71"/>
      <c r="D21" s="72"/>
      <c r="E21" s="73"/>
      <c r="F21" s="73"/>
      <c r="G21" s="73"/>
      <c r="H21" s="73"/>
      <c r="I21" s="74"/>
      <c r="J21" s="116" t="str">
        <f>IF(B21="","",IF(E21&gt;5,D$6,IF(F21&gt;5,E$6,IF(#REF!&gt;5,F$6,IF(G21&gt;5,#REF!,$G$6)))))</f>
        <v/>
      </c>
      <c r="K21" s="76" t="str">
        <f t="shared" si="1"/>
        <v/>
      </c>
      <c r="L21" s="77"/>
      <c r="M21" s="77"/>
      <c r="N21" s="78"/>
      <c r="O21" s="78"/>
      <c r="P21" s="77"/>
      <c r="Q21" s="113"/>
      <c r="R21" s="79"/>
      <c r="S21" s="80"/>
      <c r="T21" s="3"/>
      <c r="X21" s="1"/>
    </row>
    <row r="22" spans="1:24" ht="27" customHeight="1" x14ac:dyDescent="0.25">
      <c r="A22" s="69"/>
      <c r="B22" s="70"/>
      <c r="C22" s="71"/>
      <c r="D22" s="72"/>
      <c r="E22" s="73"/>
      <c r="F22" s="73"/>
      <c r="G22" s="73"/>
      <c r="H22" s="73"/>
      <c r="I22" s="74"/>
      <c r="J22" s="116" t="str">
        <f>IF(B22="","",IF(E22&gt;5,D$6,IF(F22&gt;5,E$6,IF(#REF!&gt;5,F$6,IF(G22&gt;5,#REF!,$G$6)))))</f>
        <v/>
      </c>
      <c r="K22" s="76" t="str">
        <f t="shared" si="1"/>
        <v/>
      </c>
      <c r="L22" s="77"/>
      <c r="M22" s="77"/>
      <c r="N22" s="78"/>
      <c r="O22" s="78"/>
      <c r="P22" s="77"/>
      <c r="Q22" s="113"/>
      <c r="R22" s="79"/>
      <c r="S22" s="80"/>
      <c r="T22" s="3"/>
      <c r="X22" s="1"/>
    </row>
    <row r="23" spans="1:24" ht="27" customHeight="1" x14ac:dyDescent="0.25">
      <c r="A23" s="69"/>
      <c r="B23" s="70"/>
      <c r="C23" s="71"/>
      <c r="D23" s="72"/>
      <c r="E23" s="73"/>
      <c r="F23" s="73"/>
      <c r="G23" s="73"/>
      <c r="H23" s="73"/>
      <c r="I23" s="74"/>
      <c r="J23" s="116"/>
      <c r="K23" s="76" t="str">
        <f t="shared" si="1"/>
        <v/>
      </c>
      <c r="L23" s="77"/>
      <c r="M23" s="77"/>
      <c r="N23" s="78"/>
      <c r="O23" s="78"/>
      <c r="P23" s="77"/>
      <c r="Q23" s="113"/>
      <c r="R23" s="79"/>
      <c r="S23" s="80"/>
      <c r="T23" s="3"/>
      <c r="X23" s="1"/>
    </row>
    <row r="24" spans="1:24" ht="27" customHeight="1" x14ac:dyDescent="0.25">
      <c r="A24" s="69"/>
      <c r="B24" s="70"/>
      <c r="C24" s="71"/>
      <c r="D24" s="72"/>
      <c r="E24" s="73"/>
      <c r="F24" s="73"/>
      <c r="G24" s="73"/>
      <c r="H24" s="73"/>
      <c r="I24" s="74"/>
      <c r="J24" s="116" t="str">
        <f>IF(B24="","",IF(E24&gt;5,D$6,IF(F24&gt;5,E$6,IF(#REF!&gt;5,F$6,IF(G24&gt;5,#REF!,$G$6)))))</f>
        <v/>
      </c>
      <c r="K24" s="76" t="str">
        <f t="shared" si="1"/>
        <v/>
      </c>
      <c r="L24" s="77"/>
      <c r="M24" s="77"/>
      <c r="N24" s="78"/>
      <c r="O24" s="78"/>
      <c r="P24" s="77"/>
      <c r="Q24" s="113"/>
      <c r="R24" s="79"/>
      <c r="S24" s="80"/>
      <c r="T24" s="3"/>
      <c r="X24" s="1"/>
    </row>
    <row r="25" spans="1:24" ht="27" customHeight="1" x14ac:dyDescent="0.25">
      <c r="A25" s="69"/>
      <c r="B25" s="70"/>
      <c r="C25" s="71"/>
      <c r="D25" s="72"/>
      <c r="E25" s="73"/>
      <c r="F25" s="73"/>
      <c r="G25" s="73"/>
      <c r="H25" s="73"/>
      <c r="I25" s="74"/>
      <c r="J25" s="116" t="str">
        <f>IF(B25="","",IF(E25&gt;5,D$6,IF(F25&gt;5,E$6,IF(#REF!&gt;5,F$6,IF(G25&gt;5,#REF!,$G$6)))))</f>
        <v/>
      </c>
      <c r="K25" s="76" t="str">
        <f t="shared" si="1"/>
        <v/>
      </c>
      <c r="L25" s="77"/>
      <c r="M25" s="77"/>
      <c r="N25" s="78"/>
      <c r="O25" s="78"/>
      <c r="P25" s="77"/>
      <c r="Q25" s="113"/>
      <c r="R25" s="79"/>
      <c r="S25" s="80"/>
      <c r="T25" s="3"/>
      <c r="X25" s="1"/>
    </row>
    <row r="26" spans="1:24" ht="27" customHeight="1" x14ac:dyDescent="0.25">
      <c r="A26" s="69"/>
      <c r="B26" s="70"/>
      <c r="C26" s="71"/>
      <c r="D26" s="72"/>
      <c r="E26" s="73"/>
      <c r="F26" s="73"/>
      <c r="G26" s="73"/>
      <c r="H26" s="73"/>
      <c r="I26" s="74"/>
      <c r="J26" s="116" t="str">
        <f>IF(B26="","",IF(E26&gt;5,D$6,IF(F26&gt;5,E$6,IF(#REF!&gt;5,F$6,IF(G26&gt;5,#REF!,$G$6)))))</f>
        <v/>
      </c>
      <c r="K26" s="76" t="str">
        <f t="shared" si="1"/>
        <v/>
      </c>
      <c r="L26" s="77"/>
      <c r="M26" s="77"/>
      <c r="N26" s="78"/>
      <c r="O26" s="78"/>
      <c r="P26" s="77"/>
      <c r="Q26" s="113"/>
      <c r="R26" s="79"/>
      <c r="S26" s="80"/>
      <c r="T26" s="3"/>
      <c r="X26" s="1"/>
    </row>
    <row r="27" spans="1:24" ht="27" customHeight="1" x14ac:dyDescent="0.25">
      <c r="A27" s="69"/>
      <c r="B27" s="70"/>
      <c r="C27" s="71"/>
      <c r="D27" s="72"/>
      <c r="E27" s="73"/>
      <c r="F27" s="73"/>
      <c r="G27" s="73"/>
      <c r="H27" s="73"/>
      <c r="I27" s="74"/>
      <c r="J27" s="116" t="str">
        <f>IF(B27="","",IF(E27&gt;5,D$6,IF(F27&gt;5,E$6,IF(#REF!&gt;5,F$6,IF(G27&gt;5,#REF!,$G$6)))))</f>
        <v/>
      </c>
      <c r="K27" s="76" t="str">
        <f t="shared" si="1"/>
        <v/>
      </c>
      <c r="L27" s="77"/>
      <c r="M27" s="77"/>
      <c r="N27" s="78"/>
      <c r="O27" s="78"/>
      <c r="P27" s="77"/>
      <c r="Q27" s="113"/>
      <c r="R27" s="79"/>
      <c r="S27" s="80"/>
      <c r="T27" s="3"/>
      <c r="X27" s="1"/>
    </row>
    <row r="28" spans="1:24" ht="27" customHeight="1" x14ac:dyDescent="0.25">
      <c r="A28" s="69"/>
      <c r="B28" s="70"/>
      <c r="C28" s="71"/>
      <c r="D28" s="72"/>
      <c r="E28" s="73"/>
      <c r="F28" s="73"/>
      <c r="G28" s="73"/>
      <c r="H28" s="73"/>
      <c r="I28" s="74"/>
      <c r="J28" s="116" t="str">
        <f>IF(B28="","",IF(E28&gt;5,D$6,IF(F28&gt;5,E$6,IF(#REF!&gt;5,F$6,IF(G28&gt;5,#REF!,$G$6)))))</f>
        <v/>
      </c>
      <c r="K28" s="76" t="str">
        <f t="shared" si="1"/>
        <v/>
      </c>
      <c r="L28" s="77"/>
      <c r="M28" s="77"/>
      <c r="N28" s="78"/>
      <c r="O28" s="78"/>
      <c r="P28" s="77"/>
      <c r="Q28" s="113"/>
      <c r="R28" s="79"/>
      <c r="S28" s="80"/>
      <c r="T28" s="3"/>
      <c r="X28" s="1"/>
    </row>
    <row r="29" spans="1:24" ht="27" customHeight="1" x14ac:dyDescent="0.25">
      <c r="A29" s="69"/>
      <c r="B29" s="70"/>
      <c r="C29" s="71"/>
      <c r="D29" s="72"/>
      <c r="E29" s="73"/>
      <c r="F29" s="73"/>
      <c r="G29" s="73"/>
      <c r="H29" s="73"/>
      <c r="I29" s="74"/>
      <c r="J29" s="116" t="str">
        <f>IF(B29="","",IF(E29&gt;5,D$6,IF(F29&gt;5,E$6,IF(#REF!&gt;5,F$6,IF(G29&gt;5,#REF!,$G$6)))))</f>
        <v/>
      </c>
      <c r="K29" s="76" t="str">
        <f t="shared" si="1"/>
        <v/>
      </c>
      <c r="L29" s="77"/>
      <c r="M29" s="77"/>
      <c r="N29" s="78"/>
      <c r="O29" s="78"/>
      <c r="P29" s="77"/>
      <c r="Q29" s="113"/>
      <c r="R29" s="79"/>
      <c r="S29" s="80"/>
      <c r="T29" s="3"/>
      <c r="X29" s="1"/>
    </row>
    <row r="30" spans="1:24" ht="27" customHeight="1" x14ac:dyDescent="0.25">
      <c r="A30" s="69"/>
      <c r="B30" s="70"/>
      <c r="C30" s="71"/>
      <c r="D30" s="72"/>
      <c r="E30" s="73"/>
      <c r="F30" s="73"/>
      <c r="G30" s="73"/>
      <c r="H30" s="73"/>
      <c r="I30" s="74"/>
      <c r="J30" s="116" t="str">
        <f>IF(B30="","",IF(E30&gt;5,D$6,IF(F30&gt;5,E$6,IF(#REF!&gt;5,F$6,IF(G30&gt;5,#REF!,$G$6)))))</f>
        <v/>
      </c>
      <c r="K30" s="76" t="str">
        <f t="shared" si="1"/>
        <v/>
      </c>
      <c r="L30" s="77"/>
      <c r="M30" s="77"/>
      <c r="N30" s="78"/>
      <c r="O30" s="78"/>
      <c r="P30" s="77"/>
      <c r="Q30" s="113"/>
      <c r="R30" s="79"/>
      <c r="S30" s="80"/>
      <c r="T30" s="3"/>
      <c r="X30" s="1"/>
    </row>
    <row r="31" spans="1:24" ht="27" customHeight="1" x14ac:dyDescent="0.25">
      <c r="A31" s="69"/>
      <c r="B31" s="70"/>
      <c r="C31" s="71"/>
      <c r="D31" s="72"/>
      <c r="E31" s="73"/>
      <c r="F31" s="73"/>
      <c r="G31" s="73"/>
      <c r="H31" s="73"/>
      <c r="I31" s="74"/>
      <c r="J31" s="116" t="str">
        <f>IF(B31="","",IF(E31&gt;5,D$6,IF(F31&gt;5,E$6,IF(#REF!&gt;5,F$6,IF(G31&gt;5,#REF!,$G$6)))))</f>
        <v/>
      </c>
      <c r="K31" s="76" t="str">
        <f t="shared" si="1"/>
        <v/>
      </c>
      <c r="L31" s="77"/>
      <c r="M31" s="77"/>
      <c r="N31" s="78"/>
      <c r="O31" s="78"/>
      <c r="P31" s="77"/>
      <c r="Q31" s="113"/>
      <c r="R31" s="79"/>
      <c r="S31" s="80"/>
      <c r="T31" s="3"/>
      <c r="X31" s="1"/>
    </row>
    <row r="32" spans="1:24" ht="27" customHeight="1" x14ac:dyDescent="0.25">
      <c r="A32" s="69"/>
      <c r="B32" s="70"/>
      <c r="C32" s="71"/>
      <c r="D32" s="72"/>
      <c r="E32" s="73"/>
      <c r="F32" s="73"/>
      <c r="G32" s="73"/>
      <c r="H32" s="73"/>
      <c r="I32" s="74"/>
      <c r="J32" s="116" t="str">
        <f>IF(B32="","",IF(E32&gt;5,D$6,IF(F32&gt;5,E$6,IF(#REF!&gt;5,F$6,IF(G32&gt;5,#REF!,$G$6)))))</f>
        <v/>
      </c>
      <c r="K32" s="76" t="str">
        <f t="shared" si="1"/>
        <v/>
      </c>
      <c r="L32" s="77"/>
      <c r="M32" s="77"/>
      <c r="N32" s="78"/>
      <c r="O32" s="78"/>
      <c r="P32" s="77"/>
      <c r="Q32" s="113"/>
      <c r="R32" s="79"/>
      <c r="S32" s="80"/>
      <c r="T32" s="3"/>
      <c r="X32" s="1"/>
    </row>
    <row r="33" spans="1:24" ht="27" customHeight="1" x14ac:dyDescent="0.25">
      <c r="A33" s="69"/>
      <c r="B33" s="70"/>
      <c r="C33" s="71"/>
      <c r="D33" s="72"/>
      <c r="E33" s="73"/>
      <c r="F33" s="73"/>
      <c r="G33" s="73"/>
      <c r="H33" s="73"/>
      <c r="I33" s="74"/>
      <c r="J33" s="116" t="str">
        <f>IF(B33="","",IF(E33&gt;5,D$6,IF(F33&gt;5,E$6,IF(#REF!&gt;5,F$6,IF(G33&gt;5,#REF!,$G$6)))))</f>
        <v/>
      </c>
      <c r="K33" s="76" t="str">
        <f t="shared" si="1"/>
        <v/>
      </c>
      <c r="L33" s="77"/>
      <c r="M33" s="77"/>
      <c r="N33" s="78"/>
      <c r="O33" s="78"/>
      <c r="P33" s="77"/>
      <c r="Q33" s="113"/>
      <c r="R33" s="79"/>
      <c r="S33" s="80"/>
      <c r="T33" s="3"/>
      <c r="X33" s="1"/>
    </row>
    <row r="34" spans="1:24" ht="27" customHeight="1" thickBot="1" x14ac:dyDescent="0.3">
      <c r="A34" s="69"/>
      <c r="B34" s="70"/>
      <c r="C34" s="71"/>
      <c r="D34" s="72"/>
      <c r="E34" s="73"/>
      <c r="F34" s="73"/>
      <c r="G34" s="73"/>
      <c r="H34" s="73"/>
      <c r="I34" s="74"/>
      <c r="J34" s="116" t="str">
        <f>IF(B34="","",IF(E34&gt;5,D$6,IF(F34&gt;5,E$6,IF(#REF!&gt;5,F$6,IF(G34&gt;5,#REF!,$G$6)))))</f>
        <v/>
      </c>
      <c r="K34" s="76" t="str">
        <f t="shared" si="1"/>
        <v/>
      </c>
      <c r="L34" s="77"/>
      <c r="M34" s="77"/>
      <c r="N34" s="78"/>
      <c r="O34" s="78"/>
      <c r="P34" s="77"/>
      <c r="Q34" s="113"/>
      <c r="R34" s="79"/>
      <c r="S34" s="80"/>
      <c r="T34" s="3"/>
      <c r="X34" s="1"/>
    </row>
    <row r="35" spans="1:24" ht="27" hidden="1" customHeight="1" thickBot="1" x14ac:dyDescent="0.3">
      <c r="A35" s="12"/>
      <c r="B35" s="13"/>
      <c r="C35" s="14"/>
      <c r="D35" s="92"/>
      <c r="E35" s="15"/>
      <c r="F35" s="15"/>
      <c r="G35" s="15"/>
      <c r="H35" s="15"/>
      <c r="I35" s="16"/>
      <c r="J35" s="107" t="str">
        <f>IF(B35="","",IF(E35&gt;5,D$6,IF(F35&gt;5,E$6,IF(#REF!&gt;5,F$6,IF(G35&gt;5,#REF!,$G$6)))))</f>
        <v/>
      </c>
      <c r="K35" s="10" t="str">
        <f t="shared" ref="K35" si="2">IF(B35="","",(E35+H35+700)/100)</f>
        <v/>
      </c>
      <c r="L35" s="17"/>
      <c r="M35" s="17"/>
      <c r="N35" s="18"/>
      <c r="O35" s="11"/>
      <c r="P35" s="17"/>
      <c r="Q35" s="108"/>
      <c r="R35" s="19"/>
      <c r="S35" s="20"/>
      <c r="T35" s="3"/>
      <c r="X35" s="1"/>
    </row>
    <row r="36" spans="1:24" ht="27" customHeight="1" thickTop="1" x14ac:dyDescent="0.25">
      <c r="A36" s="456" t="s">
        <v>0</v>
      </c>
      <c r="B36" s="457"/>
      <c r="C36" s="458"/>
      <c r="D36" s="21">
        <f t="shared" ref="D36:I36" si="3">AVERAGE(D7:D35)</f>
        <v>0</v>
      </c>
      <c r="E36" s="22">
        <f t="shared" si="3"/>
        <v>31.28</v>
      </c>
      <c r="F36" s="22">
        <f t="shared" si="3"/>
        <v>77.679999999999993</v>
      </c>
      <c r="G36" s="22">
        <f t="shared" si="3"/>
        <v>97.86</v>
      </c>
      <c r="H36" s="22">
        <f t="shared" si="3"/>
        <v>98.84</v>
      </c>
      <c r="I36" s="23">
        <f t="shared" si="3"/>
        <v>100</v>
      </c>
      <c r="J36" s="115" t="s">
        <v>24</v>
      </c>
      <c r="K36" s="25">
        <f t="shared" ref="K36:Q36" si="4">AVERAGE(K7:K35)</f>
        <v>7.7652000000000001</v>
      </c>
      <c r="L36" s="25">
        <f t="shared" si="4"/>
        <v>0.85000000000000009</v>
      </c>
      <c r="M36" s="25" t="e">
        <f t="shared" si="4"/>
        <v>#DIV/0!</v>
      </c>
      <c r="N36" s="26">
        <f t="shared" si="4"/>
        <v>2.7199999999999998</v>
      </c>
      <c r="O36" s="26">
        <f t="shared" si="4"/>
        <v>1.34</v>
      </c>
      <c r="P36" s="25">
        <f t="shared" si="4"/>
        <v>0.2</v>
      </c>
      <c r="Q36" s="22" t="e">
        <f t="shared" si="4"/>
        <v>#DIV/0!</v>
      </c>
      <c r="R36" s="27"/>
      <c r="S36" s="28"/>
      <c r="T36" s="3"/>
      <c r="X36" s="1"/>
    </row>
    <row r="37" spans="1:24" ht="27" customHeight="1" x14ac:dyDescent="0.25">
      <c r="A37" s="450" t="s">
        <v>26</v>
      </c>
      <c r="B37" s="451"/>
      <c r="C37" s="452"/>
      <c r="D37" s="29">
        <f t="shared" ref="D37:Q37" si="5">MAX(D7:D35)</f>
        <v>0</v>
      </c>
      <c r="E37" s="30">
        <f t="shared" si="5"/>
        <v>40.4</v>
      </c>
      <c r="F37" s="30">
        <f t="shared" si="5"/>
        <v>84.4</v>
      </c>
      <c r="G37" s="30">
        <f t="shared" si="5"/>
        <v>98.8</v>
      </c>
      <c r="H37" s="30">
        <f t="shared" si="5"/>
        <v>99.2</v>
      </c>
      <c r="I37" s="31">
        <f t="shared" si="5"/>
        <v>100</v>
      </c>
      <c r="J37" s="109">
        <f t="shared" si="5"/>
        <v>31.5</v>
      </c>
      <c r="K37" s="33">
        <f t="shared" si="5"/>
        <v>7.8360000000000003</v>
      </c>
      <c r="L37" s="33">
        <f t="shared" si="5"/>
        <v>0.9</v>
      </c>
      <c r="M37" s="33">
        <f t="shared" si="5"/>
        <v>0</v>
      </c>
      <c r="N37" s="34">
        <f t="shared" si="5"/>
        <v>2.73</v>
      </c>
      <c r="O37" s="34">
        <f t="shared" si="5"/>
        <v>1.34</v>
      </c>
      <c r="P37" s="33">
        <f t="shared" si="5"/>
        <v>0.2</v>
      </c>
      <c r="Q37" s="30">
        <f t="shared" si="5"/>
        <v>0</v>
      </c>
      <c r="R37" s="35"/>
      <c r="S37" s="36"/>
    </row>
    <row r="38" spans="1:24" ht="27" customHeight="1" x14ac:dyDescent="0.25">
      <c r="A38" s="450" t="s">
        <v>25</v>
      </c>
      <c r="B38" s="451"/>
      <c r="C38" s="452"/>
      <c r="D38" s="29">
        <f t="shared" ref="D38:I38" si="6">MIN(D7:D35)</f>
        <v>0</v>
      </c>
      <c r="E38" s="30">
        <f t="shared" si="6"/>
        <v>23.8</v>
      </c>
      <c r="F38" s="30">
        <f t="shared" si="6"/>
        <v>70.5</v>
      </c>
      <c r="G38" s="30">
        <f t="shared" si="6"/>
        <v>96.6</v>
      </c>
      <c r="H38" s="30">
        <f t="shared" si="6"/>
        <v>98.3</v>
      </c>
      <c r="I38" s="31">
        <f t="shared" si="6"/>
        <v>100</v>
      </c>
      <c r="J38" s="37" t="s">
        <v>24</v>
      </c>
      <c r="K38" s="33">
        <f t="shared" ref="K38:Q38" si="7">MIN(K7:K35)</f>
        <v>7.6879999999999997</v>
      </c>
      <c r="L38" s="33">
        <f t="shared" si="7"/>
        <v>0.8</v>
      </c>
      <c r="M38" s="33">
        <f t="shared" si="7"/>
        <v>0</v>
      </c>
      <c r="N38" s="34">
        <f t="shared" si="7"/>
        <v>2.71</v>
      </c>
      <c r="O38" s="34">
        <f t="shared" si="7"/>
        <v>1.34</v>
      </c>
      <c r="P38" s="33">
        <f t="shared" si="7"/>
        <v>0.2</v>
      </c>
      <c r="Q38" s="30">
        <f t="shared" si="7"/>
        <v>0</v>
      </c>
      <c r="R38" s="35"/>
      <c r="S38" s="36"/>
    </row>
    <row r="39" spans="1:24" ht="27" customHeight="1" thickBot="1" x14ac:dyDescent="0.3">
      <c r="A39" s="453" t="s">
        <v>1</v>
      </c>
      <c r="B39" s="454"/>
      <c r="C39" s="455"/>
      <c r="D39" s="38">
        <f t="shared" ref="D39:I39" si="8">STDEV(D7:D35)</f>
        <v>0</v>
      </c>
      <c r="E39" s="39">
        <f t="shared" si="8"/>
        <v>6.0246991626138122</v>
      </c>
      <c r="F39" s="39">
        <f t="shared" si="8"/>
        <v>5.1620732269118408</v>
      </c>
      <c r="G39" s="39">
        <f t="shared" si="8"/>
        <v>0.92628289415275389</v>
      </c>
      <c r="H39" s="39">
        <f t="shared" si="8"/>
        <v>0.40987803063838363</v>
      </c>
      <c r="I39" s="40">
        <f t="shared" si="8"/>
        <v>0</v>
      </c>
      <c r="J39" s="41" t="s">
        <v>24</v>
      </c>
      <c r="K39" s="42">
        <f t="shared" ref="K39:Q39" si="9">STDEV(K7:K35)</f>
        <v>5.5440959587655297E-2</v>
      </c>
      <c r="L39" s="42">
        <f t="shared" si="9"/>
        <v>7.0710678118654738E-2</v>
      </c>
      <c r="M39" s="42" t="e">
        <f t="shared" si="9"/>
        <v>#DIV/0!</v>
      </c>
      <c r="N39" s="43">
        <f t="shared" si="9"/>
        <v>1.4142135623730963E-2</v>
      </c>
      <c r="O39" s="43">
        <f t="shared" si="9"/>
        <v>0</v>
      </c>
      <c r="P39" s="42">
        <f t="shared" si="9"/>
        <v>0</v>
      </c>
      <c r="Q39" s="39" t="e">
        <f t="shared" si="9"/>
        <v>#DIV/0!</v>
      </c>
      <c r="R39" s="44"/>
      <c r="S39" s="45"/>
    </row>
    <row r="40" spans="1:24" ht="13" thickBot="1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46"/>
      <c r="L40" s="47"/>
      <c r="M40" s="47"/>
      <c r="N40" s="46"/>
      <c r="O40" s="46"/>
      <c r="P40" s="47"/>
      <c r="Q40" s="47"/>
      <c r="R40" s="5"/>
      <c r="S40" s="5"/>
    </row>
    <row r="41" spans="1:24" ht="22.5" customHeight="1" thickBot="1" x14ac:dyDescent="0.3">
      <c r="A41" s="355" t="s">
        <v>39</v>
      </c>
      <c r="B41" s="356"/>
      <c r="C41" s="356"/>
      <c r="D41" s="356"/>
      <c r="E41" s="356"/>
      <c r="F41" s="356"/>
      <c r="G41" s="356"/>
      <c r="H41" s="356"/>
      <c r="I41" s="356"/>
      <c r="J41" s="466" t="s">
        <v>34</v>
      </c>
      <c r="K41" s="467"/>
      <c r="L41" s="467"/>
      <c r="M41" s="467"/>
      <c r="N41" s="467"/>
      <c r="O41" s="467"/>
      <c r="P41" s="467"/>
      <c r="Q41" s="468"/>
      <c r="R41" s="5"/>
      <c r="S41" s="5"/>
    </row>
    <row r="42" spans="1:24" ht="40.5" customHeight="1" x14ac:dyDescent="0.25">
      <c r="A42" s="359" t="s">
        <v>72</v>
      </c>
      <c r="B42" s="360"/>
      <c r="C42" s="360"/>
      <c r="D42" s="48">
        <f>100-D44</f>
        <v>100</v>
      </c>
      <c r="E42" s="48">
        <f>100-E44</f>
        <v>95</v>
      </c>
      <c r="F42" s="48">
        <f t="shared" ref="F42:H43" si="10">100-F44</f>
        <v>35</v>
      </c>
      <c r="G42" s="48">
        <f t="shared" si="10"/>
        <v>8</v>
      </c>
      <c r="H42" s="48">
        <f t="shared" si="10"/>
        <v>5</v>
      </c>
      <c r="I42" s="50" t="s">
        <v>24</v>
      </c>
      <c r="J42" s="459" t="s">
        <v>51</v>
      </c>
      <c r="K42" s="433"/>
      <c r="L42" s="433" t="s">
        <v>55</v>
      </c>
      <c r="M42" s="433" t="s">
        <v>57</v>
      </c>
      <c r="N42" s="433" t="s">
        <v>52</v>
      </c>
      <c r="O42" s="433"/>
      <c r="P42" s="433"/>
      <c r="Q42" s="436" t="s">
        <v>60</v>
      </c>
      <c r="R42" s="5"/>
      <c r="S42" s="5"/>
    </row>
    <row r="43" spans="1:24" ht="40.5" customHeight="1" x14ac:dyDescent="0.25">
      <c r="A43" s="345"/>
      <c r="B43" s="346"/>
      <c r="C43" s="346"/>
      <c r="D43" s="51">
        <f>100-D45</f>
        <v>95</v>
      </c>
      <c r="E43" s="51">
        <f>100-E45</f>
        <v>75</v>
      </c>
      <c r="F43" s="51">
        <f t="shared" si="10"/>
        <v>5</v>
      </c>
      <c r="G43" s="51">
        <f t="shared" si="10"/>
        <v>0</v>
      </c>
      <c r="H43" s="51">
        <f t="shared" si="10"/>
        <v>0</v>
      </c>
      <c r="I43" s="53" t="s">
        <v>24</v>
      </c>
      <c r="J43" s="460"/>
      <c r="K43" s="434"/>
      <c r="L43" s="434"/>
      <c r="M43" s="434"/>
      <c r="N43" s="434"/>
      <c r="O43" s="434"/>
      <c r="P43" s="434"/>
      <c r="Q43" s="437"/>
      <c r="R43" s="5"/>
      <c r="S43" s="5"/>
    </row>
    <row r="44" spans="1:24" ht="40.5" customHeight="1" x14ac:dyDescent="0.25">
      <c r="A44" s="464" t="s">
        <v>71</v>
      </c>
      <c r="B44" s="465"/>
      <c r="C44" s="465"/>
      <c r="D44" s="93">
        <v>0</v>
      </c>
      <c r="E44" s="57">
        <v>5</v>
      </c>
      <c r="F44" s="57">
        <v>65</v>
      </c>
      <c r="G44" s="57">
        <v>92</v>
      </c>
      <c r="H44" s="57">
        <v>95</v>
      </c>
      <c r="I44" s="59" t="s">
        <v>24</v>
      </c>
      <c r="J44" s="460"/>
      <c r="K44" s="434"/>
      <c r="L44" s="434"/>
      <c r="M44" s="434"/>
      <c r="N44" s="434"/>
      <c r="O44" s="434"/>
      <c r="P44" s="434"/>
      <c r="Q44" s="437"/>
      <c r="R44" s="5"/>
      <c r="S44" s="5"/>
    </row>
    <row r="45" spans="1:24" ht="40.5" customHeight="1" thickBot="1" x14ac:dyDescent="0.3">
      <c r="A45" s="462"/>
      <c r="B45" s="463"/>
      <c r="C45" s="463"/>
      <c r="D45" s="95">
        <v>5</v>
      </c>
      <c r="E45" s="62">
        <v>25</v>
      </c>
      <c r="F45" s="62">
        <v>95</v>
      </c>
      <c r="G45" s="62">
        <v>100</v>
      </c>
      <c r="H45" s="62">
        <v>100</v>
      </c>
      <c r="I45" s="64" t="s">
        <v>24</v>
      </c>
      <c r="J45" s="461"/>
      <c r="K45" s="435"/>
      <c r="L45" s="435"/>
      <c r="M45" s="435"/>
      <c r="N45" s="435"/>
      <c r="O45" s="435"/>
      <c r="P45" s="435"/>
      <c r="Q45" s="438"/>
      <c r="R45" s="5"/>
      <c r="S45" s="5"/>
    </row>
    <row r="46" spans="1:24" ht="32.25" customHeight="1" x14ac:dyDescent="0.25">
      <c r="A46" s="496"/>
      <c r="B46" s="496"/>
      <c r="C46" s="496"/>
      <c r="D46" s="496"/>
      <c r="E46" s="496"/>
      <c r="F46" s="496"/>
      <c r="G46" s="496"/>
      <c r="H46" s="496"/>
      <c r="I46" s="496"/>
      <c r="J46" s="101"/>
      <c r="K46" s="101"/>
      <c r="L46" s="101"/>
      <c r="M46" s="101"/>
      <c r="N46" s="101"/>
      <c r="O46" s="101"/>
      <c r="P46" s="101"/>
      <c r="Q46" s="101"/>
      <c r="R46" s="5"/>
      <c r="S46" s="5"/>
    </row>
    <row r="47" spans="1:24" ht="18.75" customHeight="1" thickBot="1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spans="1:24" ht="15.75" customHeight="1" x14ac:dyDescent="0.25">
      <c r="A48" s="5"/>
      <c r="B48" s="5"/>
      <c r="C48" s="5"/>
      <c r="D48" s="5"/>
      <c r="E48" s="500" t="s">
        <v>42</v>
      </c>
      <c r="F48" s="501"/>
      <c r="G48" s="501"/>
      <c r="H48" s="501"/>
      <c r="I48" s="501"/>
      <c r="J48" s="501"/>
      <c r="K48" s="501"/>
      <c r="L48" s="501"/>
      <c r="M48" s="501"/>
      <c r="N48" s="501"/>
      <c r="O48" s="501"/>
      <c r="P48" s="501"/>
      <c r="Q48" s="502"/>
      <c r="R48" s="5"/>
      <c r="S48" s="5"/>
    </row>
    <row r="49" spans="1:19" ht="18.75" customHeight="1" thickBot="1" x14ac:dyDescent="0.3">
      <c r="A49" s="5"/>
      <c r="B49" s="5"/>
      <c r="C49" s="5"/>
      <c r="D49" s="5"/>
      <c r="E49" s="503" t="s">
        <v>43</v>
      </c>
      <c r="F49" s="504"/>
      <c r="G49" s="504"/>
      <c r="H49" s="504"/>
      <c r="I49" s="504"/>
      <c r="J49" s="504"/>
      <c r="K49" s="504"/>
      <c r="L49" s="110" t="s">
        <v>44</v>
      </c>
      <c r="M49" s="110" t="s">
        <v>45</v>
      </c>
      <c r="N49" s="505" t="s">
        <v>56</v>
      </c>
      <c r="O49" s="505"/>
      <c r="P49" s="505"/>
      <c r="Q49" s="111" t="s">
        <v>61</v>
      </c>
      <c r="R49" s="5"/>
      <c r="S49" s="5"/>
    </row>
    <row r="50" spans="1:19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1:19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1:19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1:19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spans="1:19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spans="1:19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spans="1:19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spans="1:19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spans="1:19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spans="1:19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spans="1:19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spans="1:19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spans="1:19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spans="1:19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</sheetData>
  <sheetProtection insertRows="0"/>
  <mergeCells count="37">
    <mergeCell ref="A46:I46"/>
    <mergeCell ref="E48:Q48"/>
    <mergeCell ref="E49:K49"/>
    <mergeCell ref="N49:P49"/>
    <mergeCell ref="J41:Q41"/>
    <mergeCell ref="A42:C43"/>
    <mergeCell ref="J42:J45"/>
    <mergeCell ref="K42:K45"/>
    <mergeCell ref="L42:L45"/>
    <mergeCell ref="M42:M45"/>
    <mergeCell ref="N42:N45"/>
    <mergeCell ref="O42:O45"/>
    <mergeCell ref="P42:P45"/>
    <mergeCell ref="Q42:Q45"/>
    <mergeCell ref="A41:I41"/>
    <mergeCell ref="A44:C45"/>
    <mergeCell ref="I5:I6"/>
    <mergeCell ref="A36:C36"/>
    <mergeCell ref="A37:C37"/>
    <mergeCell ref="A38:C38"/>
    <mergeCell ref="A39:C39"/>
    <mergeCell ref="S4:S6"/>
    <mergeCell ref="A1:S1"/>
    <mergeCell ref="A2:S2"/>
    <mergeCell ref="A4:A6"/>
    <mergeCell ref="B4:B6"/>
    <mergeCell ref="C4:C6"/>
    <mergeCell ref="D4:I4"/>
    <mergeCell ref="J4:J6"/>
    <mergeCell ref="K4:K6"/>
    <mergeCell ref="L4:L6"/>
    <mergeCell ref="M4:M6"/>
    <mergeCell ref="N4:N6"/>
    <mergeCell ref="O4:O6"/>
    <mergeCell ref="P4:P6"/>
    <mergeCell ref="Q4:Q6"/>
    <mergeCell ref="R4:R6"/>
  </mergeCells>
  <conditionalFormatting sqref="J7:K35">
    <cfRule type="cellIs" dxfId="0" priority="1" operator="equal">
      <formula>""</formula>
    </cfRule>
  </conditionalFormatting>
  <printOptions horizontalCentered="1"/>
  <pageMargins left="0.39370078740157483" right="0.39370078740157483" top="0.82677165354330717" bottom="0.55118110236220474" header="0.51181102362204722" footer="0.35433070866141736"/>
  <pageSetup paperSize="9" scale="50" firstPageNumber="41" fitToHeight="0" orientation="landscape" errors="dash" r:id="rId1"/>
  <headerFooter alignWithMargins="0">
    <oddHeader>&amp;R&amp;G</oddHeader>
    <oddFooter>&amp;C&amp;P&amp;R&amp;F</oddFooter>
  </headerFooter>
  <legacy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10</vt:i4>
      </vt:variant>
      <vt:variant>
        <vt:lpstr>Gráficos</vt:lpstr>
      </vt:variant>
      <vt:variant>
        <vt:i4>8</vt:i4>
      </vt:variant>
      <vt:variant>
        <vt:lpstr>Intervalos Nomeados</vt:lpstr>
      </vt:variant>
      <vt:variant>
        <vt:i4>19</vt:i4>
      </vt:variant>
    </vt:vector>
  </HeadingPairs>
  <TitlesOfParts>
    <vt:vector size="37" baseType="lpstr">
      <vt:lpstr>FR-IMOB-42_Rev00</vt:lpstr>
      <vt:lpstr>Amostra 1</vt:lpstr>
      <vt:lpstr>A. Natural </vt:lpstr>
      <vt:lpstr>A. Artificial C.Força</vt:lpstr>
      <vt:lpstr>A. Artificial Pedreira</vt:lpstr>
      <vt:lpstr>Brita 0 Pedreira</vt:lpstr>
      <vt:lpstr>Brita 1 C. Força</vt:lpstr>
      <vt:lpstr>Brita 1 Pedreira</vt:lpstr>
      <vt:lpstr>Brita 2 Pedreira</vt:lpstr>
      <vt:lpstr>Brita 2 C.Força</vt:lpstr>
      <vt:lpstr>Gráf A.Natural</vt:lpstr>
      <vt:lpstr>Gráf A.Artificial C. Força</vt:lpstr>
      <vt:lpstr>Gráf A. Artificial Pedreira</vt:lpstr>
      <vt:lpstr>Gráf Brita 0 Pedreira</vt:lpstr>
      <vt:lpstr>Gráf Brita 1 C.Força</vt:lpstr>
      <vt:lpstr>Gráf Brita 1 Pedreira</vt:lpstr>
      <vt:lpstr>Gráf Brita 2</vt:lpstr>
      <vt:lpstr>Gráf Brita 2 C.Força</vt:lpstr>
      <vt:lpstr>'A. Artificial C.Força'!Area_de_impressao</vt:lpstr>
      <vt:lpstr>'A. Artificial Pedreira'!Area_de_impressao</vt:lpstr>
      <vt:lpstr>'A. Natural '!Area_de_impressao</vt:lpstr>
      <vt:lpstr>'Amostra 1'!Area_de_impressao</vt:lpstr>
      <vt:lpstr>'Brita 0 Pedreira'!Area_de_impressao</vt:lpstr>
      <vt:lpstr>'Brita 1 C. Força'!Area_de_impressao</vt:lpstr>
      <vt:lpstr>'Brita 1 Pedreira'!Area_de_impressao</vt:lpstr>
      <vt:lpstr>'Brita 2 C.Força'!Area_de_impressao</vt:lpstr>
      <vt:lpstr>'Brita 2 Pedreira'!Area_de_impressao</vt:lpstr>
      <vt:lpstr>'FR-IMOB-42_Rev00'!Area_de_impressao</vt:lpstr>
      <vt:lpstr>'A. Artificial C.Força'!Titulos_de_impressao</vt:lpstr>
      <vt:lpstr>'A. Artificial Pedreira'!Titulos_de_impressao</vt:lpstr>
      <vt:lpstr>'A. Natural '!Titulos_de_impressao</vt:lpstr>
      <vt:lpstr>'Brita 0 Pedreira'!Titulos_de_impressao</vt:lpstr>
      <vt:lpstr>'Brita 1 C. Força'!Titulos_de_impressao</vt:lpstr>
      <vt:lpstr>'Brita 1 Pedreira'!Titulos_de_impressao</vt:lpstr>
      <vt:lpstr>'Brita 2 C.Força'!Titulos_de_impressao</vt:lpstr>
      <vt:lpstr>'Brita 2 Pedreira'!Titulos_de_impressao</vt:lpstr>
      <vt:lpstr>'FR-IMOB-42_Rev00'!Titulos_de_impressao</vt:lpstr>
    </vt:vector>
  </TitlesOfParts>
  <Company>Holanda Engenharia Ltda.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Controle Tecnológico dos Agregados</dc:title>
  <dc:subject>Relatório Mensal do CQ</dc:subject>
  <dc:creator>marcosfabiano@rotadooeste.com.br</dc:creator>
  <cp:lastModifiedBy>Samara Rodrigues Dos Santos</cp:lastModifiedBy>
  <cp:lastPrinted>2023-03-28T16:15:49Z</cp:lastPrinted>
  <dcterms:created xsi:type="dcterms:W3CDTF">2004-03-01T11:33:51Z</dcterms:created>
  <dcterms:modified xsi:type="dcterms:W3CDTF">2026-02-16T15:37:37Z</dcterms:modified>
</cp:coreProperties>
</file>