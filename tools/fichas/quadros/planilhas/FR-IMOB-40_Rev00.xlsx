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harts/chart7.xml" ContentType="application/vnd.openxmlformats-officedocument.drawingml.chart+xml"/>
  <Override PartName="/xl/drawings/drawing17.xml" ContentType="application/vnd.openxmlformats-officedocument.drawingml.chartshapes+xml"/>
  <Override PartName="/xl/comments7.xml" ContentType="application/vnd.openxmlformats-officedocument.spreadsheetml.comments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ml.chartshapes+xml"/>
  <Override PartName="/xl/comments8.xml" ContentType="application/vnd.openxmlformats-officedocument.spreadsheetml.comments+xml"/>
  <Override PartName="/xl/drawings/drawing20.xml" ContentType="application/vnd.openxmlformats-officedocument.drawing+xml"/>
  <Override PartName="/xl/charts/chart9.xml" ContentType="application/vnd.openxmlformats-officedocument.drawingml.chart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16E1D57C-B0F4-4173-B63A-FBF1610EE960}" xr6:coauthVersionLast="47" xr6:coauthVersionMax="47" xr10:uidLastSave="{00000000-0000-0000-0000-000000000000}"/>
  <bookViews>
    <workbookView xWindow="-28910" yWindow="-1730" windowWidth="29020" windowHeight="15820" tabRatio="884" firstSheet="1" activeTab="1" xr2:uid="{00000000-000D-0000-FFFF-FFFF00000000}"/>
  </bookViews>
  <sheets>
    <sheet name="Amostra 1" sheetId="207" state="hidden" r:id="rId1"/>
    <sheet name="FR-IMOB-40_REV00" sheetId="201" r:id="rId2"/>
    <sheet name="A. Natural " sheetId="14" state="hidden" r:id="rId3"/>
    <sheet name="Gráf A.Natural" sheetId="15" state="hidden" r:id="rId4"/>
    <sheet name="A. Artificial C.Força" sheetId="172" state="hidden" r:id="rId5"/>
    <sheet name="Gráf A.Artificial C. Força" sheetId="173" state="hidden" r:id="rId6"/>
    <sheet name="A. Artificial Pedreira" sheetId="183" state="hidden" r:id="rId7"/>
    <sheet name="Gráf A. Artificial Pedreira" sheetId="185" state="hidden" r:id="rId8"/>
    <sheet name="Brita 0 Pedreira" sheetId="174" state="hidden" r:id="rId9"/>
    <sheet name="Gráf Brita 0 Pedreira" sheetId="175" state="hidden" r:id="rId10"/>
    <sheet name="Brita 1 C. Força" sheetId="176" state="hidden" r:id="rId11"/>
    <sheet name="Gráf Brita 1 C.Força" sheetId="177" state="hidden" r:id="rId12"/>
    <sheet name="Brita 1 Pedreira" sheetId="184" state="hidden" r:id="rId13"/>
    <sheet name="Gráf Brita 1 Pedreira" sheetId="186" state="hidden" r:id="rId14"/>
    <sheet name="Brita 2 Pedreira" sheetId="195" state="hidden" r:id="rId15"/>
    <sheet name="Gráf Brita 2" sheetId="196" state="hidden" r:id="rId16"/>
    <sheet name="Brita 2 C.Força" sheetId="187" state="hidden" r:id="rId17"/>
    <sheet name="Gráf Brita 2 C.Força" sheetId="188" state="hidden" r:id="rId18"/>
  </sheets>
  <externalReferences>
    <externalReference r:id="rId19"/>
  </externalReferences>
  <definedNames>
    <definedName name="__1__123Graph_ACHART_1" hidden="1">[1]CP1ens1!$B$9:$B$45</definedName>
    <definedName name="__2__123Graph_BCHART_1" hidden="1">[1]CP1ens1!$L$9:$L$45</definedName>
    <definedName name="__B106440" localSheetId="6">#REF!</definedName>
    <definedName name="__B106440" localSheetId="12">#REF!</definedName>
    <definedName name="__B106440" localSheetId="16">#REF!</definedName>
    <definedName name="__B106440" localSheetId="1">#REF!</definedName>
    <definedName name="__B106440">#REF!</definedName>
    <definedName name="__B106441" localSheetId="6">#REF!</definedName>
    <definedName name="__B106441" localSheetId="12">#REF!</definedName>
    <definedName name="__B106441" localSheetId="16">#REF!</definedName>
    <definedName name="__B106441" localSheetId="1">#REF!</definedName>
    <definedName name="__B106441">#REF!</definedName>
    <definedName name="_1__123Graph_ACHART_1" hidden="1">[1]CP1ens1!$B$9:$B$45</definedName>
    <definedName name="_2__123Graph_BCHART_1" hidden="1">[1]CP1ens1!$L$9:$L$45</definedName>
    <definedName name="_b" localSheetId="12">#REF!</definedName>
    <definedName name="_b" localSheetId="16">#REF!</definedName>
    <definedName name="_b" localSheetId="1">#REF!</definedName>
    <definedName name="_b">#REF!</definedName>
    <definedName name="_B106440" localSheetId="6">#REF!</definedName>
    <definedName name="_B106440" localSheetId="12">#REF!</definedName>
    <definedName name="_B106440" localSheetId="16">#REF!</definedName>
    <definedName name="_B106440" localSheetId="1">#REF!</definedName>
    <definedName name="_B106440">#REF!</definedName>
    <definedName name="_B106441" localSheetId="6">#REF!</definedName>
    <definedName name="_B106441" localSheetId="12">#REF!</definedName>
    <definedName name="_B106441" localSheetId="16">#REF!</definedName>
    <definedName name="_B106441" localSheetId="1">#REF!</definedName>
    <definedName name="_B106441">#REF!</definedName>
    <definedName name="_B106442" localSheetId="12">#REF!</definedName>
    <definedName name="_B106442" localSheetId="16">#REF!</definedName>
    <definedName name="_B106442" localSheetId="1">#REF!</definedName>
    <definedName name="_B106442">#REF!</definedName>
    <definedName name="abril" localSheetId="6">#REF!</definedName>
    <definedName name="abril" localSheetId="12">#REF!</definedName>
    <definedName name="abril" localSheetId="16">#REF!</definedName>
    <definedName name="abril" localSheetId="1">#REF!</definedName>
    <definedName name="abril">#REF!</definedName>
    <definedName name="_xlnm.Print_Area" localSheetId="4">'A. Artificial C.Força'!$A$1:$U$39</definedName>
    <definedName name="_xlnm.Print_Area" localSheetId="6">'A. Artificial Pedreira'!$A$1:$U$39</definedName>
    <definedName name="_xlnm.Print_Area" localSheetId="2">'A. Natural '!$A$1:$V$39</definedName>
    <definedName name="_xlnm.Print_Area" localSheetId="0">'Amostra 1'!$B$1:$K$48</definedName>
    <definedName name="_xlnm.Print_Area" localSheetId="8">'Brita 0 Pedreira'!$A$1:$R$39</definedName>
    <definedName name="_xlnm.Print_Area" localSheetId="10">'Brita 1 C. Força'!$A$1:$T$39</definedName>
    <definedName name="_xlnm.Print_Area" localSheetId="12">'Brita 1 Pedreira'!$A$1:$T$39</definedName>
    <definedName name="_xlnm.Print_Area" localSheetId="16">'Brita 2 C.Força'!$A$1:$S$39</definedName>
    <definedName name="_xlnm.Print_Area" localSheetId="14">'Brita 2 Pedreira'!$A$1:$S$39</definedName>
    <definedName name="_xlnm.Print_Area" localSheetId="1">'FR-IMOB-40_REV00'!$A$1:$O$182</definedName>
    <definedName name="cd" localSheetId="16">#REF!</definedName>
    <definedName name="cd" localSheetId="1">#REF!</definedName>
    <definedName name="cd">#REF!</definedName>
    <definedName name="CE">[1]CP1ens1!$J$20</definedName>
    <definedName name="CEE">[1]CP1ens1!$J$21</definedName>
    <definedName name="K">[1]CP1ens1!$J$19</definedName>
    <definedName name="_xlnm.Print_Titles" localSheetId="4">'A. Artificial C.Força'!$1:$6</definedName>
    <definedName name="_xlnm.Print_Titles" localSheetId="6">'A. Artificial Pedreira'!$1:$6</definedName>
    <definedName name="_xlnm.Print_Titles" localSheetId="2">'A. Natural '!$1:$6</definedName>
    <definedName name="_xlnm.Print_Titles" localSheetId="8">'Brita 0 Pedreira'!$1:$6</definedName>
    <definedName name="_xlnm.Print_Titles" localSheetId="10">'Brita 1 C. Força'!$1:$6</definedName>
    <definedName name="_xlnm.Print_Titles" localSheetId="12">'Brita 1 Pedreira'!$1:$6</definedName>
    <definedName name="_xlnm.Print_Titles" localSheetId="16">'Brita 2 C.Força'!$1:$6</definedName>
    <definedName name="_xlnm.Print_Titles" localSheetId="14">'Brita 2 Pedreira'!$1:$6</definedName>
    <definedName name="_xlnm.Print_Titles" localSheetId="1">'FR-IMOB-40_REV00'!$7:$12</definedName>
    <definedName name="Z_75CAE800_00A7_11D8_89C6_E283A506403D_.wvu.PrintArea" localSheetId="0" hidden="1">'Amostra 1'!$B$1:$K$48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3" i="201" l="1"/>
  <c r="H174" i="201"/>
  <c r="H175" i="201"/>
  <c r="H176" i="201"/>
  <c r="H177" i="201"/>
  <c r="G174" i="201"/>
  <c r="E44" i="207"/>
  <c r="F20" i="207"/>
  <c r="Z13" i="207" s="1"/>
  <c r="E19" i="207"/>
  <c r="E17" i="207"/>
  <c r="D17" i="207"/>
  <c r="D19" i="207" s="1"/>
  <c r="C17" i="207"/>
  <c r="C19" i="207" s="1"/>
  <c r="F19" i="207" s="1"/>
  <c r="Y13" i="207" s="1"/>
  <c r="J16" i="207"/>
  <c r="J17" i="207" s="1"/>
  <c r="AG13" i="207"/>
  <c r="AF13" i="207"/>
  <c r="AE13" i="207"/>
  <c r="AD13" i="207"/>
  <c r="AC13" i="207"/>
  <c r="AB13" i="207"/>
  <c r="AA13" i="207"/>
  <c r="T12" i="207"/>
  <c r="S12" i="207"/>
  <c r="R12" i="207"/>
  <c r="Q12" i="207"/>
  <c r="P12" i="207"/>
  <c r="O12" i="207"/>
  <c r="N12" i="207"/>
  <c r="M12" i="207"/>
  <c r="Y10" i="207"/>
  <c r="X10" i="207"/>
  <c r="V10" i="207"/>
  <c r="Y9" i="207"/>
  <c r="X9" i="207"/>
  <c r="V9" i="207"/>
  <c r="K9" i="207"/>
  <c r="K10" i="207" s="1"/>
  <c r="E9" i="207"/>
  <c r="E10" i="207" s="1"/>
  <c r="E13" i="207" s="1"/>
  <c r="D9" i="207"/>
  <c r="D10" i="207" s="1"/>
  <c r="D13" i="207" s="1"/>
  <c r="C9" i="207"/>
  <c r="C10" i="207" s="1"/>
  <c r="Y8" i="207"/>
  <c r="X8" i="207"/>
  <c r="V8" i="207"/>
  <c r="Y7" i="207"/>
  <c r="X7" i="207"/>
  <c r="V7" i="207"/>
  <c r="K7" i="207"/>
  <c r="Y6" i="207"/>
  <c r="X6" i="207"/>
  <c r="V6" i="207"/>
  <c r="Y5" i="207"/>
  <c r="X5" i="207"/>
  <c r="V5" i="207"/>
  <c r="Y4" i="207"/>
  <c r="X4" i="207"/>
  <c r="V4" i="207"/>
  <c r="Q4" i="207"/>
  <c r="Y3" i="207"/>
  <c r="X3" i="207"/>
  <c r="V3" i="207"/>
  <c r="Q2" i="207"/>
  <c r="L177" i="201"/>
  <c r="K177" i="201"/>
  <c r="J177" i="201"/>
  <c r="I177" i="201"/>
  <c r="G177" i="201"/>
  <c r="L176" i="201"/>
  <c r="K176" i="201"/>
  <c r="J176" i="201"/>
  <c r="I176" i="201"/>
  <c r="G176" i="201"/>
  <c r="L175" i="201"/>
  <c r="K175" i="201"/>
  <c r="J175" i="201"/>
  <c r="I175" i="201"/>
  <c r="G175" i="201"/>
  <c r="L174" i="201"/>
  <c r="K174" i="201"/>
  <c r="J174" i="201"/>
  <c r="I174" i="201"/>
  <c r="L173" i="201"/>
  <c r="K173" i="201"/>
  <c r="J173" i="201"/>
  <c r="I173" i="201"/>
  <c r="G173" i="201"/>
  <c r="F172" i="201"/>
  <c r="E172" i="201"/>
  <c r="F171" i="201"/>
  <c r="E171" i="201"/>
  <c r="F170" i="201"/>
  <c r="E170" i="201"/>
  <c r="F169" i="201"/>
  <c r="E169" i="201"/>
  <c r="F168" i="201"/>
  <c r="E168" i="201"/>
  <c r="F167" i="201"/>
  <c r="E167" i="201"/>
  <c r="F166" i="201"/>
  <c r="E166" i="201"/>
  <c r="F165" i="201"/>
  <c r="E165" i="201"/>
  <c r="F164" i="201"/>
  <c r="E164" i="201"/>
  <c r="F163" i="201"/>
  <c r="E163" i="201"/>
  <c r="F162" i="201"/>
  <c r="E162" i="201"/>
  <c r="F161" i="201"/>
  <c r="E161" i="201"/>
  <c r="F160" i="201"/>
  <c r="E160" i="201"/>
  <c r="F159" i="201"/>
  <c r="E159" i="201"/>
  <c r="F158" i="201"/>
  <c r="E158" i="201"/>
  <c r="F157" i="201"/>
  <c r="E157" i="201"/>
  <c r="F156" i="201"/>
  <c r="E156" i="201"/>
  <c r="F155" i="201"/>
  <c r="E155" i="201"/>
  <c r="F154" i="201"/>
  <c r="E154" i="201"/>
  <c r="F153" i="201"/>
  <c r="E153" i="201"/>
  <c r="F152" i="201"/>
  <c r="E152" i="201"/>
  <c r="F151" i="201"/>
  <c r="E151" i="201"/>
  <c r="F150" i="201"/>
  <c r="E150" i="201"/>
  <c r="F149" i="201"/>
  <c r="E149" i="201"/>
  <c r="F148" i="201"/>
  <c r="E148" i="201"/>
  <c r="F147" i="201"/>
  <c r="E147" i="201"/>
  <c r="F146" i="201"/>
  <c r="E146" i="201"/>
  <c r="F145" i="201"/>
  <c r="E145" i="201"/>
  <c r="F144" i="201"/>
  <c r="E144" i="201"/>
  <c r="F143" i="201"/>
  <c r="E143" i="201"/>
  <c r="F142" i="201"/>
  <c r="E142" i="201"/>
  <c r="F141" i="201"/>
  <c r="E141" i="201"/>
  <c r="F140" i="201"/>
  <c r="E140" i="201"/>
  <c r="F139" i="201"/>
  <c r="E139" i="201"/>
  <c r="F138" i="201"/>
  <c r="E138" i="201"/>
  <c r="F137" i="201"/>
  <c r="E137" i="201"/>
  <c r="F136" i="201"/>
  <c r="E136" i="201"/>
  <c r="F135" i="201"/>
  <c r="E135" i="201"/>
  <c r="F134" i="201"/>
  <c r="E134" i="201"/>
  <c r="F133" i="201"/>
  <c r="E133" i="201"/>
  <c r="F132" i="201"/>
  <c r="E132" i="201"/>
  <c r="F131" i="201"/>
  <c r="E131" i="201"/>
  <c r="F130" i="201"/>
  <c r="E130" i="201"/>
  <c r="F129" i="201"/>
  <c r="E129" i="201"/>
  <c r="F128" i="201"/>
  <c r="E128" i="201"/>
  <c r="F127" i="201"/>
  <c r="E127" i="201"/>
  <c r="F126" i="201"/>
  <c r="E126" i="201"/>
  <c r="F125" i="201"/>
  <c r="E125" i="201"/>
  <c r="F124" i="201"/>
  <c r="E124" i="201"/>
  <c r="F123" i="201"/>
  <c r="E123" i="201"/>
  <c r="F122" i="201"/>
  <c r="E122" i="201"/>
  <c r="F121" i="201"/>
  <c r="E121" i="201"/>
  <c r="F120" i="201"/>
  <c r="E120" i="201"/>
  <c r="F119" i="201"/>
  <c r="E119" i="201"/>
  <c r="F118" i="201"/>
  <c r="E118" i="201"/>
  <c r="F117" i="201"/>
  <c r="E117" i="201"/>
  <c r="F116" i="201"/>
  <c r="E116" i="201"/>
  <c r="F115" i="201"/>
  <c r="E115" i="201"/>
  <c r="F114" i="201"/>
  <c r="E114" i="201"/>
  <c r="F113" i="201"/>
  <c r="E113" i="201"/>
  <c r="F112" i="201"/>
  <c r="E112" i="201"/>
  <c r="F111" i="201"/>
  <c r="E111" i="201"/>
  <c r="F110" i="201"/>
  <c r="E110" i="201"/>
  <c r="F109" i="201"/>
  <c r="E109" i="201"/>
  <c r="F108" i="201"/>
  <c r="E108" i="201"/>
  <c r="F107" i="201"/>
  <c r="E107" i="201"/>
  <c r="F106" i="201"/>
  <c r="E106" i="201"/>
  <c r="F105" i="201"/>
  <c r="E105" i="201"/>
  <c r="F104" i="201"/>
  <c r="E104" i="201"/>
  <c r="F103" i="201"/>
  <c r="E103" i="201"/>
  <c r="F102" i="201"/>
  <c r="E102" i="201"/>
  <c r="F101" i="201"/>
  <c r="E101" i="201"/>
  <c r="F100" i="201"/>
  <c r="E100" i="201"/>
  <c r="F99" i="201"/>
  <c r="E99" i="201"/>
  <c r="F98" i="201"/>
  <c r="E98" i="201"/>
  <c r="F97" i="201"/>
  <c r="E97" i="201"/>
  <c r="F96" i="201"/>
  <c r="E96" i="201"/>
  <c r="F95" i="201"/>
  <c r="E95" i="201"/>
  <c r="F94" i="201"/>
  <c r="E94" i="201"/>
  <c r="F93" i="201"/>
  <c r="E93" i="201"/>
  <c r="F92" i="201"/>
  <c r="E92" i="201"/>
  <c r="F91" i="201"/>
  <c r="E91" i="201"/>
  <c r="F90" i="201"/>
  <c r="E90" i="201"/>
  <c r="F89" i="201"/>
  <c r="E89" i="201"/>
  <c r="F88" i="201"/>
  <c r="E88" i="201"/>
  <c r="F87" i="201"/>
  <c r="E87" i="201"/>
  <c r="F86" i="201"/>
  <c r="E86" i="201"/>
  <c r="F85" i="201"/>
  <c r="E85" i="201"/>
  <c r="F84" i="201"/>
  <c r="E84" i="201"/>
  <c r="F83" i="201"/>
  <c r="E83" i="201"/>
  <c r="F82" i="201"/>
  <c r="E82" i="201"/>
  <c r="F81" i="201"/>
  <c r="E81" i="201"/>
  <c r="F80" i="201"/>
  <c r="E80" i="201"/>
  <c r="F79" i="201"/>
  <c r="E79" i="201"/>
  <c r="F78" i="201"/>
  <c r="E78" i="201"/>
  <c r="F77" i="201"/>
  <c r="E77" i="201"/>
  <c r="F76" i="201"/>
  <c r="E76" i="201"/>
  <c r="F75" i="201"/>
  <c r="E75" i="201"/>
  <c r="F74" i="201"/>
  <c r="E74" i="201"/>
  <c r="F73" i="201"/>
  <c r="E73" i="201"/>
  <c r="F72" i="201"/>
  <c r="E72" i="201"/>
  <c r="F71" i="201"/>
  <c r="E71" i="201"/>
  <c r="F70" i="201"/>
  <c r="E70" i="201"/>
  <c r="F69" i="201"/>
  <c r="E69" i="201"/>
  <c r="F68" i="201"/>
  <c r="E68" i="201"/>
  <c r="F67" i="201"/>
  <c r="E67" i="201"/>
  <c r="F66" i="201"/>
  <c r="E66" i="201"/>
  <c r="F65" i="201"/>
  <c r="E65" i="201"/>
  <c r="F64" i="201"/>
  <c r="E64" i="201"/>
  <c r="F63" i="201"/>
  <c r="E63" i="201"/>
  <c r="F62" i="201"/>
  <c r="E62" i="201"/>
  <c r="F61" i="201"/>
  <c r="E61" i="201"/>
  <c r="F60" i="201"/>
  <c r="E60" i="201"/>
  <c r="F59" i="201"/>
  <c r="E59" i="201"/>
  <c r="F58" i="201"/>
  <c r="E58" i="201"/>
  <c r="F57" i="201"/>
  <c r="E57" i="201"/>
  <c r="F56" i="201"/>
  <c r="E56" i="201"/>
  <c r="F55" i="201"/>
  <c r="E55" i="201"/>
  <c r="F54" i="201"/>
  <c r="E54" i="201"/>
  <c r="F53" i="201"/>
  <c r="E53" i="201"/>
  <c r="F52" i="201"/>
  <c r="E52" i="201"/>
  <c r="F51" i="201"/>
  <c r="E51" i="201"/>
  <c r="F50" i="201"/>
  <c r="E50" i="201"/>
  <c r="F49" i="201"/>
  <c r="E49" i="201"/>
  <c r="E173" i="201" l="1"/>
  <c r="E177" i="201"/>
  <c r="E176" i="201"/>
  <c r="E175" i="201"/>
  <c r="E174" i="201"/>
  <c r="F175" i="201"/>
  <c r="F176" i="201"/>
  <c r="F177" i="201"/>
  <c r="F173" i="201"/>
  <c r="F174" i="201"/>
  <c r="K17" i="207"/>
  <c r="J18" i="207"/>
  <c r="C13" i="207"/>
  <c r="F10" i="207"/>
  <c r="V13" i="207" s="1"/>
  <c r="N8" i="207"/>
  <c r="U13" i="207"/>
  <c r="K16" i="207"/>
  <c r="H43" i="195"/>
  <c r="G43" i="195"/>
  <c r="F43" i="195"/>
  <c r="E43" i="195"/>
  <c r="D43" i="195"/>
  <c r="H42" i="195"/>
  <c r="G42" i="195"/>
  <c r="F42" i="195"/>
  <c r="E42" i="195"/>
  <c r="D42" i="195"/>
  <c r="Q39" i="195"/>
  <c r="P39" i="195"/>
  <c r="O39" i="195"/>
  <c r="N39" i="195"/>
  <c r="M39" i="195"/>
  <c r="L39" i="195"/>
  <c r="I39" i="195"/>
  <c r="H39" i="195"/>
  <c r="G39" i="195"/>
  <c r="F39" i="195"/>
  <c r="E39" i="195"/>
  <c r="D39" i="195"/>
  <c r="Q38" i="195"/>
  <c r="P38" i="195"/>
  <c r="O38" i="195"/>
  <c r="N38" i="195"/>
  <c r="M38" i="195"/>
  <c r="L38" i="195"/>
  <c r="I38" i="195"/>
  <c r="H38" i="195"/>
  <c r="G38" i="195"/>
  <c r="F38" i="195"/>
  <c r="E38" i="195"/>
  <c r="D38" i="195"/>
  <c r="Q37" i="195"/>
  <c r="P37" i="195"/>
  <c r="O37" i="195"/>
  <c r="N37" i="195"/>
  <c r="M37" i="195"/>
  <c r="L37" i="195"/>
  <c r="I37" i="195"/>
  <c r="H37" i="195"/>
  <c r="G37" i="195"/>
  <c r="F37" i="195"/>
  <c r="E37" i="195"/>
  <c r="D37" i="195"/>
  <c r="Q36" i="195"/>
  <c r="P36" i="195"/>
  <c r="O36" i="195"/>
  <c r="N36" i="195"/>
  <c r="M36" i="195"/>
  <c r="L36" i="195"/>
  <c r="I36" i="195"/>
  <c r="H36" i="195"/>
  <c r="G36" i="195"/>
  <c r="F36" i="195"/>
  <c r="E36" i="195"/>
  <c r="D36" i="195"/>
  <c r="K35" i="195"/>
  <c r="J35" i="195"/>
  <c r="K34" i="195"/>
  <c r="J34" i="195"/>
  <c r="K33" i="195"/>
  <c r="J33" i="195"/>
  <c r="K32" i="195"/>
  <c r="J32" i="195"/>
  <c r="K31" i="195"/>
  <c r="J31" i="195"/>
  <c r="K30" i="195"/>
  <c r="J30" i="195"/>
  <c r="K29" i="195"/>
  <c r="J29" i="195"/>
  <c r="K28" i="195"/>
  <c r="J28" i="195"/>
  <c r="K27" i="195"/>
  <c r="J27" i="195"/>
  <c r="K26" i="195"/>
  <c r="J26" i="195"/>
  <c r="K25" i="195"/>
  <c r="J25" i="195"/>
  <c r="K24" i="195"/>
  <c r="J24" i="195"/>
  <c r="K22" i="195"/>
  <c r="J22" i="195"/>
  <c r="K21" i="195"/>
  <c r="J21" i="195"/>
  <c r="K20" i="195"/>
  <c r="J20" i="195"/>
  <c r="K19" i="195"/>
  <c r="J19" i="195"/>
  <c r="K18" i="195"/>
  <c r="J18" i="195"/>
  <c r="K17" i="195"/>
  <c r="J17" i="195"/>
  <c r="K16" i="195"/>
  <c r="J16" i="195"/>
  <c r="K15" i="195"/>
  <c r="J15" i="195"/>
  <c r="K14" i="195"/>
  <c r="J14" i="195"/>
  <c r="K13" i="195"/>
  <c r="J13" i="195"/>
  <c r="K12" i="195"/>
  <c r="J12" i="195"/>
  <c r="K11" i="195"/>
  <c r="J11" i="195"/>
  <c r="K10" i="195"/>
  <c r="J10" i="195"/>
  <c r="K9" i="195"/>
  <c r="J9" i="195"/>
  <c r="K7" i="195"/>
  <c r="K38" i="195" s="1"/>
  <c r="J7" i="195"/>
  <c r="K8" i="187"/>
  <c r="J8" i="187"/>
  <c r="K7" i="187"/>
  <c r="J7" i="187"/>
  <c r="L8" i="184"/>
  <c r="K8" i="184"/>
  <c r="L7" i="184"/>
  <c r="K7" i="184"/>
  <c r="L8" i="176"/>
  <c r="K8" i="176"/>
  <c r="L7" i="176"/>
  <c r="K7" i="176"/>
  <c r="K8" i="174"/>
  <c r="J8" i="174"/>
  <c r="K7" i="174"/>
  <c r="J7" i="174"/>
  <c r="N8" i="183"/>
  <c r="M8" i="183"/>
  <c r="N7" i="183"/>
  <c r="M7" i="183"/>
  <c r="K36" i="172"/>
  <c r="N8" i="172"/>
  <c r="M8" i="172"/>
  <c r="N7" i="172"/>
  <c r="M7" i="172"/>
  <c r="M7" i="14"/>
  <c r="N7" i="14"/>
  <c r="M8" i="14"/>
  <c r="N8" i="14"/>
  <c r="W3" i="207" l="1"/>
  <c r="M13" i="207"/>
  <c r="Q5" i="207"/>
  <c r="Q6" i="207"/>
  <c r="Q7" i="207"/>
  <c r="Q3" i="207"/>
  <c r="J19" i="207"/>
  <c r="K18" i="207"/>
  <c r="J37" i="195"/>
  <c r="K36" i="195"/>
  <c r="K37" i="195"/>
  <c r="K39" i="195"/>
  <c r="N13" i="207" l="1"/>
  <c r="W4" i="207"/>
  <c r="K19" i="207"/>
  <c r="J20" i="207"/>
  <c r="Q8" i="207"/>
  <c r="P8" i="207" s="1"/>
  <c r="F36" i="14"/>
  <c r="I36" i="183"/>
  <c r="K9" i="187"/>
  <c r="K10" i="187"/>
  <c r="K11" i="187"/>
  <c r="K12" i="187"/>
  <c r="K13" i="187"/>
  <c r="K14" i="187"/>
  <c r="K15" i="187"/>
  <c r="K16" i="187"/>
  <c r="K17" i="187"/>
  <c r="K18" i="187"/>
  <c r="K19" i="187"/>
  <c r="K20" i="187"/>
  <c r="K21" i="187"/>
  <c r="K22" i="187"/>
  <c r="K23" i="187"/>
  <c r="K24" i="187"/>
  <c r="K25" i="187"/>
  <c r="K26" i="187"/>
  <c r="K27" i="187"/>
  <c r="K28" i="187"/>
  <c r="K29" i="187"/>
  <c r="K30" i="187"/>
  <c r="K31" i="187"/>
  <c r="K32" i="187"/>
  <c r="K33" i="187"/>
  <c r="K34" i="187"/>
  <c r="H43" i="187"/>
  <c r="G43" i="187"/>
  <c r="F43" i="187"/>
  <c r="E43" i="187"/>
  <c r="D43" i="187"/>
  <c r="H42" i="187"/>
  <c r="G42" i="187"/>
  <c r="F42" i="187"/>
  <c r="E42" i="187"/>
  <c r="D42" i="187"/>
  <c r="Q39" i="187"/>
  <c r="P39" i="187"/>
  <c r="O39" i="187"/>
  <c r="N39" i="187"/>
  <c r="M39" i="187"/>
  <c r="L39" i="187"/>
  <c r="I39" i="187"/>
  <c r="H39" i="187"/>
  <c r="G39" i="187"/>
  <c r="F39" i="187"/>
  <c r="E39" i="187"/>
  <c r="D39" i="187"/>
  <c r="Q38" i="187"/>
  <c r="P38" i="187"/>
  <c r="O38" i="187"/>
  <c r="N38" i="187"/>
  <c r="M38" i="187"/>
  <c r="L38" i="187"/>
  <c r="I38" i="187"/>
  <c r="H38" i="187"/>
  <c r="G38" i="187"/>
  <c r="F38" i="187"/>
  <c r="E38" i="187"/>
  <c r="D38" i="187"/>
  <c r="Q37" i="187"/>
  <c r="P37" i="187"/>
  <c r="O37" i="187"/>
  <c r="N37" i="187"/>
  <c r="M37" i="187"/>
  <c r="L37" i="187"/>
  <c r="I37" i="187"/>
  <c r="H37" i="187"/>
  <c r="G37" i="187"/>
  <c r="F37" i="187"/>
  <c r="E37" i="187"/>
  <c r="D37" i="187"/>
  <c r="Q36" i="187"/>
  <c r="P36" i="187"/>
  <c r="O36" i="187"/>
  <c r="N36" i="187"/>
  <c r="M36" i="187"/>
  <c r="L36" i="187"/>
  <c r="I36" i="187"/>
  <c r="H36" i="187"/>
  <c r="G36" i="187"/>
  <c r="F36" i="187"/>
  <c r="E36" i="187"/>
  <c r="D36" i="187"/>
  <c r="K35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2" i="187"/>
  <c r="J21" i="187"/>
  <c r="J20" i="187"/>
  <c r="J19" i="187"/>
  <c r="J18" i="187"/>
  <c r="J17" i="187"/>
  <c r="J16" i="187"/>
  <c r="J15" i="187"/>
  <c r="J14" i="187"/>
  <c r="J13" i="187"/>
  <c r="J12" i="187"/>
  <c r="J11" i="187"/>
  <c r="J10" i="187"/>
  <c r="J9" i="187"/>
  <c r="I36" i="184"/>
  <c r="I43" i="184"/>
  <c r="H43" i="184"/>
  <c r="G43" i="184"/>
  <c r="F43" i="184"/>
  <c r="E43" i="184"/>
  <c r="D43" i="184"/>
  <c r="I42" i="184"/>
  <c r="H42" i="184"/>
  <c r="G42" i="184"/>
  <c r="F42" i="184"/>
  <c r="E42" i="184"/>
  <c r="D42" i="184"/>
  <c r="R39" i="184"/>
  <c r="Q39" i="184"/>
  <c r="P39" i="184"/>
  <c r="O39" i="184"/>
  <c r="N39" i="184"/>
  <c r="M39" i="184"/>
  <c r="J39" i="184"/>
  <c r="I39" i="184"/>
  <c r="H39" i="184"/>
  <c r="G39" i="184"/>
  <c r="F39" i="184"/>
  <c r="E39" i="184"/>
  <c r="D39" i="184"/>
  <c r="R38" i="184"/>
  <c r="Q38" i="184"/>
  <c r="P38" i="184"/>
  <c r="O38" i="184"/>
  <c r="N38" i="184"/>
  <c r="M38" i="184"/>
  <c r="J38" i="184"/>
  <c r="I38" i="184"/>
  <c r="H38" i="184"/>
  <c r="G38" i="184"/>
  <c r="F38" i="184"/>
  <c r="E38" i="184"/>
  <c r="D38" i="184"/>
  <c r="R37" i="184"/>
  <c r="Q37" i="184"/>
  <c r="P37" i="184"/>
  <c r="O37" i="184"/>
  <c r="N37" i="184"/>
  <c r="M37" i="184"/>
  <c r="J37" i="184"/>
  <c r="I37" i="184"/>
  <c r="H37" i="184"/>
  <c r="G37" i="184"/>
  <c r="F37" i="184"/>
  <c r="E37" i="184"/>
  <c r="D37" i="184"/>
  <c r="R36" i="184"/>
  <c r="Q36" i="184"/>
  <c r="P36" i="184"/>
  <c r="O36" i="184"/>
  <c r="N36" i="184"/>
  <c r="M36" i="184"/>
  <c r="J36" i="184"/>
  <c r="H36" i="184"/>
  <c r="G36" i="184"/>
  <c r="F36" i="184"/>
  <c r="E36" i="184"/>
  <c r="D36" i="184"/>
  <c r="L35" i="184"/>
  <c r="K35" i="184"/>
  <c r="L34" i="184"/>
  <c r="K34" i="184"/>
  <c r="L33" i="184"/>
  <c r="K33" i="184"/>
  <c r="L31" i="184"/>
  <c r="K31" i="184"/>
  <c r="L30" i="184"/>
  <c r="K30" i="184"/>
  <c r="L29" i="184"/>
  <c r="K29" i="184"/>
  <c r="L28" i="184"/>
  <c r="K28" i="184"/>
  <c r="L27" i="184"/>
  <c r="K27" i="184"/>
  <c r="L26" i="184"/>
  <c r="K26" i="184"/>
  <c r="L24" i="184"/>
  <c r="K24" i="184"/>
  <c r="L23" i="184"/>
  <c r="K23" i="184"/>
  <c r="L22" i="184"/>
  <c r="K22" i="184"/>
  <c r="L21" i="184"/>
  <c r="K21" i="184"/>
  <c r="L20" i="184"/>
  <c r="K20" i="184"/>
  <c r="L19" i="184"/>
  <c r="K19" i="184"/>
  <c r="L18" i="184"/>
  <c r="K18" i="184"/>
  <c r="L17" i="184"/>
  <c r="K17" i="184"/>
  <c r="L16" i="184"/>
  <c r="K16" i="184"/>
  <c r="L15" i="184"/>
  <c r="K15" i="184"/>
  <c r="L14" i="184"/>
  <c r="K14" i="184"/>
  <c r="L13" i="184"/>
  <c r="K13" i="184"/>
  <c r="L12" i="184"/>
  <c r="K12" i="184"/>
  <c r="L11" i="184"/>
  <c r="K11" i="184"/>
  <c r="L10" i="184"/>
  <c r="K10" i="184"/>
  <c r="L9" i="184"/>
  <c r="K9" i="184"/>
  <c r="K45" i="183"/>
  <c r="J45" i="183"/>
  <c r="I45" i="183"/>
  <c r="H45" i="183"/>
  <c r="G45" i="183"/>
  <c r="F45" i="183"/>
  <c r="E45" i="183"/>
  <c r="D45" i="183"/>
  <c r="K44" i="183"/>
  <c r="J44" i="183"/>
  <c r="I44" i="183"/>
  <c r="H44" i="183"/>
  <c r="G44" i="183"/>
  <c r="F44" i="183"/>
  <c r="E44" i="183"/>
  <c r="D44" i="183"/>
  <c r="K43" i="183"/>
  <c r="J43" i="183"/>
  <c r="I43" i="183"/>
  <c r="H43" i="183"/>
  <c r="G43" i="183"/>
  <c r="F43" i="183"/>
  <c r="E43" i="183"/>
  <c r="D43" i="183"/>
  <c r="K42" i="183"/>
  <c r="J42" i="183"/>
  <c r="I42" i="183"/>
  <c r="H42" i="183"/>
  <c r="G42" i="183"/>
  <c r="F42" i="183"/>
  <c r="E42" i="183"/>
  <c r="D42" i="183"/>
  <c r="S39" i="183"/>
  <c r="R39" i="183"/>
  <c r="Q39" i="183"/>
  <c r="P39" i="183"/>
  <c r="O39" i="183"/>
  <c r="L39" i="183"/>
  <c r="K39" i="183"/>
  <c r="J39" i="183"/>
  <c r="I39" i="183"/>
  <c r="H39" i="183"/>
  <c r="G39" i="183"/>
  <c r="F39" i="183"/>
  <c r="E39" i="183"/>
  <c r="D39" i="183"/>
  <c r="S38" i="183"/>
  <c r="R38" i="183"/>
  <c r="Q38" i="183"/>
  <c r="P38" i="183"/>
  <c r="O38" i="183"/>
  <c r="L38" i="183"/>
  <c r="K38" i="183"/>
  <c r="J38" i="183"/>
  <c r="I38" i="183"/>
  <c r="H38" i="183"/>
  <c r="G38" i="183"/>
  <c r="F38" i="183"/>
  <c r="E38" i="183"/>
  <c r="D38" i="183"/>
  <c r="S37" i="183"/>
  <c r="R37" i="183"/>
  <c r="Q37" i="183"/>
  <c r="P37" i="183"/>
  <c r="O37" i="183"/>
  <c r="L37" i="183"/>
  <c r="K37" i="183"/>
  <c r="J37" i="183"/>
  <c r="I37" i="183"/>
  <c r="H37" i="183"/>
  <c r="G37" i="183"/>
  <c r="F37" i="183"/>
  <c r="E37" i="183"/>
  <c r="D37" i="183"/>
  <c r="S36" i="183"/>
  <c r="R36" i="183"/>
  <c r="Q36" i="183"/>
  <c r="P36" i="183"/>
  <c r="O36" i="183"/>
  <c r="L36" i="183"/>
  <c r="K36" i="183"/>
  <c r="J36" i="183"/>
  <c r="H36" i="183"/>
  <c r="G36" i="183"/>
  <c r="F36" i="183"/>
  <c r="E36" i="183"/>
  <c r="D36" i="183"/>
  <c r="N35" i="183"/>
  <c r="M35" i="183"/>
  <c r="N34" i="183"/>
  <c r="M34" i="183"/>
  <c r="N33" i="183"/>
  <c r="M33" i="183"/>
  <c r="N32" i="183"/>
  <c r="M32" i="183"/>
  <c r="N30" i="183"/>
  <c r="M30" i="183"/>
  <c r="N29" i="183"/>
  <c r="M29" i="183"/>
  <c r="N28" i="183"/>
  <c r="M28" i="183"/>
  <c r="N27" i="183"/>
  <c r="M27" i="183"/>
  <c r="N25" i="183"/>
  <c r="M25" i="183"/>
  <c r="N24" i="183"/>
  <c r="M24" i="183"/>
  <c r="N23" i="183"/>
  <c r="M23" i="183"/>
  <c r="N22" i="183"/>
  <c r="M22" i="183"/>
  <c r="N21" i="183"/>
  <c r="M21" i="183"/>
  <c r="N20" i="183"/>
  <c r="M20" i="183"/>
  <c r="N19" i="183"/>
  <c r="M19" i="183"/>
  <c r="N18" i="183"/>
  <c r="M18" i="183"/>
  <c r="N17" i="183"/>
  <c r="M17" i="183"/>
  <c r="N16" i="183"/>
  <c r="M16" i="183"/>
  <c r="N15" i="183"/>
  <c r="M15" i="183"/>
  <c r="N14" i="183"/>
  <c r="M14" i="183"/>
  <c r="N13" i="183"/>
  <c r="M13" i="183"/>
  <c r="N12" i="183"/>
  <c r="M12" i="183"/>
  <c r="N11" i="183"/>
  <c r="M11" i="183"/>
  <c r="N10" i="183"/>
  <c r="M10" i="183"/>
  <c r="N9" i="183"/>
  <c r="M9" i="183"/>
  <c r="M35" i="172"/>
  <c r="M30" i="14"/>
  <c r="N30" i="14"/>
  <c r="M31" i="14"/>
  <c r="N31" i="14"/>
  <c r="M32" i="14"/>
  <c r="N32" i="14"/>
  <c r="P36" i="172"/>
  <c r="P37" i="172"/>
  <c r="P38" i="172"/>
  <c r="P39" i="172"/>
  <c r="N14" i="172"/>
  <c r="C11" i="207" l="1"/>
  <c r="C12" i="207" s="1"/>
  <c r="D11" i="207"/>
  <c r="D12" i="207" s="1"/>
  <c r="D14" i="207" s="1"/>
  <c r="D15" i="207" s="1"/>
  <c r="E11" i="207"/>
  <c r="E12" i="207" s="1"/>
  <c r="E14" i="207" s="1"/>
  <c r="E15" i="207" s="1"/>
  <c r="O13" i="207"/>
  <c r="W5" i="207"/>
  <c r="J21" i="207"/>
  <c r="K20" i="207"/>
  <c r="M37" i="183"/>
  <c r="N39" i="183"/>
  <c r="J37" i="187"/>
  <c r="K39" i="187"/>
  <c r="K36" i="187"/>
  <c r="K37" i="187"/>
  <c r="K38" i="187"/>
  <c r="K37" i="184"/>
  <c r="L39" i="184"/>
  <c r="L36" i="184"/>
  <c r="L37" i="184"/>
  <c r="L38" i="184"/>
  <c r="N36" i="183"/>
  <c r="N37" i="183"/>
  <c r="N38" i="183"/>
  <c r="K21" i="176"/>
  <c r="L21" i="176"/>
  <c r="W6" i="207" l="1"/>
  <c r="P13" i="207"/>
  <c r="K21" i="207"/>
  <c r="J22" i="207"/>
  <c r="C14" i="207"/>
  <c r="C15" i="207" s="1"/>
  <c r="F15" i="207" s="1"/>
  <c r="X13" i="207" s="1"/>
  <c r="F12" i="207"/>
  <c r="W13" i="207" s="1"/>
  <c r="L9" i="176"/>
  <c r="L11" i="176"/>
  <c r="L10" i="176"/>
  <c r="L39" i="176" s="1"/>
  <c r="L12" i="176"/>
  <c r="L13" i="176"/>
  <c r="L14" i="176"/>
  <c r="L15" i="176"/>
  <c r="L16" i="176"/>
  <c r="L17" i="176"/>
  <c r="L18" i="176"/>
  <c r="L19" i="176"/>
  <c r="L20" i="176"/>
  <c r="L22" i="176"/>
  <c r="L23" i="176"/>
  <c r="L24" i="176"/>
  <c r="L25" i="176"/>
  <c r="L26" i="176"/>
  <c r="L27" i="176"/>
  <c r="L28" i="176"/>
  <c r="L29" i="176"/>
  <c r="L30" i="176"/>
  <c r="L31" i="176"/>
  <c r="L33" i="176"/>
  <c r="L34" i="176"/>
  <c r="L35" i="176"/>
  <c r="K9" i="174"/>
  <c r="K10" i="174"/>
  <c r="K11" i="174"/>
  <c r="K13" i="174"/>
  <c r="K14" i="174"/>
  <c r="K15" i="174"/>
  <c r="K16" i="174"/>
  <c r="K17" i="174"/>
  <c r="K18" i="174"/>
  <c r="K19" i="174"/>
  <c r="K20" i="174"/>
  <c r="K21" i="174"/>
  <c r="K22" i="174"/>
  <c r="K23" i="174"/>
  <c r="K24" i="174"/>
  <c r="K25" i="174"/>
  <c r="K26" i="174"/>
  <c r="K27" i="174"/>
  <c r="K28" i="174"/>
  <c r="K30" i="174"/>
  <c r="K31" i="174"/>
  <c r="K32" i="174"/>
  <c r="K33" i="174"/>
  <c r="K34" i="174"/>
  <c r="K35" i="174"/>
  <c r="M30" i="172"/>
  <c r="N9" i="172"/>
  <c r="N10" i="172"/>
  <c r="N11" i="172"/>
  <c r="N12" i="172"/>
  <c r="N13" i="172"/>
  <c r="N15" i="172"/>
  <c r="N16" i="172"/>
  <c r="N17" i="172"/>
  <c r="N18" i="172"/>
  <c r="N19" i="172"/>
  <c r="N20" i="172"/>
  <c r="N21" i="172"/>
  <c r="N22" i="172"/>
  <c r="N23" i="172"/>
  <c r="N24" i="172"/>
  <c r="N25" i="172"/>
  <c r="N26" i="172"/>
  <c r="N27" i="172"/>
  <c r="N28" i="172"/>
  <c r="N29" i="172"/>
  <c r="N30" i="172"/>
  <c r="N32" i="172"/>
  <c r="N33" i="172"/>
  <c r="N34" i="172"/>
  <c r="N35" i="172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3" i="14"/>
  <c r="N34" i="14"/>
  <c r="N35" i="14"/>
  <c r="K11" i="176"/>
  <c r="K9" i="176"/>
  <c r="K10" i="176"/>
  <c r="K12" i="176"/>
  <c r="K13" i="176"/>
  <c r="K14" i="176"/>
  <c r="K15" i="176"/>
  <c r="K16" i="176"/>
  <c r="K17" i="176"/>
  <c r="K18" i="176"/>
  <c r="K19" i="176"/>
  <c r="K20" i="176"/>
  <c r="K22" i="176"/>
  <c r="K23" i="176"/>
  <c r="K24" i="176"/>
  <c r="K25" i="176"/>
  <c r="K26" i="176"/>
  <c r="K27" i="176"/>
  <c r="K28" i="176"/>
  <c r="K29" i="176"/>
  <c r="K30" i="176"/>
  <c r="K31" i="176"/>
  <c r="K33" i="176"/>
  <c r="K34" i="176"/>
  <c r="K35" i="176"/>
  <c r="F42" i="176"/>
  <c r="G42" i="176"/>
  <c r="H42" i="176"/>
  <c r="I42" i="176"/>
  <c r="F43" i="176"/>
  <c r="G43" i="176"/>
  <c r="H43" i="176"/>
  <c r="I43" i="176"/>
  <c r="G37" i="176"/>
  <c r="G36" i="176"/>
  <c r="G38" i="176"/>
  <c r="G39" i="176"/>
  <c r="R36" i="176"/>
  <c r="R37" i="176"/>
  <c r="R38" i="176"/>
  <c r="R39" i="176"/>
  <c r="E43" i="176"/>
  <c r="D43" i="176"/>
  <c r="E42" i="176"/>
  <c r="D42" i="176"/>
  <c r="Q39" i="176"/>
  <c r="P39" i="176"/>
  <c r="O39" i="176"/>
  <c r="N39" i="176"/>
  <c r="M39" i="176"/>
  <c r="J39" i="176"/>
  <c r="I39" i="176"/>
  <c r="H39" i="176"/>
  <c r="F39" i="176"/>
  <c r="E39" i="176"/>
  <c r="D39" i="176"/>
  <c r="Q38" i="176"/>
  <c r="P38" i="176"/>
  <c r="O38" i="176"/>
  <c r="N38" i="176"/>
  <c r="M38" i="176"/>
  <c r="J38" i="176"/>
  <c r="I38" i="176"/>
  <c r="H38" i="176"/>
  <c r="F38" i="176"/>
  <c r="E38" i="176"/>
  <c r="D38" i="176"/>
  <c r="Q37" i="176"/>
  <c r="P37" i="176"/>
  <c r="O37" i="176"/>
  <c r="N37" i="176"/>
  <c r="M37" i="176"/>
  <c r="J37" i="176"/>
  <c r="I37" i="176"/>
  <c r="H37" i="176"/>
  <c r="F37" i="176"/>
  <c r="E37" i="176"/>
  <c r="D37" i="176"/>
  <c r="Q36" i="176"/>
  <c r="P36" i="176"/>
  <c r="O36" i="176"/>
  <c r="N36" i="176"/>
  <c r="M36" i="176"/>
  <c r="J36" i="176"/>
  <c r="I36" i="176"/>
  <c r="H36" i="176"/>
  <c r="F36" i="176"/>
  <c r="E36" i="176"/>
  <c r="D36" i="176"/>
  <c r="M36" i="174"/>
  <c r="M37" i="174"/>
  <c r="M38" i="174"/>
  <c r="M39" i="174"/>
  <c r="J11" i="174"/>
  <c r="J13" i="174"/>
  <c r="J14" i="174"/>
  <c r="J15" i="174"/>
  <c r="J16" i="174"/>
  <c r="J17" i="174"/>
  <c r="J18" i="174"/>
  <c r="J19" i="174"/>
  <c r="J20" i="174"/>
  <c r="J21" i="174"/>
  <c r="J22" i="174"/>
  <c r="J23" i="174"/>
  <c r="J24" i="174"/>
  <c r="J25" i="174"/>
  <c r="J26" i="174"/>
  <c r="J27" i="174"/>
  <c r="J28" i="174"/>
  <c r="J30" i="174"/>
  <c r="J31" i="174"/>
  <c r="J32" i="174"/>
  <c r="J33" i="174"/>
  <c r="J34" i="174"/>
  <c r="J35" i="174"/>
  <c r="J10" i="174"/>
  <c r="J9" i="174"/>
  <c r="H43" i="174"/>
  <c r="G43" i="174"/>
  <c r="F43" i="174"/>
  <c r="E43" i="174"/>
  <c r="D43" i="174"/>
  <c r="H42" i="174"/>
  <c r="G42" i="174"/>
  <c r="F42" i="174"/>
  <c r="E42" i="174"/>
  <c r="D42" i="174"/>
  <c r="P39" i="174"/>
  <c r="O39" i="174"/>
  <c r="N39" i="174"/>
  <c r="L39" i="174"/>
  <c r="I39" i="174"/>
  <c r="H39" i="174"/>
  <c r="G39" i="174"/>
  <c r="F39" i="174"/>
  <c r="E39" i="174"/>
  <c r="D39" i="174"/>
  <c r="P38" i="174"/>
  <c r="O38" i="174"/>
  <c r="N38" i="174"/>
  <c r="L38" i="174"/>
  <c r="I38" i="174"/>
  <c r="H38" i="174"/>
  <c r="G38" i="174"/>
  <c r="F38" i="174"/>
  <c r="E38" i="174"/>
  <c r="D38" i="174"/>
  <c r="P37" i="174"/>
  <c r="O37" i="174"/>
  <c r="N37" i="174"/>
  <c r="L37" i="174"/>
  <c r="K37" i="174"/>
  <c r="I37" i="174"/>
  <c r="H37" i="174"/>
  <c r="G37" i="174"/>
  <c r="F37" i="174"/>
  <c r="E37" i="174"/>
  <c r="D37" i="174"/>
  <c r="P36" i="174"/>
  <c r="O36" i="174"/>
  <c r="N36" i="174"/>
  <c r="L36" i="174"/>
  <c r="Q13" i="207" l="1"/>
  <c r="W7" i="207"/>
  <c r="J23" i="207"/>
  <c r="K22" i="207"/>
  <c r="K39" i="174"/>
  <c r="K37" i="176"/>
  <c r="K38" i="174"/>
  <c r="L36" i="176"/>
  <c r="L37" i="176"/>
  <c r="L38" i="176"/>
  <c r="K36" i="174"/>
  <c r="I36" i="174"/>
  <c r="H36" i="174"/>
  <c r="G36" i="174"/>
  <c r="F36" i="174"/>
  <c r="E36" i="174"/>
  <c r="D36" i="174"/>
  <c r="J37" i="174"/>
  <c r="K45" i="172"/>
  <c r="J45" i="172"/>
  <c r="I45" i="172"/>
  <c r="H45" i="172"/>
  <c r="G45" i="172"/>
  <c r="F45" i="172"/>
  <c r="E45" i="172"/>
  <c r="D45" i="172"/>
  <c r="K44" i="172"/>
  <c r="J44" i="172"/>
  <c r="I44" i="172"/>
  <c r="H44" i="172"/>
  <c r="G44" i="172"/>
  <c r="F44" i="172"/>
  <c r="E44" i="172"/>
  <c r="D44" i="172"/>
  <c r="K43" i="172"/>
  <c r="J43" i="172"/>
  <c r="I43" i="172"/>
  <c r="H43" i="172"/>
  <c r="G43" i="172"/>
  <c r="F43" i="172"/>
  <c r="E43" i="172"/>
  <c r="D43" i="172"/>
  <c r="K42" i="172"/>
  <c r="J42" i="172"/>
  <c r="I42" i="172"/>
  <c r="H42" i="172"/>
  <c r="G42" i="172"/>
  <c r="F42" i="172"/>
  <c r="E42" i="172"/>
  <c r="D42" i="172"/>
  <c r="S39" i="172"/>
  <c r="R39" i="172"/>
  <c r="Q39" i="172"/>
  <c r="O39" i="172"/>
  <c r="L39" i="172"/>
  <c r="K39" i="172"/>
  <c r="J39" i="172"/>
  <c r="I39" i="172"/>
  <c r="H39" i="172"/>
  <c r="G39" i="172"/>
  <c r="F39" i="172"/>
  <c r="E39" i="172"/>
  <c r="D39" i="172"/>
  <c r="S38" i="172"/>
  <c r="R38" i="172"/>
  <c r="Q38" i="172"/>
  <c r="O38" i="172"/>
  <c r="L38" i="172"/>
  <c r="K38" i="172"/>
  <c r="J38" i="172"/>
  <c r="I38" i="172"/>
  <c r="H38" i="172"/>
  <c r="G38" i="172"/>
  <c r="F38" i="172"/>
  <c r="E38" i="172"/>
  <c r="D38" i="172"/>
  <c r="S37" i="172"/>
  <c r="R37" i="172"/>
  <c r="Q37" i="172"/>
  <c r="O37" i="172"/>
  <c r="L37" i="172"/>
  <c r="K37" i="172"/>
  <c r="J37" i="172"/>
  <c r="I37" i="172"/>
  <c r="H37" i="172"/>
  <c r="G37" i="172"/>
  <c r="F37" i="172"/>
  <c r="E37" i="172"/>
  <c r="D37" i="172"/>
  <c r="S36" i="172"/>
  <c r="R36" i="172"/>
  <c r="Q36" i="172"/>
  <c r="O36" i="172"/>
  <c r="L36" i="172"/>
  <c r="J36" i="172"/>
  <c r="I36" i="172"/>
  <c r="H36" i="172"/>
  <c r="G36" i="172"/>
  <c r="F36" i="172"/>
  <c r="E36" i="172"/>
  <c r="D36" i="172"/>
  <c r="M34" i="172"/>
  <c r="N39" i="172"/>
  <c r="M33" i="172"/>
  <c r="M32" i="172"/>
  <c r="M29" i="172"/>
  <c r="M28" i="172"/>
  <c r="M27" i="172"/>
  <c r="M26" i="172"/>
  <c r="M25" i="172"/>
  <c r="M24" i="172"/>
  <c r="M23" i="172"/>
  <c r="M22" i="172"/>
  <c r="M21" i="172"/>
  <c r="M20" i="172"/>
  <c r="M19" i="172"/>
  <c r="M18" i="172"/>
  <c r="M17" i="172"/>
  <c r="M16" i="172"/>
  <c r="M15" i="172"/>
  <c r="M14" i="172"/>
  <c r="M13" i="172"/>
  <c r="M12" i="172"/>
  <c r="M11" i="172"/>
  <c r="M10" i="172"/>
  <c r="M9" i="172"/>
  <c r="J45" i="14"/>
  <c r="I45" i="14"/>
  <c r="H45" i="14"/>
  <c r="G45" i="14"/>
  <c r="F45" i="14"/>
  <c r="E45" i="14"/>
  <c r="D45" i="14"/>
  <c r="J44" i="14"/>
  <c r="I44" i="14"/>
  <c r="H44" i="14"/>
  <c r="G44" i="14"/>
  <c r="F44" i="14"/>
  <c r="E44" i="14"/>
  <c r="D44" i="14"/>
  <c r="J43" i="14"/>
  <c r="I43" i="14"/>
  <c r="H43" i="14"/>
  <c r="G43" i="14"/>
  <c r="F43" i="14"/>
  <c r="E43" i="14"/>
  <c r="D43" i="14"/>
  <c r="J42" i="14"/>
  <c r="I42" i="14"/>
  <c r="H42" i="14"/>
  <c r="G42" i="14"/>
  <c r="F42" i="14"/>
  <c r="E42" i="14"/>
  <c r="D42" i="14"/>
  <c r="T39" i="14"/>
  <c r="S39" i="14"/>
  <c r="R39" i="14"/>
  <c r="Q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T38" i="14"/>
  <c r="S38" i="14"/>
  <c r="R38" i="14"/>
  <c r="Q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T37" i="14"/>
  <c r="S37" i="14"/>
  <c r="R37" i="14"/>
  <c r="Q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T36" i="14"/>
  <c r="S36" i="14"/>
  <c r="R36" i="14"/>
  <c r="Q36" i="14"/>
  <c r="P36" i="14"/>
  <c r="O36" i="14"/>
  <c r="N36" i="14"/>
  <c r="L36" i="14"/>
  <c r="K36" i="14"/>
  <c r="J36" i="14"/>
  <c r="I36" i="14"/>
  <c r="H36" i="14"/>
  <c r="G36" i="14"/>
  <c r="E36" i="14"/>
  <c r="D36" i="14"/>
  <c r="M35" i="14"/>
  <c r="M34" i="14"/>
  <c r="M33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W8" i="207" l="1"/>
  <c r="R13" i="207"/>
  <c r="J24" i="207"/>
  <c r="K24" i="207" s="1"/>
  <c r="K23" i="207"/>
  <c r="M36" i="172"/>
  <c r="M37" i="14"/>
  <c r="M37" i="172"/>
  <c r="N36" i="172"/>
  <c r="N37" i="172"/>
  <c r="N38" i="172"/>
  <c r="S13" i="207" l="1"/>
  <c r="W9" i="207"/>
  <c r="T13" i="207"/>
  <c r="W10" i="20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9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B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B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D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D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0F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0F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1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1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3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3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5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5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7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7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sharedStrings.xml><?xml version="1.0" encoding="utf-8"?>
<sst xmlns="http://schemas.openxmlformats.org/spreadsheetml/2006/main" count="964" uniqueCount="232">
  <si>
    <t>Média</t>
  </si>
  <si>
    <t>Desvio Padrão</t>
  </si>
  <si>
    <t>Mês</t>
  </si>
  <si>
    <t>Amostra</t>
  </si>
  <si>
    <t>Peneiras (% retida acumulada)</t>
  </si>
  <si>
    <t>Módulo de Finura</t>
  </si>
  <si>
    <t>Procedência</t>
  </si>
  <si>
    <t>3/8"</t>
  </si>
  <si>
    <t>1/4"</t>
  </si>
  <si>
    <t>n°4</t>
  </si>
  <si>
    <t>n°8</t>
  </si>
  <si>
    <t>n°16</t>
  </si>
  <si>
    <t>n°30</t>
  </si>
  <si>
    <t>n°50</t>
  </si>
  <si>
    <t>n°100</t>
  </si>
  <si>
    <t>fundo</t>
  </si>
  <si>
    <t>1/2"</t>
  </si>
  <si>
    <t>1"</t>
  </si>
  <si>
    <t>3/4"</t>
  </si>
  <si>
    <t>Data da coleta</t>
  </si>
  <si>
    <t>Local da Coleta</t>
  </si>
  <si>
    <t>Teor de Material Pulverulento (%)</t>
  </si>
  <si>
    <t>Impureza Orgânica (ppm)</t>
  </si>
  <si>
    <t>n°200</t>
  </si>
  <si>
    <t>-</t>
  </si>
  <si>
    <t>Mínimo</t>
  </si>
  <si>
    <t>Máximo</t>
  </si>
  <si>
    <t xml:space="preserve">Ensaios Granulométricos - Agregado Miúdo - Areia Natural </t>
  </si>
  <si>
    <t>Absorção (%)</t>
  </si>
  <si>
    <t>Diâmetro Máximo (mm)</t>
  </si>
  <si>
    <t>Torrões de Argila (%)</t>
  </si>
  <si>
    <r>
      <t>Massa Unitária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</si>
  <si>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Dmáx 4,75 mm</t>
  </si>
  <si>
    <t>da ordem de 0,8 a 1,0%</t>
  </si>
  <si>
    <t>Valores referenciais para comparação</t>
  </si>
  <si>
    <t>Material Passante Acumulado (Zona ótima)</t>
  </si>
  <si>
    <t>Material Passante Acumulado (Zona Utilizável)</t>
  </si>
  <si>
    <t>Material Retido Acumulado (Zona ótima)</t>
  </si>
  <si>
    <t>Material Retido Acumulado (Zona Utilizável)</t>
  </si>
  <si>
    <t>Limites de Granulometria NBR 7211:2005</t>
  </si>
  <si>
    <t>Máx 1,5% (Especificação Técnica) e 3,0% na NBR 7211</t>
  </si>
  <si>
    <t>&lt; 300 (ou solução mais clara que a padrão NBR NM 49)</t>
  </si>
  <si>
    <t>Normas de ensaio</t>
  </si>
  <si>
    <t>NM 248</t>
  </si>
  <si>
    <t>NM 46</t>
  </si>
  <si>
    <t>NBR 7218</t>
  </si>
  <si>
    <t>NM 30</t>
  </si>
  <si>
    <t>NM 49</t>
  </si>
  <si>
    <t>NM 52</t>
  </si>
  <si>
    <t>NBR 7251</t>
  </si>
  <si>
    <t>Máx 3% p/ concretos submetidos a desgaste superficial e 5% p/ concretos protegidos do desgaste superficial</t>
  </si>
  <si>
    <t>De acordo com o processo de beneficiamento</t>
  </si>
  <si>
    <t>depende do tipo de rocha (recomenda-se maior ou igual a 2,6)</t>
  </si>
  <si>
    <t>Material Passante Acumulado (Zona 4,75/12,5)</t>
  </si>
  <si>
    <t>Material Retido Acumulado (Zona 4,75/12,5)</t>
  </si>
  <si>
    <t>Máx 1% (de natureza argilosa ou argilo-siltosa)</t>
  </si>
  <si>
    <t>NM 53</t>
  </si>
  <si>
    <t>Máx 1% p/ concreto aparente, 2% para concreto sujeito a desgaste superficial e 3% p/ outros concretos</t>
  </si>
  <si>
    <t>* Em cada zona granulométrica deve ser aceita uma variação de no máximo 5% em apenas um dos limites marcados com *. Essa variação pode também estar distribuída em vários desses limites.</t>
  </si>
  <si>
    <t>Índice de Forma</t>
  </si>
  <si>
    <t>menor que 3</t>
  </si>
  <si>
    <t>NBR 7809</t>
  </si>
  <si>
    <t>Ensaios Granulométricos - Agregado Graúdo - Brita 0</t>
  </si>
  <si>
    <t>Material Passante Acumulado (Zona 9,5/25)</t>
  </si>
  <si>
    <t>Material Retido Acumulado (Zona 9,5/25)</t>
  </si>
  <si>
    <t>da ordem de 2,640</t>
  </si>
  <si>
    <r>
      <t>Massa Específica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</si>
  <si>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Massa Específica 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</si>
  <si>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da ordem de 1,500</t>
  </si>
  <si>
    <t>Correia do Britador</t>
  </si>
  <si>
    <t>1. 1/4</t>
  </si>
  <si>
    <t>Material Retido Acumulado (Zona 19/31,5)</t>
  </si>
  <si>
    <t>Material Passante Acumulado (Zona 19/31,5)</t>
  </si>
  <si>
    <t>Esc. Casa de Força</t>
  </si>
  <si>
    <t>Escavação Casa de Força</t>
  </si>
  <si>
    <t>Pedreira</t>
  </si>
  <si>
    <t>out-08</t>
  </si>
  <si>
    <t>Areal do Quim</t>
  </si>
  <si>
    <t xml:space="preserve">Lavador de Areia </t>
  </si>
  <si>
    <t xml:space="preserve"> UHE GOVE - RELATÓRIO MENSAL</t>
  </si>
  <si>
    <t>UHE GOVE - RELATÓRIO MENSAL</t>
  </si>
  <si>
    <t xml:space="preserve"> Correia do britador</t>
  </si>
  <si>
    <t>Deposito da Britagem</t>
  </si>
  <si>
    <t>Deposito do britador</t>
  </si>
  <si>
    <t>Correia do britador</t>
  </si>
  <si>
    <t xml:space="preserve">Escavação casa de força </t>
  </si>
  <si>
    <t>PEDREIRA DESATIVADA</t>
  </si>
  <si>
    <t>PREDEIRA DESATIVADA</t>
  </si>
  <si>
    <t>Nova Pedreira</t>
  </si>
  <si>
    <t>Ensaios Granulométricos - Agregado Graúdo - Brita 2 (Casa de Força)</t>
  </si>
  <si>
    <t>Ensaios Granulométricos - Agregado Graúdo - Brita 2 (Pedreira)</t>
  </si>
  <si>
    <t>Ensaios Granulométricos - Agregado Graúdo - Brita 1 (Pedreira)</t>
  </si>
  <si>
    <t>Ensaios Granulométricos - Agregado Graúdo - Brita 1 (Escavação da Casa de Força)</t>
  </si>
  <si>
    <t>Ensaios Granulométricos - Agregado Miúdo - Areia Artificial (Pedreira)</t>
  </si>
  <si>
    <t>Ensaios Granulométricos - Agregado Miúdo - Areia Artificial (Escavação da Casa de Força)</t>
  </si>
  <si>
    <t>PEDREIRA DESATIVDA</t>
  </si>
  <si>
    <t>Análise Global</t>
  </si>
  <si>
    <t>Quadro Resumo de Ensaios</t>
  </si>
  <si>
    <t xml:space="preserve"> CONSTRUTORA QUEIROZ GALVÃO S/A</t>
  </si>
  <si>
    <t>Nº 4</t>
  </si>
  <si>
    <t>Nº 10</t>
  </si>
  <si>
    <t>Nº 40</t>
  </si>
  <si>
    <t>Nº 80</t>
  </si>
  <si>
    <t>Nº 200</t>
  </si>
  <si>
    <t>TEOR (%)</t>
  </si>
  <si>
    <t>DENSIDADE</t>
  </si>
  <si>
    <t>VOL VAZIOS</t>
  </si>
  <si>
    <t>RBV</t>
  </si>
  <si>
    <t>ESTABILIDADE</t>
  </si>
  <si>
    <t>FLUÊNCIA</t>
  </si>
  <si>
    <t>TEMP CAP-50/60</t>
  </si>
  <si>
    <t>Dens CP sonda</t>
  </si>
  <si>
    <t>GC</t>
  </si>
  <si>
    <t>TEMP. COMP</t>
  </si>
  <si>
    <t>MÉDIA</t>
  </si>
  <si>
    <t>TRAÇO SECO</t>
  </si>
  <si>
    <t>TIPO</t>
  </si>
  <si>
    <t>%  MISTURA</t>
  </si>
  <si>
    <t>DENS. REAL</t>
  </si>
  <si>
    <t>CURVA OBTIDA NA MISTURA</t>
  </si>
  <si>
    <t>FAIXA DE TOLERÂNCIA</t>
  </si>
  <si>
    <t>FAIXA DE PROJETO</t>
  </si>
  <si>
    <t>GRANULOMETRIA DE PROJETO</t>
  </si>
  <si>
    <t>OBRA: BR-316 / MA</t>
  </si>
  <si>
    <t>TRECHO: ENTR. MA-008(ZÉ CHICÃO / DIVISA MA - PI (TIMON )</t>
  </si>
  <si>
    <t>Tipo de CBUQ:   FAIXA  "C"</t>
  </si>
  <si>
    <t>AGREGADO</t>
  </si>
  <si>
    <t>B- 3/4"</t>
  </si>
  <si>
    <t>PENERAS (mm)</t>
  </si>
  <si>
    <t>MISTURA</t>
  </si>
  <si>
    <t>FAIXA DA MISTURA</t>
  </si>
  <si>
    <t>FAIXA "C" DNER  ES-313/97</t>
  </si>
  <si>
    <t>OBTIDO</t>
  </si>
  <si>
    <t>CONTROLE DE CONCRETO BETUMINOSO USINADO A QUENTE</t>
  </si>
  <si>
    <t>GRAÚDO</t>
  </si>
  <si>
    <t>B- 1/2" CORR.</t>
  </si>
  <si>
    <t>ENSAIO MARSHALL</t>
  </si>
  <si>
    <t>EXTRAÇÃO DE BETUME</t>
  </si>
  <si>
    <t>AREIA - RIO</t>
  </si>
  <si>
    <t>C.P. Nº</t>
  </si>
  <si>
    <t>TARA</t>
  </si>
  <si>
    <t>MIÚDO</t>
  </si>
  <si>
    <t>A. - CAMPO</t>
  </si>
  <si>
    <t>PESO AO AR</t>
  </si>
  <si>
    <t>AMOSTRA + TARA</t>
  </si>
  <si>
    <t>FILLER</t>
  </si>
  <si>
    <t>P.IMERSO + CESTO</t>
  </si>
  <si>
    <t xml:space="preserve">AMOSTRA </t>
  </si>
  <si>
    <t xml:space="preserve"> </t>
  </si>
  <si>
    <t>CAP-50/60</t>
  </si>
  <si>
    <t>P.CESTO IMERSO</t>
  </si>
  <si>
    <t>INSOLÚVEL + TARA</t>
  </si>
  <si>
    <t>CAP 50/60</t>
  </si>
  <si>
    <t>VOLUME cm3</t>
  </si>
  <si>
    <t>SOLÚVEL</t>
  </si>
  <si>
    <t>DENS. APARENTE</t>
  </si>
  <si>
    <t>TEOR DE BETUME (%)</t>
  </si>
  <si>
    <t>DENS.TEÓRICA</t>
  </si>
  <si>
    <t>GRANULOMETRIA</t>
  </si>
  <si>
    <t>% VAZIOS</t>
  </si>
  <si>
    <t>PENEIRAS</t>
  </si>
  <si>
    <t>PESO</t>
  </si>
  <si>
    <t xml:space="preserve">% </t>
  </si>
  <si>
    <t>TEMP MIST</t>
  </si>
  <si>
    <t>TEMP SILO Q</t>
  </si>
  <si>
    <t>ESP.</t>
  </si>
  <si>
    <t>% V.C.B.</t>
  </si>
  <si>
    <t>POL.</t>
  </si>
  <si>
    <t>mm.</t>
  </si>
  <si>
    <t>RETIDO</t>
  </si>
  <si>
    <t>PASSANDO</t>
  </si>
  <si>
    <t>% V.A.M.</t>
  </si>
  <si>
    <t>2"</t>
  </si>
  <si>
    <t>% R.B.V.</t>
  </si>
  <si>
    <t>1 1/2"</t>
  </si>
  <si>
    <t>S</t>
  </si>
  <si>
    <t>LEIT. DEFLECT.</t>
  </si>
  <si>
    <t>EST. ENCONTRADA</t>
  </si>
  <si>
    <t>DENS.  SONDAGEM  (PISTA)   E   G.C %</t>
  </si>
  <si>
    <t>FATOR CORREÇÃO</t>
  </si>
  <si>
    <t>EST. CORRIGIDA</t>
  </si>
  <si>
    <t>ESPESSURA  C.P</t>
  </si>
  <si>
    <t>FLUÊNCIA (mm)</t>
  </si>
  <si>
    <t>TEMP. MOLDAGEM</t>
  </si>
  <si>
    <t>TEMPERATURA DA MOLDAGEM:</t>
  </si>
  <si>
    <t>ºC</t>
  </si>
  <si>
    <t>TEMPERATURA NO MISTURADOR:</t>
  </si>
  <si>
    <t>TEMPERATURA DO CAP-50/60</t>
  </si>
  <si>
    <t>TEMPERATURA DO SILO QUENTE:</t>
  </si>
  <si>
    <t>F.C. DO ANEL:</t>
  </si>
  <si>
    <t>FUNDO</t>
  </si>
  <si>
    <t>RESULTADO DA SONDA ROTATIVA</t>
  </si>
  <si>
    <t xml:space="preserve">OBS.:  </t>
  </si>
  <si>
    <t>DENS. DE PROJETO</t>
  </si>
  <si>
    <t>ESTACA :</t>
  </si>
  <si>
    <t>LE</t>
  </si>
  <si>
    <t>DENS. DO C P EXTRAIDO C/ SONDA ROTATIVA</t>
  </si>
  <si>
    <t>GRAU DE COMPACTAÇÃO</t>
  </si>
  <si>
    <t>DATA:</t>
  </si>
  <si>
    <t>ESPESSURA DO C P DA SONDA ROTATIVA ( cm )</t>
  </si>
  <si>
    <t>TEMPERATURA DE COMPRESSÃO ( ºC )</t>
  </si>
  <si>
    <t>FISCAL:</t>
  </si>
  <si>
    <t xml:space="preserve">Média Período </t>
  </si>
  <si>
    <t>Penetração(mm)</t>
  </si>
  <si>
    <t>Ponto de Amolecimento  (°C)</t>
  </si>
  <si>
    <t>Viscosidade Brookfilde (135°C)</t>
  </si>
  <si>
    <t>Viscosidade Brookfilde (150°C)</t>
  </si>
  <si>
    <t>Viscosidade Brookfilde (175°C)</t>
  </si>
  <si>
    <t>Recuperação Elástica 25°C (cm)</t>
  </si>
  <si>
    <t>RTFOT a 163°C</t>
  </si>
  <si>
    <t>Separação de Fase (cm)</t>
  </si>
  <si>
    <t xml:space="preserve">Normas de ensaio NBR (6575) - (6560) - (15184) - (15166) - (15086) </t>
  </si>
  <si>
    <t>NBR 6575</t>
  </si>
  <si>
    <t>NBR 6560</t>
  </si>
  <si>
    <t>NBR 15086</t>
  </si>
  <si>
    <t>NRB 15166</t>
  </si>
  <si>
    <t>NBR 15184</t>
  </si>
  <si>
    <t>NBR 15185</t>
  </si>
  <si>
    <t>NBR 15186</t>
  </si>
  <si>
    <t xml:space="preserve">Elaborado por: </t>
  </si>
  <si>
    <t xml:space="preserve">Revisado por: </t>
  </si>
  <si>
    <t>Aprovado por:</t>
  </si>
  <si>
    <t>Samara Rodrigues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</si>
  <si>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Caracterização do CAP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</si>
  <si>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FR-IMOB-40 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</si>
  <si>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</si>
  <si>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</si>
  <si>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</si>
  <si>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 xml:space="preserve">Nível: </t>
    </r>
    <r>
      <rPr>
        <b/>
        <sz val="12"/>
        <color indexed="8"/>
        <rFont val="Tahoma"/>
        <family val="2"/>
      </rPr>
      <t>Operacional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</si>
  <si>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</si>
  <si>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>Thyago Biasin</t>
  </si>
  <si>
    <t>Rheno 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</si>
</sst>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"/>
    <numFmt numFmtId="165" formatCode="0.000"/>
    <numFmt numFmtId="166" formatCode="000"/>
    <numFmt numFmtId="167" formatCode="dd/mm/yy;@"/>
    <numFmt numFmtId="168" formatCode="[$-416]mmm\-yy;@"/>
    <numFmt numFmtId="169" formatCode="0.00#\ &quot;mm&quot;"/>
    <numFmt numFmtId="170" formatCode="0.0#\ &quot;mm&quot;"/>
    <numFmt numFmtId="171" formatCode="0.0\ &quot;mm&quot;"/>
    <numFmt numFmtId="172" formatCode="0\ &quot;mm&quot;"/>
    <numFmt numFmtId="173" formatCode="_(* #,##0.00_);_(* \(#,##0.00\);_(* &quot;-&quot;??_);_(@_)"/>
    <numFmt numFmtId="174" formatCode="#,##0.0_);\(#,##0.0\)"/>
    <numFmt numFmtId="175" formatCode="_(* #,##0.0_);_(* \(#,##0.0\);_(* &quot;-&quot;??_);_(@_)"/>
    <numFmt numFmtId="176" formatCode="#,##0.0"/>
    <numFmt numFmtId="177" formatCode="#,##0.000"/>
    <numFmt numFmtId="178" formatCode="_(* #,##0.000_);_(* \(#,##0.000\);_(* &quot;-&quot;??_);_(@_)"/>
    <numFmt numFmtId="179" formatCode="#,##0.000_);\(#,##0.000\)"/>
    <numFmt numFmtId="180" formatCode="_(* #,##0_);_(* \(#,##0\);_(* &quot;-&quot;??_);_(@_)"/>
    <numFmt numFmtId="181" formatCode="0.000000"/>
  </numFmts>
  <fonts count="42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Comic Sans MS"/>
      <family val="4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8"/>
      <name val="Comic Sans MS"/>
      <family val="4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6"/>
      <name val="Arial"/>
      <family val="2"/>
    </font>
    <font>
      <sz val="10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8"/>
      <color theme="0"/>
      <name val="Tahoma"/>
      <family val="2"/>
    </font>
    <font>
      <sz val="12"/>
      <color theme="0"/>
      <name val="Tahoma"/>
      <family val="2"/>
    </font>
    <font>
      <b/>
      <sz val="10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4" fillId="0" borderId="0" applyFont="0" applyFill="0" applyBorder="0" applyAlignment="0" applyProtection="0"/>
    <xf numFmtId="0" fontId="1" fillId="0" borderId="0"/>
  </cellStyleXfs>
  <cellXfs count="501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65" fontId="1" fillId="0" borderId="0" xfId="2" applyNumberFormat="1"/>
    <xf numFmtId="0" fontId="4" fillId="0" borderId="0" xfId="2" applyFont="1" applyProtection="1">
      <protection hidden="1"/>
    </xf>
    <xf numFmtId="0" fontId="1" fillId="0" borderId="0" xfId="2" applyProtection="1">
      <protection hidden="1"/>
    </xf>
    <xf numFmtId="0" fontId="4" fillId="2" borderId="65" xfId="2" applyFont="1" applyFill="1" applyBorder="1" applyAlignment="1" applyProtection="1">
      <alignment horizontal="centerContinuous" vertical="center"/>
      <protection hidden="1"/>
    </xf>
    <xf numFmtId="0" fontId="4" fillId="2" borderId="5" xfId="2" applyFont="1" applyFill="1" applyBorder="1" applyAlignment="1" applyProtection="1">
      <alignment horizontal="centerContinuous" vertical="center"/>
      <protection hidden="1"/>
    </xf>
    <xf numFmtId="170" fontId="4" fillId="2" borderId="59" xfId="2" applyNumberFormat="1" applyFont="1" applyFill="1" applyBorder="1" applyAlignment="1" applyProtection="1">
      <alignment horizontal="center" vertical="center"/>
      <protection hidden="1"/>
    </xf>
    <xf numFmtId="169" fontId="4" fillId="2" borderId="55" xfId="2" applyNumberFormat="1" applyFont="1" applyFill="1" applyBorder="1" applyAlignment="1" applyProtection="1">
      <alignment horizontal="center" vertical="center"/>
      <protection hidden="1"/>
    </xf>
    <xf numFmtId="2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5" fillId="0" borderId="46" xfId="3" applyNumberFormat="1" applyFont="1" applyFill="1" applyBorder="1" applyAlignment="1" applyProtection="1">
      <alignment horizontal="center" vertical="center"/>
      <protection hidden="1"/>
    </xf>
    <xf numFmtId="0" fontId="5" fillId="0" borderId="47" xfId="2" applyFont="1" applyBorder="1" applyAlignment="1" applyProtection="1">
      <alignment horizontal="center" vertical="center"/>
      <protection hidden="1"/>
    </xf>
    <xf numFmtId="166" fontId="5" fillId="0" borderId="48" xfId="2" applyNumberFormat="1" applyFont="1" applyBorder="1" applyAlignment="1" applyProtection="1">
      <alignment horizontal="center" vertical="center"/>
      <protection hidden="1"/>
    </xf>
    <xf numFmtId="167" fontId="5" fillId="0" borderId="49" xfId="2" applyNumberFormat="1" applyFont="1" applyBorder="1" applyAlignment="1" applyProtection="1">
      <alignment horizontal="center" vertical="center"/>
      <protection hidden="1"/>
    </xf>
    <xf numFmtId="164" fontId="5" fillId="0" borderId="48" xfId="2" applyNumberFormat="1" applyFont="1" applyBorder="1" applyAlignment="1" applyProtection="1">
      <alignment horizontal="center" vertical="center"/>
      <protection hidden="1"/>
    </xf>
    <xf numFmtId="164" fontId="5" fillId="0" borderId="50" xfId="2" applyNumberFormat="1" applyFont="1" applyBorder="1" applyAlignment="1" applyProtection="1">
      <alignment horizontal="center" vertical="center"/>
      <protection hidden="1"/>
    </xf>
    <xf numFmtId="2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8" xfId="3" applyNumberFormat="1" applyFont="1" applyFill="1" applyBorder="1" applyAlignment="1" applyProtection="1">
      <alignment horizontal="center" vertical="center" wrapText="1"/>
      <protection hidden="1"/>
    </xf>
    <xf numFmtId="0" fontId="5" fillId="0" borderId="50" xfId="2" applyFont="1" applyBorder="1" applyAlignment="1" applyProtection="1">
      <alignment horizontal="center" vertical="center"/>
      <protection hidden="1"/>
    </xf>
    <xf numFmtId="164" fontId="6" fillId="3" borderId="42" xfId="2" applyNumberFormat="1" applyFont="1" applyFill="1" applyBorder="1" applyAlignment="1" applyProtection="1">
      <alignment horizontal="center" vertical="center"/>
      <protection hidden="1"/>
    </xf>
    <xf numFmtId="164" fontId="6" fillId="3" borderId="43" xfId="2" applyNumberFormat="1" applyFont="1" applyFill="1" applyBorder="1" applyAlignment="1" applyProtection="1">
      <alignment horizontal="center" vertical="center"/>
      <protection hidden="1"/>
    </xf>
    <xf numFmtId="164" fontId="6" fillId="3" borderId="45" xfId="2" applyNumberFormat="1" applyFont="1" applyFill="1" applyBorder="1" applyAlignment="1" applyProtection="1">
      <alignment horizontal="center" vertical="center"/>
      <protection hidden="1"/>
    </xf>
    <xf numFmtId="164" fontId="6" fillId="3" borderId="63" xfId="2" applyNumberFormat="1" applyFont="1" applyFill="1" applyBorder="1" applyAlignment="1" applyProtection="1">
      <alignment horizontal="center" vertical="center"/>
      <protection hidden="1"/>
    </xf>
    <xf numFmtId="2" fontId="6" fillId="3" borderId="43" xfId="2" applyNumberFormat="1" applyFont="1" applyFill="1" applyBorder="1" applyAlignment="1" applyProtection="1">
      <alignment horizontal="center" vertical="center"/>
      <protection hidden="1"/>
    </xf>
    <xf numFmtId="165" fontId="6" fillId="3" borderId="43" xfId="2" applyNumberFormat="1" applyFont="1" applyFill="1" applyBorder="1" applyAlignment="1" applyProtection="1">
      <alignment horizontal="center" vertical="center"/>
      <protection hidden="1"/>
    </xf>
    <xf numFmtId="2" fontId="6" fillId="3" borderId="51" xfId="2" applyNumberFormat="1" applyFont="1" applyFill="1" applyBorder="1" applyAlignment="1" applyProtection="1">
      <alignment vertical="center"/>
      <protection hidden="1"/>
    </xf>
    <xf numFmtId="2" fontId="6" fillId="3" borderId="52" xfId="2" applyNumberFormat="1" applyFont="1" applyFill="1" applyBorder="1" applyAlignment="1" applyProtection="1">
      <alignment vertical="center"/>
      <protection hidden="1"/>
    </xf>
    <xf numFmtId="164" fontId="6" fillId="3" borderId="38" xfId="2" applyNumberFormat="1" applyFont="1" applyFill="1" applyBorder="1" applyAlignment="1" applyProtection="1">
      <alignment horizontal="center" vertical="center"/>
      <protection hidden="1"/>
    </xf>
    <xf numFmtId="164" fontId="6" fillId="3" borderId="1" xfId="2" applyNumberFormat="1" applyFont="1" applyFill="1" applyBorder="1" applyAlignment="1" applyProtection="1">
      <alignment horizontal="center" vertical="center"/>
      <protection hidden="1"/>
    </xf>
    <xf numFmtId="164" fontId="6" fillId="3" borderId="3" xfId="2" applyNumberFormat="1" applyFont="1" applyFill="1" applyBorder="1" applyAlignment="1" applyProtection="1">
      <alignment horizontal="center" vertical="center"/>
      <protection hidden="1"/>
    </xf>
    <xf numFmtId="2" fontId="6" fillId="3" borderId="2" xfId="2" applyNumberFormat="1" applyFont="1" applyFill="1" applyBorder="1" applyAlignment="1" applyProtection="1">
      <alignment horizontal="center" vertical="center"/>
      <protection hidden="1"/>
    </xf>
    <xf numFmtId="2" fontId="6" fillId="3" borderId="1" xfId="2" applyNumberFormat="1" applyFont="1" applyFill="1" applyBorder="1" applyAlignment="1" applyProtection="1">
      <alignment horizontal="center" vertical="center"/>
      <protection hidden="1"/>
    </xf>
    <xf numFmtId="165" fontId="6" fillId="3" borderId="1" xfId="2" applyNumberFormat="1" applyFont="1" applyFill="1" applyBorder="1" applyAlignment="1" applyProtection="1">
      <alignment horizontal="center" vertical="center"/>
      <protection hidden="1"/>
    </xf>
    <xf numFmtId="2" fontId="6" fillId="3" borderId="12" xfId="2" applyNumberFormat="1" applyFont="1" applyFill="1" applyBorder="1" applyAlignment="1" applyProtection="1">
      <alignment vertical="center"/>
      <protection hidden="1"/>
    </xf>
    <xf numFmtId="2" fontId="6" fillId="3" borderId="29" xfId="2" applyNumberFormat="1" applyFont="1" applyFill="1" applyBorder="1" applyAlignment="1" applyProtection="1">
      <alignment vertical="center"/>
      <protection hidden="1"/>
    </xf>
    <xf numFmtId="164" fontId="6" fillId="3" borderId="2" xfId="2" applyNumberFormat="1" applyFont="1" applyFill="1" applyBorder="1" applyAlignment="1" applyProtection="1">
      <alignment horizontal="center" vertical="center"/>
      <protection hidden="1"/>
    </xf>
    <xf numFmtId="164" fontId="6" fillId="3" borderId="39" xfId="2" applyNumberFormat="1" applyFont="1" applyFill="1" applyBorder="1" applyAlignment="1" applyProtection="1">
      <alignment horizontal="center" vertical="center"/>
      <protection hidden="1"/>
    </xf>
    <xf numFmtId="164" fontId="6" fillId="3" borderId="40" xfId="2" applyNumberFormat="1" applyFont="1" applyFill="1" applyBorder="1" applyAlignment="1" applyProtection="1">
      <alignment horizontal="center" vertical="center"/>
      <protection hidden="1"/>
    </xf>
    <xf numFmtId="164" fontId="6" fillId="3" borderId="41" xfId="2" applyNumberFormat="1" applyFont="1" applyFill="1" applyBorder="1" applyAlignment="1" applyProtection="1">
      <alignment horizontal="center" vertical="center"/>
      <protection hidden="1"/>
    </xf>
    <xf numFmtId="164" fontId="6" fillId="3" borderId="64" xfId="2" applyNumberFormat="1" applyFont="1" applyFill="1" applyBorder="1" applyAlignment="1" applyProtection="1">
      <alignment horizontal="center" vertical="center"/>
      <protection hidden="1"/>
    </xf>
    <xf numFmtId="2" fontId="6" fillId="3" borderId="40" xfId="2" applyNumberFormat="1" applyFont="1" applyFill="1" applyBorder="1" applyAlignment="1" applyProtection="1">
      <alignment horizontal="center" vertical="center"/>
      <protection hidden="1"/>
    </xf>
    <xf numFmtId="165" fontId="6" fillId="3" borderId="40" xfId="2" applyNumberFormat="1" applyFont="1" applyFill="1" applyBorder="1" applyAlignment="1" applyProtection="1">
      <alignment horizontal="center" vertical="center"/>
      <protection hidden="1"/>
    </xf>
    <xf numFmtId="2" fontId="6" fillId="3" borderId="11" xfId="2" applyNumberFormat="1" applyFont="1" applyFill="1" applyBorder="1" applyAlignment="1" applyProtection="1">
      <alignment vertical="center"/>
      <protection hidden="1"/>
    </xf>
    <xf numFmtId="2" fontId="6" fillId="3" borderId="30" xfId="2" applyNumberFormat="1" applyFont="1" applyFill="1" applyBorder="1" applyAlignment="1" applyProtection="1">
      <alignment vertical="center"/>
      <protection hidden="1"/>
    </xf>
    <xf numFmtId="165" fontId="1" fillId="0" borderId="0" xfId="2" applyNumberFormat="1" applyAlignment="1" applyProtection="1">
      <alignment horizontal="center"/>
      <protection hidden="1"/>
    </xf>
    <xf numFmtId="2" fontId="1" fillId="0" borderId="0" xfId="2" applyNumberFormat="1" applyAlignment="1" applyProtection="1">
      <alignment horizontal="center"/>
      <protection hidden="1"/>
    </xf>
    <xf numFmtId="1" fontId="5" fillId="0" borderId="32" xfId="2" applyNumberFormat="1" applyFont="1" applyBorder="1" applyAlignment="1" applyProtection="1">
      <alignment horizontal="center" vertical="center"/>
      <protection hidden="1"/>
    </xf>
    <xf numFmtId="0" fontId="5" fillId="0" borderId="32" xfId="2" applyFont="1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1" fontId="5" fillId="0" borderId="4" xfId="2" applyNumberFormat="1" applyFont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center" vertical="center"/>
      <protection hidden="1"/>
    </xf>
    <xf numFmtId="0" fontId="5" fillId="0" borderId="60" xfId="2" applyFont="1" applyBorder="1" applyAlignment="1" applyProtection="1">
      <alignment horizontal="center" vertical="center"/>
      <protection hidden="1"/>
    </xf>
    <xf numFmtId="1" fontId="5" fillId="0" borderId="20" xfId="2" applyNumberFormat="1" applyFont="1" applyBorder="1" applyAlignment="1" applyProtection="1">
      <alignment horizontal="center" vertical="center"/>
      <protection hidden="1"/>
    </xf>
    <xf numFmtId="0" fontId="5" fillId="0" borderId="20" xfId="2" applyFont="1" applyBorder="1" applyAlignment="1" applyProtection="1">
      <alignment horizontal="center" vertical="center"/>
      <protection hidden="1"/>
    </xf>
    <xf numFmtId="0" fontId="5" fillId="0" borderId="66" xfId="2" applyFont="1" applyBorder="1" applyAlignment="1" applyProtection="1">
      <alignment horizontal="center" vertical="center"/>
      <protection hidden="1"/>
    </xf>
    <xf numFmtId="1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67" xfId="2" applyNumberFormat="1" applyFont="1" applyBorder="1" applyAlignment="1" applyProtection="1">
      <alignment horizontal="center" vertical="center"/>
      <protection hidden="1"/>
    </xf>
    <xf numFmtId="164" fontId="5" fillId="0" borderId="4" xfId="2" applyNumberFormat="1" applyFont="1" applyBorder="1" applyAlignment="1" applyProtection="1">
      <alignment horizontal="center" vertical="center"/>
      <protection hidden="1"/>
    </xf>
    <xf numFmtId="164" fontId="5" fillId="0" borderId="60" xfId="2" applyNumberFormat="1" applyFont="1" applyBorder="1" applyAlignment="1" applyProtection="1">
      <alignment horizontal="center" vertical="center"/>
      <protection hidden="1"/>
    </xf>
    <xf numFmtId="1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68" xfId="2" applyNumberFormat="1" applyFont="1" applyBorder="1" applyAlignment="1" applyProtection="1">
      <alignment horizontal="center" vertical="center"/>
      <protection hidden="1"/>
    </xf>
    <xf numFmtId="0" fontId="11" fillId="0" borderId="0" xfId="2" applyFont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1" fillId="0" borderId="11" xfId="2" applyBorder="1" applyAlignment="1" applyProtection="1">
      <alignment horizontal="center" vertical="center"/>
      <protection hidden="1"/>
    </xf>
    <xf numFmtId="0" fontId="12" fillId="0" borderId="30" xfId="2" applyFont="1" applyBorder="1" applyAlignment="1" applyProtection="1">
      <alignment horizontal="center" vertical="center"/>
      <protection hidden="1"/>
    </xf>
    <xf numFmtId="168" fontId="5" fillId="0" borderId="37" xfId="2" applyNumberFormat="1" applyFont="1" applyBorder="1" applyAlignment="1" applyProtection="1">
      <alignment horizontal="center" vertical="center"/>
      <protection locked="0"/>
    </xf>
    <xf numFmtId="166" fontId="5" fillId="0" borderId="1" xfId="2" applyNumberFormat="1" applyFont="1" applyBorder="1" applyAlignment="1" applyProtection="1">
      <alignment horizontal="center" vertical="center"/>
      <protection locked="0"/>
    </xf>
    <xf numFmtId="167" fontId="5" fillId="0" borderId="46" xfId="2" applyNumberFormat="1" applyFont="1" applyBorder="1" applyAlignment="1" applyProtection="1">
      <alignment horizontal="center" vertical="center"/>
      <protection locked="0"/>
    </xf>
    <xf numFmtId="164" fontId="5" fillId="0" borderId="38" xfId="2" applyNumberFormat="1" applyFont="1" applyBorder="1" applyAlignment="1" applyProtection="1">
      <alignment horizontal="center" vertical="center"/>
      <protection locked="0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164" fontId="5" fillId="0" borderId="3" xfId="2" applyNumberFormat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47" xfId="2" applyFont="1" applyBorder="1" applyAlignment="1" applyProtection="1">
      <alignment horizontal="center" vertical="center"/>
      <protection locked="0"/>
    </xf>
    <xf numFmtId="166" fontId="5" fillId="0" borderId="48" xfId="2" applyNumberFormat="1" applyFont="1" applyBorder="1" applyAlignment="1" applyProtection="1">
      <alignment horizontal="center" vertical="center"/>
      <protection locked="0"/>
    </xf>
    <xf numFmtId="167" fontId="5" fillId="0" borderId="49" xfId="2" applyNumberFormat="1" applyFont="1" applyBorder="1" applyAlignment="1" applyProtection="1">
      <alignment horizontal="center" vertical="center"/>
      <protection locked="0"/>
    </xf>
    <xf numFmtId="164" fontId="5" fillId="0" borderId="48" xfId="2" applyNumberFormat="1" applyFont="1" applyBorder="1" applyAlignment="1" applyProtection="1">
      <alignment horizontal="center" vertical="center"/>
      <protection locked="0"/>
    </xf>
    <xf numFmtId="164" fontId="5" fillId="0" borderId="50" xfId="2" applyNumberFormat="1" applyFont="1" applyBorder="1" applyAlignment="1" applyProtection="1">
      <alignment horizontal="center" vertical="center"/>
      <protection locked="0"/>
    </xf>
    <xf numFmtId="2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8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50" xfId="2" applyFont="1" applyBorder="1" applyAlignment="1" applyProtection="1">
      <alignment horizontal="center" vertical="center"/>
      <protection locked="0"/>
    </xf>
    <xf numFmtId="171" fontId="4" fillId="2" borderId="59" xfId="2" applyNumberFormat="1" applyFont="1" applyFill="1" applyBorder="1" applyAlignment="1" applyProtection="1">
      <alignment horizontal="center" vertical="center"/>
      <protection hidden="1"/>
    </xf>
    <xf numFmtId="171" fontId="4" fillId="2" borderId="55" xfId="2" applyNumberFormat="1" applyFont="1" applyFill="1" applyBorder="1" applyAlignment="1" applyProtection="1">
      <alignment horizontal="center" vertical="center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locked="0"/>
    </xf>
    <xf numFmtId="0" fontId="5" fillId="0" borderId="14" xfId="2" applyFont="1" applyBorder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center" vertical="center"/>
      <protection hidden="1"/>
    </xf>
    <xf numFmtId="164" fontId="5" fillId="0" borderId="22" xfId="2" applyNumberFormat="1" applyFont="1" applyBorder="1" applyAlignment="1" applyProtection="1">
      <alignment horizontal="center" vertical="center"/>
      <protection hidden="1"/>
    </xf>
    <xf numFmtId="164" fontId="5" fillId="0" borderId="24" xfId="2" applyNumberFormat="1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12" fillId="0" borderId="70" xfId="2" applyFont="1" applyBorder="1" applyAlignment="1" applyProtection="1">
      <alignment horizontal="center" vertical="center"/>
      <protection hidden="1"/>
    </xf>
    <xf numFmtId="164" fontId="5" fillId="0" borderId="2" xfId="2" applyNumberFormat="1" applyFont="1" applyBorder="1" applyAlignment="1" applyProtection="1">
      <alignment horizontal="center" vertical="center"/>
      <protection locked="0"/>
    </xf>
    <xf numFmtId="0" fontId="4" fillId="2" borderId="5" xfId="2" applyFont="1" applyFill="1" applyBorder="1" applyAlignment="1" applyProtection="1">
      <alignment horizontal="center" vertical="center"/>
      <protection hidden="1"/>
    </xf>
    <xf numFmtId="172" fontId="4" fillId="2" borderId="59" xfId="2" applyNumberFormat="1" applyFont="1" applyFill="1" applyBorder="1" applyAlignment="1" applyProtection="1">
      <alignment horizontal="center" vertical="center"/>
      <protection hidden="1"/>
    </xf>
    <xf numFmtId="172" fontId="4" fillId="2" borderId="55" xfId="2" applyNumberFormat="1" applyFont="1" applyFill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hidden="1"/>
    </xf>
    <xf numFmtId="164" fontId="5" fillId="0" borderId="49" xfId="3" applyNumberFormat="1" applyFont="1" applyFill="1" applyBorder="1" applyAlignment="1" applyProtection="1">
      <alignment horizontal="center" vertical="center"/>
      <protection hidden="1"/>
    </xf>
    <xf numFmtId="1" fontId="6" fillId="3" borderId="2" xfId="2" applyNumberFormat="1" applyFont="1" applyFill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2" fillId="0" borderId="24" xfId="2" applyFont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locked="0"/>
    </xf>
    <xf numFmtId="164" fontId="5" fillId="0" borderId="46" xfId="3" applyNumberFormat="1" applyFont="1" applyFill="1" applyBorder="1" applyAlignment="1" applyProtection="1">
      <alignment horizontal="center" vertical="center"/>
      <protection locked="0"/>
    </xf>
    <xf numFmtId="164" fontId="5" fillId="0" borderId="49" xfId="3" applyNumberFormat="1" applyFont="1" applyFill="1" applyBorder="1" applyAlignment="1" applyProtection="1">
      <alignment horizontal="center" vertical="center"/>
      <protection locked="0"/>
    </xf>
    <xf numFmtId="1" fontId="6" fillId="3" borderId="63" xfId="2" applyNumberFormat="1" applyFont="1" applyFill="1" applyBorder="1" applyAlignment="1" applyProtection="1">
      <alignment horizontal="center" vertical="center"/>
      <protection hidden="1"/>
    </xf>
    <xf numFmtId="1" fontId="5" fillId="4" borderId="2" xfId="2" applyNumberFormat="1" applyFont="1" applyFill="1" applyBorder="1" applyAlignment="1" applyProtection="1">
      <alignment horizontal="center" vertical="center"/>
      <protection locked="0"/>
    </xf>
    <xf numFmtId="2" fontId="5" fillId="4" borderId="1" xfId="3" applyNumberFormat="1" applyFont="1" applyFill="1" applyBorder="1" applyAlignment="1" applyProtection="1">
      <alignment horizontal="center" vertical="center"/>
      <protection locked="0"/>
    </xf>
    <xf numFmtId="0" fontId="0" fillId="3" borderId="75" xfId="0" applyFill="1" applyBorder="1" applyProtection="1">
      <protection hidden="1"/>
    </xf>
    <xf numFmtId="0" fontId="0" fillId="3" borderId="73" xfId="0" applyFill="1" applyBorder="1" applyProtection="1">
      <protection hidden="1"/>
    </xf>
    <xf numFmtId="0" fontId="0" fillId="3" borderId="77" xfId="0" applyFill="1" applyBorder="1" applyProtection="1">
      <protection hidden="1"/>
    </xf>
    <xf numFmtId="0" fontId="6" fillId="3" borderId="74" xfId="0" applyFont="1" applyFill="1" applyBorder="1" applyAlignment="1" applyProtection="1">
      <alignment vertical="center"/>
      <protection hidden="1"/>
    </xf>
    <xf numFmtId="0" fontId="6" fillId="3" borderId="72" xfId="0" applyFont="1" applyFill="1" applyBorder="1" applyAlignment="1" applyProtection="1">
      <alignment vertical="center"/>
      <protection hidden="1"/>
    </xf>
    <xf numFmtId="0" fontId="6" fillId="3" borderId="76" xfId="0" applyFont="1" applyFill="1" applyBorder="1" applyAlignment="1" applyProtection="1">
      <alignment vertical="center"/>
      <protection hidden="1"/>
    </xf>
    <xf numFmtId="2" fontId="6" fillId="5" borderId="43" xfId="2" applyNumberFormat="1" applyFont="1" applyFill="1" applyBorder="1" applyAlignment="1" applyProtection="1">
      <alignment horizontal="center" vertical="center"/>
      <protection hidden="1"/>
    </xf>
    <xf numFmtId="2" fontId="6" fillId="5" borderId="51" xfId="2" applyNumberFormat="1" applyFont="1" applyFill="1" applyBorder="1" applyAlignment="1" applyProtection="1">
      <alignment vertical="center"/>
      <protection hidden="1"/>
    </xf>
    <xf numFmtId="2" fontId="6" fillId="5" borderId="52" xfId="2" applyNumberFormat="1" applyFont="1" applyFill="1" applyBorder="1" applyAlignment="1" applyProtection="1">
      <alignment vertical="center"/>
      <protection hidden="1"/>
    </xf>
    <xf numFmtId="2" fontId="5" fillId="4" borderId="46" xfId="3" applyNumberFormat="1" applyFont="1" applyFill="1" applyBorder="1" applyAlignment="1" applyProtection="1">
      <alignment horizontal="center" vertical="center"/>
      <protection locked="0"/>
    </xf>
    <xf numFmtId="2" fontId="6" fillId="3" borderId="51" xfId="2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0" fillId="0" borderId="4" xfId="0" applyNumberFormat="1" applyBorder="1"/>
    <xf numFmtId="0" fontId="0" fillId="0" borderId="0" xfId="0" applyAlignment="1">
      <alignment horizontal="center"/>
    </xf>
    <xf numFmtId="0" fontId="0" fillId="0" borderId="94" xfId="0" applyBorder="1"/>
    <xf numFmtId="0" fontId="5" fillId="0" borderId="4" xfId="0" applyFont="1" applyBorder="1" applyAlignment="1">
      <alignment vertical="center"/>
    </xf>
    <xf numFmtId="175" fontId="16" fillId="0" borderId="4" xfId="5" applyNumberFormat="1" applyFont="1" applyBorder="1" applyAlignment="1" applyProtection="1">
      <alignment vertical="center"/>
      <protection locked="0"/>
    </xf>
    <xf numFmtId="49" fontId="15" fillId="0" borderId="101" xfId="0" applyNumberFormat="1" applyFont="1" applyBorder="1" applyAlignment="1" applyProtection="1">
      <alignment horizontal="left" vertical="center"/>
      <protection locked="0"/>
    </xf>
    <xf numFmtId="0" fontId="15" fillId="0" borderId="102" xfId="0" applyFont="1" applyBorder="1" applyAlignment="1" applyProtection="1">
      <alignment vertical="center"/>
      <protection locked="0"/>
    </xf>
    <xf numFmtId="0" fontId="15" fillId="0" borderId="83" xfId="0" applyFont="1" applyBorder="1" applyAlignment="1" applyProtection="1">
      <alignment vertical="center"/>
      <protection locked="0"/>
    </xf>
    <xf numFmtId="0" fontId="15" fillId="0" borderId="103" xfId="0" applyFont="1" applyBorder="1" applyAlignment="1" applyProtection="1">
      <alignment vertical="center"/>
      <protection locked="0"/>
    </xf>
    <xf numFmtId="0" fontId="0" fillId="0" borderId="102" xfId="0" applyBorder="1" applyAlignment="1" applyProtection="1">
      <alignment vertical="center"/>
      <protection locked="0"/>
    </xf>
    <xf numFmtId="0" fontId="0" fillId="0" borderId="104" xfId="0" applyBorder="1" applyAlignment="1" applyProtection="1">
      <alignment vertical="center"/>
      <protection locked="0"/>
    </xf>
    <xf numFmtId="0" fontId="16" fillId="0" borderId="5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165" fontId="20" fillId="0" borderId="4" xfId="0" applyNumberFormat="1" applyFont="1" applyBorder="1"/>
    <xf numFmtId="0" fontId="0" fillId="0" borderId="105" xfId="0" applyBorder="1" applyAlignment="1">
      <alignment horizontal="centerContinuous"/>
    </xf>
    <xf numFmtId="0" fontId="0" fillId="0" borderId="91" xfId="0" applyBorder="1" applyAlignment="1">
      <alignment horizontal="centerContinuous"/>
    </xf>
    <xf numFmtId="0" fontId="21" fillId="0" borderId="105" xfId="0" applyFont="1" applyBorder="1" applyAlignment="1">
      <alignment horizontal="centerContinuous"/>
    </xf>
    <xf numFmtId="0" fontId="16" fillId="0" borderId="8" xfId="0" applyFont="1" applyBorder="1" applyAlignment="1">
      <alignment vertical="center"/>
    </xf>
    <xf numFmtId="164" fontId="20" fillId="0" borderId="4" xfId="0" applyNumberFormat="1" applyFont="1" applyBorder="1"/>
    <xf numFmtId="175" fontId="15" fillId="0" borderId="0" xfId="5" applyNumberFormat="1" applyFont="1" applyBorder="1" applyAlignment="1" applyProtection="1">
      <alignment vertical="center"/>
      <protection locked="0"/>
    </xf>
    <xf numFmtId="165" fontId="0" fillId="0" borderId="4" xfId="0" applyNumberFormat="1" applyBorder="1" applyAlignment="1">
      <alignment horizontal="centerContinuous" vertical="center"/>
    </xf>
    <xf numFmtId="37" fontId="23" fillId="0" borderId="4" xfId="5" applyNumberFormat="1" applyFont="1" applyBorder="1" applyAlignment="1" applyProtection="1">
      <alignment horizontal="center"/>
      <protection locked="0"/>
    </xf>
    <xf numFmtId="0" fontId="21" fillId="0" borderId="4" xfId="0" applyFont="1" applyBorder="1" applyAlignment="1" applyProtection="1">
      <alignment horizontal="center"/>
      <protection locked="0"/>
    </xf>
    <xf numFmtId="175" fontId="18" fillId="0" borderId="0" xfId="5" applyNumberFormat="1" applyFont="1" applyBorder="1" applyAlignment="1" applyProtection="1">
      <alignment vertical="center"/>
      <protection locked="0"/>
    </xf>
    <xf numFmtId="0" fontId="15" fillId="0" borderId="108" xfId="0" applyFont="1" applyBorder="1" applyAlignment="1">
      <alignment vertical="center"/>
    </xf>
    <xf numFmtId="0" fontId="18" fillId="0" borderId="20" xfId="0" applyFont="1" applyBorder="1" applyAlignment="1" applyProtection="1">
      <alignment horizontal="center" vertical="center"/>
      <protection locked="0"/>
    </xf>
    <xf numFmtId="0" fontId="15" fillId="0" borderId="109" xfId="0" applyFont="1" applyBorder="1" applyAlignment="1" applyProtection="1">
      <alignment horizontal="center" vertical="center"/>
      <protection locked="0"/>
    </xf>
    <xf numFmtId="0" fontId="15" fillId="0" borderId="110" xfId="0" applyFont="1" applyBorder="1" applyAlignment="1" applyProtection="1">
      <alignment vertical="center"/>
      <protection locked="0"/>
    </xf>
    <xf numFmtId="0" fontId="0" fillId="0" borderId="74" xfId="0" applyBorder="1" applyAlignment="1" applyProtection="1">
      <alignment vertical="center"/>
      <protection locked="0"/>
    </xf>
    <xf numFmtId="0" fontId="23" fillId="0" borderId="110" xfId="0" applyFont="1" applyBorder="1" applyAlignment="1" applyProtection="1">
      <alignment horizontal="centerContinuous" vertical="center"/>
      <protection locked="0"/>
    </xf>
    <xf numFmtId="176" fontId="18" fillId="0" borderId="111" xfId="5" applyNumberFormat="1" applyFont="1" applyBorder="1" applyAlignment="1" applyProtection="1">
      <alignment horizontal="right" vertical="center"/>
      <protection locked="0"/>
    </xf>
    <xf numFmtId="0" fontId="15" fillId="0" borderId="88" xfId="0" applyFont="1" applyBorder="1" applyAlignment="1">
      <alignment vertical="center"/>
    </xf>
    <xf numFmtId="176" fontId="18" fillId="0" borderId="51" xfId="5" applyNumberFormat="1" applyFont="1" applyBorder="1" applyAlignment="1" applyProtection="1">
      <alignment vertical="center"/>
      <protection locked="0"/>
    </xf>
    <xf numFmtId="176" fontId="0" fillId="2" borderId="90" xfId="0" applyNumberFormat="1" applyFill="1" applyBorder="1" applyAlignment="1">
      <alignment vertical="center"/>
    </xf>
    <xf numFmtId="0" fontId="15" fillId="0" borderId="112" xfId="0" applyFont="1" applyBorder="1" applyAlignment="1" applyProtection="1">
      <alignment vertical="center"/>
      <protection locked="0"/>
    </xf>
    <xf numFmtId="0" fontId="0" fillId="0" borderId="72" xfId="0" applyBorder="1" applyAlignment="1" applyProtection="1">
      <alignment vertical="center"/>
      <protection locked="0"/>
    </xf>
    <xf numFmtId="0" fontId="23" fillId="0" borderId="112" xfId="0" applyFont="1" applyBorder="1" applyAlignment="1" applyProtection="1">
      <alignment horizontal="centerContinuous" vertical="center"/>
      <protection locked="0"/>
    </xf>
    <xf numFmtId="176" fontId="18" fillId="0" borderId="113" xfId="5" applyNumberFormat="1" applyFont="1" applyBorder="1" applyAlignment="1" applyProtection="1">
      <alignment horizontal="right" vertical="center"/>
      <protection locked="0"/>
    </xf>
    <xf numFmtId="0" fontId="16" fillId="0" borderId="4" xfId="0" applyFont="1" applyBorder="1" applyAlignment="1">
      <alignment vertical="center"/>
    </xf>
    <xf numFmtId="0" fontId="15" fillId="0" borderId="112" xfId="0" applyFont="1" applyBorder="1" applyAlignment="1">
      <alignment vertical="center"/>
    </xf>
    <xf numFmtId="176" fontId="18" fillId="0" borderId="1" xfId="0" applyNumberFormat="1" applyFont="1" applyBorder="1" applyAlignment="1" applyProtection="1">
      <alignment vertical="center"/>
      <protection locked="0"/>
    </xf>
    <xf numFmtId="176" fontId="0" fillId="2" borderId="113" xfId="0" applyNumberFormat="1" applyFill="1" applyBorder="1" applyAlignment="1">
      <alignment vertical="center"/>
    </xf>
    <xf numFmtId="176" fontId="15" fillId="0" borderId="113" xfId="5" applyNumberFormat="1" applyFont="1" applyBorder="1" applyAlignment="1" applyProtection="1">
      <alignment horizontal="right" vertical="center"/>
    </xf>
    <xf numFmtId="0" fontId="15" fillId="0" borderId="0" xfId="0" applyFont="1" applyAlignment="1">
      <alignment vertical="center"/>
    </xf>
    <xf numFmtId="0" fontId="18" fillId="0" borderId="0" xfId="0" applyFont="1" applyProtection="1">
      <protection locked="0"/>
    </xf>
    <xf numFmtId="0" fontId="26" fillId="2" borderId="4" xfId="0" applyFont="1" applyFill="1" applyBorder="1" applyAlignment="1" applyProtection="1">
      <alignment horizontal="center"/>
      <protection locked="0"/>
    </xf>
    <xf numFmtId="0" fontId="20" fillId="0" borderId="33" xfId="0" applyFont="1" applyBorder="1"/>
    <xf numFmtId="176" fontId="27" fillId="0" borderId="1" xfId="0" applyNumberFormat="1" applyFont="1" applyBorder="1" applyAlignment="1" applyProtection="1">
      <alignment horizontal="center" vertical="center"/>
      <protection locked="0"/>
    </xf>
    <xf numFmtId="0" fontId="28" fillId="2" borderId="4" xfId="0" applyFont="1" applyFill="1" applyBorder="1" applyAlignment="1">
      <alignment vertical="center"/>
    </xf>
    <xf numFmtId="174" fontId="26" fillId="2" borderId="4" xfId="0" applyNumberFormat="1" applyFont="1" applyFill="1" applyBorder="1" applyProtection="1">
      <protection locked="0"/>
    </xf>
    <xf numFmtId="164" fontId="28" fillId="2" borderId="4" xfId="0" applyNumberFormat="1" applyFont="1" applyFill="1" applyBorder="1" applyProtection="1">
      <protection locked="0"/>
    </xf>
    <xf numFmtId="0" fontId="29" fillId="2" borderId="4" xfId="0" applyFont="1" applyFill="1" applyBorder="1"/>
    <xf numFmtId="176" fontId="15" fillId="0" borderId="1" xfId="0" applyNumberFormat="1" applyFont="1" applyBorder="1" applyAlignment="1">
      <alignment vertical="center"/>
    </xf>
    <xf numFmtId="0" fontId="0" fillId="0" borderId="112" xfId="0" applyBorder="1" applyAlignment="1" applyProtection="1">
      <alignment horizontal="centerContinuous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right" vertical="center"/>
      <protection locked="0"/>
    </xf>
    <xf numFmtId="177" fontId="15" fillId="0" borderId="1" xfId="0" applyNumberFormat="1" applyFont="1" applyBorder="1" applyAlignment="1">
      <alignment vertical="center"/>
    </xf>
    <xf numFmtId="177" fontId="15" fillId="0" borderId="113" xfId="5" applyNumberFormat="1" applyFont="1" applyBorder="1" applyAlignment="1" applyProtection="1">
      <alignment vertical="center"/>
    </xf>
    <xf numFmtId="0" fontId="15" fillId="0" borderId="114" xfId="0" applyFont="1" applyBorder="1" applyAlignment="1" applyProtection="1">
      <alignment vertical="center"/>
      <protection locked="0"/>
    </xf>
    <xf numFmtId="0" fontId="0" fillId="0" borderId="115" xfId="0" applyBorder="1" applyAlignment="1" applyProtection="1">
      <alignment vertical="center"/>
      <protection locked="0"/>
    </xf>
    <xf numFmtId="0" fontId="0" fillId="0" borderId="114" xfId="0" applyBorder="1" applyAlignment="1" applyProtection="1">
      <alignment horizontal="centerContinuous" vertical="center"/>
      <protection locked="0"/>
    </xf>
    <xf numFmtId="174" fontId="15" fillId="0" borderId="116" xfId="5" applyNumberFormat="1" applyFont="1" applyBorder="1" applyAlignment="1" applyProtection="1">
      <alignment horizontal="right" vertical="center"/>
    </xf>
    <xf numFmtId="175" fontId="18" fillId="0" borderId="0" xfId="5" applyNumberFormat="1" applyFont="1" applyBorder="1" applyAlignment="1" applyProtection="1">
      <alignment horizontal="center" vertical="center"/>
      <protection locked="0"/>
    </xf>
    <xf numFmtId="177" fontId="0" fillId="2" borderId="113" xfId="0" applyNumberFormat="1" applyFill="1" applyBorder="1" applyAlignment="1">
      <alignment vertical="center"/>
    </xf>
    <xf numFmtId="4" fontId="15" fillId="0" borderId="1" xfId="0" applyNumberFormat="1" applyFont="1" applyBorder="1" applyAlignment="1">
      <alignment vertical="center"/>
    </xf>
    <xf numFmtId="4" fontId="15" fillId="0" borderId="113" xfId="0" applyNumberFormat="1" applyFont="1" applyBorder="1" applyAlignment="1">
      <alignment vertical="center"/>
    </xf>
    <xf numFmtId="0" fontId="15" fillId="0" borderId="119" xfId="0" applyFont="1" applyBorder="1" applyAlignment="1" applyProtection="1">
      <alignment horizontal="center" vertical="center"/>
      <protection locked="0"/>
    </xf>
    <xf numFmtId="0" fontId="15" fillId="0" borderId="90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>
      <alignment horizontal="right"/>
    </xf>
    <xf numFmtId="4" fontId="0" fillId="2" borderId="113" xfId="0" applyNumberFormat="1" applyFill="1" applyBorder="1" applyAlignment="1">
      <alignment vertical="center"/>
    </xf>
    <xf numFmtId="0" fontId="15" fillId="0" borderId="108" xfId="0" applyFont="1" applyBorder="1" applyAlignment="1" applyProtection="1">
      <alignment horizontal="centerContinuous" vertical="center"/>
      <protection locked="0"/>
    </xf>
    <xf numFmtId="0" fontId="15" fillId="0" borderId="20" xfId="0" applyFont="1" applyBorder="1" applyAlignment="1" applyProtection="1">
      <alignment horizontal="centerContinuous" vertical="center"/>
      <protection locked="0"/>
    </xf>
    <xf numFmtId="0" fontId="15" fillId="0" borderId="84" xfId="0" applyFont="1" applyBorder="1" applyAlignment="1" applyProtection="1">
      <alignment horizontal="center" vertical="center"/>
      <protection locked="0"/>
    </xf>
    <xf numFmtId="0" fontId="30" fillId="0" borderId="84" xfId="0" applyFont="1" applyBorder="1" applyAlignment="1" applyProtection="1">
      <alignment horizontal="center" vertical="center"/>
      <protection locked="0"/>
    </xf>
    <xf numFmtId="0" fontId="30" fillId="0" borderId="120" xfId="0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/>
      <protection locked="0"/>
    </xf>
    <xf numFmtId="164" fontId="15" fillId="0" borderId="4" xfId="0" applyNumberFormat="1" applyFont="1" applyBorder="1"/>
    <xf numFmtId="2" fontId="15" fillId="0" borderId="4" xfId="0" applyNumberFormat="1" applyFont="1" applyBorder="1"/>
    <xf numFmtId="165" fontId="15" fillId="0" borderId="4" xfId="0" applyNumberFormat="1" applyFont="1" applyBorder="1"/>
    <xf numFmtId="1" fontId="15" fillId="0" borderId="4" xfId="0" applyNumberFormat="1" applyFont="1" applyBorder="1"/>
    <xf numFmtId="0" fontId="15" fillId="0" borderId="121" xfId="0" applyFont="1" applyBorder="1" applyAlignment="1">
      <alignment horizontal="centerContinuous" vertical="center"/>
    </xf>
    <xf numFmtId="178" fontId="15" fillId="0" borderId="43" xfId="5" applyNumberFormat="1" applyFont="1" applyBorder="1" applyAlignment="1" applyProtection="1">
      <alignment vertical="center"/>
    </xf>
    <xf numFmtId="0" fontId="18" fillId="0" borderId="43" xfId="0" applyFont="1" applyBorder="1" applyAlignment="1" applyProtection="1">
      <alignment vertical="center"/>
      <protection locked="0"/>
    </xf>
    <xf numFmtId="0" fontId="15" fillId="0" borderId="43" xfId="0" applyFont="1" applyBorder="1" applyAlignment="1" applyProtection="1">
      <alignment vertical="center"/>
      <protection locked="0"/>
    </xf>
    <xf numFmtId="0" fontId="15" fillId="0" borderId="122" xfId="0" applyFont="1" applyBorder="1" applyAlignment="1" applyProtection="1">
      <alignment vertical="center"/>
      <protection locked="0"/>
    </xf>
    <xf numFmtId="0" fontId="15" fillId="0" borderId="123" xfId="0" applyFont="1" applyBorder="1" applyAlignment="1">
      <alignment horizontal="centerContinuous" vertical="center"/>
    </xf>
    <xf numFmtId="178" fontId="15" fillId="0" borderId="1" xfId="5" applyNumberFormat="1" applyFont="1" applyBorder="1" applyAlignment="1" applyProtection="1">
      <alignment horizontal="centerContinuous" vertical="center"/>
    </xf>
    <xf numFmtId="0" fontId="18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24" xfId="0" applyFont="1" applyBorder="1" applyAlignment="1" applyProtection="1">
      <alignment vertical="center"/>
      <protection locked="0"/>
    </xf>
    <xf numFmtId="0" fontId="1" fillId="0" borderId="125" xfId="0" applyFont="1" applyBorder="1" applyAlignment="1" applyProtection="1">
      <alignment horizontal="center" vertical="center"/>
      <protection locked="0"/>
    </xf>
    <xf numFmtId="0" fontId="17" fillId="0" borderId="99" xfId="0" applyFont="1" applyBorder="1" applyAlignment="1" applyProtection="1">
      <alignment horizontal="center" vertical="center"/>
      <protection locked="0"/>
    </xf>
    <xf numFmtId="0" fontId="15" fillId="0" borderId="94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176" fontId="18" fillId="0" borderId="1" xfId="5" applyNumberFormat="1" applyFont="1" applyBorder="1" applyAlignment="1" applyProtection="1">
      <alignment vertical="center"/>
      <protection locked="0"/>
    </xf>
    <xf numFmtId="176" fontId="15" fillId="0" borderId="1" xfId="0" applyNumberFormat="1" applyFont="1" applyBorder="1" applyAlignment="1" applyProtection="1">
      <alignment vertical="center"/>
      <protection locked="0"/>
    </xf>
    <xf numFmtId="164" fontId="15" fillId="0" borderId="124" xfId="0" applyNumberFormat="1" applyFont="1" applyBorder="1" applyAlignment="1" applyProtection="1">
      <alignment vertical="center"/>
      <protection locked="0"/>
    </xf>
    <xf numFmtId="0" fontId="1" fillId="0" borderId="126" xfId="0" applyFont="1" applyBorder="1" applyAlignment="1" applyProtection="1">
      <alignment horizontal="center" vertical="center"/>
      <protection locked="0"/>
    </xf>
    <xf numFmtId="0" fontId="1" fillId="0" borderId="9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" fontId="31" fillId="0" borderId="1" xfId="0" applyNumberFormat="1" applyFont="1" applyBorder="1" applyAlignment="1">
      <alignment vertical="center"/>
    </xf>
    <xf numFmtId="0" fontId="17" fillId="0" borderId="127" xfId="0" applyFont="1" applyBorder="1" applyAlignment="1" applyProtection="1">
      <alignment horizontal="center" vertical="center"/>
      <protection locked="0"/>
    </xf>
    <xf numFmtId="2" fontId="15" fillId="0" borderId="0" xfId="0" applyNumberFormat="1" applyFont="1"/>
    <xf numFmtId="4" fontId="18" fillId="0" borderId="1" xfId="0" applyNumberFormat="1" applyFont="1" applyBorder="1" applyAlignment="1" applyProtection="1">
      <alignment vertical="center"/>
      <protection locked="0"/>
    </xf>
    <xf numFmtId="0" fontId="17" fillId="0" borderId="126" xfId="0" applyFont="1" applyBorder="1" applyAlignment="1" applyProtection="1">
      <alignment horizontal="center" vertical="center"/>
      <protection locked="0"/>
    </xf>
    <xf numFmtId="0" fontId="15" fillId="0" borderId="94" xfId="0" applyFont="1" applyBorder="1" applyAlignment="1">
      <alignment horizontal="centerContinuous"/>
    </xf>
    <xf numFmtId="0" fontId="15" fillId="0" borderId="0" xfId="0" applyFont="1" applyAlignment="1">
      <alignment horizontal="centerContinuous"/>
    </xf>
    <xf numFmtId="175" fontId="1" fillId="0" borderId="125" xfId="5" applyNumberFormat="1" applyFont="1" applyBorder="1" applyAlignment="1" applyProtection="1">
      <alignment vertical="center"/>
      <protection locked="0"/>
    </xf>
    <xf numFmtId="2" fontId="15" fillId="0" borderId="94" xfId="0" applyNumberFormat="1" applyFont="1" applyBorder="1"/>
    <xf numFmtId="0" fontId="15" fillId="0" borderId="0" xfId="0" applyFont="1"/>
    <xf numFmtId="179" fontId="18" fillId="0" borderId="0" xfId="0" applyNumberFormat="1" applyFont="1" applyProtection="1">
      <protection locked="0"/>
    </xf>
    <xf numFmtId="0" fontId="15" fillId="0" borderId="96" xfId="0" applyFont="1" applyBorder="1" applyAlignment="1">
      <alignment vertical="center"/>
    </xf>
    <xf numFmtId="4" fontId="18" fillId="0" borderId="55" xfId="0" applyNumberFormat="1" applyFont="1" applyBorder="1" applyAlignment="1" applyProtection="1">
      <alignment vertical="center"/>
      <protection locked="0"/>
    </xf>
    <xf numFmtId="4" fontId="15" fillId="0" borderId="97" xfId="0" applyNumberFormat="1" applyFont="1" applyBorder="1" applyAlignment="1">
      <alignment vertical="center"/>
    </xf>
    <xf numFmtId="0" fontId="15" fillId="0" borderId="88" xfId="0" applyFont="1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180" fontId="18" fillId="0" borderId="89" xfId="0" applyNumberFormat="1" applyFont="1" applyBorder="1" applyAlignment="1" applyProtection="1">
      <alignment vertical="center"/>
      <protection locked="0"/>
    </xf>
    <xf numFmtId="0" fontId="18" fillId="0" borderId="89" xfId="0" applyFont="1" applyBorder="1" applyAlignment="1" applyProtection="1">
      <alignment vertical="center"/>
      <protection locked="0"/>
    </xf>
    <xf numFmtId="0" fontId="0" fillId="0" borderId="90" xfId="0" applyBorder="1" applyAlignment="1" applyProtection="1">
      <alignment vertical="center"/>
      <protection locked="0"/>
    </xf>
    <xf numFmtId="180" fontId="18" fillId="0" borderId="72" xfId="0" applyNumberFormat="1" applyFont="1" applyBorder="1" applyAlignment="1" applyProtection="1">
      <alignment vertical="center"/>
      <protection locked="0"/>
    </xf>
    <xf numFmtId="0" fontId="18" fillId="0" borderId="72" xfId="0" applyFont="1" applyBorder="1" applyAlignment="1" applyProtection="1">
      <alignment vertical="center"/>
      <protection locked="0"/>
    </xf>
    <xf numFmtId="0" fontId="0" fillId="0" borderId="113" xfId="0" applyBorder="1" applyAlignment="1" applyProtection="1">
      <alignment vertical="center"/>
      <protection locked="0"/>
    </xf>
    <xf numFmtId="179" fontId="18" fillId="6" borderId="0" xfId="0" applyNumberFormat="1" applyFont="1" applyFill="1" applyProtection="1">
      <protection locked="0"/>
    </xf>
    <xf numFmtId="0" fontId="25" fillId="0" borderId="72" xfId="0" applyFont="1" applyBorder="1" applyAlignment="1" applyProtection="1">
      <alignment vertical="center"/>
      <protection locked="0"/>
    </xf>
    <xf numFmtId="0" fontId="18" fillId="0" borderId="113" xfId="0" applyFont="1" applyBorder="1" applyAlignment="1" applyProtection="1">
      <alignment horizontal="center" vertical="center"/>
      <protection locked="0"/>
    </xf>
    <xf numFmtId="0" fontId="0" fillId="0" borderId="96" xfId="0" applyBorder="1" applyAlignment="1" applyProtection="1">
      <alignment vertical="center"/>
      <protection locked="0"/>
    </xf>
    <xf numFmtId="0" fontId="0" fillId="0" borderId="87" xfId="0" applyBorder="1" applyAlignment="1" applyProtection="1">
      <alignment vertical="center"/>
      <protection locked="0"/>
    </xf>
    <xf numFmtId="0" fontId="15" fillId="0" borderId="72" xfId="0" applyFont="1" applyBorder="1" applyAlignment="1" applyProtection="1">
      <alignment horizontal="right" vertical="center"/>
      <protection locked="0"/>
    </xf>
    <xf numFmtId="0" fontId="15" fillId="0" borderId="114" xfId="0" applyFont="1" applyBorder="1" applyAlignment="1" applyProtection="1">
      <alignment horizontal="centerContinuous" vertical="center"/>
      <protection locked="0"/>
    </xf>
    <xf numFmtId="0" fontId="15" fillId="0" borderId="128" xfId="0" applyFont="1" applyBorder="1" applyAlignment="1" applyProtection="1">
      <alignment horizontal="centerContinuous" vertical="center"/>
      <protection locked="0"/>
    </xf>
    <xf numFmtId="176" fontId="15" fillId="0" borderId="48" xfId="5" applyNumberFormat="1" applyFont="1" applyBorder="1" applyAlignment="1" applyProtection="1">
      <alignment vertical="center"/>
    </xf>
    <xf numFmtId="176" fontId="15" fillId="0" borderId="129" xfId="5" applyNumberFormat="1" applyFont="1" applyBorder="1" applyAlignment="1" applyProtection="1">
      <alignment vertical="center"/>
    </xf>
    <xf numFmtId="0" fontId="0" fillId="0" borderId="88" xfId="0" applyBorder="1" applyProtection="1">
      <protection locked="0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4" xfId="0" applyBorder="1" applyProtection="1">
      <protection locked="0"/>
    </xf>
    <xf numFmtId="0" fontId="0" fillId="0" borderId="0" xfId="0" applyProtection="1">
      <protection locked="0"/>
    </xf>
    <xf numFmtId="0" fontId="0" fillId="0" borderId="95" xfId="0" applyBorder="1" applyProtection="1">
      <protection locked="0"/>
    </xf>
    <xf numFmtId="165" fontId="15" fillId="0" borderId="0" xfId="0" applyNumberFormat="1" applyFont="1"/>
    <xf numFmtId="4" fontId="0" fillId="0" borderId="0" xfId="0" applyNumberFormat="1"/>
    <xf numFmtId="181" fontId="0" fillId="0" borderId="0" xfId="0" applyNumberFormat="1"/>
    <xf numFmtId="181" fontId="1" fillId="0" borderId="0" xfId="0" applyNumberFormat="1" applyFont="1"/>
    <xf numFmtId="0" fontId="0" fillId="0" borderId="96" xfId="0" applyBorder="1" applyProtection="1">
      <protection locked="0"/>
    </xf>
    <xf numFmtId="0" fontId="0" fillId="0" borderId="87" xfId="0" applyBorder="1" applyProtection="1">
      <protection locked="0"/>
    </xf>
    <xf numFmtId="0" fontId="0" fillId="0" borderId="97" xfId="0" applyBorder="1" applyProtection="1">
      <protection locked="0"/>
    </xf>
    <xf numFmtId="177" fontId="1" fillId="0" borderId="0" xfId="0" applyNumberFormat="1" applyFont="1"/>
    <xf numFmtId="0" fontId="15" fillId="0" borderId="110" xfId="0" applyFont="1" applyBorder="1" applyProtection="1">
      <protection locked="0"/>
    </xf>
    <xf numFmtId="0" fontId="18" fillId="0" borderId="74" xfId="0" applyFont="1" applyBorder="1" applyProtection="1">
      <protection locked="0"/>
    </xf>
    <xf numFmtId="0" fontId="18" fillId="0" borderId="74" xfId="0" applyFont="1" applyBorder="1" applyAlignment="1" applyProtection="1">
      <alignment horizontal="left"/>
      <protection locked="0"/>
    </xf>
    <xf numFmtId="0" fontId="15" fillId="0" borderId="74" xfId="0" applyFont="1" applyBorder="1" applyAlignment="1" applyProtection="1">
      <alignment horizontal="left"/>
      <protection locked="0"/>
    </xf>
    <xf numFmtId="0" fontId="15" fillId="0" borderId="74" xfId="0" applyFont="1" applyBorder="1" applyProtection="1">
      <protection locked="0"/>
    </xf>
    <xf numFmtId="0" fontId="15" fillId="0" borderId="111" xfId="0" applyFont="1" applyBorder="1" applyProtection="1">
      <protection locked="0"/>
    </xf>
    <xf numFmtId="0" fontId="15" fillId="0" borderId="130" xfId="0" applyFont="1" applyBorder="1" applyProtection="1">
      <protection locked="0"/>
    </xf>
    <xf numFmtId="0" fontId="18" fillId="0" borderId="131" xfId="0" applyFont="1" applyBorder="1" applyAlignment="1" applyProtection="1">
      <alignment horizontal="center"/>
      <protection locked="0"/>
    </xf>
    <xf numFmtId="0" fontId="18" fillId="0" borderId="132" xfId="0" applyFont="1" applyBorder="1" applyAlignment="1" applyProtection="1">
      <alignment horizontal="center"/>
      <protection locked="0"/>
    </xf>
    <xf numFmtId="177" fontId="18" fillId="0" borderId="133" xfId="0" applyNumberFormat="1" applyFont="1" applyBorder="1" applyAlignment="1" applyProtection="1">
      <alignment horizontal="right"/>
      <protection locked="0"/>
    </xf>
    <xf numFmtId="0" fontId="15" fillId="0" borderId="72" xfId="0" applyFont="1" applyBorder="1" applyProtection="1">
      <protection locked="0"/>
    </xf>
    <xf numFmtId="3" fontId="18" fillId="0" borderId="72" xfId="0" applyNumberFormat="1" applyFont="1" applyBorder="1" applyAlignment="1" applyProtection="1">
      <alignment horizontal="left"/>
      <protection locked="0"/>
    </xf>
    <xf numFmtId="0" fontId="18" fillId="0" borderId="72" xfId="0" applyFont="1" applyBorder="1" applyAlignment="1" applyProtection="1">
      <alignment horizontal="left"/>
      <protection locked="0"/>
    </xf>
    <xf numFmtId="0" fontId="15" fillId="0" borderId="113" xfId="0" applyFont="1" applyBorder="1" applyProtection="1">
      <protection locked="0"/>
    </xf>
    <xf numFmtId="0" fontId="15" fillId="0" borderId="134" xfId="0" applyFont="1" applyBorder="1" applyProtection="1">
      <protection locked="0"/>
    </xf>
    <xf numFmtId="173" fontId="18" fillId="0" borderId="85" xfId="5" applyFont="1" applyBorder="1" applyProtection="1">
      <protection locked="0"/>
    </xf>
    <xf numFmtId="173" fontId="18" fillId="0" borderId="86" xfId="5" applyFont="1" applyBorder="1" applyProtection="1">
      <protection locked="0"/>
    </xf>
    <xf numFmtId="177" fontId="18" fillId="0" borderId="135" xfId="0" applyNumberFormat="1" applyFont="1" applyBorder="1" applyAlignment="1" applyProtection="1">
      <alignment horizontal="right"/>
      <protection locked="0"/>
    </xf>
    <xf numFmtId="0" fontId="15" fillId="0" borderId="112" xfId="0" applyFont="1" applyBorder="1" applyProtection="1">
      <protection locked="0"/>
    </xf>
    <xf numFmtId="20" fontId="15" fillId="0" borderId="72" xfId="0" applyNumberFormat="1" applyFont="1" applyBorder="1" applyProtection="1">
      <protection locked="0"/>
    </xf>
    <xf numFmtId="173" fontId="18" fillId="0" borderId="72" xfId="5" applyFont="1" applyBorder="1" applyProtection="1">
      <protection locked="0"/>
    </xf>
    <xf numFmtId="173" fontId="18" fillId="0" borderId="2" xfId="5" applyFont="1" applyBorder="1" applyProtection="1">
      <protection locked="0"/>
    </xf>
    <xf numFmtId="164" fontId="15" fillId="0" borderId="124" xfId="0" applyNumberFormat="1" applyFont="1" applyBorder="1" applyAlignment="1" applyProtection="1">
      <alignment horizontal="right"/>
      <protection locked="0"/>
    </xf>
    <xf numFmtId="14" fontId="18" fillId="0" borderId="72" xfId="0" applyNumberFormat="1" applyFont="1" applyBorder="1" applyProtection="1">
      <protection locked="0"/>
    </xf>
    <xf numFmtId="173" fontId="15" fillId="0" borderId="72" xfId="5" applyFont="1" applyBorder="1" applyProtection="1"/>
    <xf numFmtId="173" fontId="15" fillId="0" borderId="2" xfId="5" applyFont="1" applyBorder="1" applyProtection="1"/>
    <xf numFmtId="4" fontId="18" fillId="0" borderId="113" xfId="5" applyNumberFormat="1" applyFont="1" applyBorder="1" applyAlignment="1" applyProtection="1">
      <alignment horizontal="right"/>
    </xf>
    <xf numFmtId="0" fontId="15" fillId="0" borderId="114" xfId="0" applyFont="1" applyBorder="1" applyProtection="1">
      <protection locked="0"/>
    </xf>
    <xf numFmtId="0" fontId="15" fillId="0" borderId="115" xfId="0" applyFont="1" applyBorder="1" applyProtection="1">
      <protection locked="0"/>
    </xf>
    <xf numFmtId="0" fontId="15" fillId="0" borderId="116" xfId="0" applyFont="1" applyBorder="1" applyProtection="1">
      <protection locked="0"/>
    </xf>
    <xf numFmtId="0" fontId="15" fillId="0" borderId="2" xfId="0" applyFont="1" applyBorder="1" applyProtection="1">
      <protection locked="0"/>
    </xf>
    <xf numFmtId="3" fontId="18" fillId="0" borderId="113" xfId="0" applyNumberFormat="1" applyFont="1" applyBorder="1" applyAlignment="1" applyProtection="1">
      <alignment horizontal="right"/>
      <protection locked="0"/>
    </xf>
    <xf numFmtId="0" fontId="15" fillId="0" borderId="0" xfId="0" applyFont="1" applyProtection="1">
      <protection locked="0"/>
    </xf>
    <xf numFmtId="0" fontId="15" fillId="0" borderId="95" xfId="0" applyFont="1" applyBorder="1" applyProtection="1">
      <protection locked="0"/>
    </xf>
    <xf numFmtId="0" fontId="15" fillId="0" borderId="113" xfId="0" applyFont="1" applyBorder="1" applyAlignment="1" applyProtection="1">
      <alignment horizontal="right"/>
      <protection locked="0"/>
    </xf>
    <xf numFmtId="14" fontId="15" fillId="0" borderId="0" xfId="0" applyNumberFormat="1" applyFont="1" applyProtection="1">
      <protection locked="0"/>
    </xf>
    <xf numFmtId="0" fontId="15" fillId="0" borderId="96" xfId="0" applyFont="1" applyBorder="1" applyProtection="1">
      <protection locked="0"/>
    </xf>
    <xf numFmtId="0" fontId="15" fillId="0" borderId="87" xfId="0" applyFont="1" applyBorder="1" applyProtection="1">
      <protection locked="0"/>
    </xf>
    <xf numFmtId="0" fontId="15" fillId="0" borderId="84" xfId="0" applyFont="1" applyBorder="1" applyProtection="1">
      <protection locked="0"/>
    </xf>
    <xf numFmtId="0" fontId="15" fillId="0" borderId="97" xfId="0" applyFont="1" applyBorder="1" applyAlignment="1" applyProtection="1">
      <alignment horizontal="right"/>
      <protection locked="0"/>
    </xf>
    <xf numFmtId="0" fontId="15" fillId="0" borderId="97" xfId="0" applyFont="1" applyBorder="1" applyProtection="1">
      <protection locked="0"/>
    </xf>
    <xf numFmtId="167" fontId="5" fillId="0" borderId="3" xfId="2" applyNumberFormat="1" applyFont="1" applyBorder="1" applyAlignment="1" applyProtection="1">
      <alignment horizontal="center" vertical="center"/>
      <protection locked="0"/>
    </xf>
    <xf numFmtId="0" fontId="5" fillId="0" borderId="38" xfId="2" applyFont="1" applyBorder="1" applyAlignment="1" applyProtection="1">
      <alignment horizontal="center" vertical="center"/>
      <protection locked="0"/>
    </xf>
    <xf numFmtId="0" fontId="1" fillId="0" borderId="137" xfId="2" applyBorder="1" applyProtection="1">
      <protection hidden="1"/>
    </xf>
    <xf numFmtId="0" fontId="12" fillId="0" borderId="136" xfId="2" applyFont="1" applyBorder="1" applyAlignment="1" applyProtection="1">
      <alignment horizontal="center" vertical="center"/>
      <protection hidden="1"/>
    </xf>
    <xf numFmtId="0" fontId="1" fillId="4" borderId="0" xfId="2" applyFill="1"/>
    <xf numFmtId="0" fontId="6" fillId="3" borderId="0" xfId="2" applyFont="1" applyFill="1" applyAlignment="1" applyProtection="1">
      <alignment horizontal="center" vertical="center" textRotation="90" wrapText="1"/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0" fillId="3" borderId="0" xfId="0" applyFill="1" applyProtection="1">
      <protection hidden="1"/>
    </xf>
    <xf numFmtId="2" fontId="6" fillId="3" borderId="0" xfId="2" applyNumberFormat="1" applyFont="1" applyFill="1" applyAlignment="1" applyProtection="1">
      <alignment horizontal="center" vertical="center"/>
      <protection hidden="1"/>
    </xf>
    <xf numFmtId="165" fontId="6" fillId="3" borderId="0" xfId="2" applyNumberFormat="1" applyFont="1" applyFill="1" applyAlignment="1" applyProtection="1">
      <alignment horizontal="center" vertical="center"/>
      <protection hidden="1"/>
    </xf>
    <xf numFmtId="2" fontId="6" fillId="3" borderId="0" xfId="2" applyNumberFormat="1" applyFont="1" applyFill="1" applyAlignment="1" applyProtection="1">
      <alignment vertical="center"/>
      <protection hidden="1"/>
    </xf>
    <xf numFmtId="0" fontId="6" fillId="4" borderId="0" xfId="2" applyFont="1" applyFill="1" applyAlignment="1" applyProtection="1">
      <alignment horizontal="center" vertical="center" textRotation="90" wrapText="1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0" fillId="4" borderId="0" xfId="0" applyFill="1" applyProtection="1">
      <protection hidden="1"/>
    </xf>
    <xf numFmtId="2" fontId="6" fillId="4" borderId="0" xfId="2" applyNumberFormat="1" applyFont="1" applyFill="1" applyAlignment="1" applyProtection="1">
      <alignment horizontal="center" vertical="center"/>
      <protection hidden="1"/>
    </xf>
    <xf numFmtId="165" fontId="6" fillId="4" borderId="0" xfId="2" applyNumberFormat="1" applyFont="1" applyFill="1" applyAlignment="1" applyProtection="1">
      <alignment horizontal="center" vertical="center"/>
      <protection hidden="1"/>
    </xf>
    <xf numFmtId="2" fontId="6" fillId="4" borderId="0" xfId="2" applyNumberFormat="1" applyFont="1" applyFill="1" applyAlignment="1" applyProtection="1">
      <alignment vertical="center"/>
      <protection hidden="1"/>
    </xf>
    <xf numFmtId="0" fontId="6" fillId="4" borderId="9" xfId="2" applyFont="1" applyFill="1" applyBorder="1" applyAlignment="1" applyProtection="1">
      <alignment vertical="center" textRotation="90" wrapText="1"/>
      <protection hidden="1"/>
    </xf>
    <xf numFmtId="0" fontId="6" fillId="4" borderId="0" xfId="2" applyFont="1" applyFill="1" applyAlignment="1" applyProtection="1">
      <alignment vertical="center" textRotation="90" wrapText="1"/>
      <protection hidden="1"/>
    </xf>
    <xf numFmtId="0" fontId="35" fillId="7" borderId="13" xfId="2" applyFont="1" applyFill="1" applyBorder="1" applyAlignment="1" applyProtection="1">
      <alignment horizontal="center" vertical="center" wrapText="1"/>
      <protection hidden="1"/>
    </xf>
    <xf numFmtId="0" fontId="35" fillId="7" borderId="12" xfId="2" applyFont="1" applyFill="1" applyBorder="1" applyAlignment="1" applyProtection="1">
      <alignment horizontal="center" vertical="center" wrapText="1"/>
      <protection hidden="1"/>
    </xf>
    <xf numFmtId="0" fontId="35" fillId="7" borderId="55" xfId="2" applyFont="1" applyFill="1" applyBorder="1" applyAlignment="1" applyProtection="1">
      <alignment horizontal="center" vertical="center" wrapText="1"/>
      <protection hidden="1"/>
    </xf>
    <xf numFmtId="0" fontId="5" fillId="0" borderId="0" xfId="2" applyFont="1" applyAlignment="1" applyProtection="1">
      <alignment horizontal="center" vertical="center" wrapText="1"/>
      <protection hidden="1"/>
    </xf>
    <xf numFmtId="0" fontId="6" fillId="0" borderId="36" xfId="2" applyFont="1" applyBorder="1" applyAlignment="1" applyProtection="1">
      <alignment horizontal="center" vertical="center"/>
      <protection hidden="1"/>
    </xf>
    <xf numFmtId="0" fontId="6" fillId="0" borderId="17" xfId="2" applyFont="1" applyBorder="1" applyAlignment="1" applyProtection="1">
      <alignment horizontal="center" vertical="center"/>
      <protection hidden="1"/>
    </xf>
    <xf numFmtId="0" fontId="6" fillId="5" borderId="42" xfId="2" applyFont="1" applyFill="1" applyBorder="1" applyAlignment="1" applyProtection="1">
      <alignment horizontal="center" vertical="center" wrapText="1"/>
      <protection hidden="1"/>
    </xf>
    <xf numFmtId="0" fontId="0" fillId="5" borderId="43" xfId="0" applyFill="1" applyBorder="1" applyProtection="1">
      <protection hidden="1"/>
    </xf>
    <xf numFmtId="0" fontId="0" fillId="5" borderId="44" xfId="0" applyFill="1" applyBorder="1" applyProtection="1">
      <protection hidden="1"/>
    </xf>
    <xf numFmtId="0" fontId="6" fillId="3" borderId="78" xfId="2" applyFont="1" applyFill="1" applyBorder="1" applyAlignment="1" applyProtection="1">
      <alignment horizontal="center" vertical="center" textRotation="90" wrapText="1"/>
      <protection hidden="1"/>
    </xf>
    <xf numFmtId="0" fontId="6" fillId="3" borderId="79" xfId="2" applyFont="1" applyFill="1" applyBorder="1" applyAlignment="1" applyProtection="1">
      <alignment horizontal="center" vertical="center" textRotation="90" wrapText="1"/>
      <protection hidden="1"/>
    </xf>
    <xf numFmtId="0" fontId="6" fillId="3" borderId="80" xfId="2" applyFont="1" applyFill="1" applyBorder="1" applyAlignment="1" applyProtection="1">
      <alignment horizontal="center" vertical="center" textRotation="90" wrapText="1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6" fillId="0" borderId="137" xfId="2" applyFont="1" applyBorder="1" applyAlignment="1" applyProtection="1">
      <alignment horizontal="center" vertical="center"/>
      <protection hidden="1"/>
    </xf>
    <xf numFmtId="0" fontId="6" fillId="0" borderId="35" xfId="2" applyFont="1" applyBorder="1" applyAlignment="1" applyProtection="1">
      <alignment horizontal="center" vertical="center"/>
      <protection hidden="1"/>
    </xf>
    <xf numFmtId="0" fontId="6" fillId="0" borderId="57" xfId="2" applyFont="1" applyBorder="1" applyAlignment="1" applyProtection="1">
      <alignment horizontal="center" vertical="center"/>
      <protection hidden="1"/>
    </xf>
    <xf numFmtId="0" fontId="6" fillId="0" borderId="54" xfId="2" applyFont="1" applyBorder="1" applyAlignment="1" applyProtection="1">
      <alignment horizontal="center" vertical="center" textRotation="90" wrapText="1"/>
      <protection hidden="1"/>
    </xf>
    <xf numFmtId="0" fontId="6" fillId="0" borderId="6" xfId="2" applyFont="1" applyBorder="1" applyAlignment="1" applyProtection="1">
      <alignment horizontal="center" vertical="center" textRotation="90" wrapText="1"/>
      <protection hidden="1"/>
    </xf>
    <xf numFmtId="0" fontId="6" fillId="0" borderId="23" xfId="2" applyFont="1" applyBorder="1" applyAlignment="1" applyProtection="1">
      <alignment horizontal="center" vertical="center" textRotation="90" wrapText="1"/>
      <protection hidden="1"/>
    </xf>
    <xf numFmtId="0" fontId="6" fillId="0" borderId="8" xfId="2" applyFont="1" applyBorder="1" applyAlignment="1" applyProtection="1">
      <alignment horizontal="center" vertical="center" textRotation="90" wrapText="1"/>
      <protection hidden="1"/>
    </xf>
    <xf numFmtId="0" fontId="6" fillId="0" borderId="4" xfId="2" applyFont="1" applyBorder="1" applyAlignment="1" applyProtection="1">
      <alignment horizontal="center" vertical="center" textRotation="90" wrapText="1"/>
      <protection hidden="1"/>
    </xf>
    <xf numFmtId="0" fontId="6" fillId="0" borderId="10" xfId="2" applyFont="1" applyBorder="1" applyAlignment="1" applyProtection="1">
      <alignment horizontal="center" vertical="center" textRotation="90" wrapText="1"/>
      <protection hidden="1"/>
    </xf>
    <xf numFmtId="0" fontId="6" fillId="0" borderId="13" xfId="2" applyFont="1" applyBorder="1" applyAlignment="1" applyProtection="1">
      <alignment horizontal="center" vertical="center" textRotation="90" wrapText="1"/>
      <protection hidden="1"/>
    </xf>
    <xf numFmtId="0" fontId="6" fillId="0" borderId="12" xfId="2" applyFont="1" applyBorder="1" applyAlignment="1" applyProtection="1">
      <alignment horizontal="center" vertical="center" textRotation="90" wrapText="1"/>
      <protection hidden="1"/>
    </xf>
    <xf numFmtId="0" fontId="6" fillId="0" borderId="11" xfId="2" applyFont="1" applyBorder="1" applyAlignment="1" applyProtection="1">
      <alignment horizontal="center" vertical="center" textRotation="90" wrapText="1"/>
      <protection hidden="1"/>
    </xf>
    <xf numFmtId="0" fontId="6" fillId="0" borderId="22" xfId="2" applyFont="1" applyBorder="1" applyAlignment="1" applyProtection="1">
      <alignment horizontal="center" vertical="center" textRotation="90" wrapText="1"/>
      <protection hidden="1"/>
    </xf>
    <xf numFmtId="0" fontId="6" fillId="0" borderId="7" xfId="2" applyFont="1" applyBorder="1" applyAlignment="1" applyProtection="1">
      <alignment horizontal="center" vertical="center" textRotation="90" wrapText="1"/>
      <protection hidden="1"/>
    </xf>
    <xf numFmtId="0" fontId="6" fillId="0" borderId="24" xfId="2" applyFont="1" applyBorder="1" applyAlignment="1" applyProtection="1">
      <alignment horizontal="center" vertical="center" textRotation="90" wrapText="1"/>
      <protection hidden="1"/>
    </xf>
    <xf numFmtId="0" fontId="34" fillId="7" borderId="0" xfId="1" applyFont="1" applyFill="1" applyAlignment="1" applyProtection="1">
      <alignment horizontal="center" vertical="center"/>
      <protection locked="0"/>
    </xf>
    <xf numFmtId="0" fontId="35" fillId="7" borderId="54" xfId="2" applyFont="1" applyFill="1" applyBorder="1" applyAlignment="1" applyProtection="1">
      <alignment horizontal="center" vertical="center"/>
      <protection hidden="1"/>
    </xf>
    <xf numFmtId="0" fontId="35" fillId="7" borderId="6" xfId="2" applyFont="1" applyFill="1" applyBorder="1" applyAlignment="1" applyProtection="1">
      <alignment horizontal="center" vertical="center"/>
      <protection hidden="1"/>
    </xf>
    <xf numFmtId="0" fontId="35" fillId="7" borderId="19" xfId="2" applyFont="1" applyFill="1" applyBorder="1" applyAlignment="1" applyProtection="1">
      <alignment horizontal="center" vertical="center"/>
      <protection hidden="1"/>
    </xf>
    <xf numFmtId="0" fontId="35" fillId="7" borderId="32" xfId="2" applyFont="1" applyFill="1" applyBorder="1" applyAlignment="1" applyProtection="1">
      <alignment horizontal="center" vertical="center"/>
      <protection hidden="1"/>
    </xf>
    <xf numFmtId="0" fontId="35" fillId="7" borderId="4" xfId="2" applyFont="1" applyFill="1" applyBorder="1" applyAlignment="1" applyProtection="1">
      <alignment horizontal="center" vertical="center"/>
      <protection hidden="1"/>
    </xf>
    <xf numFmtId="0" fontId="35" fillId="7" borderId="20" xfId="2" applyFont="1" applyFill="1" applyBorder="1" applyAlignment="1" applyProtection="1">
      <alignment horizontal="center" vertical="center"/>
      <protection hidden="1"/>
    </xf>
    <xf numFmtId="0" fontId="35" fillId="7" borderId="139" xfId="2" applyFont="1" applyFill="1" applyBorder="1" applyAlignment="1" applyProtection="1">
      <alignment horizontal="center" vertical="center" wrapText="1"/>
      <protection hidden="1"/>
    </xf>
    <xf numFmtId="0" fontId="35" fillId="7" borderId="29" xfId="2" applyFont="1" applyFill="1" applyBorder="1" applyAlignment="1" applyProtection="1">
      <alignment horizontal="center" vertical="center" wrapText="1"/>
      <protection hidden="1"/>
    </xf>
    <xf numFmtId="0" fontId="35" fillId="7" borderId="138" xfId="2" applyFont="1" applyFill="1" applyBorder="1" applyAlignment="1" applyProtection="1">
      <alignment horizontal="center" vertical="center" wrapText="1"/>
      <protection hidden="1"/>
    </xf>
    <xf numFmtId="0" fontId="35" fillId="7" borderId="31" xfId="2" applyFont="1" applyFill="1" applyBorder="1" applyAlignment="1" applyProtection="1">
      <alignment horizontal="center" vertical="center" wrapText="1"/>
      <protection hidden="1"/>
    </xf>
    <xf numFmtId="0" fontId="35" fillId="7" borderId="33" xfId="2" applyFont="1" applyFill="1" applyBorder="1" applyAlignment="1" applyProtection="1">
      <alignment horizontal="center" vertical="center" wrapText="1"/>
      <protection hidden="1"/>
    </xf>
    <xf numFmtId="0" fontId="35" fillId="7" borderId="62" xfId="2" applyFont="1" applyFill="1" applyBorder="1" applyAlignment="1" applyProtection="1">
      <alignment horizontal="center" vertical="center" wrapText="1"/>
      <protection hidden="1"/>
    </xf>
    <xf numFmtId="0" fontId="35" fillId="7" borderId="32" xfId="2" applyFont="1" applyFill="1" applyBorder="1" applyAlignment="1" applyProtection="1">
      <alignment horizontal="center" vertical="center" wrapText="1"/>
      <protection hidden="1"/>
    </xf>
    <xf numFmtId="0" fontId="35" fillId="7" borderId="4" xfId="2" applyFont="1" applyFill="1" applyBorder="1" applyAlignment="1" applyProtection="1">
      <alignment horizontal="center" vertical="center" wrapText="1"/>
      <protection hidden="1"/>
    </xf>
    <xf numFmtId="0" fontId="35" fillId="7" borderId="20" xfId="2" applyFont="1" applyFill="1" applyBorder="1" applyAlignment="1" applyProtection="1">
      <alignment horizontal="center" vertical="center" wrapText="1"/>
      <protection hidden="1"/>
    </xf>
    <xf numFmtId="0" fontId="35" fillId="7" borderId="14" xfId="2" applyFont="1" applyFill="1" applyBorder="1" applyAlignment="1" applyProtection="1">
      <alignment horizontal="center" vertical="center"/>
      <protection hidden="1"/>
    </xf>
    <xf numFmtId="0" fontId="35" fillId="7" borderId="7" xfId="2" applyFont="1" applyFill="1" applyBorder="1" applyAlignment="1" applyProtection="1">
      <alignment horizontal="center" vertical="center"/>
      <protection hidden="1"/>
    </xf>
    <xf numFmtId="0" fontId="35" fillId="7" borderId="58" xfId="2" applyFont="1" applyFill="1" applyBorder="1" applyAlignment="1" applyProtection="1">
      <alignment horizontal="center" vertical="center"/>
      <protection hidden="1"/>
    </xf>
    <xf numFmtId="0" fontId="33" fillId="7" borderId="0" xfId="1" applyFont="1" applyFill="1" applyAlignment="1" applyProtection="1">
      <alignment horizontal="center" vertical="center"/>
      <protection hidden="1"/>
    </xf>
    <xf numFmtId="0" fontId="36" fillId="4" borderId="0" xfId="0" applyFont="1" applyFill="1" applyAlignment="1">
      <alignment horizontal="left" wrapText="1"/>
    </xf>
    <xf numFmtId="0" fontId="36" fillId="0" borderId="81" xfId="0" applyFont="1" applyBorder="1" applyAlignment="1">
      <alignment horizontal="left" vertical="center" wrapText="1"/>
    </xf>
    <xf numFmtId="0" fontId="38" fillId="0" borderId="81" xfId="6" applyFont="1" applyBorder="1" applyAlignment="1" applyProtection="1">
      <alignment horizontal="left" vertical="center" wrapText="1"/>
      <protection locked="0"/>
    </xf>
    <xf numFmtId="0" fontId="40" fillId="0" borderId="81" xfId="6" applyFont="1" applyBorder="1" applyAlignment="1" applyProtection="1">
      <alignment horizontal="left" vertical="center"/>
      <protection locked="0"/>
    </xf>
    <xf numFmtId="0" fontId="1" fillId="0" borderId="0" xfId="2" applyAlignment="1">
      <alignment horizontal="center"/>
    </xf>
    <xf numFmtId="49" fontId="39" fillId="4" borderId="140" xfId="6" applyNumberFormat="1" applyFont="1" applyFill="1" applyBorder="1" applyAlignment="1" applyProtection="1">
      <alignment horizontal="center" vertical="center"/>
      <protection locked="0" hidden="1"/>
    </xf>
    <xf numFmtId="2" fontId="36" fillId="4" borderId="140" xfId="6" applyNumberFormat="1" applyFont="1" applyFill="1" applyBorder="1" applyAlignment="1" applyProtection="1">
      <alignment horizontal="left" vertical="center"/>
      <protection locked="0"/>
    </xf>
    <xf numFmtId="0" fontId="39" fillId="4" borderId="140" xfId="6" applyFont="1" applyFill="1" applyBorder="1" applyAlignment="1" applyProtection="1">
      <alignment horizontal="center" vertical="center"/>
      <protection locked="0" hidden="1"/>
    </xf>
    <xf numFmtId="0" fontId="38" fillId="4" borderId="140" xfId="6" applyFont="1" applyFill="1" applyBorder="1" applyAlignment="1" applyProtection="1">
      <alignment horizontal="left" vertical="center"/>
      <protection locked="0" hidden="1"/>
    </xf>
    <xf numFmtId="0" fontId="39" fillId="4" borderId="81" xfId="6" applyFont="1" applyFill="1" applyBorder="1" applyAlignment="1" applyProtection="1">
      <alignment horizontal="center" vertical="center"/>
      <protection locked="0" hidden="1"/>
    </xf>
    <xf numFmtId="0" fontId="38" fillId="4" borderId="81" xfId="6" applyFont="1" applyFill="1" applyBorder="1" applyAlignment="1" applyProtection="1">
      <alignment horizontal="left" vertical="center"/>
      <protection locked="0" hidden="1"/>
    </xf>
    <xf numFmtId="0" fontId="24" fillId="0" borderId="60" xfId="0" applyFont="1" applyBorder="1" applyAlignment="1" applyProtection="1">
      <alignment horizontal="center"/>
      <protection locked="0"/>
    </xf>
    <xf numFmtId="0" fontId="24" fillId="0" borderId="33" xfId="0" applyFont="1" applyBorder="1" applyAlignment="1" applyProtection="1">
      <alignment horizontal="center"/>
      <protection locked="0"/>
    </xf>
    <xf numFmtId="0" fontId="19" fillId="0" borderId="98" xfId="0" applyFont="1" applyBorder="1" applyAlignment="1" applyProtection="1">
      <alignment horizontal="center" vertical="center"/>
      <protection locked="0"/>
    </xf>
    <xf numFmtId="0" fontId="19" fillId="0" borderId="99" xfId="0" applyFont="1" applyBorder="1" applyAlignment="1" applyProtection="1">
      <alignment horizontal="center" vertical="center"/>
      <protection locked="0"/>
    </xf>
    <xf numFmtId="0" fontId="19" fillId="0" borderId="100" xfId="0" applyFont="1" applyBorder="1" applyAlignment="1" applyProtection="1">
      <alignment horizontal="center" vertical="center"/>
      <protection locked="0"/>
    </xf>
    <xf numFmtId="0" fontId="0" fillId="0" borderId="6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60" xfId="0" applyFont="1" applyBorder="1" applyAlignment="1">
      <alignment horizontal="center" vertical="justify"/>
    </xf>
    <xf numFmtId="0" fontId="4" fillId="0" borderId="33" xfId="0" applyFont="1" applyBorder="1" applyAlignment="1">
      <alignment horizontal="center" vertical="justify"/>
    </xf>
    <xf numFmtId="0" fontId="6" fillId="0" borderId="6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2" fillId="0" borderId="92" xfId="0" applyFont="1" applyBorder="1" applyAlignment="1" applyProtection="1">
      <alignment horizontal="center" vertical="center"/>
      <protection locked="0"/>
    </xf>
    <xf numFmtId="0" fontId="22" fillId="0" borderId="81" xfId="0" applyFont="1" applyBorder="1" applyAlignment="1" applyProtection="1">
      <alignment horizontal="center" vertical="center"/>
      <protection locked="0"/>
    </xf>
    <xf numFmtId="0" fontId="22" fillId="0" borderId="93" xfId="0" applyFont="1" applyBorder="1" applyAlignment="1" applyProtection="1">
      <alignment horizontal="center" vertical="center"/>
      <protection locked="0"/>
    </xf>
    <xf numFmtId="0" fontId="25" fillId="0" borderId="106" xfId="0" applyFont="1" applyBorder="1" applyAlignment="1" applyProtection="1">
      <alignment horizontal="center" vertical="center"/>
      <protection locked="0"/>
    </xf>
    <xf numFmtId="0" fontId="25" fillId="0" borderId="82" xfId="0" applyFont="1" applyBorder="1" applyAlignment="1" applyProtection="1">
      <alignment horizontal="center" vertical="center"/>
      <protection locked="0"/>
    </xf>
    <xf numFmtId="0" fontId="25" fillId="0" borderId="62" xfId="0" applyFont="1" applyBorder="1" applyAlignment="1" applyProtection="1">
      <alignment horizontal="center" vertical="center"/>
      <protection locked="0"/>
    </xf>
    <xf numFmtId="0" fontId="25" fillId="0" borderId="66" xfId="0" applyFont="1" applyBorder="1" applyAlignment="1" applyProtection="1">
      <alignment horizontal="center" vertical="center"/>
      <protection locked="0"/>
    </xf>
    <xf numFmtId="0" fontId="25" fillId="0" borderId="107" xfId="0" applyFont="1" applyBorder="1" applyAlignment="1" applyProtection="1">
      <alignment horizontal="center" vertical="center"/>
      <protection locked="0"/>
    </xf>
    <xf numFmtId="0" fontId="15" fillId="0" borderId="117" xfId="0" applyFont="1" applyBorder="1" applyAlignment="1" applyProtection="1">
      <alignment horizontal="center" vertical="center"/>
      <protection locked="0"/>
    </xf>
    <xf numFmtId="0" fontId="15" fillId="0" borderId="118" xfId="0" applyFont="1" applyBorder="1" applyAlignment="1" applyProtection="1">
      <alignment horizontal="center" vertical="center"/>
      <protection locked="0"/>
    </xf>
    <xf numFmtId="0" fontId="1" fillId="0" borderId="127" xfId="0" applyFont="1" applyBorder="1" applyAlignment="1" applyProtection="1">
      <alignment horizontal="justify" vertical="justify" wrapText="1"/>
      <protection locked="0"/>
    </xf>
    <xf numFmtId="0" fontId="1" fillId="0" borderId="126" xfId="0" applyFont="1" applyBorder="1" applyAlignment="1" applyProtection="1">
      <alignment horizontal="justify" vertical="justify" wrapText="1"/>
      <protection locked="0"/>
    </xf>
    <xf numFmtId="0" fontId="18" fillId="0" borderId="115" xfId="0" applyFont="1" applyBorder="1" applyAlignment="1" applyProtection="1">
      <alignment horizontal="left" vertical="center"/>
      <protection locked="0"/>
    </xf>
    <xf numFmtId="0" fontId="18" fillId="0" borderId="116" xfId="0" applyFont="1" applyBorder="1" applyAlignment="1" applyProtection="1">
      <alignment horizontal="left" vertical="center"/>
      <protection locked="0"/>
    </xf>
    <xf numFmtId="0" fontId="15" fillId="0" borderId="117" xfId="0" applyFont="1" applyBorder="1" applyAlignment="1" applyProtection="1">
      <alignment horizontal="center"/>
      <protection locked="0"/>
    </xf>
    <xf numFmtId="0" fontId="15" fillId="0" borderId="102" xfId="0" applyFont="1" applyBorder="1" applyAlignment="1" applyProtection="1">
      <alignment horizontal="center"/>
      <protection locked="0"/>
    </xf>
    <xf numFmtId="0" fontId="15" fillId="0" borderId="104" xfId="0" applyFont="1" applyBorder="1" applyAlignment="1" applyProtection="1">
      <alignment horizontal="center"/>
      <protection locked="0"/>
    </xf>
    <xf numFmtId="0" fontId="15" fillId="0" borderId="98" xfId="0" applyFont="1" applyBorder="1" applyAlignment="1" applyProtection="1">
      <alignment horizontal="center" vertical="center"/>
      <protection locked="0"/>
    </xf>
    <xf numFmtId="0" fontId="15" fillId="0" borderId="99" xfId="0" applyFont="1" applyBorder="1" applyAlignment="1" applyProtection="1">
      <alignment horizontal="center" vertical="center"/>
      <protection locked="0"/>
    </xf>
    <xf numFmtId="0" fontId="15" fillId="0" borderId="100" xfId="0" applyFont="1" applyBorder="1" applyAlignment="1" applyProtection="1">
      <alignment horizontal="center" vertical="center"/>
      <protection locked="0"/>
    </xf>
    <xf numFmtId="0" fontId="4" fillId="2" borderId="7" xfId="2" applyFont="1" applyFill="1" applyBorder="1" applyAlignment="1" applyProtection="1">
      <alignment horizontal="center" vertical="center"/>
      <protection hidden="1"/>
    </xf>
    <xf numFmtId="0" fontId="4" fillId="2" borderId="58" xfId="2" applyFont="1" applyFill="1" applyBorder="1" applyAlignment="1" applyProtection="1">
      <alignment horizontal="center" vertical="center"/>
      <protection hidden="1"/>
    </xf>
    <xf numFmtId="0" fontId="4" fillId="2" borderId="27" xfId="2" applyFont="1" applyFill="1" applyBorder="1" applyAlignment="1" applyProtection="1">
      <alignment horizontal="center" vertical="center"/>
      <protection hidden="1"/>
    </xf>
    <xf numFmtId="0" fontId="4" fillId="2" borderId="9" xfId="2" applyFont="1" applyFill="1" applyBorder="1" applyAlignment="1" applyProtection="1">
      <alignment horizontal="center" vertical="center"/>
      <protection hidden="1"/>
    </xf>
    <xf numFmtId="0" fontId="4" fillId="2" borderId="28" xfId="2" applyFont="1" applyFill="1" applyBorder="1" applyAlignment="1" applyProtection="1">
      <alignment horizontal="center" vertical="center"/>
      <protection hidden="1"/>
    </xf>
    <xf numFmtId="0" fontId="6" fillId="0" borderId="34" xfId="2" applyFont="1" applyBorder="1" applyAlignment="1" applyProtection="1">
      <alignment horizontal="center" vertical="center"/>
      <protection hidden="1"/>
    </xf>
    <xf numFmtId="0" fontId="5" fillId="0" borderId="6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9" xfId="2" applyFont="1" applyBorder="1" applyAlignment="1" applyProtection="1">
      <alignment horizontal="center" vertical="center" wrapText="1"/>
      <protection hidden="1"/>
    </xf>
    <xf numFmtId="0" fontId="5" fillId="0" borderId="20" xfId="2" applyFont="1" applyBorder="1" applyAlignment="1" applyProtection="1">
      <alignment horizontal="center" vertical="center" wrapText="1"/>
      <protection hidden="1"/>
    </xf>
    <xf numFmtId="0" fontId="5" fillId="0" borderId="54" xfId="2" applyFont="1" applyBorder="1" applyAlignment="1" applyProtection="1">
      <alignment horizontal="center" vertical="center" wrapText="1"/>
      <protection hidden="1"/>
    </xf>
    <xf numFmtId="0" fontId="5" fillId="0" borderId="32" xfId="2" applyFont="1" applyBorder="1" applyAlignment="1" applyProtection="1">
      <alignment horizontal="center" vertical="center" wrapText="1"/>
      <protection hidden="1"/>
    </xf>
    <xf numFmtId="0" fontId="4" fillId="2" borderId="13" xfId="2" applyFont="1" applyFill="1" applyBorder="1" applyAlignment="1" applyProtection="1">
      <alignment horizontal="center" vertical="center" wrapText="1"/>
      <protection hidden="1"/>
    </xf>
    <xf numFmtId="0" fontId="4" fillId="2" borderId="12" xfId="2" applyFont="1" applyFill="1" applyBorder="1" applyAlignment="1" applyProtection="1">
      <alignment horizontal="center" vertical="center" wrapText="1"/>
      <protection hidden="1"/>
    </xf>
    <xf numFmtId="0" fontId="4" fillId="2" borderId="55" xfId="2" applyFont="1" applyFill="1" applyBorder="1" applyAlignment="1" applyProtection="1">
      <alignment horizontal="center" vertical="center" wrapText="1"/>
      <protection hidden="1"/>
    </xf>
    <xf numFmtId="0" fontId="6" fillId="3" borderId="38" xfId="2" applyFont="1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Protection="1">
      <protection hidden="1"/>
    </xf>
    <xf numFmtId="0" fontId="0" fillId="3" borderId="46" xfId="0" applyFill="1" applyBorder="1" applyProtection="1">
      <protection hidden="1"/>
    </xf>
    <xf numFmtId="0" fontId="6" fillId="3" borderId="39" xfId="2" applyFont="1" applyFill="1" applyBorder="1" applyAlignment="1" applyProtection="1">
      <alignment horizontal="center" vertical="center" wrapText="1"/>
      <protection hidden="1"/>
    </xf>
    <xf numFmtId="0" fontId="0" fillId="3" borderId="40" xfId="0" applyFill="1" applyBorder="1" applyProtection="1">
      <protection hidden="1"/>
    </xf>
    <xf numFmtId="0" fontId="0" fillId="3" borderId="61" xfId="0" applyFill="1" applyBorder="1" applyProtection="1">
      <protection hidden="1"/>
    </xf>
    <xf numFmtId="0" fontId="6" fillId="3" borderId="42" xfId="2" applyFont="1" applyFill="1" applyBorder="1" applyAlignment="1" applyProtection="1">
      <alignment horizontal="center" vertical="center" wrapText="1"/>
      <protection hidden="1"/>
    </xf>
    <xf numFmtId="0" fontId="0" fillId="3" borderId="43" xfId="0" applyFill="1" applyBorder="1" applyProtection="1">
      <protection hidden="1"/>
    </xf>
    <xf numFmtId="0" fontId="0" fillId="3" borderId="44" xfId="0" applyFill="1" applyBorder="1" applyProtection="1">
      <protection hidden="1"/>
    </xf>
    <xf numFmtId="0" fontId="6" fillId="0" borderId="21" xfId="2" applyFont="1" applyBorder="1" applyAlignment="1" applyProtection="1">
      <alignment horizontal="center" vertical="center" textRotation="90" wrapText="1"/>
      <protection hidden="1"/>
    </xf>
    <xf numFmtId="0" fontId="5" fillId="0" borderId="23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0" fontId="6" fillId="0" borderId="27" xfId="2" applyFont="1" applyBorder="1" applyAlignment="1" applyProtection="1">
      <alignment horizontal="center" vertical="center"/>
      <protection hidden="1"/>
    </xf>
    <xf numFmtId="0" fontId="6" fillId="0" borderId="9" xfId="2" applyFont="1" applyBorder="1" applyAlignment="1" applyProtection="1">
      <alignment horizontal="center" vertical="center"/>
      <protection hidden="1"/>
    </xf>
    <xf numFmtId="0" fontId="5" fillId="0" borderId="21" xfId="2" applyFont="1" applyBorder="1" applyAlignment="1" applyProtection="1">
      <alignment horizontal="center" vertical="center" wrapText="1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18" xfId="2" applyFont="1" applyBorder="1" applyAlignment="1" applyProtection="1">
      <alignment horizontal="center" vertical="center"/>
      <protection hidden="1"/>
    </xf>
    <xf numFmtId="0" fontId="12" fillId="0" borderId="25" xfId="2" applyFont="1" applyBorder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2" borderId="14" xfId="2" applyFont="1" applyFill="1" applyBorder="1" applyAlignment="1" applyProtection="1">
      <alignment horizontal="center" vertical="center"/>
      <protection hidden="1"/>
    </xf>
    <xf numFmtId="0" fontId="4" fillId="2" borderId="32" xfId="2" applyFont="1" applyFill="1" applyBorder="1" applyAlignment="1" applyProtection="1">
      <alignment horizontal="center" vertical="center" wrapText="1"/>
      <protection hidden="1"/>
    </xf>
    <xf numFmtId="0" fontId="4" fillId="2" borderId="4" xfId="2" applyFont="1" applyFill="1" applyBorder="1" applyAlignment="1" applyProtection="1">
      <alignment horizontal="center" vertical="center" wrapText="1"/>
      <protection hidden="1"/>
    </xf>
    <xf numFmtId="0" fontId="4" fillId="2" borderId="20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/>
      <protection hidden="1"/>
    </xf>
    <xf numFmtId="0" fontId="4" fillId="2" borderId="4" xfId="2" applyFont="1" applyFill="1" applyBorder="1" applyAlignment="1" applyProtection="1">
      <alignment horizontal="center" vertical="center"/>
      <protection hidden="1"/>
    </xf>
    <xf numFmtId="0" fontId="4" fillId="2" borderId="20" xfId="2" applyFont="1" applyFill="1" applyBorder="1" applyAlignment="1" applyProtection="1">
      <alignment horizontal="center" vertical="center"/>
      <protection hidden="1"/>
    </xf>
    <xf numFmtId="0" fontId="4" fillId="2" borderId="54" xfId="2" applyFont="1" applyFill="1" applyBorder="1" applyAlignment="1" applyProtection="1">
      <alignment horizontal="center" vertical="center"/>
      <protection hidden="1"/>
    </xf>
    <xf numFmtId="0" fontId="4" fillId="2" borderId="6" xfId="2" applyFont="1" applyFill="1" applyBorder="1" applyAlignment="1" applyProtection="1">
      <alignment horizontal="center" vertical="center"/>
      <protection hidden="1"/>
    </xf>
    <xf numFmtId="0" fontId="4" fillId="2" borderId="19" xfId="2" applyFont="1" applyFill="1" applyBorder="1" applyAlignment="1" applyProtection="1">
      <alignment horizontal="center" vertical="center"/>
      <protection hidden="1"/>
    </xf>
    <xf numFmtId="0" fontId="4" fillId="2" borderId="31" xfId="2" applyFont="1" applyFill="1" applyBorder="1" applyAlignment="1" applyProtection="1">
      <alignment horizontal="center" vertical="center" wrapText="1"/>
      <protection hidden="1"/>
    </xf>
    <xf numFmtId="0" fontId="4" fillId="2" borderId="33" xfId="2" applyFont="1" applyFill="1" applyBorder="1" applyAlignment="1" applyProtection="1">
      <alignment horizontal="center" vertical="center" wrapText="1"/>
      <protection hidden="1"/>
    </xf>
    <xf numFmtId="0" fontId="4" fillId="2" borderId="62" xfId="2" applyFont="1" applyFill="1" applyBorder="1" applyAlignment="1" applyProtection="1">
      <alignment horizontal="center" vertical="center" wrapText="1"/>
      <protection hidden="1"/>
    </xf>
    <xf numFmtId="0" fontId="4" fillId="2" borderId="53" xfId="2" applyFont="1" applyFill="1" applyBorder="1" applyAlignment="1" applyProtection="1">
      <alignment horizontal="center" vertical="center" wrapText="1"/>
      <protection hidden="1"/>
    </xf>
    <xf numFmtId="0" fontId="4" fillId="2" borderId="15" xfId="2" applyFont="1" applyFill="1" applyBorder="1" applyAlignment="1" applyProtection="1">
      <alignment horizontal="center" vertical="center" wrapText="1"/>
      <protection hidden="1"/>
    </xf>
    <xf numFmtId="0" fontId="4" fillId="2" borderId="56" xfId="2" applyFont="1" applyFill="1" applyBorder="1" applyAlignment="1" applyProtection="1">
      <alignment horizontal="center" vertical="center" wrapText="1"/>
      <protection hidden="1"/>
    </xf>
    <xf numFmtId="164" fontId="13" fillId="0" borderId="71" xfId="2" applyNumberFormat="1" applyFont="1" applyBorder="1" applyAlignment="1" applyProtection="1">
      <alignment horizontal="center" vertical="center"/>
      <protection locked="0"/>
    </xf>
    <xf numFmtId="164" fontId="13" fillId="0" borderId="72" xfId="2" applyNumberFormat="1" applyFont="1" applyBorder="1" applyAlignment="1" applyProtection="1">
      <alignment horizontal="center" vertical="center"/>
      <protection locked="0"/>
    </xf>
    <xf numFmtId="164" fontId="13" fillId="0" borderId="73" xfId="2" applyNumberFormat="1" applyFont="1" applyBorder="1" applyAlignment="1" applyProtection="1">
      <alignment horizontal="center" vertical="center"/>
      <protection locked="0"/>
    </xf>
    <xf numFmtId="0" fontId="6" fillId="0" borderId="28" xfId="2" applyFont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left" vertical="top" wrapText="1"/>
      <protection hidden="1"/>
    </xf>
    <xf numFmtId="0" fontId="1" fillId="0" borderId="69" xfId="2" applyBorder="1" applyAlignment="1" applyProtection="1">
      <alignment horizontal="center" vertical="center"/>
      <protection hidden="1"/>
    </xf>
    <xf numFmtId="0" fontId="1" fillId="0" borderId="35" xfId="2" applyBorder="1" applyAlignment="1" applyProtection="1">
      <alignment horizontal="center" vertical="center"/>
      <protection hidden="1"/>
    </xf>
    <xf numFmtId="0" fontId="1" fillId="0" borderId="36" xfId="2" applyBorder="1" applyAlignment="1" applyProtection="1">
      <alignment horizontal="center" vertical="center"/>
      <protection hidden="1"/>
    </xf>
    <xf numFmtId="0" fontId="6" fillId="0" borderId="54" xfId="2" applyFont="1" applyBorder="1" applyAlignment="1" applyProtection="1">
      <alignment horizontal="center" vertical="center"/>
      <protection hidden="1"/>
    </xf>
    <xf numFmtId="0" fontId="6" fillId="0" borderId="32" xfId="2" applyFont="1" applyBorder="1" applyAlignment="1" applyProtection="1">
      <alignment horizontal="center" vertical="center"/>
      <protection hidden="1"/>
    </xf>
    <xf numFmtId="0" fontId="6" fillId="0" borderId="14" xfId="2" applyFont="1" applyBorder="1" applyAlignment="1" applyProtection="1">
      <alignment horizontal="center" vertical="center"/>
      <protection hidden="1"/>
    </xf>
    <xf numFmtId="0" fontId="12" fillId="0" borderId="23" xfId="2" applyFont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" fillId="0" borderId="10" xfId="2" applyBorder="1" applyAlignment="1" applyProtection="1">
      <alignment horizontal="center" vertical="center"/>
      <protection hidden="1"/>
    </xf>
    <xf numFmtId="165" fontId="1" fillId="4" borderId="0" xfId="2" applyNumberFormat="1" applyFill="1"/>
    <xf numFmtId="0" fontId="36" fillId="4" borderId="0" xfId="0" applyFont="1" applyFill="1" applyBorder="1" applyAlignment="1">
      <alignment horizontal="center" vertical="center" wrapText="1"/>
    </xf>
    <xf numFmtId="0" fontId="1" fillId="4" borderId="0" xfId="2" applyFill="1" applyBorder="1"/>
  </cellXfs>
  <cellStyles count="7">
    <cellStyle name="Normal" xfId="0" builtinId="0"/>
    <cellStyle name="Normal 2" xfId="4" xr:uid="{00000000-0005-0000-0000-000001000000}"/>
    <cellStyle name="Normal 2 2" xfId="6" xr:uid="{1D17DE9F-2AE0-4A21-8F39-10225AB87A59}"/>
    <cellStyle name="Normal_CAND Modelo2" xfId="1" xr:uid="{00000000-0005-0000-0000-000002000000}"/>
    <cellStyle name="Normal_Granulometria Maio à Agosto 2000" xfId="2" xr:uid="{00000000-0005-0000-0000-000003000000}"/>
    <cellStyle name="Porcentagem" xfId="3" builtinId="5"/>
    <cellStyle name="Vírgula 2" xfId="5" xr:uid="{D686B9B2-F6EE-49AE-BB05-43BA47E83574}"/>
  </cellStyles>
  <dxfs count="12"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</dxfs>
  <tableStyles count="0" defaultTableStyle="TableStyleMedium9" defaultPivotStyle="PivotStyleLight16"/>
  <colors>
    <mruColors>
      <color rgb="FFFBF9C9"/>
      <color rgb="FFFDFCE3"/>
      <color rgb="FFFCF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chartsheet" Target="chart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calcChain" Target="calcChain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43841476055054E-2"/>
          <c:y val="0.14448669201520911"/>
          <c:w val="0.88313673257264458"/>
          <c:h val="0.59315589353612164"/>
        </c:manualLayout>
      </c:layout>
      <c:scatterChart>
        <c:scatterStyle val="lineMarker"/>
        <c:varyColors val="0"/>
        <c:ser>
          <c:idx val="0"/>
          <c:order val="0"/>
          <c:tx>
            <c:v>MISTURA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1'!$W$3:$W$10</c:f>
              <c:numCache>
                <c:formatCode>0.0</c:formatCode>
                <c:ptCount val="8"/>
                <c:pt idx="0">
                  <c:v>100</c:v>
                </c:pt>
                <c:pt idx="1">
                  <c:v>95.3</c:v>
                </c:pt>
                <c:pt idx="2">
                  <c:v>80.400000000000006</c:v>
                </c:pt>
                <c:pt idx="3">
                  <c:v>67.2</c:v>
                </c:pt>
                <c:pt idx="4">
                  <c:v>54.5</c:v>
                </c:pt>
                <c:pt idx="5">
                  <c:v>36.4</c:v>
                </c:pt>
                <c:pt idx="6">
                  <c:v>14.2</c:v>
                </c:pt>
                <c:pt idx="7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4307-B697-A70318D60441}"/>
            </c:ext>
          </c:extLst>
        </c:ser>
        <c:ser>
          <c:idx val="1"/>
          <c:order val="1"/>
          <c:tx>
            <c:v>FAIXA DA MISTURA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1'!$X$3:$X$10</c:f>
              <c:numCache>
                <c:formatCode>#,##0_);\(#,##0\)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63</c:v>
                </c:pt>
                <c:pt idx="4">
                  <c:v>50</c:v>
                </c:pt>
                <c:pt idx="5">
                  <c:v>30</c:v>
                </c:pt>
                <c:pt idx="6">
                  <c:v>12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6-4307-B697-A70318D60441}"/>
            </c:ext>
          </c:extLst>
        </c:ser>
        <c:ser>
          <c:idx val="2"/>
          <c:order val="2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1'!$Y$3:$Y$10</c:f>
              <c:numCache>
                <c:formatCode>#,##0_);\(#,##0\)</c:formatCode>
                <c:ptCount val="8"/>
                <c:pt idx="0">
                  <c:v>100</c:v>
                </c:pt>
                <c:pt idx="1">
                  <c:v>98</c:v>
                </c:pt>
                <c:pt idx="2">
                  <c:v>86</c:v>
                </c:pt>
                <c:pt idx="3">
                  <c:v>73</c:v>
                </c:pt>
                <c:pt idx="4">
                  <c:v>60</c:v>
                </c:pt>
                <c:pt idx="5">
                  <c:v>40</c:v>
                </c:pt>
                <c:pt idx="6">
                  <c:v>16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6-4307-B697-A70318D60441}"/>
            </c:ext>
          </c:extLst>
        </c:ser>
        <c:ser>
          <c:idx val="3"/>
          <c:order val="3"/>
          <c:tx>
            <c:strRef>
              <c:f>'Amostra 1'!$Z$2</c:f>
              <c:strCache>
                <c:ptCount val="1"/>
                <c:pt idx="0">
                  <c:v>FAIXA "C" DNER  ES-313/97</c:v>
                </c:pt>
              </c:strCache>
            </c:strRef>
          </c:tx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1'!$Z$3:$Z$10</c:f>
              <c:numCache>
                <c:formatCode>General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30</c:v>
                </c:pt>
                <c:pt idx="5">
                  <c:v>15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6-4307-B697-A70318D60441}"/>
            </c:ext>
          </c:extLst>
        </c:ser>
        <c:ser>
          <c:idx val="4"/>
          <c:order val="4"/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75</c:v>
                </c:pt>
                <c:pt idx="5">
                  <c:v>40</c:v>
                </c:pt>
                <c:pt idx="6">
                  <c:v>30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6-4307-B697-A70318D6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5055"/>
        <c:axId val="1"/>
      </c:scatterChart>
      <c:valAx>
        <c:axId val="186215055"/>
        <c:scaling>
          <c:logBase val="10"/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215055"/>
        <c:crossesAt val="0.01"/>
        <c:crossBetween val="midCat"/>
        <c:majorUnit val="10"/>
        <c:minorUnit val="2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349127956638555"/>
          <c:y val="0.90114068441064643"/>
          <c:w val="0.7766278401590333"/>
          <c:h val="7.98479087452471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>
      <c:oddHeader>&amp;A</c:oddHeader>
      <c:oddFooter>Página &amp;P</c:oddFooter>
    </c:headerFooter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Natural </a:t>
            </a:r>
            <a:r>
              <a:rPr lang="pt-BR" sz="1100"/>
              <a:t>
Procedência: Areial</a:t>
            </a:r>
            <a:r>
              <a:rPr lang="pt-BR" sz="1100" baseline="0"/>
              <a:t> do Quim Período: Setembro a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1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'!$D$46:$J$46</c:f>
              <c:numCache>
                <c:formatCode>0</c:formatCode>
                <c:ptCount val="7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55</c:v>
                </c:pt>
                <c:pt idx="5">
                  <c:v>85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C-4E21-A452-5465D4FAF6E5}"/>
            </c:ext>
          </c:extLst>
        </c:ser>
        <c:ser>
          <c:idx val="1"/>
          <c:order val="1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'!$D$47:$J$47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C-4E21-A452-5465D4FAF6E5}"/>
            </c:ext>
          </c:extLst>
        </c:ser>
        <c:ser>
          <c:idx val="2"/>
          <c:order val="2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'!$D$48:$J$48</c:f>
              <c:numCache>
                <c:formatCode>0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70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C-4E21-A452-5465D4FAF6E5}"/>
            </c:ext>
          </c:extLst>
        </c:ser>
        <c:ser>
          <c:idx val="3"/>
          <c:order val="3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'!$D$49:$J$49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15</c:v>
                </c:pt>
                <c:pt idx="5">
                  <c:v>50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0C-4E21-A452-5465D4FAF6E5}"/>
            </c:ext>
          </c:extLst>
        </c:ser>
        <c:ser>
          <c:idx val="4"/>
          <c:order val="4"/>
          <c:tx>
            <c:strRef>
              <c:f>'A. Natural 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'!$D$36:$J$36</c:f>
              <c:numCache>
                <c:formatCode>0.0</c:formatCode>
                <c:ptCount val="7"/>
                <c:pt idx="0">
                  <c:v>0</c:v>
                </c:pt>
                <c:pt idx="1">
                  <c:v>0.23333333333333331</c:v>
                </c:pt>
                <c:pt idx="2">
                  <c:v>4.166666666666667</c:v>
                </c:pt>
                <c:pt idx="3">
                  <c:v>32.666666666666664</c:v>
                </c:pt>
                <c:pt idx="4">
                  <c:v>71.266666666666666</c:v>
                </c:pt>
                <c:pt idx="5">
                  <c:v>91.733333333333334</c:v>
                </c:pt>
                <c:pt idx="6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C-4E21-A452-5465D4FA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7376"/>
        <c:axId val="84124032"/>
      </c:lineChart>
      <c:catAx>
        <c:axId val="8411737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78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#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24032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4124032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35"/>
              <c:y val="0.309951109052556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1737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Escv. Casa de Força</a:t>
            </a:r>
            <a:r>
              <a:rPr lang="pt-BR" sz="1100" baseline="0"/>
              <a:t>	Período: Setembro e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A-4289-8AD5-7060989712A5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A-4289-8AD5-7060989712A5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A-4289-8AD5-7060989712A5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A-4289-8AD5-7060989712A5}"/>
            </c:ext>
          </c:extLst>
        </c:ser>
        <c:ser>
          <c:idx val="4"/>
          <c:order val="4"/>
          <c:tx>
            <c:strRef>
              <c:f>'A. Artificial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0.72500000000000009</c:v>
                </c:pt>
                <c:pt idx="3">
                  <c:v>30.425000000000001</c:v>
                </c:pt>
                <c:pt idx="4">
                  <c:v>57.325000000000003</c:v>
                </c:pt>
                <c:pt idx="5">
                  <c:v>73.699999999999989</c:v>
                </c:pt>
                <c:pt idx="6">
                  <c:v>82.325000000000003</c:v>
                </c:pt>
                <c:pt idx="7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A-4289-8AD5-70609897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6256"/>
        <c:axId val="89938560"/>
      </c:lineChart>
      <c:catAx>
        <c:axId val="8993625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3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856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93856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46"/>
              <c:y val="0.309951109052556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625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Central</a:t>
            </a:r>
            <a:r>
              <a:rPr lang="pt-BR" sz="1100" baseline="0"/>
              <a:t> de Britagem	Período: Setembro a 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7-432C-B568-298D1E1E89B8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7-432C-B568-298D1E1E89B8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7-432C-B568-298D1E1E89B8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7-432C-B568-298D1E1E89B8}"/>
            </c:ext>
          </c:extLst>
        </c:ser>
        <c:ser>
          <c:idx val="4"/>
          <c:order val="4"/>
          <c:tx>
            <c:strRef>
              <c:f>'A. Artificial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Pedreira'!$D$36:$K$36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0.26315789473684215</c:v>
                </c:pt>
                <c:pt idx="3">
                  <c:v>19.763157894736846</c:v>
                </c:pt>
                <c:pt idx="4">
                  <c:v>43.842105263157897</c:v>
                </c:pt>
                <c:pt idx="5">
                  <c:v>62.415789473684207</c:v>
                </c:pt>
                <c:pt idx="6">
                  <c:v>77.921052631578945</c:v>
                </c:pt>
                <c:pt idx="7">
                  <c:v>87.936842105263153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87-432C-B568-298D1E1E8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68928"/>
        <c:axId val="89883776"/>
      </c:lineChart>
      <c:catAx>
        <c:axId val="898689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8377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88377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689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0 (pedrisco)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 de Britagem</a:t>
            </a:r>
            <a:r>
              <a:rPr lang="pt-BR" sz="1100" baseline="0"/>
              <a:t>	Período: Setembro e Dezembro/2008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0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Pedreira'!$D$36:$H$36</c:f>
              <c:numCache>
                <c:formatCode>0.0</c:formatCode>
                <c:ptCount val="5"/>
                <c:pt idx="0">
                  <c:v>0.36</c:v>
                </c:pt>
                <c:pt idx="1">
                  <c:v>1.1800000000000002</c:v>
                </c:pt>
                <c:pt idx="2">
                  <c:v>30.660000000000004</c:v>
                </c:pt>
                <c:pt idx="3">
                  <c:v>62.259999999999991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8-4552-9115-358A1F1334E0}"/>
            </c:ext>
          </c:extLst>
        </c:ser>
        <c:ser>
          <c:idx val="0"/>
          <c:order val="1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8-4552-9115-358A1F1334E0}"/>
            </c:ext>
          </c:extLst>
        </c:ser>
        <c:ser>
          <c:idx val="1"/>
          <c:order val="2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8-4552-9115-358A1F13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44192"/>
        <c:axId val="89545728"/>
      </c:lineChart>
      <c:catAx>
        <c:axId val="8954419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5728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45728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4192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Escavação</a:t>
            </a:r>
            <a:r>
              <a:rPr lang="pt-BR" sz="1100" baseline="0"/>
              <a:t> da Casa de Força	Período: Setembro e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C. 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Força'!$D$36:$I$36</c:f>
              <c:numCache>
                <c:formatCode>0.0</c:formatCode>
                <c:ptCount val="6"/>
                <c:pt idx="0">
                  <c:v>0</c:v>
                </c:pt>
                <c:pt idx="1">
                  <c:v>1.3</c:v>
                </c:pt>
                <c:pt idx="2">
                  <c:v>49.216666666666669</c:v>
                </c:pt>
                <c:pt idx="3">
                  <c:v>75.916666666666671</c:v>
                </c:pt>
                <c:pt idx="4">
                  <c:v>96.183333333333337</c:v>
                </c:pt>
                <c:pt idx="5">
                  <c:v>97.649999999999991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3-44FD-9548-593716E5EE0A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3-44FD-9548-593716E5EE0A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3-44FD-9548-593716E5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75328"/>
        <c:axId val="89501696"/>
      </c:lineChart>
      <c:catAx>
        <c:axId val="894753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9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0169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0169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8"/>
              <c:y val="0.309951109052556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4753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09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Período: Setembro a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Pedreira'!$D$36:$I$36</c:f>
              <c:numCache>
                <c:formatCode>0.0</c:formatCode>
                <c:ptCount val="6"/>
                <c:pt idx="0">
                  <c:v>0</c:v>
                </c:pt>
                <c:pt idx="1">
                  <c:v>1.3944444444444448</c:v>
                </c:pt>
                <c:pt idx="2">
                  <c:v>50.81666666666667</c:v>
                </c:pt>
                <c:pt idx="3">
                  <c:v>78.216666666666654</c:v>
                </c:pt>
                <c:pt idx="4">
                  <c:v>97.111111111111086</c:v>
                </c:pt>
                <c:pt idx="5">
                  <c:v>98.50555555555556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EB5-95B1-550F7E633227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EB5-95B1-550F7E633227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C-4EB5-95B1-550F7E63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1808"/>
        <c:axId val="98718080"/>
      </c:lineChart>
      <c:catAx>
        <c:axId val="9871180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808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871808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91"/>
              <c:y val="0.309951109052556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180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98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 Período: Agosto/2008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Pedreira'!$D$36:$H$36</c:f>
              <c:numCache>
                <c:formatCode>0.0</c:formatCode>
                <c:ptCount val="5"/>
                <c:pt idx="0">
                  <c:v>0</c:v>
                </c:pt>
                <c:pt idx="1">
                  <c:v>20.3</c:v>
                </c:pt>
                <c:pt idx="2">
                  <c:v>69.099999999999994</c:v>
                </c:pt>
                <c:pt idx="3">
                  <c:v>99</c:v>
                </c:pt>
                <c:pt idx="4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6-48DF-80B3-71968FD232C7}"/>
            </c:ext>
          </c:extLst>
        </c:ser>
        <c:ser>
          <c:idx val="0"/>
          <c:order val="1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5</c:v>
                </c:pt>
                <c:pt idx="2">
                  <c:v>65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6-48DF-80B3-71968FD232C7}"/>
            </c:ext>
          </c:extLst>
        </c:ser>
        <c:ser>
          <c:idx val="1"/>
          <c:order val="2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25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6-48DF-80B3-71968FD2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7680"/>
        <c:axId val="90329856"/>
      </c:lineChart>
      <c:catAx>
        <c:axId val="90327680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985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32985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7680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(Casa de Força)     Período: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val>
            <c:numRef>
              <c:f>'Brita 2 C.Força'!$D$36:$H$36</c:f>
              <c:numCache>
                <c:formatCode>0.0</c:formatCode>
                <c:ptCount val="5"/>
                <c:pt idx="0">
                  <c:v>0</c:v>
                </c:pt>
                <c:pt idx="1">
                  <c:v>31.28</c:v>
                </c:pt>
                <c:pt idx="2">
                  <c:v>77.679999999999993</c:v>
                </c:pt>
                <c:pt idx="3">
                  <c:v>97.86</c:v>
                </c:pt>
                <c:pt idx="4">
                  <c:v>98.84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FF-4519-A922-E4A2CA39F52C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1FF-4519-A922-E4A2CA39F52C}"/>
            </c:ext>
          </c:extLst>
        </c:ser>
        <c:ser>
          <c:idx val="1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1FF-4519-A922-E4A2CA39F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54336"/>
        <c:axId val="90264704"/>
      </c:lineChart>
      <c:catAx>
        <c:axId val="9025433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06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647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264704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702"/>
              <c:y val="0.309951109052556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5433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87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17"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37</xdr:row>
      <xdr:rowOff>76200</xdr:rowOff>
    </xdr:from>
    <xdr:to>
      <xdr:col>8</xdr:col>
      <xdr:colOff>333375</xdr:colOff>
      <xdr:row>38</xdr:row>
      <xdr:rowOff>0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B6715313-C84E-4DF7-98F6-21596745DF7A}"/>
            </a:ext>
          </a:extLst>
        </xdr:cNvPr>
        <xdr:cNvSpPr txBox="1">
          <a:spLocks noChangeArrowheads="1"/>
        </xdr:cNvSpPr>
      </xdr:nvSpPr>
      <xdr:spPr bwMode="auto">
        <a:xfrm>
          <a:off x="914400" y="7334250"/>
          <a:ext cx="498157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37</xdr:row>
      <xdr:rowOff>38100</xdr:rowOff>
    </xdr:from>
    <xdr:to>
      <xdr:col>2</xdr:col>
      <xdr:colOff>180975</xdr:colOff>
      <xdr:row>38</xdr:row>
      <xdr:rowOff>38100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35C7BC8-C100-4C5A-8234-C4DB120C1D9F}"/>
            </a:ext>
          </a:extLst>
        </xdr:cNvPr>
        <xdr:cNvSpPr txBox="1">
          <a:spLocks noChangeArrowheads="1"/>
        </xdr:cNvSpPr>
      </xdr:nvSpPr>
      <xdr:spPr bwMode="auto">
        <a:xfrm>
          <a:off x="1905000" y="7296150"/>
          <a:ext cx="2571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200</a:t>
          </a:r>
        </a:p>
      </xdr:txBody>
    </xdr:sp>
    <xdr:clientData/>
  </xdr:twoCellAnchor>
  <xdr:twoCellAnchor>
    <xdr:from>
      <xdr:col>2</xdr:col>
      <xdr:colOff>400050</xdr:colOff>
      <xdr:row>37</xdr:row>
      <xdr:rowOff>38100</xdr:rowOff>
    </xdr:from>
    <xdr:to>
      <xdr:col>3</xdr:col>
      <xdr:colOff>9525</xdr:colOff>
      <xdr:row>38</xdr:row>
      <xdr:rowOff>28575</xdr:rowOff>
    </xdr:to>
    <xdr:sp macro="" textlink="">
      <xdr:nvSpPr>
        <xdr:cNvPr id="4" name="Texto 5">
          <a:extLst>
            <a:ext uri="{FF2B5EF4-FFF2-40B4-BE49-F238E27FC236}">
              <a16:creationId xmlns:a16="http://schemas.microsoft.com/office/drawing/2014/main" id="{7E8F9552-5135-45E5-8328-4201BAE0A8F7}"/>
            </a:ext>
          </a:extLst>
        </xdr:cNvPr>
        <xdr:cNvSpPr txBox="1">
          <a:spLocks noChangeArrowheads="1"/>
        </xdr:cNvSpPr>
      </xdr:nvSpPr>
      <xdr:spPr bwMode="auto">
        <a:xfrm>
          <a:off x="2381250" y="7296150"/>
          <a:ext cx="2286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80</a:t>
          </a:r>
        </a:p>
      </xdr:txBody>
    </xdr:sp>
    <xdr:clientData/>
  </xdr:twoCellAnchor>
  <xdr:twoCellAnchor>
    <xdr:from>
      <xdr:col>3</xdr:col>
      <xdr:colOff>228600</xdr:colOff>
      <xdr:row>37</xdr:row>
      <xdr:rowOff>38100</xdr:rowOff>
    </xdr:from>
    <xdr:to>
      <xdr:col>3</xdr:col>
      <xdr:colOff>447675</xdr:colOff>
      <xdr:row>38</xdr:row>
      <xdr:rowOff>38100</xdr:rowOff>
    </xdr:to>
    <xdr:sp macro="" textlink="">
      <xdr:nvSpPr>
        <xdr:cNvPr id="5" name="Texto 6">
          <a:extLst>
            <a:ext uri="{FF2B5EF4-FFF2-40B4-BE49-F238E27FC236}">
              <a16:creationId xmlns:a16="http://schemas.microsoft.com/office/drawing/2014/main" id="{9B53E3B8-29CC-4E3E-851E-09C987E57B0C}"/>
            </a:ext>
          </a:extLst>
        </xdr:cNvPr>
        <xdr:cNvSpPr txBox="1">
          <a:spLocks noChangeArrowheads="1"/>
        </xdr:cNvSpPr>
      </xdr:nvSpPr>
      <xdr:spPr bwMode="auto">
        <a:xfrm>
          <a:off x="2828925" y="7296150"/>
          <a:ext cx="2190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4</xdr:col>
      <xdr:colOff>438150</xdr:colOff>
      <xdr:row>37</xdr:row>
      <xdr:rowOff>38100</xdr:rowOff>
    </xdr:from>
    <xdr:to>
      <xdr:col>5</xdr:col>
      <xdr:colOff>0</xdr:colOff>
      <xdr:row>38</xdr:row>
      <xdr:rowOff>28575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F15874C1-8618-4918-A59E-6DDD5CF69A57}"/>
            </a:ext>
          </a:extLst>
        </xdr:cNvPr>
        <xdr:cNvSpPr txBox="1">
          <a:spLocks noChangeArrowheads="1"/>
        </xdr:cNvSpPr>
      </xdr:nvSpPr>
      <xdr:spPr bwMode="auto">
        <a:xfrm>
          <a:off x="3657600" y="7296150"/>
          <a:ext cx="18097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5</xdr:col>
      <xdr:colOff>304800</xdr:colOff>
      <xdr:row>37</xdr:row>
      <xdr:rowOff>28575</xdr:rowOff>
    </xdr:from>
    <xdr:to>
      <xdr:col>5</xdr:col>
      <xdr:colOff>533400</xdr:colOff>
      <xdr:row>38</xdr:row>
      <xdr:rowOff>9525</xdr:rowOff>
    </xdr:to>
    <xdr:sp macro="" textlink="">
      <xdr:nvSpPr>
        <xdr:cNvPr id="7" name="Texto 8">
          <a:extLst>
            <a:ext uri="{FF2B5EF4-FFF2-40B4-BE49-F238E27FC236}">
              <a16:creationId xmlns:a16="http://schemas.microsoft.com/office/drawing/2014/main" id="{C74DCC64-931A-4B54-9303-D940CFA2E24A}"/>
            </a:ext>
          </a:extLst>
        </xdr:cNvPr>
        <xdr:cNvSpPr txBox="1">
          <a:spLocks noChangeArrowheads="1"/>
        </xdr:cNvSpPr>
      </xdr:nvSpPr>
      <xdr:spPr bwMode="auto">
        <a:xfrm>
          <a:off x="4143375" y="7286625"/>
          <a:ext cx="22860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37</xdr:row>
      <xdr:rowOff>38100</xdr:rowOff>
    </xdr:from>
    <xdr:to>
      <xdr:col>6</xdr:col>
      <xdr:colOff>238125</xdr:colOff>
      <xdr:row>38</xdr:row>
      <xdr:rowOff>47625</xdr:rowOff>
    </xdr:to>
    <xdr:sp macro="" textlink="">
      <xdr:nvSpPr>
        <xdr:cNvPr id="8" name="Texto 9">
          <a:extLst>
            <a:ext uri="{FF2B5EF4-FFF2-40B4-BE49-F238E27FC236}">
              <a16:creationId xmlns:a16="http://schemas.microsoft.com/office/drawing/2014/main" id="{7E8F33C2-31FC-4BF1-B7C0-96A783D9AE87}"/>
            </a:ext>
          </a:extLst>
        </xdr:cNvPr>
        <xdr:cNvSpPr txBox="1">
          <a:spLocks noChangeArrowheads="1"/>
        </xdr:cNvSpPr>
      </xdr:nvSpPr>
      <xdr:spPr bwMode="auto">
        <a:xfrm>
          <a:off x="4457700" y="7296150"/>
          <a:ext cx="2381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3/8</a:t>
          </a:r>
        </a:p>
      </xdr:txBody>
    </xdr:sp>
    <xdr:clientData/>
  </xdr:twoCellAnchor>
  <xdr:twoCellAnchor>
    <xdr:from>
      <xdr:col>6</xdr:col>
      <xdr:colOff>180975</xdr:colOff>
      <xdr:row>37</xdr:row>
      <xdr:rowOff>38100</xdr:rowOff>
    </xdr:from>
    <xdr:to>
      <xdr:col>6</xdr:col>
      <xdr:colOff>400050</xdr:colOff>
      <xdr:row>38</xdr:row>
      <xdr:rowOff>19050</xdr:rowOff>
    </xdr:to>
    <xdr:sp macro="" textlink="">
      <xdr:nvSpPr>
        <xdr:cNvPr id="9" name="Texto 10">
          <a:extLst>
            <a:ext uri="{FF2B5EF4-FFF2-40B4-BE49-F238E27FC236}">
              <a16:creationId xmlns:a16="http://schemas.microsoft.com/office/drawing/2014/main" id="{251866B3-16D5-481F-998C-394472E4F580}"/>
            </a:ext>
          </a:extLst>
        </xdr:cNvPr>
        <xdr:cNvSpPr txBox="1">
          <a:spLocks noChangeArrowheads="1"/>
        </xdr:cNvSpPr>
      </xdr:nvSpPr>
      <xdr:spPr bwMode="auto">
        <a:xfrm>
          <a:off x="4638675" y="7296150"/>
          <a:ext cx="2190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1/2</a:t>
          </a:r>
        </a:p>
      </xdr:txBody>
    </xdr:sp>
    <xdr:clientData/>
  </xdr:twoCellAnchor>
  <xdr:twoCellAnchor>
    <xdr:from>
      <xdr:col>6</xdr:col>
      <xdr:colOff>381000</xdr:colOff>
      <xdr:row>37</xdr:row>
      <xdr:rowOff>38100</xdr:rowOff>
    </xdr:from>
    <xdr:to>
      <xdr:col>7</xdr:col>
      <xdr:colOff>66675</xdr:colOff>
      <xdr:row>38</xdr:row>
      <xdr:rowOff>19050</xdr:rowOff>
    </xdr:to>
    <xdr:sp macro="" textlink="">
      <xdr:nvSpPr>
        <xdr:cNvPr id="10" name="Texto 11">
          <a:extLst>
            <a:ext uri="{FF2B5EF4-FFF2-40B4-BE49-F238E27FC236}">
              <a16:creationId xmlns:a16="http://schemas.microsoft.com/office/drawing/2014/main" id="{CC2B543C-DEEA-4BEC-A5AE-96948276724B}"/>
            </a:ext>
          </a:extLst>
        </xdr:cNvPr>
        <xdr:cNvSpPr txBox="1">
          <a:spLocks noChangeArrowheads="1"/>
        </xdr:cNvSpPr>
      </xdr:nvSpPr>
      <xdr:spPr bwMode="auto">
        <a:xfrm>
          <a:off x="4838700" y="7296150"/>
          <a:ext cx="2381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3/4</a:t>
          </a:r>
        </a:p>
      </xdr:txBody>
    </xdr:sp>
    <xdr:clientData/>
  </xdr:twoCellAnchor>
  <xdr:twoCellAnchor>
    <xdr:from>
      <xdr:col>1</xdr:col>
      <xdr:colOff>9525</xdr:colOff>
      <xdr:row>25</xdr:row>
      <xdr:rowOff>9525</xdr:rowOff>
    </xdr:from>
    <xdr:to>
      <xdr:col>10</xdr:col>
      <xdr:colOff>542925</xdr:colOff>
      <xdr:row>39</xdr:row>
      <xdr:rowOff>161925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C1AC3E33-89C5-4BE1-A643-D391B551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37</xdr:row>
      <xdr:rowOff>47625</xdr:rowOff>
    </xdr:from>
    <xdr:to>
      <xdr:col>10</xdr:col>
      <xdr:colOff>9525</xdr:colOff>
      <xdr:row>38</xdr:row>
      <xdr:rowOff>19050</xdr:rowOff>
    </xdr:to>
    <xdr:sp macro="" textlink="">
      <xdr:nvSpPr>
        <xdr:cNvPr id="12" name="Texto 14">
          <a:extLst>
            <a:ext uri="{FF2B5EF4-FFF2-40B4-BE49-F238E27FC236}">
              <a16:creationId xmlns:a16="http://schemas.microsoft.com/office/drawing/2014/main" id="{AA82E2CC-940E-44DD-8C82-C947DDEF8010}"/>
            </a:ext>
          </a:extLst>
        </xdr:cNvPr>
        <xdr:cNvSpPr txBox="1">
          <a:spLocks noChangeArrowheads="1"/>
        </xdr:cNvSpPr>
      </xdr:nvSpPr>
      <xdr:spPr bwMode="auto">
        <a:xfrm>
          <a:off x="2295525" y="7305675"/>
          <a:ext cx="4381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200                80               40                              10                4          3/8     1/2   3/4</a:t>
          </a:r>
        </a:p>
      </xdr:txBody>
    </xdr:sp>
    <xdr:clientData/>
  </xdr:twoCellAnchor>
  <xdr:twoCellAnchor>
    <xdr:from>
      <xdr:col>17</xdr:col>
      <xdr:colOff>28575</xdr:colOff>
      <xdr:row>0</xdr:row>
      <xdr:rowOff>38100</xdr:rowOff>
    </xdr:from>
    <xdr:to>
      <xdr:col>20</xdr:col>
      <xdr:colOff>647700</xdr:colOff>
      <xdr:row>10</xdr:row>
      <xdr:rowOff>123825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28B64DF8-23FF-4C03-A697-318B86D8E0D8}"/>
            </a:ext>
          </a:extLst>
        </xdr:cNvPr>
        <xdr:cNvSpPr txBox="1">
          <a:spLocks noChangeArrowheads="1"/>
        </xdr:cNvSpPr>
      </xdr:nvSpPr>
      <xdr:spPr bwMode="auto">
        <a:xfrm>
          <a:off x="12668250" y="38100"/>
          <a:ext cx="2905125" cy="245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NO QUADRO AO LADO AS PORCENTAGENS DO TRAÇO QUE SERÁ USADO, </a:t>
          </a:r>
        </a:p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NOTA : DIGITE AS PORCENTAGENS DO TRAÇO SECO REFERENTE A CADA AGREGADO E SUA  RESPECTIVA DENSIDADE REAL DE CADA AGREGADO. DIGITE TAMBÉM A DENSIDADE REAL DO LIGANTE BETUMINOSO CAP.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TODOS OS DADOS A SEREM DIGITADOS ESTÃO NA FONTE DE COR VERMELHA.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AS PLANILHAS NÃO ESTÃO PROTEGIDAS POR SENHA, </a:t>
          </a:r>
          <a:r>
            <a:rPr lang="pt-B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PARA NÃO DANIFICAR AS FORMULAS. DIGITE SOMENTE OS DADOS NA FONTE DE COR VERMELHA</a:t>
          </a:r>
        </a:p>
      </xdr:txBody>
    </xdr:sp>
    <xdr:clientData/>
  </xdr:twoCellAnchor>
  <xdr:twoCellAnchor>
    <xdr:from>
      <xdr:col>14</xdr:col>
      <xdr:colOff>200025</xdr:colOff>
      <xdr:row>13</xdr:row>
      <xdr:rowOff>142875</xdr:rowOff>
    </xdr:from>
    <xdr:to>
      <xdr:col>18</xdr:col>
      <xdr:colOff>304800</xdr:colOff>
      <xdr:row>19</xdr:row>
      <xdr:rowOff>9525</xdr:rowOff>
    </xdr:to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FF0EBC2C-1A28-4EAE-94C1-F5ED7FB2BA37}"/>
            </a:ext>
          </a:extLst>
        </xdr:cNvPr>
        <xdr:cNvSpPr txBox="1">
          <a:spLocks noChangeArrowheads="1"/>
        </xdr:cNvSpPr>
      </xdr:nvSpPr>
      <xdr:spPr bwMode="auto">
        <a:xfrm>
          <a:off x="10401300" y="3086100"/>
          <a:ext cx="3305175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PARA INSERIR OS DADOS PARA ANÁLISE ESTATISTICA </a:t>
          </a:r>
        </a:p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DIGITAR A LETRA "S". PARA NÃO INSERIR OS DADOS PARA ANÁLISE ESTATISTICA DIGITE A LETRA "N"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lnSpc>
              <a:spcPts val="1000"/>
            </a:lnSpc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1559500</xdr:colOff>
      <xdr:row>0</xdr:row>
      <xdr:rowOff>114727</xdr:rowOff>
    </xdr:from>
    <xdr:to>
      <xdr:col>13</xdr:col>
      <xdr:colOff>1323215</xdr:colOff>
      <xdr:row>1</xdr:row>
      <xdr:rowOff>32070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38CFF59-3A37-44BC-ADA3-3D919B987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26214" y="114727"/>
          <a:ext cx="1469144" cy="7519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421822</xdr:colOff>
      <xdr:row>43</xdr:row>
      <xdr:rowOff>68036</xdr:rowOff>
    </xdr:from>
    <xdr:to>
      <xdr:col>6</xdr:col>
      <xdr:colOff>707572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 flipH="1">
          <a:off x="6340929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 flipH="1">
          <a:off x="5513614" y="1463040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 flipH="1">
          <a:off x="5516336" y="1412965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 flipH="1">
          <a:off x="4675415" y="14608628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 flipH="1">
          <a:off x="5919107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 flipH="1">
          <a:off x="51489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 flipH="1">
          <a:off x="51516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 flipH="1">
          <a:off x="435020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 flipH="1">
          <a:off x="5408839" y="1421266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 flipH="1">
          <a:off x="46917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 flipH="1">
          <a:off x="46944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 flipH="1">
          <a:off x="395015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_E-1188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1ens1"/>
      <sheetName val="CP1ens2"/>
      <sheetName val="CP1ens3"/>
      <sheetName val="CP2ens1"/>
      <sheetName val="CP2ens2"/>
      <sheetName val="CP2ens3"/>
      <sheetName val="CP3ens1"/>
      <sheetName val="CP3ens2"/>
      <sheetName val="CP3ens3"/>
      <sheetName val="gráfico"/>
      <sheetName val="1CP1ens1"/>
      <sheetName val="1CP1ns1"/>
      <sheetName val="1CP1s1"/>
      <sheetName val="1CP11"/>
      <sheetName val="1CP1"/>
      <sheetName val="Modelo Holanda CCV ic 28-90dias"/>
      <sheetName val="CCV idade de controle 28 e 90d"/>
    </sheetNames>
    <sheetDataSet>
      <sheetData sheetId="0" refreshError="1">
        <row r="9">
          <cell r="B9">
            <v>0</v>
          </cell>
          <cell r="L9">
            <v>26.232272483800003</v>
          </cell>
        </row>
        <row r="10">
          <cell r="B10">
            <v>5</v>
          </cell>
          <cell r="L10">
            <v>26.292301327820802</v>
          </cell>
        </row>
        <row r="11">
          <cell r="B11">
            <v>10</v>
          </cell>
          <cell r="L11">
            <v>26.242277278973802</v>
          </cell>
        </row>
        <row r="12">
          <cell r="B12">
            <v>15</v>
          </cell>
          <cell r="L12">
            <v>26.222267693494203</v>
          </cell>
        </row>
        <row r="13">
          <cell r="B13">
            <v>20</v>
          </cell>
          <cell r="L13">
            <v>26.282296508325</v>
          </cell>
        </row>
        <row r="14">
          <cell r="B14">
            <v>25</v>
          </cell>
          <cell r="L14">
            <v>26.272291693691201</v>
          </cell>
        </row>
        <row r="15">
          <cell r="B15">
            <v>30</v>
          </cell>
          <cell r="L15">
            <v>26.272291693691201</v>
          </cell>
        </row>
        <row r="16">
          <cell r="B16">
            <v>35</v>
          </cell>
          <cell r="L16">
            <v>27.773067560051203</v>
          </cell>
        </row>
        <row r="17">
          <cell r="B17">
            <v>40</v>
          </cell>
          <cell r="L17">
            <v>29.654188290918402</v>
          </cell>
        </row>
        <row r="18">
          <cell r="B18">
            <v>45</v>
          </cell>
          <cell r="L18">
            <v>31.085146683525</v>
          </cell>
        </row>
        <row r="19">
          <cell r="B19">
            <v>50</v>
          </cell>
          <cell r="L19">
            <v>32.756376619854393</v>
          </cell>
        </row>
        <row r="20">
          <cell r="B20">
            <v>55</v>
          </cell>
          <cell r="J20">
            <v>0.99739999999999995</v>
          </cell>
          <cell r="L20">
            <v>34.217545437337598</v>
          </cell>
        </row>
        <row r="21">
          <cell r="B21">
            <v>60</v>
          </cell>
          <cell r="L21">
            <v>35.638762224999994</v>
          </cell>
        </row>
        <row r="22">
          <cell r="B22">
            <v>65</v>
          </cell>
          <cell r="L22">
            <v>36.7197383427376</v>
          </cell>
        </row>
        <row r="23">
          <cell r="B23">
            <v>70</v>
          </cell>
          <cell r="L23">
            <v>38.191134322974996</v>
          </cell>
        </row>
        <row r="24">
          <cell r="B24">
            <v>75</v>
          </cell>
          <cell r="L24">
            <v>39.672614755164602</v>
          </cell>
        </row>
        <row r="25">
          <cell r="B25">
            <v>80</v>
          </cell>
          <cell r="L25">
            <v>40.793782705074996</v>
          </cell>
        </row>
        <row r="26">
          <cell r="B26">
            <v>85</v>
          </cell>
          <cell r="L26">
            <v>42.555696530095794</v>
          </cell>
        </row>
        <row r="27">
          <cell r="B27">
            <v>90</v>
          </cell>
          <cell r="L27">
            <v>43.706996153996798</v>
          </cell>
        </row>
        <row r="28">
          <cell r="B28">
            <v>95</v>
          </cell>
          <cell r="L28">
            <v>43.406653512404795</v>
          </cell>
        </row>
        <row r="29">
          <cell r="B29">
            <v>100</v>
          </cell>
          <cell r="L29">
            <v>43.086290815163196</v>
          </cell>
        </row>
        <row r="30">
          <cell r="B30">
            <v>105</v>
          </cell>
          <cell r="L30">
            <v>42.825998268633597</v>
          </cell>
        </row>
        <row r="31">
          <cell r="B31">
            <v>110</v>
          </cell>
          <cell r="L31">
            <v>42.625774555801598</v>
          </cell>
        </row>
        <row r="32">
          <cell r="B32">
            <v>115</v>
          </cell>
          <cell r="L32">
            <v>42.525663134145603</v>
          </cell>
        </row>
        <row r="33">
          <cell r="B33">
            <v>120</v>
          </cell>
          <cell r="L33">
            <v>42.3654854661904</v>
          </cell>
        </row>
        <row r="34">
          <cell r="B34">
            <v>125</v>
          </cell>
          <cell r="L34">
            <v>42.225330622617591</v>
          </cell>
        </row>
        <row r="35">
          <cell r="B35">
            <v>130</v>
          </cell>
          <cell r="L35">
            <v>42.135231385480203</v>
          </cell>
        </row>
        <row r="36">
          <cell r="B36">
            <v>135</v>
          </cell>
          <cell r="L36">
            <v>42.035121403346196</v>
          </cell>
        </row>
        <row r="37">
          <cell r="B37">
            <v>140</v>
          </cell>
          <cell r="L37">
            <v>41.935011718532195</v>
          </cell>
        </row>
        <row r="38">
          <cell r="B38">
            <v>145</v>
          </cell>
          <cell r="L38">
            <v>41.884956987995196</v>
          </cell>
        </row>
        <row r="39">
          <cell r="B39">
            <v>150</v>
          </cell>
          <cell r="L39">
            <v>41.794858661574999</v>
          </cell>
        </row>
        <row r="40">
          <cell r="B40">
            <v>155</v>
          </cell>
          <cell r="L40">
            <v>41.714771464421396</v>
          </cell>
        </row>
        <row r="41">
          <cell r="B41">
            <v>160</v>
          </cell>
          <cell r="L41">
            <v>41.604651883172799</v>
          </cell>
        </row>
        <row r="42">
          <cell r="B42">
            <v>165</v>
          </cell>
          <cell r="L42">
            <v>41.524565144785598</v>
          </cell>
        </row>
        <row r="43">
          <cell r="B43">
            <v>170</v>
          </cell>
          <cell r="L43">
            <v>41.474511031872595</v>
          </cell>
        </row>
        <row r="44">
          <cell r="B44">
            <v>175</v>
          </cell>
          <cell r="L44">
            <v>41.424456994969603</v>
          </cell>
        </row>
        <row r="45">
          <cell r="B45">
            <v>180</v>
          </cell>
          <cell r="L45">
            <v>41.334359920568197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8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D80B-A3A3-468A-A177-8D0AC2EC2C92}">
  <sheetPr>
    <pageSetUpPr fitToPage="1"/>
  </sheetPr>
  <dimension ref="B1:AG49"/>
  <sheetViews>
    <sheetView showGridLines="0" topLeftCell="A38" workbookViewId="0">
      <selection activeCell="C8" sqref="C8"/>
    </sheetView>
  </sheetViews>
  <sheetFormatPr defaultColWidth="11.453125" defaultRowHeight="12.5" x14ac:dyDescent="0.25"/>
  <cols>
    <col min="1" max="1" width="11.453125" customWidth="1"/>
    <col min="2" max="2" width="18.26953125" customWidth="1"/>
    <col min="3" max="6" width="9.26953125" customWidth="1"/>
    <col min="7" max="7" width="16.453125" bestFit="1" customWidth="1"/>
    <col min="8" max="11" width="8.26953125" customWidth="1"/>
    <col min="12" max="12" width="11.453125" customWidth="1"/>
    <col min="13" max="13" width="21.81640625" customWidth="1"/>
    <col min="14" max="14" width="11.453125" customWidth="1"/>
    <col min="15" max="15" width="13.1796875" customWidth="1"/>
    <col min="16" max="16" width="12.1796875" customWidth="1"/>
    <col min="17" max="17" width="11.26953125" customWidth="1"/>
    <col min="18" max="21" width="11.453125" customWidth="1"/>
    <col min="22" max="22" width="17.453125" customWidth="1"/>
    <col min="23" max="25" width="11.453125" customWidth="1"/>
    <col min="26" max="26" width="12.54296875" customWidth="1"/>
    <col min="27" max="27" width="11.54296875" customWidth="1"/>
    <col min="28" max="31" width="11.453125" customWidth="1"/>
    <col min="32" max="32" width="14.26953125" bestFit="1" customWidth="1"/>
    <col min="258" max="258" width="18.26953125" customWidth="1"/>
    <col min="259" max="262" width="9.26953125" customWidth="1"/>
    <col min="263" max="267" width="8.26953125" customWidth="1"/>
    <col min="269" max="269" width="21.81640625" customWidth="1"/>
    <col min="271" max="271" width="13.1796875" customWidth="1"/>
    <col min="272" max="272" width="12.1796875" customWidth="1"/>
    <col min="273" max="273" width="11.26953125" customWidth="1"/>
    <col min="278" max="278" width="17.453125" customWidth="1"/>
    <col min="282" max="282" width="12.54296875" customWidth="1"/>
    <col min="283" max="283" width="11.54296875" customWidth="1"/>
    <col min="288" max="288" width="14.26953125" bestFit="1" customWidth="1"/>
    <col min="514" max="514" width="18.26953125" customWidth="1"/>
    <col min="515" max="518" width="9.26953125" customWidth="1"/>
    <col min="519" max="523" width="8.26953125" customWidth="1"/>
    <col min="525" max="525" width="21.81640625" customWidth="1"/>
    <col min="527" max="527" width="13.1796875" customWidth="1"/>
    <col min="528" max="528" width="12.1796875" customWidth="1"/>
    <col min="529" max="529" width="11.26953125" customWidth="1"/>
    <col min="534" max="534" width="17.453125" customWidth="1"/>
    <col min="538" max="538" width="12.54296875" customWidth="1"/>
    <col min="539" max="539" width="11.54296875" customWidth="1"/>
    <col min="544" max="544" width="14.26953125" bestFit="1" customWidth="1"/>
    <col min="770" max="770" width="18.26953125" customWidth="1"/>
    <col min="771" max="774" width="9.26953125" customWidth="1"/>
    <col min="775" max="779" width="8.26953125" customWidth="1"/>
    <col min="781" max="781" width="21.81640625" customWidth="1"/>
    <col min="783" max="783" width="13.1796875" customWidth="1"/>
    <col min="784" max="784" width="12.1796875" customWidth="1"/>
    <col min="785" max="785" width="11.26953125" customWidth="1"/>
    <col min="790" max="790" width="17.453125" customWidth="1"/>
    <col min="794" max="794" width="12.54296875" customWidth="1"/>
    <col min="795" max="795" width="11.54296875" customWidth="1"/>
    <col min="800" max="800" width="14.26953125" bestFit="1" customWidth="1"/>
    <col min="1026" max="1026" width="18.26953125" customWidth="1"/>
    <col min="1027" max="1030" width="9.26953125" customWidth="1"/>
    <col min="1031" max="1035" width="8.26953125" customWidth="1"/>
    <col min="1037" max="1037" width="21.81640625" customWidth="1"/>
    <col min="1039" max="1039" width="13.1796875" customWidth="1"/>
    <col min="1040" max="1040" width="12.1796875" customWidth="1"/>
    <col min="1041" max="1041" width="11.26953125" customWidth="1"/>
    <col min="1046" max="1046" width="17.453125" customWidth="1"/>
    <col min="1050" max="1050" width="12.54296875" customWidth="1"/>
    <col min="1051" max="1051" width="11.54296875" customWidth="1"/>
    <col min="1056" max="1056" width="14.26953125" bestFit="1" customWidth="1"/>
    <col min="1282" max="1282" width="18.26953125" customWidth="1"/>
    <col min="1283" max="1286" width="9.26953125" customWidth="1"/>
    <col min="1287" max="1291" width="8.26953125" customWidth="1"/>
    <col min="1293" max="1293" width="21.81640625" customWidth="1"/>
    <col min="1295" max="1295" width="13.1796875" customWidth="1"/>
    <col min="1296" max="1296" width="12.1796875" customWidth="1"/>
    <col min="1297" max="1297" width="11.26953125" customWidth="1"/>
    <col min="1302" max="1302" width="17.453125" customWidth="1"/>
    <col min="1306" max="1306" width="12.54296875" customWidth="1"/>
    <col min="1307" max="1307" width="11.54296875" customWidth="1"/>
    <col min="1312" max="1312" width="14.26953125" bestFit="1" customWidth="1"/>
    <col min="1538" max="1538" width="18.26953125" customWidth="1"/>
    <col min="1539" max="1542" width="9.26953125" customWidth="1"/>
    <col min="1543" max="1547" width="8.26953125" customWidth="1"/>
    <col min="1549" max="1549" width="21.81640625" customWidth="1"/>
    <col min="1551" max="1551" width="13.1796875" customWidth="1"/>
    <col min="1552" max="1552" width="12.1796875" customWidth="1"/>
    <col min="1553" max="1553" width="11.26953125" customWidth="1"/>
    <col min="1558" max="1558" width="17.453125" customWidth="1"/>
    <col min="1562" max="1562" width="12.54296875" customWidth="1"/>
    <col min="1563" max="1563" width="11.54296875" customWidth="1"/>
    <col min="1568" max="1568" width="14.26953125" bestFit="1" customWidth="1"/>
    <col min="1794" max="1794" width="18.26953125" customWidth="1"/>
    <col min="1795" max="1798" width="9.26953125" customWidth="1"/>
    <col min="1799" max="1803" width="8.26953125" customWidth="1"/>
    <col min="1805" max="1805" width="21.81640625" customWidth="1"/>
    <col min="1807" max="1807" width="13.1796875" customWidth="1"/>
    <col min="1808" max="1808" width="12.1796875" customWidth="1"/>
    <col min="1809" max="1809" width="11.26953125" customWidth="1"/>
    <col min="1814" max="1814" width="17.453125" customWidth="1"/>
    <col min="1818" max="1818" width="12.54296875" customWidth="1"/>
    <col min="1819" max="1819" width="11.54296875" customWidth="1"/>
    <col min="1824" max="1824" width="14.26953125" bestFit="1" customWidth="1"/>
    <col min="2050" max="2050" width="18.26953125" customWidth="1"/>
    <col min="2051" max="2054" width="9.26953125" customWidth="1"/>
    <col min="2055" max="2059" width="8.26953125" customWidth="1"/>
    <col min="2061" max="2061" width="21.81640625" customWidth="1"/>
    <col min="2063" max="2063" width="13.1796875" customWidth="1"/>
    <col min="2064" max="2064" width="12.1796875" customWidth="1"/>
    <col min="2065" max="2065" width="11.26953125" customWidth="1"/>
    <col min="2070" max="2070" width="17.453125" customWidth="1"/>
    <col min="2074" max="2074" width="12.54296875" customWidth="1"/>
    <col min="2075" max="2075" width="11.54296875" customWidth="1"/>
    <col min="2080" max="2080" width="14.26953125" bestFit="1" customWidth="1"/>
    <col min="2306" max="2306" width="18.26953125" customWidth="1"/>
    <col min="2307" max="2310" width="9.26953125" customWidth="1"/>
    <col min="2311" max="2315" width="8.26953125" customWidth="1"/>
    <col min="2317" max="2317" width="21.81640625" customWidth="1"/>
    <col min="2319" max="2319" width="13.1796875" customWidth="1"/>
    <col min="2320" max="2320" width="12.1796875" customWidth="1"/>
    <col min="2321" max="2321" width="11.26953125" customWidth="1"/>
    <col min="2326" max="2326" width="17.453125" customWidth="1"/>
    <col min="2330" max="2330" width="12.54296875" customWidth="1"/>
    <col min="2331" max="2331" width="11.54296875" customWidth="1"/>
    <col min="2336" max="2336" width="14.26953125" bestFit="1" customWidth="1"/>
    <col min="2562" max="2562" width="18.26953125" customWidth="1"/>
    <col min="2563" max="2566" width="9.26953125" customWidth="1"/>
    <col min="2567" max="2571" width="8.26953125" customWidth="1"/>
    <col min="2573" max="2573" width="21.81640625" customWidth="1"/>
    <col min="2575" max="2575" width="13.1796875" customWidth="1"/>
    <col min="2576" max="2576" width="12.1796875" customWidth="1"/>
    <col min="2577" max="2577" width="11.26953125" customWidth="1"/>
    <col min="2582" max="2582" width="17.453125" customWidth="1"/>
    <col min="2586" max="2586" width="12.54296875" customWidth="1"/>
    <col min="2587" max="2587" width="11.54296875" customWidth="1"/>
    <col min="2592" max="2592" width="14.26953125" bestFit="1" customWidth="1"/>
    <col min="2818" max="2818" width="18.26953125" customWidth="1"/>
    <col min="2819" max="2822" width="9.26953125" customWidth="1"/>
    <col min="2823" max="2827" width="8.26953125" customWidth="1"/>
    <col min="2829" max="2829" width="21.81640625" customWidth="1"/>
    <col min="2831" max="2831" width="13.1796875" customWidth="1"/>
    <col min="2832" max="2832" width="12.1796875" customWidth="1"/>
    <col min="2833" max="2833" width="11.26953125" customWidth="1"/>
    <col min="2838" max="2838" width="17.453125" customWidth="1"/>
    <col min="2842" max="2842" width="12.54296875" customWidth="1"/>
    <col min="2843" max="2843" width="11.54296875" customWidth="1"/>
    <col min="2848" max="2848" width="14.26953125" bestFit="1" customWidth="1"/>
    <col min="3074" max="3074" width="18.26953125" customWidth="1"/>
    <col min="3075" max="3078" width="9.26953125" customWidth="1"/>
    <col min="3079" max="3083" width="8.26953125" customWidth="1"/>
    <col min="3085" max="3085" width="21.81640625" customWidth="1"/>
    <col min="3087" max="3087" width="13.1796875" customWidth="1"/>
    <col min="3088" max="3088" width="12.1796875" customWidth="1"/>
    <col min="3089" max="3089" width="11.26953125" customWidth="1"/>
    <col min="3094" max="3094" width="17.453125" customWidth="1"/>
    <col min="3098" max="3098" width="12.54296875" customWidth="1"/>
    <col min="3099" max="3099" width="11.54296875" customWidth="1"/>
    <col min="3104" max="3104" width="14.26953125" bestFit="1" customWidth="1"/>
    <col min="3330" max="3330" width="18.26953125" customWidth="1"/>
    <col min="3331" max="3334" width="9.26953125" customWidth="1"/>
    <col min="3335" max="3339" width="8.26953125" customWidth="1"/>
    <col min="3341" max="3341" width="21.81640625" customWidth="1"/>
    <col min="3343" max="3343" width="13.1796875" customWidth="1"/>
    <col min="3344" max="3344" width="12.1796875" customWidth="1"/>
    <col min="3345" max="3345" width="11.26953125" customWidth="1"/>
    <col min="3350" max="3350" width="17.453125" customWidth="1"/>
    <col min="3354" max="3354" width="12.54296875" customWidth="1"/>
    <col min="3355" max="3355" width="11.54296875" customWidth="1"/>
    <col min="3360" max="3360" width="14.26953125" bestFit="1" customWidth="1"/>
    <col min="3586" max="3586" width="18.26953125" customWidth="1"/>
    <col min="3587" max="3590" width="9.26953125" customWidth="1"/>
    <col min="3591" max="3595" width="8.26953125" customWidth="1"/>
    <col min="3597" max="3597" width="21.81640625" customWidth="1"/>
    <col min="3599" max="3599" width="13.1796875" customWidth="1"/>
    <col min="3600" max="3600" width="12.1796875" customWidth="1"/>
    <col min="3601" max="3601" width="11.26953125" customWidth="1"/>
    <col min="3606" max="3606" width="17.453125" customWidth="1"/>
    <col min="3610" max="3610" width="12.54296875" customWidth="1"/>
    <col min="3611" max="3611" width="11.54296875" customWidth="1"/>
    <col min="3616" max="3616" width="14.26953125" bestFit="1" customWidth="1"/>
    <col min="3842" max="3842" width="18.26953125" customWidth="1"/>
    <col min="3843" max="3846" width="9.26953125" customWidth="1"/>
    <col min="3847" max="3851" width="8.26953125" customWidth="1"/>
    <col min="3853" max="3853" width="21.81640625" customWidth="1"/>
    <col min="3855" max="3855" width="13.1796875" customWidth="1"/>
    <col min="3856" max="3856" width="12.1796875" customWidth="1"/>
    <col min="3857" max="3857" width="11.26953125" customWidth="1"/>
    <col min="3862" max="3862" width="17.453125" customWidth="1"/>
    <col min="3866" max="3866" width="12.54296875" customWidth="1"/>
    <col min="3867" max="3867" width="11.54296875" customWidth="1"/>
    <col min="3872" max="3872" width="14.26953125" bestFit="1" customWidth="1"/>
    <col min="4098" max="4098" width="18.26953125" customWidth="1"/>
    <col min="4099" max="4102" width="9.26953125" customWidth="1"/>
    <col min="4103" max="4107" width="8.26953125" customWidth="1"/>
    <col min="4109" max="4109" width="21.81640625" customWidth="1"/>
    <col min="4111" max="4111" width="13.1796875" customWidth="1"/>
    <col min="4112" max="4112" width="12.1796875" customWidth="1"/>
    <col min="4113" max="4113" width="11.26953125" customWidth="1"/>
    <col min="4118" max="4118" width="17.453125" customWidth="1"/>
    <col min="4122" max="4122" width="12.54296875" customWidth="1"/>
    <col min="4123" max="4123" width="11.54296875" customWidth="1"/>
    <col min="4128" max="4128" width="14.26953125" bestFit="1" customWidth="1"/>
    <col min="4354" max="4354" width="18.26953125" customWidth="1"/>
    <col min="4355" max="4358" width="9.26953125" customWidth="1"/>
    <col min="4359" max="4363" width="8.26953125" customWidth="1"/>
    <col min="4365" max="4365" width="21.81640625" customWidth="1"/>
    <col min="4367" max="4367" width="13.1796875" customWidth="1"/>
    <col min="4368" max="4368" width="12.1796875" customWidth="1"/>
    <col min="4369" max="4369" width="11.26953125" customWidth="1"/>
    <col min="4374" max="4374" width="17.453125" customWidth="1"/>
    <col min="4378" max="4378" width="12.54296875" customWidth="1"/>
    <col min="4379" max="4379" width="11.54296875" customWidth="1"/>
    <col min="4384" max="4384" width="14.26953125" bestFit="1" customWidth="1"/>
    <col min="4610" max="4610" width="18.26953125" customWidth="1"/>
    <col min="4611" max="4614" width="9.26953125" customWidth="1"/>
    <col min="4615" max="4619" width="8.26953125" customWidth="1"/>
    <col min="4621" max="4621" width="21.81640625" customWidth="1"/>
    <col min="4623" max="4623" width="13.1796875" customWidth="1"/>
    <col min="4624" max="4624" width="12.1796875" customWidth="1"/>
    <col min="4625" max="4625" width="11.26953125" customWidth="1"/>
    <col min="4630" max="4630" width="17.453125" customWidth="1"/>
    <col min="4634" max="4634" width="12.54296875" customWidth="1"/>
    <col min="4635" max="4635" width="11.54296875" customWidth="1"/>
    <col min="4640" max="4640" width="14.26953125" bestFit="1" customWidth="1"/>
    <col min="4866" max="4866" width="18.26953125" customWidth="1"/>
    <col min="4867" max="4870" width="9.26953125" customWidth="1"/>
    <col min="4871" max="4875" width="8.26953125" customWidth="1"/>
    <col min="4877" max="4877" width="21.81640625" customWidth="1"/>
    <col min="4879" max="4879" width="13.1796875" customWidth="1"/>
    <col min="4880" max="4880" width="12.1796875" customWidth="1"/>
    <col min="4881" max="4881" width="11.26953125" customWidth="1"/>
    <col min="4886" max="4886" width="17.453125" customWidth="1"/>
    <col min="4890" max="4890" width="12.54296875" customWidth="1"/>
    <col min="4891" max="4891" width="11.54296875" customWidth="1"/>
    <col min="4896" max="4896" width="14.26953125" bestFit="1" customWidth="1"/>
    <col min="5122" max="5122" width="18.26953125" customWidth="1"/>
    <col min="5123" max="5126" width="9.26953125" customWidth="1"/>
    <col min="5127" max="5131" width="8.26953125" customWidth="1"/>
    <col min="5133" max="5133" width="21.81640625" customWidth="1"/>
    <col min="5135" max="5135" width="13.1796875" customWidth="1"/>
    <col min="5136" max="5136" width="12.1796875" customWidth="1"/>
    <col min="5137" max="5137" width="11.26953125" customWidth="1"/>
    <col min="5142" max="5142" width="17.453125" customWidth="1"/>
    <col min="5146" max="5146" width="12.54296875" customWidth="1"/>
    <col min="5147" max="5147" width="11.54296875" customWidth="1"/>
    <col min="5152" max="5152" width="14.26953125" bestFit="1" customWidth="1"/>
    <col min="5378" max="5378" width="18.26953125" customWidth="1"/>
    <col min="5379" max="5382" width="9.26953125" customWidth="1"/>
    <col min="5383" max="5387" width="8.26953125" customWidth="1"/>
    <col min="5389" max="5389" width="21.81640625" customWidth="1"/>
    <col min="5391" max="5391" width="13.1796875" customWidth="1"/>
    <col min="5392" max="5392" width="12.1796875" customWidth="1"/>
    <col min="5393" max="5393" width="11.26953125" customWidth="1"/>
    <col min="5398" max="5398" width="17.453125" customWidth="1"/>
    <col min="5402" max="5402" width="12.54296875" customWidth="1"/>
    <col min="5403" max="5403" width="11.54296875" customWidth="1"/>
    <col min="5408" max="5408" width="14.26953125" bestFit="1" customWidth="1"/>
    <col min="5634" max="5634" width="18.26953125" customWidth="1"/>
    <col min="5635" max="5638" width="9.26953125" customWidth="1"/>
    <col min="5639" max="5643" width="8.26953125" customWidth="1"/>
    <col min="5645" max="5645" width="21.81640625" customWidth="1"/>
    <col min="5647" max="5647" width="13.1796875" customWidth="1"/>
    <col min="5648" max="5648" width="12.1796875" customWidth="1"/>
    <col min="5649" max="5649" width="11.26953125" customWidth="1"/>
    <col min="5654" max="5654" width="17.453125" customWidth="1"/>
    <col min="5658" max="5658" width="12.54296875" customWidth="1"/>
    <col min="5659" max="5659" width="11.54296875" customWidth="1"/>
    <col min="5664" max="5664" width="14.26953125" bestFit="1" customWidth="1"/>
    <col min="5890" max="5890" width="18.26953125" customWidth="1"/>
    <col min="5891" max="5894" width="9.26953125" customWidth="1"/>
    <col min="5895" max="5899" width="8.26953125" customWidth="1"/>
    <col min="5901" max="5901" width="21.81640625" customWidth="1"/>
    <col min="5903" max="5903" width="13.1796875" customWidth="1"/>
    <col min="5904" max="5904" width="12.1796875" customWidth="1"/>
    <col min="5905" max="5905" width="11.26953125" customWidth="1"/>
    <col min="5910" max="5910" width="17.453125" customWidth="1"/>
    <col min="5914" max="5914" width="12.54296875" customWidth="1"/>
    <col min="5915" max="5915" width="11.54296875" customWidth="1"/>
    <col min="5920" max="5920" width="14.26953125" bestFit="1" customWidth="1"/>
    <col min="6146" max="6146" width="18.26953125" customWidth="1"/>
    <col min="6147" max="6150" width="9.26953125" customWidth="1"/>
    <col min="6151" max="6155" width="8.26953125" customWidth="1"/>
    <col min="6157" max="6157" width="21.81640625" customWidth="1"/>
    <col min="6159" max="6159" width="13.1796875" customWidth="1"/>
    <col min="6160" max="6160" width="12.1796875" customWidth="1"/>
    <col min="6161" max="6161" width="11.26953125" customWidth="1"/>
    <col min="6166" max="6166" width="17.453125" customWidth="1"/>
    <col min="6170" max="6170" width="12.54296875" customWidth="1"/>
    <col min="6171" max="6171" width="11.54296875" customWidth="1"/>
    <col min="6176" max="6176" width="14.26953125" bestFit="1" customWidth="1"/>
    <col min="6402" max="6402" width="18.26953125" customWidth="1"/>
    <col min="6403" max="6406" width="9.26953125" customWidth="1"/>
    <col min="6407" max="6411" width="8.26953125" customWidth="1"/>
    <col min="6413" max="6413" width="21.81640625" customWidth="1"/>
    <col min="6415" max="6415" width="13.1796875" customWidth="1"/>
    <col min="6416" max="6416" width="12.1796875" customWidth="1"/>
    <col min="6417" max="6417" width="11.26953125" customWidth="1"/>
    <col min="6422" max="6422" width="17.453125" customWidth="1"/>
    <col min="6426" max="6426" width="12.54296875" customWidth="1"/>
    <col min="6427" max="6427" width="11.54296875" customWidth="1"/>
    <col min="6432" max="6432" width="14.26953125" bestFit="1" customWidth="1"/>
    <col min="6658" max="6658" width="18.26953125" customWidth="1"/>
    <col min="6659" max="6662" width="9.26953125" customWidth="1"/>
    <col min="6663" max="6667" width="8.26953125" customWidth="1"/>
    <col min="6669" max="6669" width="21.81640625" customWidth="1"/>
    <col min="6671" max="6671" width="13.1796875" customWidth="1"/>
    <col min="6672" max="6672" width="12.1796875" customWidth="1"/>
    <col min="6673" max="6673" width="11.26953125" customWidth="1"/>
    <col min="6678" max="6678" width="17.453125" customWidth="1"/>
    <col min="6682" max="6682" width="12.54296875" customWidth="1"/>
    <col min="6683" max="6683" width="11.54296875" customWidth="1"/>
    <col min="6688" max="6688" width="14.26953125" bestFit="1" customWidth="1"/>
    <col min="6914" max="6914" width="18.26953125" customWidth="1"/>
    <col min="6915" max="6918" width="9.26953125" customWidth="1"/>
    <col min="6919" max="6923" width="8.26953125" customWidth="1"/>
    <col min="6925" max="6925" width="21.81640625" customWidth="1"/>
    <col min="6927" max="6927" width="13.1796875" customWidth="1"/>
    <col min="6928" max="6928" width="12.1796875" customWidth="1"/>
    <col min="6929" max="6929" width="11.26953125" customWidth="1"/>
    <col min="6934" max="6934" width="17.453125" customWidth="1"/>
    <col min="6938" max="6938" width="12.54296875" customWidth="1"/>
    <col min="6939" max="6939" width="11.54296875" customWidth="1"/>
    <col min="6944" max="6944" width="14.26953125" bestFit="1" customWidth="1"/>
    <col min="7170" max="7170" width="18.26953125" customWidth="1"/>
    <col min="7171" max="7174" width="9.26953125" customWidth="1"/>
    <col min="7175" max="7179" width="8.26953125" customWidth="1"/>
    <col min="7181" max="7181" width="21.81640625" customWidth="1"/>
    <col min="7183" max="7183" width="13.1796875" customWidth="1"/>
    <col min="7184" max="7184" width="12.1796875" customWidth="1"/>
    <col min="7185" max="7185" width="11.26953125" customWidth="1"/>
    <col min="7190" max="7190" width="17.453125" customWidth="1"/>
    <col min="7194" max="7194" width="12.54296875" customWidth="1"/>
    <col min="7195" max="7195" width="11.54296875" customWidth="1"/>
    <col min="7200" max="7200" width="14.26953125" bestFit="1" customWidth="1"/>
    <col min="7426" max="7426" width="18.26953125" customWidth="1"/>
    <col min="7427" max="7430" width="9.26953125" customWidth="1"/>
    <col min="7431" max="7435" width="8.26953125" customWidth="1"/>
    <col min="7437" max="7437" width="21.81640625" customWidth="1"/>
    <col min="7439" max="7439" width="13.1796875" customWidth="1"/>
    <col min="7440" max="7440" width="12.1796875" customWidth="1"/>
    <col min="7441" max="7441" width="11.26953125" customWidth="1"/>
    <col min="7446" max="7446" width="17.453125" customWidth="1"/>
    <col min="7450" max="7450" width="12.54296875" customWidth="1"/>
    <col min="7451" max="7451" width="11.54296875" customWidth="1"/>
    <col min="7456" max="7456" width="14.26953125" bestFit="1" customWidth="1"/>
    <col min="7682" max="7682" width="18.26953125" customWidth="1"/>
    <col min="7683" max="7686" width="9.26953125" customWidth="1"/>
    <col min="7687" max="7691" width="8.26953125" customWidth="1"/>
    <col min="7693" max="7693" width="21.81640625" customWidth="1"/>
    <col min="7695" max="7695" width="13.1796875" customWidth="1"/>
    <col min="7696" max="7696" width="12.1796875" customWidth="1"/>
    <col min="7697" max="7697" width="11.26953125" customWidth="1"/>
    <col min="7702" max="7702" width="17.453125" customWidth="1"/>
    <col min="7706" max="7706" width="12.54296875" customWidth="1"/>
    <col min="7707" max="7707" width="11.54296875" customWidth="1"/>
    <col min="7712" max="7712" width="14.26953125" bestFit="1" customWidth="1"/>
    <col min="7938" max="7938" width="18.26953125" customWidth="1"/>
    <col min="7939" max="7942" width="9.26953125" customWidth="1"/>
    <col min="7943" max="7947" width="8.26953125" customWidth="1"/>
    <col min="7949" max="7949" width="21.81640625" customWidth="1"/>
    <col min="7951" max="7951" width="13.1796875" customWidth="1"/>
    <col min="7952" max="7952" width="12.1796875" customWidth="1"/>
    <col min="7953" max="7953" width="11.26953125" customWidth="1"/>
    <col min="7958" max="7958" width="17.453125" customWidth="1"/>
    <col min="7962" max="7962" width="12.54296875" customWidth="1"/>
    <col min="7963" max="7963" width="11.54296875" customWidth="1"/>
    <col min="7968" max="7968" width="14.26953125" bestFit="1" customWidth="1"/>
    <col min="8194" max="8194" width="18.26953125" customWidth="1"/>
    <col min="8195" max="8198" width="9.26953125" customWidth="1"/>
    <col min="8199" max="8203" width="8.26953125" customWidth="1"/>
    <col min="8205" max="8205" width="21.81640625" customWidth="1"/>
    <col min="8207" max="8207" width="13.1796875" customWidth="1"/>
    <col min="8208" max="8208" width="12.1796875" customWidth="1"/>
    <col min="8209" max="8209" width="11.26953125" customWidth="1"/>
    <col min="8214" max="8214" width="17.453125" customWidth="1"/>
    <col min="8218" max="8218" width="12.54296875" customWidth="1"/>
    <col min="8219" max="8219" width="11.54296875" customWidth="1"/>
    <col min="8224" max="8224" width="14.26953125" bestFit="1" customWidth="1"/>
    <col min="8450" max="8450" width="18.26953125" customWidth="1"/>
    <col min="8451" max="8454" width="9.26953125" customWidth="1"/>
    <col min="8455" max="8459" width="8.26953125" customWidth="1"/>
    <col min="8461" max="8461" width="21.81640625" customWidth="1"/>
    <col min="8463" max="8463" width="13.1796875" customWidth="1"/>
    <col min="8464" max="8464" width="12.1796875" customWidth="1"/>
    <col min="8465" max="8465" width="11.26953125" customWidth="1"/>
    <col min="8470" max="8470" width="17.453125" customWidth="1"/>
    <col min="8474" max="8474" width="12.54296875" customWidth="1"/>
    <col min="8475" max="8475" width="11.54296875" customWidth="1"/>
    <col min="8480" max="8480" width="14.26953125" bestFit="1" customWidth="1"/>
    <col min="8706" max="8706" width="18.26953125" customWidth="1"/>
    <col min="8707" max="8710" width="9.26953125" customWidth="1"/>
    <col min="8711" max="8715" width="8.26953125" customWidth="1"/>
    <col min="8717" max="8717" width="21.81640625" customWidth="1"/>
    <col min="8719" max="8719" width="13.1796875" customWidth="1"/>
    <col min="8720" max="8720" width="12.1796875" customWidth="1"/>
    <col min="8721" max="8721" width="11.26953125" customWidth="1"/>
    <col min="8726" max="8726" width="17.453125" customWidth="1"/>
    <col min="8730" max="8730" width="12.54296875" customWidth="1"/>
    <col min="8731" max="8731" width="11.54296875" customWidth="1"/>
    <col min="8736" max="8736" width="14.26953125" bestFit="1" customWidth="1"/>
    <col min="8962" max="8962" width="18.26953125" customWidth="1"/>
    <col min="8963" max="8966" width="9.26953125" customWidth="1"/>
    <col min="8967" max="8971" width="8.26953125" customWidth="1"/>
    <col min="8973" max="8973" width="21.81640625" customWidth="1"/>
    <col min="8975" max="8975" width="13.1796875" customWidth="1"/>
    <col min="8976" max="8976" width="12.1796875" customWidth="1"/>
    <col min="8977" max="8977" width="11.26953125" customWidth="1"/>
    <col min="8982" max="8982" width="17.453125" customWidth="1"/>
    <col min="8986" max="8986" width="12.54296875" customWidth="1"/>
    <col min="8987" max="8987" width="11.54296875" customWidth="1"/>
    <col min="8992" max="8992" width="14.26953125" bestFit="1" customWidth="1"/>
    <col min="9218" max="9218" width="18.26953125" customWidth="1"/>
    <col min="9219" max="9222" width="9.26953125" customWidth="1"/>
    <col min="9223" max="9227" width="8.26953125" customWidth="1"/>
    <col min="9229" max="9229" width="21.81640625" customWidth="1"/>
    <col min="9231" max="9231" width="13.1796875" customWidth="1"/>
    <col min="9232" max="9232" width="12.1796875" customWidth="1"/>
    <col min="9233" max="9233" width="11.26953125" customWidth="1"/>
    <col min="9238" max="9238" width="17.453125" customWidth="1"/>
    <col min="9242" max="9242" width="12.54296875" customWidth="1"/>
    <col min="9243" max="9243" width="11.54296875" customWidth="1"/>
    <col min="9248" max="9248" width="14.26953125" bestFit="1" customWidth="1"/>
    <col min="9474" max="9474" width="18.26953125" customWidth="1"/>
    <col min="9475" max="9478" width="9.26953125" customWidth="1"/>
    <col min="9479" max="9483" width="8.26953125" customWidth="1"/>
    <col min="9485" max="9485" width="21.81640625" customWidth="1"/>
    <col min="9487" max="9487" width="13.1796875" customWidth="1"/>
    <col min="9488" max="9488" width="12.1796875" customWidth="1"/>
    <col min="9489" max="9489" width="11.26953125" customWidth="1"/>
    <col min="9494" max="9494" width="17.453125" customWidth="1"/>
    <col min="9498" max="9498" width="12.54296875" customWidth="1"/>
    <col min="9499" max="9499" width="11.54296875" customWidth="1"/>
    <col min="9504" max="9504" width="14.26953125" bestFit="1" customWidth="1"/>
    <col min="9730" max="9730" width="18.26953125" customWidth="1"/>
    <col min="9731" max="9734" width="9.26953125" customWidth="1"/>
    <col min="9735" max="9739" width="8.26953125" customWidth="1"/>
    <col min="9741" max="9741" width="21.81640625" customWidth="1"/>
    <col min="9743" max="9743" width="13.1796875" customWidth="1"/>
    <col min="9744" max="9744" width="12.1796875" customWidth="1"/>
    <col min="9745" max="9745" width="11.26953125" customWidth="1"/>
    <col min="9750" max="9750" width="17.453125" customWidth="1"/>
    <col min="9754" max="9754" width="12.54296875" customWidth="1"/>
    <col min="9755" max="9755" width="11.54296875" customWidth="1"/>
    <col min="9760" max="9760" width="14.26953125" bestFit="1" customWidth="1"/>
    <col min="9986" max="9986" width="18.26953125" customWidth="1"/>
    <col min="9987" max="9990" width="9.26953125" customWidth="1"/>
    <col min="9991" max="9995" width="8.26953125" customWidth="1"/>
    <col min="9997" max="9997" width="21.81640625" customWidth="1"/>
    <col min="9999" max="9999" width="13.1796875" customWidth="1"/>
    <col min="10000" max="10000" width="12.1796875" customWidth="1"/>
    <col min="10001" max="10001" width="11.26953125" customWidth="1"/>
    <col min="10006" max="10006" width="17.453125" customWidth="1"/>
    <col min="10010" max="10010" width="12.54296875" customWidth="1"/>
    <col min="10011" max="10011" width="11.54296875" customWidth="1"/>
    <col min="10016" max="10016" width="14.26953125" bestFit="1" customWidth="1"/>
    <col min="10242" max="10242" width="18.26953125" customWidth="1"/>
    <col min="10243" max="10246" width="9.26953125" customWidth="1"/>
    <col min="10247" max="10251" width="8.26953125" customWidth="1"/>
    <col min="10253" max="10253" width="21.81640625" customWidth="1"/>
    <col min="10255" max="10255" width="13.1796875" customWidth="1"/>
    <col min="10256" max="10256" width="12.1796875" customWidth="1"/>
    <col min="10257" max="10257" width="11.26953125" customWidth="1"/>
    <col min="10262" max="10262" width="17.453125" customWidth="1"/>
    <col min="10266" max="10266" width="12.54296875" customWidth="1"/>
    <col min="10267" max="10267" width="11.54296875" customWidth="1"/>
    <col min="10272" max="10272" width="14.26953125" bestFit="1" customWidth="1"/>
    <col min="10498" max="10498" width="18.26953125" customWidth="1"/>
    <col min="10499" max="10502" width="9.26953125" customWidth="1"/>
    <col min="10503" max="10507" width="8.26953125" customWidth="1"/>
    <col min="10509" max="10509" width="21.81640625" customWidth="1"/>
    <col min="10511" max="10511" width="13.1796875" customWidth="1"/>
    <col min="10512" max="10512" width="12.1796875" customWidth="1"/>
    <col min="10513" max="10513" width="11.26953125" customWidth="1"/>
    <col min="10518" max="10518" width="17.453125" customWidth="1"/>
    <col min="10522" max="10522" width="12.54296875" customWidth="1"/>
    <col min="10523" max="10523" width="11.54296875" customWidth="1"/>
    <col min="10528" max="10528" width="14.26953125" bestFit="1" customWidth="1"/>
    <col min="10754" max="10754" width="18.26953125" customWidth="1"/>
    <col min="10755" max="10758" width="9.26953125" customWidth="1"/>
    <col min="10759" max="10763" width="8.26953125" customWidth="1"/>
    <col min="10765" max="10765" width="21.81640625" customWidth="1"/>
    <col min="10767" max="10767" width="13.1796875" customWidth="1"/>
    <col min="10768" max="10768" width="12.1796875" customWidth="1"/>
    <col min="10769" max="10769" width="11.26953125" customWidth="1"/>
    <col min="10774" max="10774" width="17.453125" customWidth="1"/>
    <col min="10778" max="10778" width="12.54296875" customWidth="1"/>
    <col min="10779" max="10779" width="11.54296875" customWidth="1"/>
    <col min="10784" max="10784" width="14.26953125" bestFit="1" customWidth="1"/>
    <col min="11010" max="11010" width="18.26953125" customWidth="1"/>
    <col min="11011" max="11014" width="9.26953125" customWidth="1"/>
    <col min="11015" max="11019" width="8.26953125" customWidth="1"/>
    <col min="11021" max="11021" width="21.81640625" customWidth="1"/>
    <col min="11023" max="11023" width="13.1796875" customWidth="1"/>
    <col min="11024" max="11024" width="12.1796875" customWidth="1"/>
    <col min="11025" max="11025" width="11.26953125" customWidth="1"/>
    <col min="11030" max="11030" width="17.453125" customWidth="1"/>
    <col min="11034" max="11034" width="12.54296875" customWidth="1"/>
    <col min="11035" max="11035" width="11.54296875" customWidth="1"/>
    <col min="11040" max="11040" width="14.26953125" bestFit="1" customWidth="1"/>
    <col min="11266" max="11266" width="18.26953125" customWidth="1"/>
    <col min="11267" max="11270" width="9.26953125" customWidth="1"/>
    <col min="11271" max="11275" width="8.26953125" customWidth="1"/>
    <col min="11277" max="11277" width="21.81640625" customWidth="1"/>
    <col min="11279" max="11279" width="13.1796875" customWidth="1"/>
    <col min="11280" max="11280" width="12.1796875" customWidth="1"/>
    <col min="11281" max="11281" width="11.26953125" customWidth="1"/>
    <col min="11286" max="11286" width="17.453125" customWidth="1"/>
    <col min="11290" max="11290" width="12.54296875" customWidth="1"/>
    <col min="11291" max="11291" width="11.54296875" customWidth="1"/>
    <col min="11296" max="11296" width="14.26953125" bestFit="1" customWidth="1"/>
    <col min="11522" max="11522" width="18.26953125" customWidth="1"/>
    <col min="11523" max="11526" width="9.26953125" customWidth="1"/>
    <col min="11527" max="11531" width="8.26953125" customWidth="1"/>
    <col min="11533" max="11533" width="21.81640625" customWidth="1"/>
    <col min="11535" max="11535" width="13.1796875" customWidth="1"/>
    <col min="11536" max="11536" width="12.1796875" customWidth="1"/>
    <col min="11537" max="11537" width="11.26953125" customWidth="1"/>
    <col min="11542" max="11542" width="17.453125" customWidth="1"/>
    <col min="11546" max="11546" width="12.54296875" customWidth="1"/>
    <col min="11547" max="11547" width="11.54296875" customWidth="1"/>
    <col min="11552" max="11552" width="14.26953125" bestFit="1" customWidth="1"/>
    <col min="11778" max="11778" width="18.26953125" customWidth="1"/>
    <col min="11779" max="11782" width="9.26953125" customWidth="1"/>
    <col min="11783" max="11787" width="8.26953125" customWidth="1"/>
    <col min="11789" max="11789" width="21.81640625" customWidth="1"/>
    <col min="11791" max="11791" width="13.1796875" customWidth="1"/>
    <col min="11792" max="11792" width="12.1796875" customWidth="1"/>
    <col min="11793" max="11793" width="11.26953125" customWidth="1"/>
    <col min="11798" max="11798" width="17.453125" customWidth="1"/>
    <col min="11802" max="11802" width="12.54296875" customWidth="1"/>
    <col min="11803" max="11803" width="11.54296875" customWidth="1"/>
    <col min="11808" max="11808" width="14.26953125" bestFit="1" customWidth="1"/>
    <col min="12034" max="12034" width="18.26953125" customWidth="1"/>
    <col min="12035" max="12038" width="9.26953125" customWidth="1"/>
    <col min="12039" max="12043" width="8.26953125" customWidth="1"/>
    <col min="12045" max="12045" width="21.81640625" customWidth="1"/>
    <col min="12047" max="12047" width="13.1796875" customWidth="1"/>
    <col min="12048" max="12048" width="12.1796875" customWidth="1"/>
    <col min="12049" max="12049" width="11.26953125" customWidth="1"/>
    <col min="12054" max="12054" width="17.453125" customWidth="1"/>
    <col min="12058" max="12058" width="12.54296875" customWidth="1"/>
    <col min="12059" max="12059" width="11.54296875" customWidth="1"/>
    <col min="12064" max="12064" width="14.26953125" bestFit="1" customWidth="1"/>
    <col min="12290" max="12290" width="18.26953125" customWidth="1"/>
    <col min="12291" max="12294" width="9.26953125" customWidth="1"/>
    <col min="12295" max="12299" width="8.26953125" customWidth="1"/>
    <col min="12301" max="12301" width="21.81640625" customWidth="1"/>
    <col min="12303" max="12303" width="13.1796875" customWidth="1"/>
    <col min="12304" max="12304" width="12.1796875" customWidth="1"/>
    <col min="12305" max="12305" width="11.26953125" customWidth="1"/>
    <col min="12310" max="12310" width="17.453125" customWidth="1"/>
    <col min="12314" max="12314" width="12.54296875" customWidth="1"/>
    <col min="12315" max="12315" width="11.54296875" customWidth="1"/>
    <col min="12320" max="12320" width="14.26953125" bestFit="1" customWidth="1"/>
    <col min="12546" max="12546" width="18.26953125" customWidth="1"/>
    <col min="12547" max="12550" width="9.26953125" customWidth="1"/>
    <col min="12551" max="12555" width="8.26953125" customWidth="1"/>
    <col min="12557" max="12557" width="21.81640625" customWidth="1"/>
    <col min="12559" max="12559" width="13.1796875" customWidth="1"/>
    <col min="12560" max="12560" width="12.1796875" customWidth="1"/>
    <col min="12561" max="12561" width="11.26953125" customWidth="1"/>
    <col min="12566" max="12566" width="17.453125" customWidth="1"/>
    <col min="12570" max="12570" width="12.54296875" customWidth="1"/>
    <col min="12571" max="12571" width="11.54296875" customWidth="1"/>
    <col min="12576" max="12576" width="14.26953125" bestFit="1" customWidth="1"/>
    <col min="12802" max="12802" width="18.26953125" customWidth="1"/>
    <col min="12803" max="12806" width="9.26953125" customWidth="1"/>
    <col min="12807" max="12811" width="8.26953125" customWidth="1"/>
    <col min="12813" max="12813" width="21.81640625" customWidth="1"/>
    <col min="12815" max="12815" width="13.1796875" customWidth="1"/>
    <col min="12816" max="12816" width="12.1796875" customWidth="1"/>
    <col min="12817" max="12817" width="11.26953125" customWidth="1"/>
    <col min="12822" max="12822" width="17.453125" customWidth="1"/>
    <col min="12826" max="12826" width="12.54296875" customWidth="1"/>
    <col min="12827" max="12827" width="11.54296875" customWidth="1"/>
    <col min="12832" max="12832" width="14.26953125" bestFit="1" customWidth="1"/>
    <col min="13058" max="13058" width="18.26953125" customWidth="1"/>
    <col min="13059" max="13062" width="9.26953125" customWidth="1"/>
    <col min="13063" max="13067" width="8.26953125" customWidth="1"/>
    <col min="13069" max="13069" width="21.81640625" customWidth="1"/>
    <col min="13071" max="13071" width="13.1796875" customWidth="1"/>
    <col min="13072" max="13072" width="12.1796875" customWidth="1"/>
    <col min="13073" max="13073" width="11.26953125" customWidth="1"/>
    <col min="13078" max="13078" width="17.453125" customWidth="1"/>
    <col min="13082" max="13082" width="12.54296875" customWidth="1"/>
    <col min="13083" max="13083" width="11.54296875" customWidth="1"/>
    <col min="13088" max="13088" width="14.26953125" bestFit="1" customWidth="1"/>
    <col min="13314" max="13314" width="18.26953125" customWidth="1"/>
    <col min="13315" max="13318" width="9.26953125" customWidth="1"/>
    <col min="13319" max="13323" width="8.26953125" customWidth="1"/>
    <col min="13325" max="13325" width="21.81640625" customWidth="1"/>
    <col min="13327" max="13327" width="13.1796875" customWidth="1"/>
    <col min="13328" max="13328" width="12.1796875" customWidth="1"/>
    <col min="13329" max="13329" width="11.26953125" customWidth="1"/>
    <col min="13334" max="13334" width="17.453125" customWidth="1"/>
    <col min="13338" max="13338" width="12.54296875" customWidth="1"/>
    <col min="13339" max="13339" width="11.54296875" customWidth="1"/>
    <col min="13344" max="13344" width="14.26953125" bestFit="1" customWidth="1"/>
    <col min="13570" max="13570" width="18.26953125" customWidth="1"/>
    <col min="13571" max="13574" width="9.26953125" customWidth="1"/>
    <col min="13575" max="13579" width="8.26953125" customWidth="1"/>
    <col min="13581" max="13581" width="21.81640625" customWidth="1"/>
    <col min="13583" max="13583" width="13.1796875" customWidth="1"/>
    <col min="13584" max="13584" width="12.1796875" customWidth="1"/>
    <col min="13585" max="13585" width="11.26953125" customWidth="1"/>
    <col min="13590" max="13590" width="17.453125" customWidth="1"/>
    <col min="13594" max="13594" width="12.54296875" customWidth="1"/>
    <col min="13595" max="13595" width="11.54296875" customWidth="1"/>
    <col min="13600" max="13600" width="14.26953125" bestFit="1" customWidth="1"/>
    <col min="13826" max="13826" width="18.26953125" customWidth="1"/>
    <col min="13827" max="13830" width="9.26953125" customWidth="1"/>
    <col min="13831" max="13835" width="8.26953125" customWidth="1"/>
    <col min="13837" max="13837" width="21.81640625" customWidth="1"/>
    <col min="13839" max="13839" width="13.1796875" customWidth="1"/>
    <col min="13840" max="13840" width="12.1796875" customWidth="1"/>
    <col min="13841" max="13841" width="11.26953125" customWidth="1"/>
    <col min="13846" max="13846" width="17.453125" customWidth="1"/>
    <col min="13850" max="13850" width="12.54296875" customWidth="1"/>
    <col min="13851" max="13851" width="11.54296875" customWidth="1"/>
    <col min="13856" max="13856" width="14.26953125" bestFit="1" customWidth="1"/>
    <col min="14082" max="14082" width="18.26953125" customWidth="1"/>
    <col min="14083" max="14086" width="9.26953125" customWidth="1"/>
    <col min="14087" max="14091" width="8.26953125" customWidth="1"/>
    <col min="14093" max="14093" width="21.81640625" customWidth="1"/>
    <col min="14095" max="14095" width="13.1796875" customWidth="1"/>
    <col min="14096" max="14096" width="12.1796875" customWidth="1"/>
    <col min="14097" max="14097" width="11.26953125" customWidth="1"/>
    <col min="14102" max="14102" width="17.453125" customWidth="1"/>
    <col min="14106" max="14106" width="12.54296875" customWidth="1"/>
    <col min="14107" max="14107" width="11.54296875" customWidth="1"/>
    <col min="14112" max="14112" width="14.26953125" bestFit="1" customWidth="1"/>
    <col min="14338" max="14338" width="18.26953125" customWidth="1"/>
    <col min="14339" max="14342" width="9.26953125" customWidth="1"/>
    <col min="14343" max="14347" width="8.26953125" customWidth="1"/>
    <col min="14349" max="14349" width="21.81640625" customWidth="1"/>
    <col min="14351" max="14351" width="13.1796875" customWidth="1"/>
    <col min="14352" max="14352" width="12.1796875" customWidth="1"/>
    <col min="14353" max="14353" width="11.26953125" customWidth="1"/>
    <col min="14358" max="14358" width="17.453125" customWidth="1"/>
    <col min="14362" max="14362" width="12.54296875" customWidth="1"/>
    <col min="14363" max="14363" width="11.54296875" customWidth="1"/>
    <col min="14368" max="14368" width="14.26953125" bestFit="1" customWidth="1"/>
    <col min="14594" max="14594" width="18.26953125" customWidth="1"/>
    <col min="14595" max="14598" width="9.26953125" customWidth="1"/>
    <col min="14599" max="14603" width="8.26953125" customWidth="1"/>
    <col min="14605" max="14605" width="21.81640625" customWidth="1"/>
    <col min="14607" max="14607" width="13.1796875" customWidth="1"/>
    <col min="14608" max="14608" width="12.1796875" customWidth="1"/>
    <col min="14609" max="14609" width="11.26953125" customWidth="1"/>
    <col min="14614" max="14614" width="17.453125" customWidth="1"/>
    <col min="14618" max="14618" width="12.54296875" customWidth="1"/>
    <col min="14619" max="14619" width="11.54296875" customWidth="1"/>
    <col min="14624" max="14624" width="14.26953125" bestFit="1" customWidth="1"/>
    <col min="14850" max="14850" width="18.26953125" customWidth="1"/>
    <col min="14851" max="14854" width="9.26953125" customWidth="1"/>
    <col min="14855" max="14859" width="8.26953125" customWidth="1"/>
    <col min="14861" max="14861" width="21.81640625" customWidth="1"/>
    <col min="14863" max="14863" width="13.1796875" customWidth="1"/>
    <col min="14864" max="14864" width="12.1796875" customWidth="1"/>
    <col min="14865" max="14865" width="11.26953125" customWidth="1"/>
    <col min="14870" max="14870" width="17.453125" customWidth="1"/>
    <col min="14874" max="14874" width="12.54296875" customWidth="1"/>
    <col min="14875" max="14875" width="11.54296875" customWidth="1"/>
    <col min="14880" max="14880" width="14.26953125" bestFit="1" customWidth="1"/>
    <col min="15106" max="15106" width="18.26953125" customWidth="1"/>
    <col min="15107" max="15110" width="9.26953125" customWidth="1"/>
    <col min="15111" max="15115" width="8.26953125" customWidth="1"/>
    <col min="15117" max="15117" width="21.81640625" customWidth="1"/>
    <col min="15119" max="15119" width="13.1796875" customWidth="1"/>
    <col min="15120" max="15120" width="12.1796875" customWidth="1"/>
    <col min="15121" max="15121" width="11.26953125" customWidth="1"/>
    <col min="15126" max="15126" width="17.453125" customWidth="1"/>
    <col min="15130" max="15130" width="12.54296875" customWidth="1"/>
    <col min="15131" max="15131" width="11.54296875" customWidth="1"/>
    <col min="15136" max="15136" width="14.26953125" bestFit="1" customWidth="1"/>
    <col min="15362" max="15362" width="18.26953125" customWidth="1"/>
    <col min="15363" max="15366" width="9.26953125" customWidth="1"/>
    <col min="15367" max="15371" width="8.26953125" customWidth="1"/>
    <col min="15373" max="15373" width="21.81640625" customWidth="1"/>
    <col min="15375" max="15375" width="13.1796875" customWidth="1"/>
    <col min="15376" max="15376" width="12.1796875" customWidth="1"/>
    <col min="15377" max="15377" width="11.26953125" customWidth="1"/>
    <col min="15382" max="15382" width="17.453125" customWidth="1"/>
    <col min="15386" max="15386" width="12.54296875" customWidth="1"/>
    <col min="15387" max="15387" width="11.54296875" customWidth="1"/>
    <col min="15392" max="15392" width="14.26953125" bestFit="1" customWidth="1"/>
    <col min="15618" max="15618" width="18.26953125" customWidth="1"/>
    <col min="15619" max="15622" width="9.26953125" customWidth="1"/>
    <col min="15623" max="15627" width="8.26953125" customWidth="1"/>
    <col min="15629" max="15629" width="21.81640625" customWidth="1"/>
    <col min="15631" max="15631" width="13.1796875" customWidth="1"/>
    <col min="15632" max="15632" width="12.1796875" customWidth="1"/>
    <col min="15633" max="15633" width="11.26953125" customWidth="1"/>
    <col min="15638" max="15638" width="17.453125" customWidth="1"/>
    <col min="15642" max="15642" width="12.54296875" customWidth="1"/>
    <col min="15643" max="15643" width="11.54296875" customWidth="1"/>
    <col min="15648" max="15648" width="14.26953125" bestFit="1" customWidth="1"/>
    <col min="15874" max="15874" width="18.26953125" customWidth="1"/>
    <col min="15875" max="15878" width="9.26953125" customWidth="1"/>
    <col min="15879" max="15883" width="8.26953125" customWidth="1"/>
    <col min="15885" max="15885" width="21.81640625" customWidth="1"/>
    <col min="15887" max="15887" width="13.1796875" customWidth="1"/>
    <col min="15888" max="15888" width="12.1796875" customWidth="1"/>
    <col min="15889" max="15889" width="11.26953125" customWidth="1"/>
    <col min="15894" max="15894" width="17.453125" customWidth="1"/>
    <col min="15898" max="15898" width="12.54296875" customWidth="1"/>
    <col min="15899" max="15899" width="11.54296875" customWidth="1"/>
    <col min="15904" max="15904" width="14.26953125" bestFit="1" customWidth="1"/>
    <col min="16130" max="16130" width="18.26953125" customWidth="1"/>
    <col min="16131" max="16134" width="9.26953125" customWidth="1"/>
    <col min="16135" max="16139" width="8.26953125" customWidth="1"/>
    <col min="16141" max="16141" width="21.81640625" customWidth="1"/>
    <col min="16143" max="16143" width="13.1796875" customWidth="1"/>
    <col min="16144" max="16144" width="12.1796875" customWidth="1"/>
    <col min="16145" max="16145" width="11.26953125" customWidth="1"/>
    <col min="16150" max="16150" width="17.453125" customWidth="1"/>
    <col min="16154" max="16154" width="12.54296875" customWidth="1"/>
    <col min="16155" max="16155" width="11.54296875" customWidth="1"/>
    <col min="16160" max="16160" width="14.26953125" bestFit="1" customWidth="1"/>
  </cols>
  <sheetData>
    <row r="1" spans="2:33" ht="33.75" customHeight="1" thickTop="1" thickBot="1" x14ac:dyDescent="0.3">
      <c r="B1" s="401" t="s">
        <v>98</v>
      </c>
      <c r="C1" s="402"/>
      <c r="D1" s="402"/>
      <c r="E1" s="402"/>
      <c r="F1" s="402"/>
      <c r="G1" s="402"/>
      <c r="H1" s="402"/>
      <c r="I1" s="402"/>
      <c r="J1" s="402"/>
      <c r="K1" s="403"/>
      <c r="M1" s="135" t="s">
        <v>115</v>
      </c>
      <c r="N1" s="135" t="s">
        <v>116</v>
      </c>
      <c r="O1" s="136" t="s">
        <v>117</v>
      </c>
      <c r="P1" s="136" t="s">
        <v>118</v>
      </c>
      <c r="V1" s="404" t="s">
        <v>119</v>
      </c>
      <c r="W1" s="405"/>
      <c r="X1" s="404" t="s">
        <v>120</v>
      </c>
      <c r="Y1" s="406"/>
      <c r="Z1" s="404" t="s">
        <v>121</v>
      </c>
      <c r="AA1" s="406"/>
      <c r="AB1" s="407" t="s">
        <v>122</v>
      </c>
      <c r="AC1" s="408"/>
    </row>
    <row r="2" spans="2:33" ht="20.149999999999999" customHeight="1" thickTop="1" x14ac:dyDescent="0.35">
      <c r="B2" s="137" t="s">
        <v>123</v>
      </c>
      <c r="C2" s="138" t="s">
        <v>124</v>
      </c>
      <c r="D2" s="138"/>
      <c r="E2" s="139"/>
      <c r="F2" s="138"/>
      <c r="G2" s="138"/>
      <c r="H2" s="138"/>
      <c r="I2" s="140" t="s">
        <v>125</v>
      </c>
      <c r="J2" s="141"/>
      <c r="K2" s="142"/>
      <c r="M2" s="143" t="s">
        <v>126</v>
      </c>
      <c r="N2" s="144" t="s">
        <v>127</v>
      </c>
      <c r="O2" s="145"/>
      <c r="P2" s="145"/>
      <c r="Q2" s="129">
        <f>IF(O2=0,0*0,IF(O2&gt;0,((100-$N$8)/100)*O2/P2))</f>
        <v>0</v>
      </c>
      <c r="V2" s="129" t="s">
        <v>128</v>
      </c>
      <c r="W2" s="130" t="s">
        <v>129</v>
      </c>
      <c r="X2" s="146" t="s">
        <v>130</v>
      </c>
      <c r="Y2" s="147"/>
      <c r="Z2" s="148" t="s">
        <v>131</v>
      </c>
      <c r="AA2" s="147"/>
      <c r="AB2" s="409" t="s">
        <v>132</v>
      </c>
      <c r="AC2" s="410"/>
    </row>
    <row r="3" spans="2:33" ht="20.149999999999999" customHeight="1" x14ac:dyDescent="0.35">
      <c r="B3" s="411" t="s">
        <v>133</v>
      </c>
      <c r="C3" s="412"/>
      <c r="D3" s="412"/>
      <c r="E3" s="412"/>
      <c r="F3" s="412"/>
      <c r="G3" s="412"/>
      <c r="H3" s="412"/>
      <c r="I3" s="412"/>
      <c r="J3" s="412"/>
      <c r="K3" s="413"/>
      <c r="M3" s="149" t="s">
        <v>134</v>
      </c>
      <c r="N3" s="144" t="s">
        <v>135</v>
      </c>
      <c r="O3" s="150">
        <v>72</v>
      </c>
      <c r="P3" s="145">
        <v>2.6480000000000001</v>
      </c>
      <c r="Q3" s="129">
        <f>IF(O3=0,0*0,IF(O3&gt;0,((100-$N$8)/100)*O3/P3))</f>
        <v>25.504531722054381</v>
      </c>
      <c r="R3" s="151"/>
      <c r="V3" s="152">
        <f t="shared" ref="V3:V10" si="0">H17</f>
        <v>19.100000000000001</v>
      </c>
      <c r="W3" s="132">
        <f>K17</f>
        <v>100</v>
      </c>
      <c r="X3" s="153">
        <f>IF(AB3-7&lt;Z3,Z3,IF(AB3-7&gt;Z3,AB3-7,IF(AB3-7=Z3,Z3)))</f>
        <v>100</v>
      </c>
      <c r="Y3" s="153">
        <f>IF(AB3+7&gt;AA3,AA3,IF(AB3+7&lt;AA3,AB3+7,IF(AB3+7=AA3,AA3)))</f>
        <v>100</v>
      </c>
      <c r="Z3" s="154">
        <v>100</v>
      </c>
      <c r="AA3" s="154">
        <v>100</v>
      </c>
      <c r="AB3" s="399">
        <v>100</v>
      </c>
      <c r="AC3" s="400"/>
    </row>
    <row r="4" spans="2:33" ht="20.149999999999999" customHeight="1" thickBot="1" x14ac:dyDescent="0.4">
      <c r="B4" s="414" t="s">
        <v>136</v>
      </c>
      <c r="C4" s="415"/>
      <c r="D4" s="415"/>
      <c r="E4" s="415"/>
      <c r="F4" s="416"/>
      <c r="G4" s="417" t="s">
        <v>137</v>
      </c>
      <c r="H4" s="415"/>
      <c r="I4" s="415"/>
      <c r="J4" s="415"/>
      <c r="K4" s="418"/>
      <c r="M4" s="143" t="s">
        <v>126</v>
      </c>
      <c r="N4" s="144" t="s">
        <v>138</v>
      </c>
      <c r="O4" s="150"/>
      <c r="P4" s="145"/>
      <c r="Q4" s="129">
        <f>IF(O4=0,0*0,IF(O4&gt;0,((100-$N$8)/100)*O4/P4))</f>
        <v>0</v>
      </c>
      <c r="R4" s="155"/>
      <c r="V4" s="152">
        <f t="shared" si="0"/>
        <v>12.7</v>
      </c>
      <c r="W4" s="132">
        <f t="shared" ref="W4:W10" si="1">K18</f>
        <v>95.3</v>
      </c>
      <c r="X4" s="153">
        <f>IF(AB4-7&lt;Z4,Z4,IF(AB4-7&gt;Z4,AB4-7,IF(AB4-7=Z4,Z4)))</f>
        <v>85</v>
      </c>
      <c r="Y4" s="153">
        <f>IF(AB4+7&gt;AA4,AA4,IF(AB4+7&lt;AA4,AB4+7,IF(AB4+7=AA4,AA4)))</f>
        <v>98</v>
      </c>
      <c r="Z4" s="154">
        <v>85</v>
      </c>
      <c r="AA4" s="154">
        <v>100</v>
      </c>
      <c r="AB4" s="399">
        <v>91</v>
      </c>
      <c r="AC4" s="400"/>
    </row>
    <row r="5" spans="2:33" ht="20.149999999999999" customHeight="1" thickTop="1" thickBot="1" x14ac:dyDescent="0.4">
      <c r="B5" s="156" t="s">
        <v>139</v>
      </c>
      <c r="C5" s="157">
        <v>1</v>
      </c>
      <c r="D5" s="157">
        <v>2</v>
      </c>
      <c r="E5" s="157">
        <v>3</v>
      </c>
      <c r="F5" s="158" t="s">
        <v>114</v>
      </c>
      <c r="G5" s="159" t="s">
        <v>140</v>
      </c>
      <c r="H5" s="160"/>
      <c r="I5" s="160"/>
      <c r="J5" s="161"/>
      <c r="K5" s="162">
        <v>92.2</v>
      </c>
      <c r="M5" s="149" t="s">
        <v>141</v>
      </c>
      <c r="N5" s="144" t="s">
        <v>142</v>
      </c>
      <c r="O5" s="150">
        <v>25</v>
      </c>
      <c r="P5" s="145">
        <v>2.6429999999999998</v>
      </c>
      <c r="Q5" s="129">
        <f>IF(O5=0,0*0,IF(O5&gt;0,((100-$N$8)/100)*O5/P5))</f>
        <v>8.8724933787362854</v>
      </c>
      <c r="R5" s="155"/>
      <c r="V5" s="152">
        <f t="shared" si="0"/>
        <v>9.52</v>
      </c>
      <c r="W5" s="132">
        <f t="shared" si="1"/>
        <v>80.400000000000006</v>
      </c>
      <c r="X5" s="153">
        <f>IF(AB5-7&lt;Z5,Z5,IF(AB5-7&gt;Z5,AB5-7,IF(AB5-7=Z5,Z5)))</f>
        <v>75</v>
      </c>
      <c r="Y5" s="153">
        <f>IF(AB5+7&gt;AA5,AA5,IF(AB5+7&lt;AA5,AB5+7,IF(AB5+7=AA5,AA5)))</f>
        <v>86</v>
      </c>
      <c r="Z5" s="154">
        <v>75</v>
      </c>
      <c r="AA5" s="154">
        <v>100</v>
      </c>
      <c r="AB5" s="399">
        <v>79</v>
      </c>
      <c r="AC5" s="400"/>
    </row>
    <row r="6" spans="2:33" ht="15" customHeight="1" thickTop="1" x14ac:dyDescent="0.35">
      <c r="B6" s="163" t="s">
        <v>143</v>
      </c>
      <c r="C6" s="164">
        <v>1178.5</v>
      </c>
      <c r="D6" s="164">
        <v>1189.7</v>
      </c>
      <c r="E6" s="164">
        <v>1190.5</v>
      </c>
      <c r="F6" s="165"/>
      <c r="G6" s="166" t="s">
        <v>144</v>
      </c>
      <c r="H6" s="167"/>
      <c r="I6" s="167"/>
      <c r="J6" s="168"/>
      <c r="K6" s="169">
        <v>592.20000000000005</v>
      </c>
      <c r="M6" s="170" t="s">
        <v>145</v>
      </c>
      <c r="N6" s="144" t="s">
        <v>145</v>
      </c>
      <c r="O6" s="150">
        <v>3</v>
      </c>
      <c r="P6" s="145">
        <v>2.78</v>
      </c>
      <c r="Q6" s="129">
        <f>IF(O6=0,0*0,IF(O6&gt;0,((100-$N$8)/100)*O6/P6))</f>
        <v>1.0122302158273382</v>
      </c>
      <c r="R6" s="155"/>
      <c r="V6" s="152">
        <f t="shared" si="0"/>
        <v>4.76</v>
      </c>
      <c r="W6" s="132">
        <f t="shared" si="1"/>
        <v>67.2</v>
      </c>
      <c r="X6" s="153">
        <f>IF(AB6-5&lt;Z6,Z6,IF(AB6-5&gt;Z6,AB6-5,IF(AB6-5=Z6,Z6)))</f>
        <v>63</v>
      </c>
      <c r="Y6" s="153">
        <f>IF(AB6+5&gt;AA6,AA6,IF(AB6+5&lt;AA6,AB6+5,IF(AB6+5=AA6,AA6)))</f>
        <v>73</v>
      </c>
      <c r="Z6" s="154">
        <v>50</v>
      </c>
      <c r="AA6" s="154">
        <v>85</v>
      </c>
      <c r="AB6" s="399">
        <v>68</v>
      </c>
      <c r="AC6" s="400"/>
    </row>
    <row r="7" spans="2:33" ht="15" customHeight="1" x14ac:dyDescent="0.35">
      <c r="B7" s="171" t="s">
        <v>146</v>
      </c>
      <c r="C7" s="172">
        <v>665.5</v>
      </c>
      <c r="D7" s="172">
        <v>675.3</v>
      </c>
      <c r="E7" s="172">
        <v>675.5</v>
      </c>
      <c r="F7" s="173"/>
      <c r="G7" s="166" t="s">
        <v>147</v>
      </c>
      <c r="H7" s="167"/>
      <c r="I7" s="167"/>
      <c r="J7" s="168"/>
      <c r="K7" s="174">
        <f>K6-K5</f>
        <v>500.00000000000006</v>
      </c>
      <c r="M7" s="175" t="s">
        <v>148</v>
      </c>
      <c r="N7" s="176"/>
      <c r="O7" s="177" t="s">
        <v>149</v>
      </c>
      <c r="P7" s="178">
        <v>1.03</v>
      </c>
      <c r="Q7" s="129">
        <f>N8/P7</f>
        <v>6.0194174757281553</v>
      </c>
      <c r="V7" s="152">
        <f t="shared" si="0"/>
        <v>2</v>
      </c>
      <c r="W7" s="132">
        <f t="shared" si="1"/>
        <v>54.5</v>
      </c>
      <c r="X7" s="153">
        <f>IF(AB7-5&lt;Z7,Z7,IF(AB7-5&gt;Z7,AB7-5,IF(AB7-5=Z7,Z7)))</f>
        <v>50</v>
      </c>
      <c r="Y7" s="153">
        <f>IF(AB7+5&gt;AA7,AA7,IF(AB7+5&lt;AA7,AB7+5,IF(AB7+5=AA7,AA7)))</f>
        <v>60</v>
      </c>
      <c r="Z7" s="154">
        <v>30</v>
      </c>
      <c r="AA7" s="154">
        <v>75</v>
      </c>
      <c r="AB7" s="399">
        <v>55</v>
      </c>
      <c r="AC7" s="400"/>
    </row>
    <row r="8" spans="2:33" ht="15" customHeight="1" x14ac:dyDescent="0.35">
      <c r="B8" s="171" t="s">
        <v>150</v>
      </c>
      <c r="C8" s="179" t="s">
        <v>24</v>
      </c>
      <c r="D8" s="179" t="s">
        <v>24</v>
      </c>
      <c r="E8" s="179" t="s">
        <v>24</v>
      </c>
      <c r="F8" s="173"/>
      <c r="G8" s="166" t="s">
        <v>151</v>
      </c>
      <c r="H8" s="167"/>
      <c r="I8" s="167"/>
      <c r="J8" s="168"/>
      <c r="K8" s="169">
        <v>561.1</v>
      </c>
      <c r="M8" s="180" t="s">
        <v>152</v>
      </c>
      <c r="N8" s="181">
        <f>K10</f>
        <v>6.2</v>
      </c>
      <c r="O8" s="182" t="s">
        <v>118</v>
      </c>
      <c r="P8" s="183">
        <f>ROUND(100/Q8,3)</f>
        <v>2.415</v>
      </c>
      <c r="Q8" s="129">
        <f>SUM(Q2:Q7)</f>
        <v>41.408672792346159</v>
      </c>
      <c r="V8" s="152">
        <f t="shared" si="0"/>
        <v>0.42</v>
      </c>
      <c r="W8" s="132">
        <f t="shared" si="1"/>
        <v>36.4</v>
      </c>
      <c r="X8" s="153">
        <f>IF(AB8-5&lt;Z8,Z8,IF(AB8-5&gt;Z8,AB8-5,IF(AB8-5=Z8,Z8)))</f>
        <v>30</v>
      </c>
      <c r="Y8" s="153">
        <f>IF(AB8+5&gt;AA8,AA8,IF(AB8+5&lt;AA8,AB8+5,IF(AB8+5=AA8,AA8)))</f>
        <v>40</v>
      </c>
      <c r="Z8" s="154">
        <v>15</v>
      </c>
      <c r="AA8" s="154">
        <v>40</v>
      </c>
      <c r="AB8" s="399">
        <v>35</v>
      </c>
      <c r="AC8" s="400"/>
    </row>
    <row r="9" spans="2:33" ht="15" customHeight="1" x14ac:dyDescent="0.35">
      <c r="B9" s="171" t="s">
        <v>153</v>
      </c>
      <c r="C9" s="184">
        <f>C6-C7</f>
        <v>513</v>
      </c>
      <c r="D9" s="184">
        <f>D6-D7</f>
        <v>514.40000000000009</v>
      </c>
      <c r="E9" s="184">
        <f>E6-E7</f>
        <v>515</v>
      </c>
      <c r="F9" s="173"/>
      <c r="G9" s="166" t="s">
        <v>154</v>
      </c>
      <c r="H9" s="167"/>
      <c r="I9" s="167"/>
      <c r="J9" s="185"/>
      <c r="K9" s="174">
        <f>K6-K8</f>
        <v>31.100000000000023</v>
      </c>
      <c r="M9" s="175"/>
      <c r="N9" s="186"/>
      <c r="O9" s="187"/>
      <c r="V9" s="152">
        <f t="shared" si="0"/>
        <v>0.18</v>
      </c>
      <c r="W9" s="132">
        <f t="shared" si="1"/>
        <v>14.2</v>
      </c>
      <c r="X9" s="153">
        <f>IF(AB9-2&lt;Z9,Z9,IF(AB9-2&gt;Z9,AB9-2,IF(AB9-2=Z9,Z9)))</f>
        <v>12</v>
      </c>
      <c r="Y9" s="153">
        <f>IF(AB9+2&gt;AA9,AA9,IF(AB9+2&lt;AA9,AB9+2,IF(AB9+2=AA9,AA9)))</f>
        <v>16</v>
      </c>
      <c r="Z9" s="154">
        <v>8</v>
      </c>
      <c r="AA9" s="154">
        <v>30</v>
      </c>
      <c r="AB9" s="399">
        <v>14</v>
      </c>
      <c r="AC9" s="400"/>
    </row>
    <row r="10" spans="2:33" ht="15" customHeight="1" thickBot="1" x14ac:dyDescent="0.4">
      <c r="B10" s="171" t="s">
        <v>155</v>
      </c>
      <c r="C10" s="188">
        <f>ROUND(C6/C9,3)</f>
        <v>2.2970000000000002</v>
      </c>
      <c r="D10" s="188">
        <f>ROUND(D6/D9,3)</f>
        <v>2.3130000000000002</v>
      </c>
      <c r="E10" s="188">
        <f>ROUND(E6/E9,3)</f>
        <v>2.3119999999999998</v>
      </c>
      <c r="F10" s="189">
        <f>ROUND(AVERAGE(C10:E10),3)</f>
        <v>2.3069999999999999</v>
      </c>
      <c r="G10" s="190" t="s">
        <v>156</v>
      </c>
      <c r="H10" s="191"/>
      <c r="I10" s="191"/>
      <c r="J10" s="192"/>
      <c r="K10" s="193">
        <f>ROUND(K9/K7*100,1)</f>
        <v>6.2</v>
      </c>
      <c r="M10" s="175"/>
      <c r="N10" s="186"/>
      <c r="O10" s="186"/>
      <c r="U10" s="194"/>
      <c r="V10" s="152">
        <f t="shared" si="0"/>
        <v>7.3999999999999996E-2</v>
      </c>
      <c r="W10" s="132">
        <f t="shared" si="1"/>
        <v>5.9</v>
      </c>
      <c r="X10" s="153">
        <f>IF(AB10-2&lt;Z10,Z10,IF(AB10-2&gt;Z10,AB10-2,IF(AB10-2=Z10,Z10)))</f>
        <v>5</v>
      </c>
      <c r="Y10" s="153">
        <f>IF(AB10+2&gt;AA10,AA10,IF(AB10+2&lt;AA10,AB10+2,IF(AB10+2=AA10,AA10)))</f>
        <v>8</v>
      </c>
      <c r="Z10" s="154">
        <v>5</v>
      </c>
      <c r="AA10" s="154">
        <v>10</v>
      </c>
      <c r="AB10" s="399">
        <v>6</v>
      </c>
      <c r="AC10" s="400"/>
    </row>
    <row r="11" spans="2:33" ht="15" customHeight="1" thickTop="1" thickBot="1" x14ac:dyDescent="0.3">
      <c r="B11" s="171" t="s">
        <v>157</v>
      </c>
      <c r="C11" s="188">
        <f>$P$8</f>
        <v>2.415</v>
      </c>
      <c r="D11" s="188">
        <f>$P$8</f>
        <v>2.415</v>
      </c>
      <c r="E11" s="188">
        <f>$P$8</f>
        <v>2.415</v>
      </c>
      <c r="F11" s="195"/>
      <c r="G11" s="428" t="s">
        <v>158</v>
      </c>
      <c r="H11" s="429"/>
      <c r="I11" s="429"/>
      <c r="J11" s="429"/>
      <c r="K11" s="430"/>
      <c r="M11" s="155"/>
      <c r="N11" s="155"/>
      <c r="O11" s="155"/>
      <c r="P11" s="155"/>
      <c r="Q11" s="155"/>
      <c r="R11" s="155"/>
      <c r="S11" s="155"/>
      <c r="T11" s="155"/>
      <c r="U11" s="155"/>
    </row>
    <row r="12" spans="2:33" ht="15" customHeight="1" thickTop="1" x14ac:dyDescent="0.25">
      <c r="B12" s="171" t="s">
        <v>159</v>
      </c>
      <c r="C12" s="196">
        <f>(C11-C10)/C11*100</f>
        <v>4.8861283643892293</v>
      </c>
      <c r="D12" s="196">
        <f>(D11-D10)/D11*100</f>
        <v>4.2236024844720443</v>
      </c>
      <c r="E12" s="196">
        <f>(E11-E10)/E11*100</f>
        <v>4.2650103519668825</v>
      </c>
      <c r="F12" s="197">
        <f>ROUND(AVERAGE(C12:E12),2)</f>
        <v>4.46</v>
      </c>
      <c r="G12" s="419" t="s">
        <v>160</v>
      </c>
      <c r="H12" s="420"/>
      <c r="I12" s="198" t="s">
        <v>161</v>
      </c>
      <c r="J12" s="198" t="s">
        <v>161</v>
      </c>
      <c r="K12" s="199" t="s">
        <v>162</v>
      </c>
      <c r="M12" s="200" t="str">
        <f>G17</f>
        <v>3/4"</v>
      </c>
      <c r="N12" s="200" t="str">
        <f>G18</f>
        <v>1/2"</v>
      </c>
      <c r="O12" s="200" t="str">
        <f>G19</f>
        <v>3/8"</v>
      </c>
      <c r="P12" s="200" t="str">
        <f>G20</f>
        <v>Nº 4</v>
      </c>
      <c r="Q12" s="200" t="str">
        <f>G21</f>
        <v>Nº 10</v>
      </c>
      <c r="R12" s="200" t="str">
        <f>G22</f>
        <v>Nº 40</v>
      </c>
      <c r="S12" s="200" t="str">
        <f>G23</f>
        <v>Nº 80</v>
      </c>
      <c r="T12" s="200" t="str">
        <f>G24</f>
        <v>Nº 200</v>
      </c>
      <c r="U12" s="200" t="s">
        <v>104</v>
      </c>
      <c r="V12" s="131" t="s">
        <v>105</v>
      </c>
      <c r="W12" s="131" t="s">
        <v>106</v>
      </c>
      <c r="X12" s="131" t="s">
        <v>107</v>
      </c>
      <c r="Y12" s="200" t="s">
        <v>108</v>
      </c>
      <c r="Z12" s="200" t="s">
        <v>109</v>
      </c>
      <c r="AA12" s="131" t="s">
        <v>163</v>
      </c>
      <c r="AB12" s="131" t="s">
        <v>110</v>
      </c>
      <c r="AC12" s="131" t="s">
        <v>164</v>
      </c>
      <c r="AD12" s="131" t="s">
        <v>111</v>
      </c>
      <c r="AE12" s="131" t="s">
        <v>112</v>
      </c>
      <c r="AF12" s="131" t="s">
        <v>165</v>
      </c>
      <c r="AG12" s="131" t="s">
        <v>113</v>
      </c>
    </row>
    <row r="13" spans="2:33" ht="15" customHeight="1" thickBot="1" x14ac:dyDescent="0.3">
      <c r="B13" s="171" t="s">
        <v>166</v>
      </c>
      <c r="C13" s="196">
        <f>ROUND(C10*$K$10/$P$7,2)</f>
        <v>13.83</v>
      </c>
      <c r="D13" s="196">
        <f>ROUND(D10*$K$10/$P$7,2)</f>
        <v>13.92</v>
      </c>
      <c r="E13" s="196">
        <f>ROUND(E10*$K$10/$P$7,2)</f>
        <v>13.92</v>
      </c>
      <c r="F13" s="201"/>
      <c r="G13" s="202" t="s">
        <v>167</v>
      </c>
      <c r="H13" s="203" t="s">
        <v>168</v>
      </c>
      <c r="I13" s="204" t="s">
        <v>169</v>
      </c>
      <c r="J13" s="205" t="s">
        <v>170</v>
      </c>
      <c r="K13" s="206" t="s">
        <v>170</v>
      </c>
      <c r="L13" s="207"/>
      <c r="M13" s="208">
        <f>IF($N$15="s",K17,IF($N$15="n","Não"))</f>
        <v>100</v>
      </c>
      <c r="N13" s="208">
        <f>IF($N$15="s",K18,IF($N$15="n","Não"))</f>
        <v>95.3</v>
      </c>
      <c r="O13" s="208">
        <f>IF($N$15="s",K19,IF($N$15="n","Não"))</f>
        <v>80.400000000000006</v>
      </c>
      <c r="P13" s="208">
        <f>IF($N$15="s",K20,IF($N$15="n","Não"))</f>
        <v>67.2</v>
      </c>
      <c r="Q13" s="208">
        <f>IF($N$15="s",K21,IF($N$15="n","Não"))</f>
        <v>54.5</v>
      </c>
      <c r="R13" s="208">
        <f>IF($N$15="s",K22,IF($N$15="n","Não"))</f>
        <v>36.4</v>
      </c>
      <c r="S13" s="208">
        <f>IF($N$15="s",K23,IF($N$15="n","Não"))</f>
        <v>14.2</v>
      </c>
      <c r="T13" s="208">
        <f>IF($N$15="s",K24,IF($N$15="n","Não"))</f>
        <v>5.9</v>
      </c>
      <c r="U13" s="209">
        <f>IF($N$15="s",$K$10,IF($N$15="n","Não"))</f>
        <v>6.2</v>
      </c>
      <c r="V13" s="210">
        <f>IF($N$16="s",F10,IF($N$16="n","Não"))</f>
        <v>2.3069999999999999</v>
      </c>
      <c r="W13" s="209">
        <f>IF($N$16="s",F12,IF($N$16="n","Não"))</f>
        <v>4.46</v>
      </c>
      <c r="X13" s="209">
        <f>IF($N$16="s",F15,IF($N$16="n","Não"))</f>
        <v>75.72</v>
      </c>
      <c r="Y13" s="209">
        <f>IF($N$16="s",F19,IF($N$16="n","Não"))</f>
        <v>871.32</v>
      </c>
      <c r="Z13" s="209">
        <f>IF($N$16="s",F20,IF($N$16="n","Não"))</f>
        <v>4</v>
      </c>
      <c r="AA13" s="209">
        <f>IF($N$16="s",D22,IF($N$16="n","Não"))</f>
        <v>162</v>
      </c>
      <c r="AB13" s="209">
        <f>IF($N$16="s",D23,IF($N$16="n","Não"))</f>
        <v>145</v>
      </c>
      <c r="AC13" s="209">
        <f>IF($N$16="s",D24,IF($N$16="n","Não"))</f>
        <v>165</v>
      </c>
      <c r="AD13" s="210">
        <f>IF($N$17="s",E43,IF($N$17="n","Não"))</f>
        <v>2.2789999999999999</v>
      </c>
      <c r="AE13" s="208">
        <f>IF($N$17="s",E44,IF($N$17="n","Não"))</f>
        <v>97.6</v>
      </c>
      <c r="AF13" s="209">
        <f>IF($N$19="s",E45,IF($N$19="n","Não"))</f>
        <v>4.5</v>
      </c>
      <c r="AG13" s="211">
        <f>IF($N$20="s",E46,IF($N$20="n","Não"))</f>
        <v>147</v>
      </c>
    </row>
    <row r="14" spans="2:33" ht="15" customHeight="1" thickTop="1" thickBot="1" x14ac:dyDescent="0.3">
      <c r="B14" s="171" t="s">
        <v>171</v>
      </c>
      <c r="C14" s="196">
        <f>C12+C13</f>
        <v>18.716128364389228</v>
      </c>
      <c r="D14" s="196">
        <f>D12+D13</f>
        <v>18.143602484472044</v>
      </c>
      <c r="E14" s="196">
        <f>E12+E13</f>
        <v>18.185010351966881</v>
      </c>
      <c r="F14" s="201"/>
      <c r="G14" s="212" t="s">
        <v>172</v>
      </c>
      <c r="H14" s="213">
        <v>50.8</v>
      </c>
      <c r="I14" s="214"/>
      <c r="J14" s="215"/>
      <c r="K14" s="216"/>
      <c r="L14" s="207"/>
    </row>
    <row r="15" spans="2:33" ht="15" customHeight="1" thickTop="1" thickBot="1" x14ac:dyDescent="0.3">
      <c r="B15" s="171" t="s">
        <v>173</v>
      </c>
      <c r="C15" s="196">
        <f>ROUND((C13/C14*100),2)</f>
        <v>73.89</v>
      </c>
      <c r="D15" s="196">
        <f>ROUND((D13/D14*100),2)</f>
        <v>76.72</v>
      </c>
      <c r="E15" s="196">
        <f>ROUND((E13/E14*100),2)</f>
        <v>76.55</v>
      </c>
      <c r="F15" s="197">
        <f>ROUND(AVERAGE(C15:E15),2)</f>
        <v>75.72</v>
      </c>
      <c r="G15" s="217" t="s">
        <v>174</v>
      </c>
      <c r="H15" s="218">
        <v>38.1</v>
      </c>
      <c r="I15" s="219"/>
      <c r="J15" s="220"/>
      <c r="K15" s="221"/>
      <c r="M15" s="222" t="s">
        <v>158</v>
      </c>
      <c r="N15" s="223" t="s">
        <v>175</v>
      </c>
      <c r="O15" s="224"/>
      <c r="P15" s="225"/>
      <c r="Q15" s="225"/>
    </row>
    <row r="16" spans="2:33" ht="15" customHeight="1" thickTop="1" thickBot="1" x14ac:dyDescent="0.3">
      <c r="B16" s="171" t="s">
        <v>176</v>
      </c>
      <c r="C16" s="226">
        <v>455</v>
      </c>
      <c r="D16" s="226">
        <v>460</v>
      </c>
      <c r="E16" s="226">
        <v>455</v>
      </c>
      <c r="F16" s="173"/>
      <c r="G16" s="217" t="s">
        <v>17</v>
      </c>
      <c r="H16" s="218">
        <v>25.4</v>
      </c>
      <c r="I16" s="219"/>
      <c r="J16" s="227">
        <f>SUM(I17:I25)</f>
        <v>470.7</v>
      </c>
      <c r="K16" s="228">
        <f>ROUND(J16/$J$16*100,1)</f>
        <v>100</v>
      </c>
      <c r="M16" s="229" t="s">
        <v>136</v>
      </c>
      <c r="N16" s="223" t="s">
        <v>175</v>
      </c>
      <c r="O16" s="230"/>
      <c r="P16" s="231"/>
      <c r="Q16" s="231"/>
      <c r="V16" s="232"/>
      <c r="W16" s="232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</row>
    <row r="17" spans="2:33" ht="15" customHeight="1" thickTop="1" x14ac:dyDescent="0.25">
      <c r="B17" s="171" t="s">
        <v>177</v>
      </c>
      <c r="C17" s="234">
        <f>ROUND(C16*$E25,2)</f>
        <v>868.14</v>
      </c>
      <c r="D17" s="234">
        <f>ROUND(D16*$E25,2)</f>
        <v>877.68</v>
      </c>
      <c r="E17" s="234">
        <f>ROUND(E16*$E25,2)</f>
        <v>868.14</v>
      </c>
      <c r="F17" s="201"/>
      <c r="G17" s="217" t="s">
        <v>18</v>
      </c>
      <c r="H17" s="218">
        <v>19.100000000000001</v>
      </c>
      <c r="I17" s="226"/>
      <c r="J17" s="227">
        <f t="shared" ref="J17:J24" si="2">J16-I17</f>
        <v>470.7</v>
      </c>
      <c r="K17" s="228">
        <f>ROUND(J17/$J$16*100,1)</f>
        <v>100</v>
      </c>
      <c r="M17" s="421" t="s">
        <v>178</v>
      </c>
      <c r="N17" s="235" t="s">
        <v>175</v>
      </c>
      <c r="O17" s="134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</row>
    <row r="18" spans="2:33" ht="15" customHeight="1" thickBot="1" x14ac:dyDescent="0.3">
      <c r="B18" s="171" t="s">
        <v>179</v>
      </c>
      <c r="C18" s="237">
        <v>1</v>
      </c>
      <c r="D18" s="237">
        <v>1</v>
      </c>
      <c r="E18" s="237">
        <v>1</v>
      </c>
      <c r="F18" s="201"/>
      <c r="G18" s="217" t="s">
        <v>16</v>
      </c>
      <c r="H18" s="218">
        <v>12.7</v>
      </c>
      <c r="I18" s="226">
        <v>22.1</v>
      </c>
      <c r="J18" s="227">
        <f t="shared" si="2"/>
        <v>448.59999999999997</v>
      </c>
      <c r="K18" s="228">
        <f t="shared" ref="K18:K24" si="3">ROUND(J18/$J$16*100,1)</f>
        <v>95.3</v>
      </c>
      <c r="M18" s="422"/>
      <c r="N18" s="238"/>
      <c r="O18" s="239"/>
      <c r="P18" s="240"/>
      <c r="Q18" s="240"/>
      <c r="R18" s="240"/>
      <c r="S18" s="240"/>
    </row>
    <row r="19" spans="2:33" ht="15" customHeight="1" thickTop="1" thickBot="1" x14ac:dyDescent="0.3">
      <c r="B19" s="171" t="s">
        <v>180</v>
      </c>
      <c r="C19" s="234">
        <f>C17*C18</f>
        <v>868.14</v>
      </c>
      <c r="D19" s="234">
        <f>D17*D18</f>
        <v>877.68</v>
      </c>
      <c r="E19" s="234">
        <f>E17*E18</f>
        <v>868.14</v>
      </c>
      <c r="F19" s="197">
        <f>ROUND(AVERAGE(C19:E19),2)</f>
        <v>871.32</v>
      </c>
      <c r="G19" s="217" t="s">
        <v>7</v>
      </c>
      <c r="H19" s="218">
        <v>9.52</v>
      </c>
      <c r="I19" s="226">
        <v>70.099999999999994</v>
      </c>
      <c r="J19" s="227">
        <f t="shared" si="2"/>
        <v>378.5</v>
      </c>
      <c r="K19" s="228">
        <f t="shared" si="3"/>
        <v>80.400000000000006</v>
      </c>
      <c r="L19" s="155"/>
      <c r="M19" s="241" t="s">
        <v>181</v>
      </c>
      <c r="N19" s="223" t="s">
        <v>175</v>
      </c>
      <c r="O19" s="242"/>
      <c r="P19" s="243"/>
      <c r="Q19" s="243"/>
      <c r="R19" s="243"/>
      <c r="S19" s="244"/>
    </row>
    <row r="20" spans="2:33" ht="15" customHeight="1" thickTop="1" thickBot="1" x14ac:dyDescent="0.3">
      <c r="B20" s="245" t="s">
        <v>182</v>
      </c>
      <c r="C20" s="246">
        <v>4</v>
      </c>
      <c r="D20" s="246">
        <v>4</v>
      </c>
      <c r="E20" s="246">
        <v>4</v>
      </c>
      <c r="F20" s="247">
        <f>ROUND(AVERAGE(C20:E20),2)</f>
        <v>4</v>
      </c>
      <c r="G20" s="217" t="s">
        <v>99</v>
      </c>
      <c r="H20" s="218">
        <v>4.76</v>
      </c>
      <c r="I20" s="226">
        <v>62.1</v>
      </c>
      <c r="J20" s="227">
        <f t="shared" si="2"/>
        <v>316.39999999999998</v>
      </c>
      <c r="K20" s="228">
        <f t="shared" si="3"/>
        <v>67.2</v>
      </c>
      <c r="L20" s="155"/>
      <c r="M20" s="241" t="s">
        <v>183</v>
      </c>
      <c r="N20" s="223" t="s">
        <v>175</v>
      </c>
      <c r="O20" s="242"/>
      <c r="P20" s="243"/>
      <c r="Q20" s="243"/>
      <c r="R20" s="243"/>
      <c r="S20" s="244"/>
    </row>
    <row r="21" spans="2:33" ht="15" customHeight="1" thickTop="1" x14ac:dyDescent="0.25">
      <c r="B21" s="248" t="s">
        <v>184</v>
      </c>
      <c r="C21" s="249"/>
      <c r="D21" s="250">
        <v>155</v>
      </c>
      <c r="E21" s="251" t="s">
        <v>185</v>
      </c>
      <c r="F21" s="252"/>
      <c r="G21" s="217" t="s">
        <v>100</v>
      </c>
      <c r="H21" s="218">
        <v>2</v>
      </c>
      <c r="I21" s="226">
        <v>59.9</v>
      </c>
      <c r="J21" s="227">
        <f t="shared" si="2"/>
        <v>256.5</v>
      </c>
      <c r="K21" s="228">
        <f t="shared" si="3"/>
        <v>54.5</v>
      </c>
      <c r="L21" s="155"/>
      <c r="M21" s="155"/>
      <c r="O21" s="236"/>
      <c r="P21" s="243"/>
      <c r="Q21" s="243"/>
      <c r="R21" s="243"/>
      <c r="S21" s="244"/>
    </row>
    <row r="22" spans="2:33" ht="15" customHeight="1" x14ac:dyDescent="0.25">
      <c r="B22" s="166" t="s">
        <v>186</v>
      </c>
      <c r="C22" s="167"/>
      <c r="D22" s="253">
        <v>162</v>
      </c>
      <c r="E22" s="254" t="s">
        <v>185</v>
      </c>
      <c r="F22" s="255"/>
      <c r="G22" s="217" t="s">
        <v>101</v>
      </c>
      <c r="H22" s="218">
        <v>0.42</v>
      </c>
      <c r="I22" s="226">
        <v>85.1</v>
      </c>
      <c r="J22" s="227">
        <f t="shared" si="2"/>
        <v>171.4</v>
      </c>
      <c r="K22" s="228">
        <f t="shared" si="3"/>
        <v>36.4</v>
      </c>
      <c r="L22" s="155"/>
      <c r="M22" s="155"/>
      <c r="O22" s="243"/>
      <c r="P22" s="243"/>
      <c r="Q22" s="243"/>
      <c r="R22" s="243"/>
      <c r="S22" s="256"/>
    </row>
    <row r="23" spans="2:33" ht="15" customHeight="1" x14ac:dyDescent="0.25">
      <c r="B23" s="166" t="s">
        <v>187</v>
      </c>
      <c r="C23" s="257"/>
      <c r="D23" s="253">
        <v>145</v>
      </c>
      <c r="E23" s="254" t="s">
        <v>185</v>
      </c>
      <c r="F23" s="255"/>
      <c r="G23" s="217" t="s">
        <v>102</v>
      </c>
      <c r="H23" s="218">
        <v>0.18</v>
      </c>
      <c r="I23" s="226">
        <v>104.5</v>
      </c>
      <c r="J23" s="227">
        <f t="shared" si="2"/>
        <v>66.900000000000006</v>
      </c>
      <c r="K23" s="228">
        <f t="shared" si="3"/>
        <v>14.2</v>
      </c>
      <c r="L23" s="155"/>
      <c r="M23" s="155"/>
      <c r="P23" s="243"/>
      <c r="Q23" s="243"/>
      <c r="R23" s="243"/>
      <c r="S23" s="243"/>
    </row>
    <row r="24" spans="2:33" ht="15" customHeight="1" x14ac:dyDescent="0.25">
      <c r="B24" s="166" t="s">
        <v>188</v>
      </c>
      <c r="C24" s="257"/>
      <c r="D24" s="253">
        <v>165</v>
      </c>
      <c r="E24" s="254" t="s">
        <v>185</v>
      </c>
      <c r="F24" s="258"/>
      <c r="G24" s="217" t="s">
        <v>103</v>
      </c>
      <c r="H24" s="218">
        <v>7.3999999999999996E-2</v>
      </c>
      <c r="I24" s="226">
        <v>39.1</v>
      </c>
      <c r="J24" s="227">
        <f t="shared" si="2"/>
        <v>27.800000000000004</v>
      </c>
      <c r="K24" s="228">
        <f t="shared" si="3"/>
        <v>5.9</v>
      </c>
      <c r="L24" s="155"/>
      <c r="M24" s="155"/>
      <c r="P24" s="243"/>
      <c r="Q24" s="243"/>
      <c r="R24" s="243"/>
      <c r="S24" s="243"/>
    </row>
    <row r="25" spans="2:33" ht="15" customHeight="1" thickBot="1" x14ac:dyDescent="0.3">
      <c r="B25" s="259"/>
      <c r="C25" s="260"/>
      <c r="D25" s="261" t="s">
        <v>189</v>
      </c>
      <c r="E25" s="423">
        <v>1.9079999999999999</v>
      </c>
      <c r="F25" s="424"/>
      <c r="G25" s="262" t="s">
        <v>190</v>
      </c>
      <c r="H25" s="263"/>
      <c r="I25" s="226">
        <v>27.8</v>
      </c>
      <c r="J25" s="264"/>
      <c r="K25" s="265"/>
      <c r="L25" s="155"/>
      <c r="M25" s="155"/>
      <c r="P25" s="243"/>
      <c r="Q25" s="243"/>
      <c r="R25" s="243"/>
      <c r="S25" s="243"/>
    </row>
    <row r="26" spans="2:33" ht="20.149999999999999" customHeight="1" thickTop="1" x14ac:dyDescent="0.25">
      <c r="B26" s="266"/>
      <c r="C26" s="267"/>
      <c r="D26" s="267"/>
      <c r="E26" s="267"/>
      <c r="F26" s="267"/>
      <c r="G26" s="267"/>
      <c r="H26" s="267"/>
      <c r="I26" s="267"/>
      <c r="J26" s="267"/>
      <c r="K26" s="268"/>
      <c r="P26" s="243"/>
      <c r="Q26" s="243"/>
      <c r="R26" s="243"/>
      <c r="S26" s="243"/>
    </row>
    <row r="27" spans="2:33" x14ac:dyDescent="0.25">
      <c r="B27" s="269"/>
      <c r="C27" s="270"/>
      <c r="D27" s="270"/>
      <c r="E27" s="270"/>
      <c r="F27" s="270"/>
      <c r="G27" s="270"/>
      <c r="H27" s="270"/>
      <c r="I27" s="270"/>
      <c r="J27" s="270"/>
      <c r="K27" s="271"/>
      <c r="S27" s="272"/>
    </row>
    <row r="28" spans="2:33" x14ac:dyDescent="0.25">
      <c r="B28" s="269"/>
      <c r="C28" s="270"/>
      <c r="D28" s="270"/>
      <c r="E28" s="270"/>
      <c r="F28" s="270"/>
      <c r="G28" s="270"/>
      <c r="H28" s="270"/>
      <c r="I28" s="270"/>
      <c r="J28" s="270"/>
      <c r="K28" s="271"/>
      <c r="S28" s="272"/>
    </row>
    <row r="29" spans="2:33" x14ac:dyDescent="0.25">
      <c r="B29" s="269"/>
      <c r="C29" s="270"/>
      <c r="D29" s="270"/>
      <c r="E29" s="270"/>
      <c r="F29" s="270"/>
      <c r="G29" s="270"/>
      <c r="H29" s="270"/>
      <c r="I29" s="270"/>
      <c r="J29" s="270"/>
      <c r="K29" s="271"/>
      <c r="O29" s="133"/>
      <c r="P29" s="273"/>
      <c r="S29" s="272"/>
    </row>
    <row r="30" spans="2:33" x14ac:dyDescent="0.25">
      <c r="B30" s="269"/>
      <c r="C30" s="270"/>
      <c r="D30" s="270"/>
      <c r="E30" s="270"/>
      <c r="F30" s="270"/>
      <c r="G30" s="270"/>
      <c r="H30" s="270"/>
      <c r="I30" s="270"/>
      <c r="J30" s="270"/>
      <c r="K30" s="271"/>
      <c r="O30" s="133"/>
      <c r="P30" s="273"/>
      <c r="Q30" s="273"/>
    </row>
    <row r="31" spans="2:33" x14ac:dyDescent="0.25">
      <c r="B31" s="269"/>
      <c r="C31" s="270"/>
      <c r="D31" s="270"/>
      <c r="E31" s="270"/>
      <c r="F31" s="270"/>
      <c r="G31" s="270"/>
      <c r="H31" s="270"/>
      <c r="I31" s="270"/>
      <c r="J31" s="270"/>
      <c r="K31" s="271"/>
      <c r="O31" s="133"/>
      <c r="P31" s="273"/>
      <c r="Q31" s="273"/>
    </row>
    <row r="32" spans="2:33" x14ac:dyDescent="0.25">
      <c r="B32" s="269"/>
      <c r="C32" s="270"/>
      <c r="D32" s="270"/>
      <c r="E32" s="270"/>
      <c r="F32" s="270"/>
      <c r="G32" s="270"/>
      <c r="H32" s="270"/>
      <c r="I32" s="270"/>
      <c r="J32" s="270"/>
      <c r="K32" s="271"/>
      <c r="O32" s="133"/>
      <c r="P32" s="273"/>
      <c r="Q32" s="273"/>
    </row>
    <row r="33" spans="2:18" x14ac:dyDescent="0.25">
      <c r="B33" s="269"/>
      <c r="C33" s="270"/>
      <c r="D33" s="270"/>
      <c r="E33" s="270"/>
      <c r="F33" s="270"/>
      <c r="G33" s="270"/>
      <c r="H33" s="270"/>
      <c r="I33" s="270"/>
      <c r="J33" s="270"/>
      <c r="K33" s="271"/>
      <c r="O33" s="133"/>
      <c r="P33" s="273"/>
      <c r="Q33" s="273"/>
    </row>
    <row r="34" spans="2:18" x14ac:dyDescent="0.25">
      <c r="B34" s="269"/>
      <c r="C34" s="270"/>
      <c r="D34" s="270"/>
      <c r="E34" s="270"/>
      <c r="F34" s="270"/>
      <c r="G34" s="270"/>
      <c r="H34" s="270"/>
      <c r="I34" s="270"/>
      <c r="J34" s="270"/>
      <c r="K34" s="271"/>
    </row>
    <row r="35" spans="2:18" x14ac:dyDescent="0.25">
      <c r="B35" s="269"/>
      <c r="C35" s="270"/>
      <c r="D35" s="270"/>
      <c r="E35" s="270"/>
      <c r="F35" s="270"/>
      <c r="G35" s="270"/>
      <c r="H35" s="270"/>
      <c r="I35" s="270"/>
      <c r="J35" s="270"/>
      <c r="K35" s="271"/>
    </row>
    <row r="36" spans="2:18" x14ac:dyDescent="0.25">
      <c r="B36" s="269"/>
      <c r="C36" s="270"/>
      <c r="D36" s="270"/>
      <c r="E36" s="270"/>
      <c r="F36" s="270"/>
      <c r="G36" s="270"/>
      <c r="H36" s="270"/>
      <c r="I36" s="270"/>
      <c r="J36" s="270"/>
      <c r="K36" s="271"/>
      <c r="P36" s="274"/>
    </row>
    <row r="37" spans="2:18" x14ac:dyDescent="0.25">
      <c r="B37" s="269"/>
      <c r="C37" s="270"/>
      <c r="D37" s="270"/>
      <c r="E37" s="270"/>
      <c r="F37" s="270"/>
      <c r="G37" s="270"/>
      <c r="H37" s="270"/>
      <c r="I37" s="270"/>
      <c r="J37" s="270"/>
      <c r="K37" s="271"/>
      <c r="P37" s="274"/>
    </row>
    <row r="38" spans="2:18" x14ac:dyDescent="0.25">
      <c r="B38" s="269"/>
      <c r="C38" s="270"/>
      <c r="D38" s="270"/>
      <c r="E38" s="270"/>
      <c r="F38" s="270"/>
      <c r="G38" s="270"/>
      <c r="H38" s="270"/>
      <c r="I38" s="270"/>
      <c r="J38" s="270"/>
      <c r="K38" s="271"/>
      <c r="P38" s="275"/>
      <c r="Q38" s="243"/>
      <c r="R38" s="243"/>
    </row>
    <row r="39" spans="2:18" x14ac:dyDescent="0.25">
      <c r="B39" s="269"/>
      <c r="C39" s="270"/>
      <c r="D39" s="270"/>
      <c r="E39" s="270"/>
      <c r="F39" s="270"/>
      <c r="G39" s="270"/>
      <c r="H39" s="270"/>
      <c r="I39" s="270"/>
      <c r="J39" s="270"/>
      <c r="K39" s="271"/>
      <c r="P39" s="275"/>
      <c r="Q39" s="243"/>
      <c r="R39" s="243"/>
    </row>
    <row r="40" spans="2:18" ht="13" thickBot="1" x14ac:dyDescent="0.3">
      <c r="B40" s="276"/>
      <c r="C40" s="277"/>
      <c r="D40" s="277"/>
      <c r="E40" s="277"/>
      <c r="F40" s="277"/>
      <c r="G40" s="277"/>
      <c r="H40" s="277"/>
      <c r="I40" s="277"/>
      <c r="J40" s="277"/>
      <c r="K40" s="278"/>
      <c r="P40" s="275"/>
      <c r="Q40" s="279"/>
      <c r="R40" s="243"/>
    </row>
    <row r="41" spans="2:18" ht="13" thickTop="1" x14ac:dyDescent="0.25">
      <c r="B41" s="425" t="s">
        <v>191</v>
      </c>
      <c r="C41" s="426"/>
      <c r="D41" s="426"/>
      <c r="E41" s="427"/>
      <c r="F41" s="280" t="s">
        <v>192</v>
      </c>
      <c r="G41" s="281"/>
      <c r="H41" s="282"/>
      <c r="I41" s="283"/>
      <c r="J41" s="284"/>
      <c r="K41" s="285"/>
    </row>
    <row r="42" spans="2:18" x14ac:dyDescent="0.25">
      <c r="B42" s="286" t="s">
        <v>193</v>
      </c>
      <c r="C42" s="287"/>
      <c r="D42" s="288"/>
      <c r="E42" s="289">
        <v>2.3340000000000001</v>
      </c>
      <c r="F42" s="290" t="s">
        <v>194</v>
      </c>
      <c r="G42" s="291">
        <v>2800</v>
      </c>
      <c r="H42" s="292" t="s">
        <v>195</v>
      </c>
      <c r="I42" s="292"/>
      <c r="J42" s="290"/>
      <c r="K42" s="293"/>
    </row>
    <row r="43" spans="2:18" x14ac:dyDescent="0.25">
      <c r="B43" s="294" t="s">
        <v>196</v>
      </c>
      <c r="C43" s="295"/>
      <c r="D43" s="296"/>
      <c r="E43" s="297">
        <v>2.2789999999999999</v>
      </c>
      <c r="F43" s="298"/>
      <c r="G43" s="290"/>
      <c r="H43" s="299"/>
      <c r="I43" s="290"/>
      <c r="J43" s="290"/>
      <c r="K43" s="293"/>
    </row>
    <row r="44" spans="2:18" x14ac:dyDescent="0.25">
      <c r="B44" s="298" t="s">
        <v>197</v>
      </c>
      <c r="C44" s="300"/>
      <c r="D44" s="301"/>
      <c r="E44" s="302">
        <f>ROUND(E43/E42*100,1)</f>
        <v>97.6</v>
      </c>
      <c r="F44" s="298" t="s">
        <v>198</v>
      </c>
      <c r="G44" s="303">
        <v>38253</v>
      </c>
      <c r="H44" s="290"/>
      <c r="I44" s="290"/>
      <c r="J44" s="290"/>
      <c r="K44" s="293"/>
    </row>
    <row r="45" spans="2:18" ht="13" thickBot="1" x14ac:dyDescent="0.3">
      <c r="B45" s="298" t="s">
        <v>199</v>
      </c>
      <c r="C45" s="304"/>
      <c r="D45" s="305"/>
      <c r="E45" s="306">
        <v>4.5</v>
      </c>
      <c r="F45" s="307"/>
      <c r="G45" s="308"/>
      <c r="H45" s="308"/>
      <c r="I45" s="308"/>
      <c r="J45" s="308"/>
      <c r="K45" s="309"/>
    </row>
    <row r="46" spans="2:18" ht="13" thickTop="1" x14ac:dyDescent="0.25">
      <c r="B46" s="298" t="s">
        <v>200</v>
      </c>
      <c r="C46" s="290"/>
      <c r="D46" s="310"/>
      <c r="E46" s="311">
        <v>147</v>
      </c>
      <c r="F46" s="312"/>
      <c r="G46" s="312"/>
      <c r="H46" s="312"/>
      <c r="I46" s="312"/>
      <c r="J46" s="312"/>
      <c r="K46" s="313"/>
    </row>
    <row r="47" spans="2:18" x14ac:dyDescent="0.25">
      <c r="B47" s="298"/>
      <c r="C47" s="290"/>
      <c r="D47" s="310"/>
      <c r="E47" s="314"/>
      <c r="F47" s="312" t="s">
        <v>201</v>
      </c>
      <c r="G47" s="312"/>
      <c r="H47" s="312"/>
      <c r="I47" s="312" t="s">
        <v>198</v>
      </c>
      <c r="J47" s="315"/>
      <c r="K47" s="313"/>
    </row>
    <row r="48" spans="2:18" ht="13" thickBot="1" x14ac:dyDescent="0.3">
      <c r="B48" s="316"/>
      <c r="C48" s="317"/>
      <c r="D48" s="318"/>
      <c r="E48" s="319"/>
      <c r="F48" s="317"/>
      <c r="G48" s="317"/>
      <c r="H48" s="317"/>
      <c r="I48" s="317"/>
      <c r="J48" s="317"/>
      <c r="K48" s="320"/>
    </row>
    <row r="49" ht="13" thickTop="1" x14ac:dyDescent="0.25"/>
  </sheetData>
  <mergeCells count="22">
    <mergeCell ref="G12:H12"/>
    <mergeCell ref="M17:M18"/>
    <mergeCell ref="E25:F25"/>
    <mergeCell ref="B41:E41"/>
    <mergeCell ref="AB6:AC6"/>
    <mergeCell ref="AB7:AC7"/>
    <mergeCell ref="AB8:AC8"/>
    <mergeCell ref="AB9:AC9"/>
    <mergeCell ref="AB10:AC10"/>
    <mergeCell ref="G11:K11"/>
    <mergeCell ref="AB5:AC5"/>
    <mergeCell ref="B1:K1"/>
    <mergeCell ref="V1:W1"/>
    <mergeCell ref="X1:Y1"/>
    <mergeCell ref="Z1:AA1"/>
    <mergeCell ref="AB1:AC1"/>
    <mergeCell ref="AB2:AC2"/>
    <mergeCell ref="B3:K3"/>
    <mergeCell ref="AB3:AC3"/>
    <mergeCell ref="B4:F4"/>
    <mergeCell ref="G4:K4"/>
    <mergeCell ref="AB4:AC4"/>
  </mergeCells>
  <printOptions horizontalCentered="1" verticalCentered="1"/>
  <pageMargins left="0.51181102362204722" right="0.15748031496062992" top="0.9055118110236221" bottom="0.35433070866141736" header="0" footer="0"/>
  <pageSetup paperSize="9" orientation="portrait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475F-9F85-4553-A73C-A7C0B7A56A86}">
  <sheetPr>
    <tabColor rgb="FF92D050"/>
    <pageSetUpPr fitToPage="1"/>
  </sheetPr>
  <dimension ref="A1:S199"/>
  <sheetViews>
    <sheetView tabSelected="1" view="pageBreakPreview" zoomScale="70" zoomScaleNormal="70" zoomScaleSheetLayoutView="70" workbookViewId="0">
      <pane ySplit="12" topLeftCell="A13" activePane="bottomLeft" state="frozen"/>
      <selection activeCell="A167" sqref="A167:C167"/>
      <selection pane="bottomLeft" activeCell="E183" sqref="E183"/>
    </sheetView>
  </sheetViews>
  <sheetFormatPr defaultColWidth="9.1796875" defaultRowHeight="12.5" x14ac:dyDescent="0.25"/>
  <cols>
    <col min="1" max="1" width="2.36328125" style="325" customWidth="1"/>
    <col min="2" max="2" width="11.453125" style="1" customWidth="1"/>
    <col min="3" max="4" width="13.81640625" style="1" customWidth="1"/>
    <col min="5" max="5" width="14" style="1" customWidth="1"/>
    <col min="6" max="6" width="18.453125" style="1" customWidth="1"/>
    <col min="7" max="7" width="14.81640625" style="1" customWidth="1"/>
    <col min="8" max="9" width="15.453125" style="1" customWidth="1"/>
    <col min="10" max="10" width="14" style="1" customWidth="1"/>
    <col min="11" max="11" width="14.26953125" style="1" customWidth="1"/>
    <col min="12" max="12" width="13.453125" style="1" customWidth="1"/>
    <col min="13" max="13" width="24.453125" style="1" customWidth="1"/>
    <col min="14" max="14" width="20.08984375" style="1" customWidth="1"/>
    <col min="15" max="15" width="2.26953125" style="325" customWidth="1"/>
    <col min="16" max="18" width="9.1796875" style="1"/>
    <col min="19" max="19" width="15.453125" style="2" customWidth="1"/>
    <col min="20" max="20" width="13" style="1" customWidth="1"/>
    <col min="21" max="16384" width="9.1796875" style="1"/>
  </cols>
  <sheetData>
    <row r="1" spans="1:19" ht="66" customHeight="1" x14ac:dyDescent="0.3">
      <c r="B1" s="388" t="s">
        <v>223</v>
      </c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</row>
    <row r="2" spans="1:19" ht="12.5" customHeight="1" x14ac:dyDescent="0.25">
      <c r="B2" s="499"/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</row>
    <row r="3" spans="1:19" ht="30" customHeight="1" x14ac:dyDescent="0.25">
      <c r="A3" s="500"/>
      <c r="B3" s="389" t="s">
        <v>225</v>
      </c>
      <c r="C3" s="389"/>
      <c r="D3" s="389"/>
      <c r="E3" s="389"/>
      <c r="F3" s="389"/>
      <c r="G3" s="389"/>
      <c r="H3" s="389"/>
      <c r="I3" s="390" t="s">
        <v>224</v>
      </c>
      <c r="J3" s="390"/>
      <c r="K3" s="390"/>
      <c r="L3" s="390"/>
      <c r="M3" s="390"/>
      <c r="N3" s="390"/>
      <c r="O3" s="500"/>
    </row>
    <row r="4" spans="1:19" ht="30" customHeight="1" x14ac:dyDescent="0.25">
      <c r="A4" s="500"/>
      <c r="B4" s="390" t="s">
        <v>229</v>
      </c>
      <c r="C4" s="390"/>
      <c r="D4" s="390"/>
      <c r="E4" s="390"/>
      <c r="F4" s="390"/>
      <c r="G4" s="390"/>
      <c r="H4" s="390"/>
      <c r="I4" s="390" t="s">
        <v>227</v>
      </c>
      <c r="J4" s="390"/>
      <c r="K4" s="390"/>
      <c r="L4" s="390"/>
      <c r="M4" s="390"/>
      <c r="N4" s="390"/>
      <c r="O4" s="500"/>
    </row>
    <row r="5" spans="1:19" ht="31.5" customHeight="1" x14ac:dyDescent="0.25">
      <c r="A5" s="500"/>
      <c r="B5" s="391" t="s">
        <v>226</v>
      </c>
      <c r="C5" s="391"/>
      <c r="D5" s="391"/>
      <c r="E5" s="391"/>
      <c r="F5" s="391"/>
      <c r="G5" s="391"/>
      <c r="H5" s="391"/>
      <c r="I5" s="391" t="s">
        <v>228</v>
      </c>
      <c r="J5" s="391"/>
      <c r="K5" s="391"/>
      <c r="L5" s="391"/>
      <c r="M5" s="391"/>
      <c r="N5" s="391"/>
      <c r="O5" s="500"/>
    </row>
    <row r="6" spans="1:19" ht="15" customHeight="1" x14ac:dyDescent="0.25"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</row>
    <row r="7" spans="1:19" ht="31.5" customHeight="1" x14ac:dyDescent="0.25">
      <c r="B7" s="387" t="s">
        <v>97</v>
      </c>
      <c r="C7" s="387"/>
      <c r="D7" s="387"/>
      <c r="E7" s="387"/>
      <c r="F7" s="387"/>
      <c r="G7" s="387"/>
      <c r="H7" s="387"/>
      <c r="I7" s="387"/>
      <c r="J7" s="387"/>
      <c r="K7" s="387"/>
      <c r="L7" s="387"/>
      <c r="M7" s="387"/>
      <c r="N7" s="387"/>
    </row>
    <row r="8" spans="1:19" ht="22.5" customHeight="1" x14ac:dyDescent="0.25">
      <c r="B8" s="387"/>
      <c r="C8" s="387"/>
      <c r="D8" s="387"/>
      <c r="E8" s="387"/>
      <c r="F8" s="387"/>
      <c r="G8" s="387"/>
      <c r="H8" s="387"/>
      <c r="I8" s="387"/>
      <c r="J8" s="387"/>
      <c r="K8" s="387"/>
      <c r="L8" s="387"/>
      <c r="M8" s="387"/>
      <c r="N8" s="387"/>
    </row>
    <row r="9" spans="1:19" ht="14.25" customHeight="1" thickBot="1" x14ac:dyDescent="0.3">
      <c r="B9" s="368" t="s">
        <v>211</v>
      </c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8"/>
    </row>
    <row r="10" spans="1:19" ht="31.5" customHeight="1" x14ac:dyDescent="0.25">
      <c r="B10" s="369" t="s">
        <v>2</v>
      </c>
      <c r="C10" s="372" t="s">
        <v>3</v>
      </c>
      <c r="D10" s="375" t="s">
        <v>19</v>
      </c>
      <c r="E10" s="378" t="s">
        <v>203</v>
      </c>
      <c r="F10" s="381" t="s">
        <v>204</v>
      </c>
      <c r="G10" s="340" t="s">
        <v>208</v>
      </c>
      <c r="H10" s="340" t="s">
        <v>210</v>
      </c>
      <c r="I10" s="340" t="s">
        <v>205</v>
      </c>
      <c r="J10" s="340" t="s">
        <v>206</v>
      </c>
      <c r="K10" s="340" t="s">
        <v>207</v>
      </c>
      <c r="L10" s="340" t="s">
        <v>209</v>
      </c>
      <c r="M10" s="381" t="s">
        <v>20</v>
      </c>
      <c r="N10" s="384" t="s">
        <v>6</v>
      </c>
    </row>
    <row r="11" spans="1:19" ht="16.5" customHeight="1" x14ac:dyDescent="0.25">
      <c r="B11" s="370"/>
      <c r="C11" s="373"/>
      <c r="D11" s="376"/>
      <c r="E11" s="379"/>
      <c r="F11" s="382"/>
      <c r="G11" s="341"/>
      <c r="H11" s="341"/>
      <c r="I11" s="341"/>
      <c r="J11" s="341"/>
      <c r="K11" s="341"/>
      <c r="L11" s="341"/>
      <c r="M11" s="382"/>
      <c r="N11" s="385"/>
    </row>
    <row r="12" spans="1:19" ht="16.5" customHeight="1" thickBot="1" x14ac:dyDescent="0.3">
      <c r="B12" s="371"/>
      <c r="C12" s="374"/>
      <c r="D12" s="377"/>
      <c r="E12" s="380"/>
      <c r="F12" s="383"/>
      <c r="G12" s="342"/>
      <c r="H12" s="342"/>
      <c r="I12" s="342"/>
      <c r="J12" s="342"/>
      <c r="K12" s="342"/>
      <c r="L12" s="342"/>
      <c r="M12" s="383"/>
      <c r="N12" s="386"/>
    </row>
    <row r="13" spans="1:19" ht="30.75" customHeight="1" thickTop="1" x14ac:dyDescent="0.25">
      <c r="B13" s="69"/>
      <c r="C13" s="70"/>
      <c r="D13" s="321"/>
      <c r="E13" s="75"/>
      <c r="F13" s="76"/>
      <c r="G13" s="77"/>
      <c r="H13" s="77"/>
      <c r="I13" s="77"/>
      <c r="J13" s="78"/>
      <c r="K13" s="78"/>
      <c r="L13" s="77"/>
      <c r="M13" s="79"/>
      <c r="N13" s="80"/>
      <c r="O13" s="498"/>
      <c r="S13" s="1"/>
    </row>
    <row r="14" spans="1:19" ht="30.75" customHeight="1" x14ac:dyDescent="0.25">
      <c r="B14" s="69"/>
      <c r="C14" s="70"/>
      <c r="D14" s="321"/>
      <c r="E14" s="75"/>
      <c r="F14" s="76"/>
      <c r="G14" s="77"/>
      <c r="H14" s="77"/>
      <c r="I14" s="77"/>
      <c r="J14" s="77"/>
      <c r="K14" s="77"/>
      <c r="L14" s="77"/>
      <c r="M14" s="79"/>
      <c r="N14" s="80"/>
      <c r="O14" s="498"/>
      <c r="S14" s="1"/>
    </row>
    <row r="15" spans="1:19" ht="30.75" customHeight="1" x14ac:dyDescent="0.25">
      <c r="B15" s="69"/>
      <c r="C15" s="70"/>
      <c r="D15" s="321"/>
      <c r="E15" s="75"/>
      <c r="F15" s="76"/>
      <c r="G15" s="77"/>
      <c r="H15" s="77"/>
      <c r="I15" s="77"/>
      <c r="J15" s="77"/>
      <c r="K15" s="77"/>
      <c r="L15" s="77"/>
      <c r="M15" s="79"/>
      <c r="N15" s="80"/>
      <c r="O15" s="498"/>
      <c r="S15" s="1"/>
    </row>
    <row r="16" spans="1:19" ht="30.75" customHeight="1" x14ac:dyDescent="0.25">
      <c r="B16" s="69"/>
      <c r="C16" s="70"/>
      <c r="D16" s="321"/>
      <c r="E16" s="75"/>
      <c r="F16" s="76"/>
      <c r="G16" s="77"/>
      <c r="H16" s="77"/>
      <c r="I16" s="77"/>
      <c r="J16" s="77"/>
      <c r="K16" s="77"/>
      <c r="L16" s="77"/>
      <c r="M16" s="79"/>
      <c r="N16" s="80"/>
      <c r="O16" s="498"/>
      <c r="S16" s="1"/>
    </row>
    <row r="17" spans="2:19" ht="30.75" customHeight="1" x14ac:dyDescent="0.25">
      <c r="B17" s="69"/>
      <c r="C17" s="70"/>
      <c r="D17" s="321"/>
      <c r="E17" s="75"/>
      <c r="F17" s="76"/>
      <c r="G17" s="77"/>
      <c r="H17" s="77"/>
      <c r="I17" s="77"/>
      <c r="J17" s="78"/>
      <c r="K17" s="78"/>
      <c r="L17" s="78"/>
      <c r="M17" s="79"/>
      <c r="N17" s="80"/>
      <c r="O17" s="498"/>
      <c r="S17" s="1"/>
    </row>
    <row r="18" spans="2:19" ht="30.75" customHeight="1" x14ac:dyDescent="0.25">
      <c r="B18" s="69"/>
      <c r="C18" s="70"/>
      <c r="D18" s="321"/>
      <c r="E18" s="75"/>
      <c r="F18" s="76"/>
      <c r="G18" s="77"/>
      <c r="H18" s="77"/>
      <c r="I18" s="77"/>
      <c r="J18" s="78"/>
      <c r="K18" s="78"/>
      <c r="L18" s="78"/>
      <c r="M18" s="79"/>
      <c r="N18" s="80"/>
      <c r="O18" s="498"/>
      <c r="S18" s="1"/>
    </row>
    <row r="19" spans="2:19" ht="30.75" customHeight="1" x14ac:dyDescent="0.25">
      <c r="B19" s="69"/>
      <c r="C19" s="70"/>
      <c r="D19" s="321"/>
      <c r="E19" s="75"/>
      <c r="F19" s="76"/>
      <c r="G19" s="77"/>
      <c r="H19" s="77"/>
      <c r="I19" s="77"/>
      <c r="J19" s="77"/>
      <c r="K19" s="77"/>
      <c r="L19" s="77"/>
      <c r="M19" s="79"/>
      <c r="N19" s="80"/>
      <c r="O19" s="498"/>
      <c r="S19" s="1"/>
    </row>
    <row r="20" spans="2:19" ht="30.75" customHeight="1" x14ac:dyDescent="0.25">
      <c r="B20" s="69"/>
      <c r="C20" s="70"/>
      <c r="D20" s="321"/>
      <c r="E20" s="75"/>
      <c r="F20" s="76"/>
      <c r="G20" s="77"/>
      <c r="H20" s="77"/>
      <c r="I20" s="77"/>
      <c r="J20" s="77"/>
      <c r="K20" s="77"/>
      <c r="L20" s="77"/>
      <c r="M20" s="79"/>
      <c r="N20" s="80"/>
      <c r="O20" s="498"/>
      <c r="S20" s="1"/>
    </row>
    <row r="21" spans="2:19" ht="30.75" customHeight="1" x14ac:dyDescent="0.25">
      <c r="B21" s="69"/>
      <c r="C21" s="70"/>
      <c r="D21" s="321"/>
      <c r="E21" s="75"/>
      <c r="F21" s="76"/>
      <c r="G21" s="77"/>
      <c r="H21" s="77"/>
      <c r="I21" s="77"/>
      <c r="J21" s="78"/>
      <c r="K21" s="78"/>
      <c r="L21" s="77"/>
      <c r="M21" s="79"/>
      <c r="N21" s="80"/>
      <c r="O21" s="498"/>
      <c r="S21" s="1"/>
    </row>
    <row r="22" spans="2:19" ht="30.75" customHeight="1" x14ac:dyDescent="0.25">
      <c r="B22" s="69"/>
      <c r="C22" s="70"/>
      <c r="D22" s="321"/>
      <c r="E22" s="75"/>
      <c r="F22" s="76"/>
      <c r="G22" s="77"/>
      <c r="H22" s="77"/>
      <c r="I22" s="77"/>
      <c r="J22" s="77"/>
      <c r="K22" s="77"/>
      <c r="L22" s="77"/>
      <c r="M22" s="79"/>
      <c r="N22" s="80"/>
      <c r="O22" s="498"/>
      <c r="S22" s="1"/>
    </row>
    <row r="23" spans="2:19" ht="30.75" customHeight="1" x14ac:dyDescent="0.25">
      <c r="B23" s="69"/>
      <c r="C23" s="70"/>
      <c r="D23" s="321"/>
      <c r="E23" s="75"/>
      <c r="F23" s="76"/>
      <c r="G23" s="77"/>
      <c r="H23" s="77"/>
      <c r="I23" s="77"/>
      <c r="J23" s="77"/>
      <c r="K23" s="77"/>
      <c r="L23" s="77"/>
      <c r="M23" s="79"/>
      <c r="N23" s="80"/>
      <c r="O23" s="498"/>
      <c r="S23" s="1"/>
    </row>
    <row r="24" spans="2:19" ht="30.75" customHeight="1" x14ac:dyDescent="0.25">
      <c r="B24" s="69"/>
      <c r="C24" s="70"/>
      <c r="D24" s="321"/>
      <c r="E24" s="75"/>
      <c r="F24" s="76"/>
      <c r="G24" s="77"/>
      <c r="H24" s="77"/>
      <c r="I24" s="77"/>
      <c r="J24" s="77"/>
      <c r="K24" s="77"/>
      <c r="L24" s="77"/>
      <c r="M24" s="79"/>
      <c r="N24" s="80"/>
      <c r="O24" s="498"/>
      <c r="S24" s="1"/>
    </row>
    <row r="25" spans="2:19" ht="30.75" customHeight="1" x14ac:dyDescent="0.25">
      <c r="B25" s="69"/>
      <c r="C25" s="70"/>
      <c r="D25" s="321"/>
      <c r="E25" s="75"/>
      <c r="F25" s="76"/>
      <c r="G25" s="77"/>
      <c r="H25" s="77"/>
      <c r="I25" s="77"/>
      <c r="J25" s="77"/>
      <c r="K25" s="77"/>
      <c r="L25" s="77"/>
      <c r="M25" s="79"/>
      <c r="N25" s="80"/>
      <c r="O25" s="498"/>
      <c r="S25" s="1"/>
    </row>
    <row r="26" spans="2:19" ht="30.75" customHeight="1" x14ac:dyDescent="0.25">
      <c r="B26" s="69"/>
      <c r="C26" s="70"/>
      <c r="D26" s="321"/>
      <c r="E26" s="75"/>
      <c r="F26" s="76"/>
      <c r="G26" s="77"/>
      <c r="H26" s="77"/>
      <c r="I26" s="77"/>
      <c r="J26" s="77"/>
      <c r="K26" s="77"/>
      <c r="L26" s="77"/>
      <c r="M26" s="79"/>
      <c r="N26" s="80"/>
      <c r="O26" s="498"/>
      <c r="S26" s="1"/>
    </row>
    <row r="27" spans="2:19" ht="30.75" customHeight="1" x14ac:dyDescent="0.25">
      <c r="B27" s="69"/>
      <c r="C27" s="70"/>
      <c r="D27" s="321"/>
      <c r="E27" s="75"/>
      <c r="F27" s="76"/>
      <c r="G27" s="77"/>
      <c r="H27" s="77"/>
      <c r="I27" s="77"/>
      <c r="J27" s="78"/>
      <c r="K27" s="78"/>
      <c r="L27" s="77"/>
      <c r="M27" s="79"/>
      <c r="N27" s="80"/>
      <c r="O27" s="498"/>
      <c r="S27" s="1"/>
    </row>
    <row r="28" spans="2:19" ht="30.75" customHeight="1" x14ac:dyDescent="0.25">
      <c r="B28" s="69"/>
      <c r="C28" s="70"/>
      <c r="D28" s="321"/>
      <c r="E28" s="75"/>
      <c r="F28" s="76"/>
      <c r="G28" s="77"/>
      <c r="H28" s="77"/>
      <c r="I28" s="77"/>
      <c r="J28" s="77"/>
      <c r="K28" s="77"/>
      <c r="L28" s="77"/>
      <c r="M28" s="79"/>
      <c r="N28" s="80"/>
      <c r="O28" s="498"/>
      <c r="S28" s="1"/>
    </row>
    <row r="29" spans="2:19" ht="30.75" customHeight="1" x14ac:dyDescent="0.25">
      <c r="B29" s="69"/>
      <c r="C29" s="70"/>
      <c r="D29" s="321"/>
      <c r="E29" s="75"/>
      <c r="F29" s="76"/>
      <c r="G29" s="77"/>
      <c r="H29" s="77"/>
      <c r="I29" s="77"/>
      <c r="J29" s="77"/>
      <c r="K29" s="77"/>
      <c r="L29" s="77"/>
      <c r="M29" s="79"/>
      <c r="N29" s="80"/>
      <c r="O29" s="498"/>
      <c r="S29" s="1"/>
    </row>
    <row r="30" spans="2:19" ht="30.75" customHeight="1" x14ac:dyDescent="0.25">
      <c r="B30" s="69"/>
      <c r="C30" s="70"/>
      <c r="D30" s="321"/>
      <c r="E30" s="75"/>
      <c r="F30" s="76"/>
      <c r="G30" s="77"/>
      <c r="H30" s="77"/>
      <c r="I30" s="77"/>
      <c r="J30" s="77"/>
      <c r="K30" s="77"/>
      <c r="L30" s="77"/>
      <c r="M30" s="79"/>
      <c r="N30" s="80"/>
      <c r="O30" s="498"/>
      <c r="S30" s="1"/>
    </row>
    <row r="31" spans="2:19" ht="30.75" customHeight="1" x14ac:dyDescent="0.25">
      <c r="B31" s="69"/>
      <c r="C31" s="70"/>
      <c r="D31" s="321"/>
      <c r="E31" s="75"/>
      <c r="F31" s="76"/>
      <c r="G31" s="77"/>
      <c r="H31" s="77"/>
      <c r="I31" s="77"/>
      <c r="J31" s="78"/>
      <c r="K31" s="78"/>
      <c r="L31" s="77"/>
      <c r="M31" s="79"/>
      <c r="N31" s="80"/>
      <c r="O31" s="498"/>
      <c r="S31" s="1"/>
    </row>
    <row r="32" spans="2:19" ht="30.75" customHeight="1" x14ac:dyDescent="0.25">
      <c r="B32" s="69"/>
      <c r="C32" s="70"/>
      <c r="D32" s="321"/>
      <c r="E32" s="75"/>
      <c r="F32" s="76"/>
      <c r="G32" s="77"/>
      <c r="H32" s="77"/>
      <c r="I32" s="77"/>
      <c r="J32" s="77"/>
      <c r="K32" s="77"/>
      <c r="L32" s="77"/>
      <c r="M32" s="79"/>
      <c r="N32" s="80"/>
      <c r="O32" s="498"/>
      <c r="S32" s="1"/>
    </row>
    <row r="33" spans="2:19" ht="30.75" customHeight="1" x14ac:dyDescent="0.25">
      <c r="B33" s="69"/>
      <c r="C33" s="70"/>
      <c r="D33" s="321"/>
      <c r="E33" s="75"/>
      <c r="F33" s="76"/>
      <c r="G33" s="77"/>
      <c r="H33" s="77"/>
      <c r="I33" s="77"/>
      <c r="J33" s="77"/>
      <c r="K33" s="77"/>
      <c r="L33" s="77"/>
      <c r="M33" s="79"/>
      <c r="N33" s="80"/>
      <c r="O33" s="498"/>
      <c r="S33" s="1"/>
    </row>
    <row r="34" spans="2:19" ht="30.75" customHeight="1" x14ac:dyDescent="0.25">
      <c r="B34" s="69"/>
      <c r="C34" s="70"/>
      <c r="D34" s="321"/>
      <c r="E34" s="75"/>
      <c r="F34" s="76"/>
      <c r="G34" s="77"/>
      <c r="H34" s="77"/>
      <c r="I34" s="77"/>
      <c r="J34" s="78"/>
      <c r="K34" s="78"/>
      <c r="L34" s="77"/>
      <c r="M34" s="79"/>
      <c r="N34" s="80"/>
      <c r="O34" s="498"/>
      <c r="S34" s="1"/>
    </row>
    <row r="35" spans="2:19" ht="30.75" customHeight="1" x14ac:dyDescent="0.25">
      <c r="B35" s="69"/>
      <c r="C35" s="70"/>
      <c r="D35" s="321"/>
      <c r="E35" s="75"/>
      <c r="F35" s="76"/>
      <c r="G35" s="77"/>
      <c r="H35" s="77"/>
      <c r="I35" s="77"/>
      <c r="J35" s="77"/>
      <c r="K35" s="77"/>
      <c r="L35" s="77"/>
      <c r="M35" s="79"/>
      <c r="N35" s="80"/>
      <c r="O35" s="498"/>
      <c r="S35" s="1"/>
    </row>
    <row r="36" spans="2:19" ht="30.75" customHeight="1" x14ac:dyDescent="0.25">
      <c r="B36" s="69"/>
      <c r="C36" s="70"/>
      <c r="D36" s="321"/>
      <c r="E36" s="75"/>
      <c r="F36" s="76"/>
      <c r="G36" s="77"/>
      <c r="H36" s="77"/>
      <c r="I36" s="77"/>
      <c r="J36" s="77"/>
      <c r="K36" s="77"/>
      <c r="L36" s="77"/>
      <c r="M36" s="79"/>
      <c r="N36" s="80"/>
      <c r="O36" s="498"/>
      <c r="S36" s="1"/>
    </row>
    <row r="37" spans="2:19" ht="30.75" customHeight="1" x14ac:dyDescent="0.25">
      <c r="B37" s="69"/>
      <c r="C37" s="70"/>
      <c r="D37" s="321"/>
      <c r="E37" s="75"/>
      <c r="F37" s="76"/>
      <c r="G37" s="77"/>
      <c r="H37" s="77"/>
      <c r="I37" s="77"/>
      <c r="J37" s="78"/>
      <c r="K37" s="78"/>
      <c r="L37" s="77"/>
      <c r="M37" s="79"/>
      <c r="N37" s="80"/>
      <c r="O37" s="498"/>
      <c r="S37" s="1"/>
    </row>
    <row r="38" spans="2:19" ht="30.75" customHeight="1" x14ac:dyDescent="0.25">
      <c r="B38" s="69"/>
      <c r="C38" s="70"/>
      <c r="D38" s="321"/>
      <c r="E38" s="75"/>
      <c r="F38" s="76"/>
      <c r="G38" s="77"/>
      <c r="H38" s="77"/>
      <c r="I38" s="77"/>
      <c r="J38" s="77"/>
      <c r="K38" s="77"/>
      <c r="L38" s="77"/>
      <c r="M38" s="79"/>
      <c r="N38" s="80"/>
      <c r="O38" s="498"/>
      <c r="S38" s="1"/>
    </row>
    <row r="39" spans="2:19" ht="30.75" customHeight="1" x14ac:dyDescent="0.25">
      <c r="B39" s="69"/>
      <c r="C39" s="70"/>
      <c r="D39" s="321"/>
      <c r="E39" s="75"/>
      <c r="F39" s="76"/>
      <c r="G39" s="77"/>
      <c r="H39" s="77"/>
      <c r="I39" s="77"/>
      <c r="J39" s="77"/>
      <c r="K39" s="77"/>
      <c r="L39" s="77"/>
      <c r="M39" s="79"/>
      <c r="N39" s="80"/>
      <c r="O39" s="498"/>
      <c r="S39" s="1"/>
    </row>
    <row r="40" spans="2:19" ht="30.75" customHeight="1" x14ac:dyDescent="0.25">
      <c r="B40" s="69"/>
      <c r="C40" s="70"/>
      <c r="D40" s="321"/>
      <c r="E40" s="75"/>
      <c r="F40" s="76"/>
      <c r="G40" s="77"/>
      <c r="H40" s="77"/>
      <c r="I40" s="77"/>
      <c r="J40" s="77"/>
      <c r="K40" s="77"/>
      <c r="L40" s="77"/>
      <c r="M40" s="79"/>
      <c r="N40" s="80"/>
      <c r="O40" s="498"/>
      <c r="S40" s="1"/>
    </row>
    <row r="41" spans="2:19" ht="30.75" customHeight="1" x14ac:dyDescent="0.25">
      <c r="B41" s="69"/>
      <c r="C41" s="70"/>
      <c r="D41" s="321"/>
      <c r="E41" s="75"/>
      <c r="F41" s="76"/>
      <c r="G41" s="77"/>
      <c r="H41" s="77"/>
      <c r="I41" s="77"/>
      <c r="J41" s="77"/>
      <c r="K41" s="77"/>
      <c r="L41" s="77"/>
      <c r="M41" s="79"/>
      <c r="N41" s="80"/>
      <c r="O41" s="498"/>
      <c r="S41" s="1"/>
    </row>
    <row r="42" spans="2:19" ht="30.75" customHeight="1" x14ac:dyDescent="0.25">
      <c r="B42" s="69"/>
      <c r="C42" s="70"/>
      <c r="D42" s="321"/>
      <c r="E42" s="75"/>
      <c r="F42" s="76"/>
      <c r="G42" s="77"/>
      <c r="H42" s="77"/>
      <c r="I42" s="77"/>
      <c r="J42" s="77"/>
      <c r="K42" s="77"/>
      <c r="L42" s="77"/>
      <c r="M42" s="79"/>
      <c r="N42" s="80"/>
      <c r="O42" s="498"/>
      <c r="S42" s="1"/>
    </row>
    <row r="43" spans="2:19" ht="30.75" customHeight="1" x14ac:dyDescent="0.25">
      <c r="B43" s="69"/>
      <c r="C43" s="70"/>
      <c r="D43" s="321"/>
      <c r="E43" s="75"/>
      <c r="F43" s="76"/>
      <c r="G43" s="77"/>
      <c r="H43" s="77"/>
      <c r="I43" s="77"/>
      <c r="J43" s="77"/>
      <c r="K43" s="77"/>
      <c r="L43" s="77"/>
      <c r="M43" s="79"/>
      <c r="N43" s="80"/>
      <c r="O43" s="498"/>
      <c r="S43" s="1"/>
    </row>
    <row r="44" spans="2:19" ht="30.75" customHeight="1" x14ac:dyDescent="0.25">
      <c r="B44" s="69"/>
      <c r="C44" s="70"/>
      <c r="D44" s="321"/>
      <c r="E44" s="75"/>
      <c r="F44" s="76"/>
      <c r="G44" s="77"/>
      <c r="H44" s="77"/>
      <c r="I44" s="77"/>
      <c r="J44" s="77"/>
      <c r="K44" s="77"/>
      <c r="L44" s="77"/>
      <c r="M44" s="79"/>
      <c r="N44" s="80"/>
      <c r="O44" s="498"/>
      <c r="S44" s="1"/>
    </row>
    <row r="45" spans="2:19" ht="30.75" customHeight="1" x14ac:dyDescent="0.25">
      <c r="B45" s="69"/>
      <c r="C45" s="70"/>
      <c r="D45" s="321"/>
      <c r="E45" s="75"/>
      <c r="F45" s="76"/>
      <c r="G45" s="77"/>
      <c r="H45" s="77"/>
      <c r="I45" s="77"/>
      <c r="J45" s="77"/>
      <c r="K45" s="77"/>
      <c r="L45" s="77"/>
      <c r="M45" s="79"/>
      <c r="N45" s="80"/>
      <c r="O45" s="498"/>
      <c r="S45" s="1"/>
    </row>
    <row r="46" spans="2:19" ht="30.75" customHeight="1" x14ac:dyDescent="0.25">
      <c r="B46" s="69"/>
      <c r="C46" s="70"/>
      <c r="D46" s="321"/>
      <c r="E46" s="75"/>
      <c r="F46" s="76"/>
      <c r="G46" s="77"/>
      <c r="H46" s="77"/>
      <c r="I46" s="77"/>
      <c r="J46" s="77"/>
      <c r="K46" s="77"/>
      <c r="L46" s="77"/>
      <c r="M46" s="79"/>
      <c r="N46" s="80"/>
      <c r="O46" s="498"/>
      <c r="S46" s="1"/>
    </row>
    <row r="47" spans="2:19" ht="30.75" customHeight="1" x14ac:dyDescent="0.25">
      <c r="B47" s="69"/>
      <c r="C47" s="70"/>
      <c r="D47" s="321"/>
      <c r="E47" s="75"/>
      <c r="F47" s="76"/>
      <c r="G47" s="77"/>
      <c r="H47" s="77"/>
      <c r="I47" s="77"/>
      <c r="J47" s="77"/>
      <c r="K47" s="77"/>
      <c r="L47" s="77"/>
      <c r="M47" s="79"/>
      <c r="N47" s="80"/>
      <c r="O47" s="498"/>
      <c r="S47" s="1"/>
    </row>
    <row r="48" spans="2:19" ht="30.75" customHeight="1" x14ac:dyDescent="0.25">
      <c r="B48" s="69"/>
      <c r="C48" s="70"/>
      <c r="D48" s="321"/>
      <c r="E48" s="75"/>
      <c r="F48" s="76"/>
      <c r="G48" s="77"/>
      <c r="H48" s="77"/>
      <c r="I48" s="77"/>
      <c r="J48" s="77"/>
      <c r="K48" s="77"/>
      <c r="L48" s="77"/>
      <c r="M48" s="79"/>
      <c r="N48" s="80"/>
      <c r="O48" s="498"/>
      <c r="S48" s="1"/>
    </row>
    <row r="49" spans="2:19" ht="30.75" customHeight="1" x14ac:dyDescent="0.25">
      <c r="B49" s="69"/>
      <c r="C49" s="70"/>
      <c r="D49" s="321"/>
      <c r="E49" s="75" t="str">
        <f>IF(C49="","",IF(#REF!&gt;5,#REF!,IF(#REF!&gt;5,#REF!,IF(#REF!&gt;5,#REF!,IF(#REF!&gt;5,#REF!,IF(#REF!&gt;5,#REF!,IF(#REF!&gt;5,#REF!,IF(#REF!&gt;5,#REF!))))))))</f>
        <v/>
      </c>
      <c r="F49" s="76" t="str">
        <f>IF(C49="","",(#REF!+#REF!+#REF!+#REF!+#REF!+#REF!+#REF!)/100)</f>
        <v/>
      </c>
      <c r="G49" s="77"/>
      <c r="H49" s="77"/>
      <c r="I49" s="77"/>
      <c r="J49" s="77"/>
      <c r="K49" s="77"/>
      <c r="L49" s="77"/>
      <c r="M49" s="79"/>
      <c r="N49" s="80"/>
      <c r="O49" s="498"/>
      <c r="S49" s="1"/>
    </row>
    <row r="50" spans="2:19" ht="30.75" customHeight="1" x14ac:dyDescent="0.25">
      <c r="B50" s="69"/>
      <c r="C50" s="70"/>
      <c r="D50" s="321"/>
      <c r="E50" s="75" t="str">
        <f>IF(C50="","",IF(#REF!&gt;5,#REF!,IF(#REF!&gt;5,#REF!,IF(#REF!&gt;5,#REF!,IF(#REF!&gt;5,#REF!,IF(#REF!&gt;5,#REF!,IF(#REF!&gt;5,#REF!,IF(#REF!&gt;5,#REF!))))))))</f>
        <v/>
      </c>
      <c r="F50" s="76" t="str">
        <f>IF(C50="","",(#REF!+#REF!+#REF!+#REF!+#REF!+#REF!+#REF!)/100)</f>
        <v/>
      </c>
      <c r="G50" s="77"/>
      <c r="H50" s="77"/>
      <c r="I50" s="77"/>
      <c r="J50" s="77"/>
      <c r="K50" s="77"/>
      <c r="L50" s="77"/>
      <c r="M50" s="79"/>
      <c r="N50" s="80"/>
      <c r="O50" s="498"/>
      <c r="S50" s="1"/>
    </row>
    <row r="51" spans="2:19" ht="30.75" customHeight="1" x14ac:dyDescent="0.25">
      <c r="B51" s="69"/>
      <c r="C51" s="70"/>
      <c r="D51" s="321"/>
      <c r="E51" s="75" t="str">
        <f>IF(C51="","",IF(#REF!&gt;5,#REF!,IF(#REF!&gt;5,#REF!,IF(#REF!&gt;5,#REF!,IF(#REF!&gt;5,#REF!,IF(#REF!&gt;5,#REF!,IF(#REF!&gt;5,#REF!,IF(#REF!&gt;5,#REF!))))))))</f>
        <v/>
      </c>
      <c r="F51" s="76" t="str">
        <f>IF(C51="","",(#REF!+#REF!+#REF!+#REF!+#REF!+#REF!+#REF!)/100)</f>
        <v/>
      </c>
      <c r="G51" s="77"/>
      <c r="H51" s="77"/>
      <c r="I51" s="77"/>
      <c r="J51" s="77"/>
      <c r="K51" s="77"/>
      <c r="L51" s="77"/>
      <c r="M51" s="79"/>
      <c r="N51" s="80"/>
      <c r="O51" s="498"/>
      <c r="S51" s="1"/>
    </row>
    <row r="52" spans="2:19" ht="30.75" customHeight="1" x14ac:dyDescent="0.25">
      <c r="B52" s="69"/>
      <c r="C52" s="70"/>
      <c r="D52" s="321"/>
      <c r="E52" s="75" t="str">
        <f>IF(C52="","",IF(#REF!&gt;5,#REF!,IF(#REF!&gt;5,#REF!,IF(#REF!&gt;5,#REF!,IF(#REF!&gt;5,#REF!,IF(#REF!&gt;5,#REF!,IF(#REF!&gt;5,#REF!,IF(#REF!&gt;5,#REF!))))))))</f>
        <v/>
      </c>
      <c r="F52" s="76" t="str">
        <f>IF(C52="","",(#REF!+#REF!+#REF!+#REF!+#REF!+#REF!+#REF!)/100)</f>
        <v/>
      </c>
      <c r="G52" s="77"/>
      <c r="H52" s="77"/>
      <c r="I52" s="77"/>
      <c r="J52" s="77"/>
      <c r="K52" s="77"/>
      <c r="L52" s="77"/>
      <c r="M52" s="79"/>
      <c r="N52" s="80"/>
      <c r="O52" s="498"/>
      <c r="S52" s="1"/>
    </row>
    <row r="53" spans="2:19" ht="30.75" customHeight="1" x14ac:dyDescent="0.25">
      <c r="B53" s="69"/>
      <c r="C53" s="70"/>
      <c r="D53" s="321"/>
      <c r="E53" s="75" t="str">
        <f>IF(C53="","",IF(#REF!&gt;5,#REF!,IF(#REF!&gt;5,#REF!,IF(#REF!&gt;5,#REF!,IF(#REF!&gt;5,#REF!,IF(#REF!&gt;5,#REF!,IF(#REF!&gt;5,#REF!,IF(#REF!&gt;5,#REF!))))))))</f>
        <v/>
      </c>
      <c r="F53" s="76" t="str">
        <f>IF(C53="","",(#REF!+#REF!+#REF!+#REF!+#REF!+#REF!+#REF!)/100)</f>
        <v/>
      </c>
      <c r="G53" s="77"/>
      <c r="H53" s="77"/>
      <c r="I53" s="77"/>
      <c r="J53" s="77"/>
      <c r="K53" s="77"/>
      <c r="L53" s="77"/>
      <c r="M53" s="79"/>
      <c r="N53" s="80"/>
      <c r="O53" s="498"/>
      <c r="S53" s="1"/>
    </row>
    <row r="54" spans="2:19" ht="30.75" customHeight="1" x14ac:dyDescent="0.25">
      <c r="B54" s="69"/>
      <c r="C54" s="70"/>
      <c r="D54" s="321"/>
      <c r="E54" s="75" t="str">
        <f>IF(C54="","",IF(#REF!&gt;5,#REF!,IF(#REF!&gt;5,#REF!,IF(#REF!&gt;5,#REF!,IF(#REF!&gt;5,#REF!,IF(#REF!&gt;5,#REF!,IF(#REF!&gt;5,#REF!,IF(#REF!&gt;5,#REF!))))))))</f>
        <v/>
      </c>
      <c r="F54" s="76" t="str">
        <f>IF(C54="","",(#REF!+#REF!+#REF!+#REF!+#REF!+#REF!+#REF!)/100)</f>
        <v/>
      </c>
      <c r="G54" s="77"/>
      <c r="H54" s="77"/>
      <c r="I54" s="77"/>
      <c r="J54" s="77"/>
      <c r="K54" s="77"/>
      <c r="L54" s="77"/>
      <c r="M54" s="79"/>
      <c r="N54" s="80"/>
      <c r="O54" s="498"/>
      <c r="S54" s="1"/>
    </row>
    <row r="55" spans="2:19" ht="30.75" customHeight="1" x14ac:dyDescent="0.25">
      <c r="B55" s="69"/>
      <c r="C55" s="70"/>
      <c r="D55" s="321"/>
      <c r="E55" s="75" t="str">
        <f>IF(C55="","",IF(#REF!&gt;5,#REF!,IF(#REF!&gt;5,#REF!,IF(#REF!&gt;5,#REF!,IF(#REF!&gt;5,#REF!,IF(#REF!&gt;5,#REF!,IF(#REF!&gt;5,#REF!,IF(#REF!&gt;5,#REF!))))))))</f>
        <v/>
      </c>
      <c r="F55" s="76" t="str">
        <f>IF(C55="","",(#REF!+#REF!+#REF!+#REF!+#REF!+#REF!+#REF!)/100)</f>
        <v/>
      </c>
      <c r="G55" s="77"/>
      <c r="H55" s="77"/>
      <c r="I55" s="77"/>
      <c r="J55" s="77"/>
      <c r="K55" s="77"/>
      <c r="L55" s="77"/>
      <c r="M55" s="79"/>
      <c r="N55" s="80"/>
      <c r="O55" s="498"/>
      <c r="S55" s="1"/>
    </row>
    <row r="56" spans="2:19" ht="30.75" customHeight="1" x14ac:dyDescent="0.25">
      <c r="B56" s="69"/>
      <c r="C56" s="70"/>
      <c r="D56" s="321"/>
      <c r="E56" s="75" t="str">
        <f>IF(C56="","",IF(#REF!&gt;5,#REF!,IF(#REF!&gt;5,#REF!,IF(#REF!&gt;5,#REF!,IF(#REF!&gt;5,#REF!,IF(#REF!&gt;5,#REF!,IF(#REF!&gt;5,#REF!,IF(#REF!&gt;5,#REF!))))))))</f>
        <v/>
      </c>
      <c r="F56" s="76" t="str">
        <f>IF(C56="","",(#REF!+#REF!+#REF!+#REF!+#REF!+#REF!+#REF!)/100)</f>
        <v/>
      </c>
      <c r="G56" s="77"/>
      <c r="H56" s="77"/>
      <c r="I56" s="77"/>
      <c r="J56" s="77"/>
      <c r="K56" s="77"/>
      <c r="L56" s="77"/>
      <c r="M56" s="79"/>
      <c r="N56" s="80"/>
      <c r="O56" s="498"/>
      <c r="S56" s="1"/>
    </row>
    <row r="57" spans="2:19" ht="30.75" customHeight="1" x14ac:dyDescent="0.25">
      <c r="B57" s="69"/>
      <c r="C57" s="70"/>
      <c r="D57" s="321"/>
      <c r="E57" s="75" t="str">
        <f>IF(C57="","",IF(#REF!&gt;5,#REF!,IF(#REF!&gt;5,#REF!,IF(#REF!&gt;5,#REF!,IF(#REF!&gt;5,#REF!,IF(#REF!&gt;5,#REF!,IF(#REF!&gt;5,#REF!,IF(#REF!&gt;5,#REF!))))))))</f>
        <v/>
      </c>
      <c r="F57" s="76" t="str">
        <f>IF(C57="","",(#REF!+#REF!+#REF!+#REF!+#REF!+#REF!+#REF!)/100)</f>
        <v/>
      </c>
      <c r="G57" s="77"/>
      <c r="H57" s="77"/>
      <c r="I57" s="77"/>
      <c r="J57" s="77"/>
      <c r="K57" s="77"/>
      <c r="L57" s="77"/>
      <c r="M57" s="79"/>
      <c r="N57" s="80"/>
      <c r="O57" s="498"/>
      <c r="S57" s="1"/>
    </row>
    <row r="58" spans="2:19" ht="30.75" customHeight="1" x14ac:dyDescent="0.25">
      <c r="B58" s="69"/>
      <c r="C58" s="70"/>
      <c r="D58" s="321"/>
      <c r="E58" s="75" t="str">
        <f>IF(C58="","",IF(#REF!&gt;5,#REF!,IF(#REF!&gt;5,#REF!,IF(#REF!&gt;5,#REF!,IF(#REF!&gt;5,#REF!,IF(#REF!&gt;5,#REF!,IF(#REF!&gt;5,#REF!,IF(#REF!&gt;5,#REF!))))))))</f>
        <v/>
      </c>
      <c r="F58" s="76" t="str">
        <f>IF(C58="","",(#REF!+#REF!+#REF!+#REF!+#REF!+#REF!+#REF!)/100)</f>
        <v/>
      </c>
      <c r="G58" s="77"/>
      <c r="H58" s="77"/>
      <c r="I58" s="77"/>
      <c r="J58" s="77"/>
      <c r="K58" s="77"/>
      <c r="L58" s="77"/>
      <c r="M58" s="79"/>
      <c r="N58" s="80"/>
      <c r="O58" s="498"/>
      <c r="S58" s="1"/>
    </row>
    <row r="59" spans="2:19" ht="30.75" customHeight="1" x14ac:dyDescent="0.25">
      <c r="B59" s="69"/>
      <c r="C59" s="70"/>
      <c r="D59" s="321"/>
      <c r="E59" s="75" t="str">
        <f>IF(C59="","",IF(#REF!&gt;5,#REF!,IF(#REF!&gt;5,#REF!,IF(#REF!&gt;5,#REF!,IF(#REF!&gt;5,#REF!,IF(#REF!&gt;5,#REF!,IF(#REF!&gt;5,#REF!,IF(#REF!&gt;5,#REF!))))))))</f>
        <v/>
      </c>
      <c r="F59" s="76" t="str">
        <f>IF(C59="","",(#REF!+#REF!+#REF!+#REF!+#REF!+#REF!+#REF!)/100)</f>
        <v/>
      </c>
      <c r="G59" s="77"/>
      <c r="H59" s="77"/>
      <c r="I59" s="77"/>
      <c r="J59" s="77"/>
      <c r="K59" s="77"/>
      <c r="L59" s="77"/>
      <c r="M59" s="79"/>
      <c r="N59" s="80"/>
      <c r="O59" s="498"/>
      <c r="S59" s="1"/>
    </row>
    <row r="60" spans="2:19" ht="30.75" customHeight="1" x14ac:dyDescent="0.25">
      <c r="B60" s="69"/>
      <c r="C60" s="70"/>
      <c r="D60" s="321"/>
      <c r="E60" s="75" t="str">
        <f>IF(C60="","",IF(#REF!&gt;5,#REF!,IF(#REF!&gt;5,#REF!,IF(#REF!&gt;5,#REF!,IF(#REF!&gt;5,#REF!,IF(#REF!&gt;5,#REF!,IF(#REF!&gt;5,#REF!,IF(#REF!&gt;5,#REF!))))))))</f>
        <v/>
      </c>
      <c r="F60" s="76" t="str">
        <f>IF(C60="","",(#REF!+#REF!+#REF!+#REF!+#REF!+#REF!+#REF!)/100)</f>
        <v/>
      </c>
      <c r="G60" s="77"/>
      <c r="H60" s="77"/>
      <c r="I60" s="77"/>
      <c r="J60" s="77"/>
      <c r="K60" s="77"/>
      <c r="L60" s="77"/>
      <c r="M60" s="79"/>
      <c r="N60" s="80"/>
      <c r="O60" s="498"/>
      <c r="S60" s="1"/>
    </row>
    <row r="61" spans="2:19" ht="30.75" customHeight="1" x14ac:dyDescent="0.25">
      <c r="B61" s="69"/>
      <c r="C61" s="70"/>
      <c r="D61" s="321"/>
      <c r="E61" s="75" t="str">
        <f>IF(C61="","",IF(#REF!&gt;5,#REF!,IF(#REF!&gt;5,#REF!,IF(#REF!&gt;5,#REF!,IF(#REF!&gt;5,#REF!,IF(#REF!&gt;5,#REF!,IF(#REF!&gt;5,#REF!,IF(#REF!&gt;5,#REF!))))))))</f>
        <v/>
      </c>
      <c r="F61" s="76" t="str">
        <f>IF(C61="","",(#REF!+#REF!+#REF!+#REF!+#REF!+#REF!+#REF!)/100)</f>
        <v/>
      </c>
      <c r="G61" s="77"/>
      <c r="H61" s="77"/>
      <c r="I61" s="77"/>
      <c r="J61" s="77"/>
      <c r="K61" s="77"/>
      <c r="L61" s="77"/>
      <c r="M61" s="79"/>
      <c r="N61" s="80"/>
      <c r="O61" s="498"/>
      <c r="S61" s="1"/>
    </row>
    <row r="62" spans="2:19" ht="30.75" customHeight="1" x14ac:dyDescent="0.25">
      <c r="B62" s="69"/>
      <c r="C62" s="70"/>
      <c r="D62" s="321"/>
      <c r="E62" s="75" t="str">
        <f>IF(C62="","",IF(#REF!&gt;5,#REF!,IF(#REF!&gt;5,#REF!,IF(#REF!&gt;5,#REF!,IF(#REF!&gt;5,#REF!,IF(#REF!&gt;5,#REF!,IF(#REF!&gt;5,#REF!,IF(#REF!&gt;5,#REF!))))))))</f>
        <v/>
      </c>
      <c r="F62" s="76" t="str">
        <f>IF(C62="","",(#REF!+#REF!+#REF!+#REF!+#REF!+#REF!+#REF!)/100)</f>
        <v/>
      </c>
      <c r="G62" s="77"/>
      <c r="H62" s="77"/>
      <c r="I62" s="77"/>
      <c r="J62" s="77"/>
      <c r="K62" s="77"/>
      <c r="L62" s="77"/>
      <c r="M62" s="79"/>
      <c r="N62" s="80"/>
      <c r="O62" s="498"/>
      <c r="S62" s="1"/>
    </row>
    <row r="63" spans="2:19" ht="30.75" customHeight="1" x14ac:dyDescent="0.25">
      <c r="B63" s="69"/>
      <c r="C63" s="70"/>
      <c r="D63" s="321"/>
      <c r="E63" s="75" t="str">
        <f>IF(C63="","",IF(#REF!&gt;5,#REF!,IF(#REF!&gt;5,#REF!,IF(#REF!&gt;5,#REF!,IF(#REF!&gt;5,#REF!,IF(#REF!&gt;5,#REF!,IF(#REF!&gt;5,#REF!,IF(#REF!&gt;5,#REF!))))))))</f>
        <v/>
      </c>
      <c r="F63" s="76" t="str">
        <f>IF(C63="","",(#REF!+#REF!+#REF!+#REF!+#REF!+#REF!+#REF!)/100)</f>
        <v/>
      </c>
      <c r="G63" s="77"/>
      <c r="H63" s="77"/>
      <c r="I63" s="77"/>
      <c r="J63" s="77"/>
      <c r="K63" s="77"/>
      <c r="L63" s="77"/>
      <c r="M63" s="79"/>
      <c r="N63" s="80"/>
      <c r="O63" s="498"/>
      <c r="S63" s="1"/>
    </row>
    <row r="64" spans="2:19" ht="30.75" customHeight="1" x14ac:dyDescent="0.25">
      <c r="B64" s="69"/>
      <c r="C64" s="70"/>
      <c r="D64" s="321"/>
      <c r="E64" s="75" t="str">
        <f>IF(C64="","",IF(#REF!&gt;5,#REF!,IF(#REF!&gt;5,#REF!,IF(#REF!&gt;5,#REF!,IF(#REF!&gt;5,#REF!,IF(#REF!&gt;5,#REF!,IF(#REF!&gt;5,#REF!,IF(#REF!&gt;5,#REF!))))))))</f>
        <v/>
      </c>
      <c r="F64" s="76" t="str">
        <f>IF(C64="","",(#REF!+#REF!+#REF!+#REF!+#REF!+#REF!+#REF!)/100)</f>
        <v/>
      </c>
      <c r="G64" s="77"/>
      <c r="H64" s="77"/>
      <c r="I64" s="77"/>
      <c r="J64" s="77"/>
      <c r="K64" s="77"/>
      <c r="L64" s="77"/>
      <c r="M64" s="79"/>
      <c r="N64" s="80"/>
      <c r="O64" s="498"/>
      <c r="S64" s="1"/>
    </row>
    <row r="65" spans="2:19" ht="30.75" customHeight="1" x14ac:dyDescent="0.25">
      <c r="B65" s="69"/>
      <c r="C65" s="70"/>
      <c r="D65" s="321"/>
      <c r="E65" s="75" t="str">
        <f>IF(C65="","",IF(#REF!&gt;5,#REF!,IF(#REF!&gt;5,#REF!,IF(#REF!&gt;5,#REF!,IF(#REF!&gt;5,#REF!,IF(#REF!&gt;5,#REF!,IF(#REF!&gt;5,#REF!,IF(#REF!&gt;5,#REF!))))))))</f>
        <v/>
      </c>
      <c r="F65" s="76" t="str">
        <f>IF(C65="","",(#REF!+#REF!+#REF!+#REF!+#REF!+#REF!+#REF!)/100)</f>
        <v/>
      </c>
      <c r="G65" s="77"/>
      <c r="H65" s="77"/>
      <c r="I65" s="77"/>
      <c r="J65" s="77"/>
      <c r="K65" s="77"/>
      <c r="L65" s="77"/>
      <c r="M65" s="79"/>
      <c r="N65" s="80"/>
      <c r="O65" s="498"/>
      <c r="S65" s="1"/>
    </row>
    <row r="66" spans="2:19" ht="30.75" customHeight="1" x14ac:dyDescent="0.25">
      <c r="B66" s="69"/>
      <c r="C66" s="70"/>
      <c r="D66" s="321"/>
      <c r="E66" s="75" t="str">
        <f>IF(C66="","",IF(#REF!&gt;5,#REF!,IF(#REF!&gt;5,#REF!,IF(#REF!&gt;5,#REF!,IF(#REF!&gt;5,#REF!,IF(#REF!&gt;5,#REF!,IF(#REF!&gt;5,#REF!,IF(#REF!&gt;5,#REF!))))))))</f>
        <v/>
      </c>
      <c r="F66" s="76" t="str">
        <f>IF(C66="","",(#REF!+#REF!+#REF!+#REF!+#REF!+#REF!+#REF!)/100)</f>
        <v/>
      </c>
      <c r="G66" s="77"/>
      <c r="H66" s="77"/>
      <c r="I66" s="77"/>
      <c r="J66" s="77"/>
      <c r="K66" s="77"/>
      <c r="L66" s="77"/>
      <c r="M66" s="79"/>
      <c r="N66" s="80"/>
      <c r="O66" s="498"/>
      <c r="S66" s="1"/>
    </row>
    <row r="67" spans="2:19" ht="30.75" customHeight="1" x14ac:dyDescent="0.25">
      <c r="B67" s="69"/>
      <c r="C67" s="70"/>
      <c r="D67" s="321"/>
      <c r="E67" s="75" t="str">
        <f>IF(C67="","",IF(#REF!&gt;5,#REF!,IF(#REF!&gt;5,#REF!,IF(#REF!&gt;5,#REF!,IF(#REF!&gt;5,#REF!,IF(#REF!&gt;5,#REF!,IF(#REF!&gt;5,#REF!,IF(#REF!&gt;5,#REF!))))))))</f>
        <v/>
      </c>
      <c r="F67" s="76" t="str">
        <f>IF(C67="","",(#REF!+#REF!+#REF!+#REF!+#REF!+#REF!+#REF!)/100)</f>
        <v/>
      </c>
      <c r="G67" s="77"/>
      <c r="H67" s="77"/>
      <c r="I67" s="77"/>
      <c r="J67" s="77"/>
      <c r="K67" s="77"/>
      <c r="L67" s="77"/>
      <c r="M67" s="79"/>
      <c r="N67" s="80"/>
      <c r="O67" s="498"/>
      <c r="S67" s="1"/>
    </row>
    <row r="68" spans="2:19" ht="30.75" customHeight="1" x14ac:dyDescent="0.25">
      <c r="B68" s="69"/>
      <c r="C68" s="70"/>
      <c r="D68" s="321"/>
      <c r="E68" s="75" t="str">
        <f>IF(C68="","",IF(#REF!&gt;5,#REF!,IF(#REF!&gt;5,#REF!,IF(#REF!&gt;5,#REF!,IF(#REF!&gt;5,#REF!,IF(#REF!&gt;5,#REF!,IF(#REF!&gt;5,#REF!,IF(#REF!&gt;5,#REF!))))))))</f>
        <v/>
      </c>
      <c r="F68" s="76" t="str">
        <f>IF(C68="","",(#REF!+#REF!+#REF!+#REF!+#REF!+#REF!+#REF!)/100)</f>
        <v/>
      </c>
      <c r="G68" s="77"/>
      <c r="H68" s="77"/>
      <c r="I68" s="77"/>
      <c r="J68" s="77"/>
      <c r="K68" s="77"/>
      <c r="L68" s="77"/>
      <c r="M68" s="79"/>
      <c r="N68" s="80"/>
      <c r="O68" s="498"/>
      <c r="S68" s="1"/>
    </row>
    <row r="69" spans="2:19" ht="30.75" customHeight="1" x14ac:dyDescent="0.25">
      <c r="B69" s="69"/>
      <c r="C69" s="70"/>
      <c r="D69" s="321"/>
      <c r="E69" s="75" t="str">
        <f>IF(C69="","",IF(#REF!&gt;5,#REF!,IF(#REF!&gt;5,#REF!,IF(#REF!&gt;5,#REF!,IF(#REF!&gt;5,#REF!,IF(#REF!&gt;5,#REF!,IF(#REF!&gt;5,#REF!,IF(#REF!&gt;5,#REF!))))))))</f>
        <v/>
      </c>
      <c r="F69" s="76" t="str">
        <f>IF(C69="","",(#REF!+#REF!+#REF!+#REF!+#REF!+#REF!+#REF!)/100)</f>
        <v/>
      </c>
      <c r="G69" s="77"/>
      <c r="H69" s="77"/>
      <c r="I69" s="77"/>
      <c r="J69" s="77"/>
      <c r="K69" s="77"/>
      <c r="L69" s="77"/>
      <c r="M69" s="79"/>
      <c r="N69" s="80"/>
      <c r="O69" s="498"/>
      <c r="S69" s="1"/>
    </row>
    <row r="70" spans="2:19" ht="30.75" customHeight="1" x14ac:dyDescent="0.25">
      <c r="B70" s="69"/>
      <c r="C70" s="70"/>
      <c r="D70" s="321"/>
      <c r="E70" s="75" t="str">
        <f>IF(C70="","",IF(#REF!&gt;5,#REF!,IF(#REF!&gt;5,#REF!,IF(#REF!&gt;5,#REF!,IF(#REF!&gt;5,#REF!,IF(#REF!&gt;5,#REF!,IF(#REF!&gt;5,#REF!,IF(#REF!&gt;5,#REF!))))))))</f>
        <v/>
      </c>
      <c r="F70" s="76" t="str">
        <f>IF(C70="","",(#REF!+#REF!+#REF!+#REF!+#REF!+#REF!+#REF!)/100)</f>
        <v/>
      </c>
      <c r="G70" s="77"/>
      <c r="H70" s="77"/>
      <c r="I70" s="77"/>
      <c r="J70" s="77"/>
      <c r="K70" s="77"/>
      <c r="L70" s="77"/>
      <c r="M70" s="79"/>
      <c r="N70" s="80"/>
      <c r="O70" s="498"/>
      <c r="S70" s="1"/>
    </row>
    <row r="71" spans="2:19" ht="30.75" customHeight="1" x14ac:dyDescent="0.25">
      <c r="B71" s="69"/>
      <c r="C71" s="70"/>
      <c r="D71" s="321"/>
      <c r="E71" s="75" t="str">
        <f>IF(C71="","",IF(#REF!&gt;5,#REF!,IF(#REF!&gt;5,#REF!,IF(#REF!&gt;5,#REF!,IF(#REF!&gt;5,#REF!,IF(#REF!&gt;5,#REF!,IF(#REF!&gt;5,#REF!,IF(#REF!&gt;5,#REF!))))))))</f>
        <v/>
      </c>
      <c r="F71" s="76" t="str">
        <f>IF(C71="","",(#REF!+#REF!+#REF!+#REF!+#REF!+#REF!+#REF!)/100)</f>
        <v/>
      </c>
      <c r="G71" s="77"/>
      <c r="H71" s="77"/>
      <c r="I71" s="77"/>
      <c r="J71" s="77"/>
      <c r="K71" s="77"/>
      <c r="L71" s="77"/>
      <c r="M71" s="79"/>
      <c r="N71" s="80"/>
      <c r="O71" s="498"/>
      <c r="S71" s="1"/>
    </row>
    <row r="72" spans="2:19" ht="30.75" customHeight="1" x14ac:dyDescent="0.25">
      <c r="B72" s="69"/>
      <c r="C72" s="70"/>
      <c r="D72" s="321"/>
      <c r="E72" s="75" t="str">
        <f>IF(C72="","",IF(#REF!&gt;5,#REF!,IF(#REF!&gt;5,#REF!,IF(#REF!&gt;5,#REF!,IF(#REF!&gt;5,#REF!,IF(#REF!&gt;5,#REF!,IF(#REF!&gt;5,#REF!,IF(#REF!&gt;5,#REF!))))))))</f>
        <v/>
      </c>
      <c r="F72" s="76" t="str">
        <f>IF(C72="","",(#REF!+#REF!+#REF!+#REF!+#REF!+#REF!+#REF!)/100)</f>
        <v/>
      </c>
      <c r="G72" s="77"/>
      <c r="H72" s="77"/>
      <c r="I72" s="77"/>
      <c r="J72" s="77"/>
      <c r="K72" s="77"/>
      <c r="L72" s="77"/>
      <c r="M72" s="79"/>
      <c r="N72" s="80"/>
      <c r="O72" s="498"/>
      <c r="S72" s="1"/>
    </row>
    <row r="73" spans="2:19" ht="30.75" customHeight="1" x14ac:dyDescent="0.25">
      <c r="B73" s="69"/>
      <c r="C73" s="70"/>
      <c r="D73" s="321"/>
      <c r="E73" s="75" t="str">
        <f>IF(C73="","",IF(#REF!&gt;5,#REF!,IF(#REF!&gt;5,#REF!,IF(#REF!&gt;5,#REF!,IF(#REF!&gt;5,#REF!,IF(#REF!&gt;5,#REF!,IF(#REF!&gt;5,#REF!,IF(#REF!&gt;5,#REF!))))))))</f>
        <v/>
      </c>
      <c r="F73" s="76" t="str">
        <f>IF(C73="","",(#REF!+#REF!+#REF!+#REF!+#REF!+#REF!+#REF!)/100)</f>
        <v/>
      </c>
      <c r="G73" s="127"/>
      <c r="H73" s="127"/>
      <c r="I73" s="77"/>
      <c r="J73" s="77"/>
      <c r="K73" s="127"/>
      <c r="L73" s="77"/>
      <c r="M73" s="79"/>
      <c r="N73" s="80"/>
      <c r="O73" s="498"/>
      <c r="S73" s="1"/>
    </row>
    <row r="74" spans="2:19" ht="30.75" customHeight="1" x14ac:dyDescent="0.25">
      <c r="B74" s="69"/>
      <c r="C74" s="70"/>
      <c r="D74" s="321"/>
      <c r="E74" s="75" t="str">
        <f>IF(C74="","",IF(#REF!&gt;5,#REF!,IF(#REF!&gt;5,#REF!,IF(#REF!&gt;5,#REF!,IF(#REF!&gt;5,#REF!,IF(#REF!&gt;5,#REF!,IF(#REF!&gt;5,#REF!,IF(#REF!&gt;5,#REF!))))))))</f>
        <v/>
      </c>
      <c r="F74" s="76" t="str">
        <f>IF(C74="","",(#REF!+#REF!+#REF!+#REF!+#REF!+#REF!+#REF!)/100)</f>
        <v/>
      </c>
      <c r="G74" s="77"/>
      <c r="H74" s="77"/>
      <c r="I74" s="77"/>
      <c r="J74" s="77"/>
      <c r="K74" s="77"/>
      <c r="L74" s="77"/>
      <c r="M74" s="79"/>
      <c r="N74" s="80"/>
      <c r="O74" s="498"/>
      <c r="S74" s="1"/>
    </row>
    <row r="75" spans="2:19" ht="30.75" customHeight="1" x14ac:dyDescent="0.25">
      <c r="B75" s="69"/>
      <c r="C75" s="70"/>
      <c r="D75" s="321"/>
      <c r="E75" s="75" t="str">
        <f>IF(C75="","",IF(#REF!&gt;5,#REF!,IF(#REF!&gt;5,#REF!,IF(#REF!&gt;5,#REF!,IF(#REF!&gt;5,#REF!,IF(#REF!&gt;5,#REF!,IF(#REF!&gt;5,#REF!,IF(#REF!&gt;5,#REF!))))))))</f>
        <v/>
      </c>
      <c r="F75" s="76" t="str">
        <f>IF(C75="","",(#REF!+#REF!+#REF!+#REF!+#REF!+#REF!+#REF!)/100)</f>
        <v/>
      </c>
      <c r="G75" s="77"/>
      <c r="H75" s="77"/>
      <c r="I75" s="77"/>
      <c r="J75" s="77"/>
      <c r="K75" s="77"/>
      <c r="L75" s="77"/>
      <c r="M75" s="79"/>
      <c r="N75" s="80"/>
      <c r="O75" s="498"/>
      <c r="S75" s="1"/>
    </row>
    <row r="76" spans="2:19" ht="30.75" customHeight="1" x14ac:dyDescent="0.25">
      <c r="B76" s="69"/>
      <c r="C76" s="70"/>
      <c r="D76" s="321"/>
      <c r="E76" s="75" t="str">
        <f>IF(C76="","",IF(#REF!&gt;5,#REF!,IF(#REF!&gt;5,#REF!,IF(#REF!&gt;5,#REF!,IF(#REF!&gt;5,#REF!,IF(#REF!&gt;5,#REF!,IF(#REF!&gt;5,#REF!,IF(#REF!&gt;5,#REF!))))))))</f>
        <v/>
      </c>
      <c r="F76" s="76" t="str">
        <f>IF(C76="","",(#REF!+#REF!+#REF!+#REF!+#REF!+#REF!+#REF!)/100)</f>
        <v/>
      </c>
      <c r="G76" s="77"/>
      <c r="H76" s="77"/>
      <c r="I76" s="77"/>
      <c r="J76" s="77"/>
      <c r="K76" s="77"/>
      <c r="L76" s="77"/>
      <c r="M76" s="79"/>
      <c r="N76" s="80"/>
      <c r="O76" s="498"/>
      <c r="S76" s="1"/>
    </row>
    <row r="77" spans="2:19" ht="30.75" customHeight="1" x14ac:dyDescent="0.25">
      <c r="B77" s="69"/>
      <c r="C77" s="70"/>
      <c r="D77" s="321"/>
      <c r="E77" s="75" t="str">
        <f>IF(C77="","",IF(#REF!&gt;5,#REF!,IF(#REF!&gt;5,#REF!,IF(#REF!&gt;5,#REF!,IF(#REF!&gt;5,#REF!,IF(#REF!&gt;5,#REF!,IF(#REF!&gt;5,#REF!,IF(#REF!&gt;5,#REF!))))))))</f>
        <v/>
      </c>
      <c r="F77" s="76" t="str">
        <f>IF(C77="","",(#REF!+#REF!+#REF!+#REF!+#REF!+#REF!+#REF!)/100)</f>
        <v/>
      </c>
      <c r="G77" s="77"/>
      <c r="H77" s="77"/>
      <c r="I77" s="77"/>
      <c r="J77" s="77"/>
      <c r="K77" s="77"/>
      <c r="L77" s="77"/>
      <c r="M77" s="79"/>
      <c r="N77" s="80"/>
      <c r="O77" s="498"/>
      <c r="S77" s="1"/>
    </row>
    <row r="78" spans="2:19" ht="30.75" customHeight="1" x14ac:dyDescent="0.25">
      <c r="B78" s="69"/>
      <c r="C78" s="70"/>
      <c r="D78" s="321"/>
      <c r="E78" s="75" t="str">
        <f>IF(C78="","",IF(#REF!&gt;5,#REF!,IF(#REF!&gt;5,#REF!,IF(#REF!&gt;5,#REF!,IF(#REF!&gt;5,#REF!,IF(#REF!&gt;5,#REF!,IF(#REF!&gt;5,#REF!,IF(#REF!&gt;5,#REF!))))))))</f>
        <v/>
      </c>
      <c r="F78" s="76" t="str">
        <f>IF(C78="","",(#REF!+#REF!+#REF!+#REF!+#REF!+#REF!+#REF!)/100)</f>
        <v/>
      </c>
      <c r="G78" s="77"/>
      <c r="H78" s="77"/>
      <c r="I78" s="77"/>
      <c r="J78" s="77"/>
      <c r="K78" s="77"/>
      <c r="L78" s="77"/>
      <c r="M78" s="79"/>
      <c r="N78" s="80"/>
      <c r="O78" s="498"/>
      <c r="S78" s="1"/>
    </row>
    <row r="79" spans="2:19" ht="30.75" customHeight="1" x14ac:dyDescent="0.25">
      <c r="B79" s="69"/>
      <c r="C79" s="70"/>
      <c r="D79" s="321"/>
      <c r="E79" s="75" t="str">
        <f>IF(C79="","",IF(#REF!&gt;5,#REF!,IF(#REF!&gt;5,#REF!,IF(#REF!&gt;5,#REF!,IF(#REF!&gt;5,#REF!,IF(#REF!&gt;5,#REF!,IF(#REF!&gt;5,#REF!,IF(#REF!&gt;5,#REF!))))))))</f>
        <v/>
      </c>
      <c r="F79" s="76" t="str">
        <f>IF(C79="","",(#REF!+#REF!+#REF!+#REF!+#REF!+#REF!+#REF!)/100)</f>
        <v/>
      </c>
      <c r="G79" s="77"/>
      <c r="H79" s="77"/>
      <c r="I79" s="77"/>
      <c r="J79" s="77"/>
      <c r="K79" s="77"/>
      <c r="L79" s="77"/>
      <c r="M79" s="79"/>
      <c r="N79" s="80"/>
      <c r="O79" s="498"/>
      <c r="S79" s="1"/>
    </row>
    <row r="80" spans="2:19" ht="30.75" customHeight="1" x14ac:dyDescent="0.25">
      <c r="B80" s="69"/>
      <c r="C80" s="70"/>
      <c r="D80" s="321"/>
      <c r="E80" s="75" t="str">
        <f>IF(C80="","",IF(#REF!&gt;5,#REF!,IF(#REF!&gt;5,#REF!,IF(#REF!&gt;5,#REF!,IF(#REF!&gt;5,#REF!,IF(#REF!&gt;5,#REF!,IF(#REF!&gt;5,#REF!,IF(#REF!&gt;5,#REF!))))))))</f>
        <v/>
      </c>
      <c r="F80" s="76" t="str">
        <f>IF(C80="","",(#REF!+#REF!+#REF!+#REF!+#REF!+#REF!+#REF!)/100)</f>
        <v/>
      </c>
      <c r="G80" s="77"/>
      <c r="H80" s="77"/>
      <c r="I80" s="77"/>
      <c r="J80" s="77"/>
      <c r="K80" s="77"/>
      <c r="L80" s="77"/>
      <c r="M80" s="79"/>
      <c r="N80" s="80"/>
      <c r="O80" s="498"/>
      <c r="S80" s="1"/>
    </row>
    <row r="81" spans="2:19" ht="30.75" customHeight="1" x14ac:dyDescent="0.25">
      <c r="B81" s="69"/>
      <c r="C81" s="70"/>
      <c r="D81" s="321"/>
      <c r="E81" s="75" t="str">
        <f>IF(C81="","",IF(#REF!&gt;5,#REF!,IF(#REF!&gt;5,#REF!,IF(#REF!&gt;5,#REF!,IF(#REF!&gt;5,#REF!,IF(#REF!&gt;5,#REF!,IF(#REF!&gt;5,#REF!,IF(#REF!&gt;5,#REF!))))))))</f>
        <v/>
      </c>
      <c r="F81" s="76" t="str">
        <f>IF(C81="","",(#REF!+#REF!+#REF!+#REF!+#REF!+#REF!+#REF!)/100)</f>
        <v/>
      </c>
      <c r="G81" s="77"/>
      <c r="H81" s="77"/>
      <c r="I81" s="77"/>
      <c r="J81" s="77"/>
      <c r="K81" s="77"/>
      <c r="L81" s="77"/>
      <c r="M81" s="79"/>
      <c r="N81" s="80"/>
      <c r="O81" s="498"/>
      <c r="S81" s="1"/>
    </row>
    <row r="82" spans="2:19" ht="30.75" customHeight="1" x14ac:dyDescent="0.25">
      <c r="B82" s="69"/>
      <c r="C82" s="70"/>
      <c r="D82" s="321"/>
      <c r="E82" s="75" t="str">
        <f>IF(C82="","",IF(#REF!&gt;5,#REF!,IF(#REF!&gt;5,#REF!,IF(#REF!&gt;5,#REF!,IF(#REF!&gt;5,#REF!,IF(#REF!&gt;5,#REF!,IF(#REF!&gt;5,#REF!,IF(#REF!&gt;5,#REF!))))))))</f>
        <v/>
      </c>
      <c r="F82" s="76" t="str">
        <f>IF(C82="","",(#REF!+#REF!+#REF!+#REF!+#REF!+#REF!+#REF!)/100)</f>
        <v/>
      </c>
      <c r="G82" s="77"/>
      <c r="H82" s="77"/>
      <c r="I82" s="77"/>
      <c r="J82" s="77"/>
      <c r="K82" s="77"/>
      <c r="L82" s="77"/>
      <c r="M82" s="79"/>
      <c r="N82" s="80"/>
      <c r="O82" s="498"/>
      <c r="S82" s="1"/>
    </row>
    <row r="83" spans="2:19" ht="30.75" customHeight="1" x14ac:dyDescent="0.25">
      <c r="B83" s="69"/>
      <c r="C83" s="70"/>
      <c r="D83" s="321"/>
      <c r="E83" s="75" t="str">
        <f>IF(C83="","",IF(#REF!&gt;5,#REF!,IF(#REF!&gt;5,#REF!,IF(#REF!&gt;5,#REF!,IF(#REF!&gt;5,#REF!,IF(#REF!&gt;5,#REF!,IF(#REF!&gt;5,#REF!,IF(#REF!&gt;5,#REF!))))))))</f>
        <v/>
      </c>
      <c r="F83" s="76" t="str">
        <f>IF(C83="","",(#REF!+#REF!+#REF!+#REF!+#REF!+#REF!+#REF!)/100)</f>
        <v/>
      </c>
      <c r="G83" s="77"/>
      <c r="H83" s="77"/>
      <c r="I83" s="77"/>
      <c r="J83" s="77"/>
      <c r="K83" s="77"/>
      <c r="L83" s="77"/>
      <c r="M83" s="79"/>
      <c r="N83" s="80"/>
      <c r="O83" s="498"/>
      <c r="S83" s="1"/>
    </row>
    <row r="84" spans="2:19" ht="30.75" customHeight="1" x14ac:dyDescent="0.25">
      <c r="B84" s="69"/>
      <c r="C84" s="70"/>
      <c r="D84" s="321"/>
      <c r="E84" s="75" t="str">
        <f>IF(C84="","",IF(#REF!&gt;5,#REF!,IF(#REF!&gt;5,#REF!,IF(#REF!&gt;5,#REF!,IF(#REF!&gt;5,#REF!,IF(#REF!&gt;5,#REF!,IF(#REF!&gt;5,#REF!,IF(#REF!&gt;5,#REF!))))))))</f>
        <v/>
      </c>
      <c r="F84" s="76" t="str">
        <f>IF(C84="","",(#REF!+#REF!+#REF!+#REF!+#REF!+#REF!+#REF!)/100)</f>
        <v/>
      </c>
      <c r="G84" s="77"/>
      <c r="H84" s="77"/>
      <c r="I84" s="77"/>
      <c r="J84" s="77"/>
      <c r="K84" s="77"/>
      <c r="L84" s="77"/>
      <c r="M84" s="79"/>
      <c r="N84" s="80"/>
      <c r="O84" s="498"/>
      <c r="S84" s="1"/>
    </row>
    <row r="85" spans="2:19" ht="30.75" customHeight="1" x14ac:dyDescent="0.25">
      <c r="B85" s="69"/>
      <c r="C85" s="70"/>
      <c r="D85" s="321"/>
      <c r="E85" s="75" t="str">
        <f>IF(C85="","",IF(#REF!&gt;5,#REF!,IF(#REF!&gt;5,#REF!,IF(#REF!&gt;5,#REF!,IF(#REF!&gt;5,#REF!,IF(#REF!&gt;5,#REF!,IF(#REF!&gt;5,#REF!,IF(#REF!&gt;5,#REF!))))))))</f>
        <v/>
      </c>
      <c r="F85" s="76" t="str">
        <f>IF(C85="","",(#REF!+#REF!+#REF!+#REF!+#REF!+#REF!+#REF!)/100)</f>
        <v/>
      </c>
      <c r="G85" s="77"/>
      <c r="H85" s="77"/>
      <c r="I85" s="77"/>
      <c r="J85" s="77"/>
      <c r="K85" s="77"/>
      <c r="L85" s="77"/>
      <c r="M85" s="79"/>
      <c r="N85" s="80"/>
      <c r="O85" s="498"/>
      <c r="S85" s="1"/>
    </row>
    <row r="86" spans="2:19" ht="30.75" customHeight="1" x14ac:dyDescent="0.25">
      <c r="B86" s="69"/>
      <c r="C86" s="70"/>
      <c r="D86" s="321"/>
      <c r="E86" s="75" t="str">
        <f>IF(C86="","",IF(#REF!&gt;5,#REF!,IF(#REF!&gt;5,#REF!,IF(#REF!&gt;5,#REF!,IF(#REF!&gt;5,#REF!,IF(#REF!&gt;5,#REF!,IF(#REF!&gt;5,#REF!,IF(#REF!&gt;5,#REF!))))))))</f>
        <v/>
      </c>
      <c r="F86" s="76" t="str">
        <f>IF(C86="","",(#REF!+#REF!+#REF!+#REF!+#REF!+#REF!+#REF!)/100)</f>
        <v/>
      </c>
      <c r="G86" s="77"/>
      <c r="H86" s="77"/>
      <c r="I86" s="77"/>
      <c r="J86" s="77"/>
      <c r="K86" s="77"/>
      <c r="L86" s="77"/>
      <c r="M86" s="79"/>
      <c r="N86" s="80"/>
      <c r="O86" s="498"/>
      <c r="S86" s="1"/>
    </row>
    <row r="87" spans="2:19" ht="30.75" customHeight="1" x14ac:dyDescent="0.25">
      <c r="B87" s="69"/>
      <c r="C87" s="70"/>
      <c r="D87" s="321"/>
      <c r="E87" s="75" t="str">
        <f>IF(C87="","",IF(#REF!&gt;5,#REF!,IF(#REF!&gt;5,#REF!,IF(#REF!&gt;5,#REF!,IF(#REF!&gt;5,#REF!,IF(#REF!&gt;5,#REF!,IF(#REF!&gt;5,#REF!,IF(#REF!&gt;5,#REF!))))))))</f>
        <v/>
      </c>
      <c r="F87" s="76" t="str">
        <f>IF(C87="","",(#REF!+#REF!+#REF!+#REF!+#REF!+#REF!+#REF!)/100)</f>
        <v/>
      </c>
      <c r="G87" s="77"/>
      <c r="H87" s="77"/>
      <c r="I87" s="77"/>
      <c r="J87" s="77"/>
      <c r="K87" s="77"/>
      <c r="L87" s="77"/>
      <c r="M87" s="79"/>
      <c r="N87" s="80"/>
      <c r="O87" s="498"/>
      <c r="S87" s="1"/>
    </row>
    <row r="88" spans="2:19" ht="30.75" customHeight="1" x14ac:dyDescent="0.25">
      <c r="B88" s="69"/>
      <c r="C88" s="70"/>
      <c r="D88" s="321"/>
      <c r="E88" s="75" t="str">
        <f>IF(C88="","",IF(#REF!&gt;5,#REF!,IF(#REF!&gt;5,#REF!,IF(#REF!&gt;5,#REF!,IF(#REF!&gt;5,#REF!,IF(#REF!&gt;5,#REF!,IF(#REF!&gt;5,#REF!,IF(#REF!&gt;5,#REF!))))))))</f>
        <v/>
      </c>
      <c r="F88" s="76" t="str">
        <f>IF(C88="","",(#REF!+#REF!+#REF!+#REF!+#REF!+#REF!+#REF!)/100)</f>
        <v/>
      </c>
      <c r="G88" s="77"/>
      <c r="H88" s="77"/>
      <c r="I88" s="77"/>
      <c r="J88" s="77"/>
      <c r="K88" s="77"/>
      <c r="L88" s="77"/>
      <c r="M88" s="79"/>
      <c r="N88" s="80"/>
      <c r="O88" s="498"/>
      <c r="S88" s="1"/>
    </row>
    <row r="89" spans="2:19" ht="30.75" customHeight="1" x14ac:dyDescent="0.25">
      <c r="B89" s="69"/>
      <c r="C89" s="70"/>
      <c r="D89" s="321"/>
      <c r="E89" s="75" t="str">
        <f>IF(C89="","",IF(#REF!&gt;5,#REF!,IF(#REF!&gt;5,#REF!,IF(#REF!&gt;5,#REF!,IF(#REF!&gt;5,#REF!,IF(#REF!&gt;5,#REF!,IF(#REF!&gt;5,#REF!,IF(#REF!&gt;5,#REF!))))))))</f>
        <v/>
      </c>
      <c r="F89" s="76" t="str">
        <f>IF(C89="","",(#REF!+#REF!+#REF!+#REF!+#REF!+#REF!+#REF!)/100)</f>
        <v/>
      </c>
      <c r="G89" s="77"/>
      <c r="H89" s="77"/>
      <c r="I89" s="77"/>
      <c r="J89" s="77"/>
      <c r="K89" s="77"/>
      <c r="L89" s="77"/>
      <c r="M89" s="79"/>
      <c r="N89" s="80"/>
      <c r="O89" s="498"/>
      <c r="S89" s="1"/>
    </row>
    <row r="90" spans="2:19" ht="30.75" customHeight="1" x14ac:dyDescent="0.25">
      <c r="B90" s="69"/>
      <c r="C90" s="70"/>
      <c r="D90" s="321"/>
      <c r="E90" s="75" t="str">
        <f>IF(C90="","",IF(#REF!&gt;5,#REF!,IF(#REF!&gt;5,#REF!,IF(#REF!&gt;5,#REF!,IF(#REF!&gt;5,#REF!,IF(#REF!&gt;5,#REF!,IF(#REF!&gt;5,#REF!,IF(#REF!&gt;5,#REF!))))))))</f>
        <v/>
      </c>
      <c r="F90" s="76" t="str">
        <f>IF(C90="","",(#REF!+#REF!+#REF!+#REF!+#REF!+#REF!+#REF!)/100)</f>
        <v/>
      </c>
      <c r="G90" s="77"/>
      <c r="H90" s="77"/>
      <c r="I90" s="77"/>
      <c r="J90" s="77"/>
      <c r="K90" s="77"/>
      <c r="L90" s="77"/>
      <c r="M90" s="79"/>
      <c r="N90" s="80"/>
      <c r="O90" s="498"/>
      <c r="S90" s="1"/>
    </row>
    <row r="91" spans="2:19" ht="30.75" customHeight="1" x14ac:dyDescent="0.25">
      <c r="B91" s="69"/>
      <c r="C91" s="70"/>
      <c r="D91" s="321"/>
      <c r="E91" s="75" t="str">
        <f>IF(C91="","",IF(#REF!&gt;5,#REF!,IF(#REF!&gt;5,#REF!,IF(#REF!&gt;5,#REF!,IF(#REF!&gt;5,#REF!,IF(#REF!&gt;5,#REF!,IF(#REF!&gt;5,#REF!,IF(#REF!&gt;5,#REF!))))))))</f>
        <v/>
      </c>
      <c r="F91" s="76" t="str">
        <f>IF(C91="","",(#REF!+#REF!+#REF!+#REF!+#REF!+#REF!+#REF!)/100)</f>
        <v/>
      </c>
      <c r="G91" s="77"/>
      <c r="H91" s="77"/>
      <c r="I91" s="77"/>
      <c r="J91" s="77"/>
      <c r="K91" s="77"/>
      <c r="L91" s="77"/>
      <c r="M91" s="79"/>
      <c r="N91" s="80"/>
      <c r="O91" s="498"/>
      <c r="S91" s="1"/>
    </row>
    <row r="92" spans="2:19" ht="30.75" customHeight="1" x14ac:dyDescent="0.25">
      <c r="B92" s="69"/>
      <c r="C92" s="70"/>
      <c r="D92" s="321"/>
      <c r="E92" s="75" t="str">
        <f>IF(C92="","",IF(#REF!&gt;5,#REF!,IF(#REF!&gt;5,#REF!,IF(#REF!&gt;5,#REF!,IF(#REF!&gt;5,#REF!,IF(#REF!&gt;5,#REF!,IF(#REF!&gt;5,#REF!,IF(#REF!&gt;5,#REF!))))))))</f>
        <v/>
      </c>
      <c r="F92" s="76" t="str">
        <f>IF(C92="","",(#REF!+#REF!+#REF!+#REF!+#REF!+#REF!+#REF!)/100)</f>
        <v/>
      </c>
      <c r="G92" s="77"/>
      <c r="H92" s="77"/>
      <c r="I92" s="77"/>
      <c r="J92" s="77"/>
      <c r="K92" s="77"/>
      <c r="L92" s="77"/>
      <c r="M92" s="79"/>
      <c r="N92" s="80"/>
      <c r="O92" s="498"/>
      <c r="S92" s="1"/>
    </row>
    <row r="93" spans="2:19" ht="30.75" customHeight="1" x14ac:dyDescent="0.25">
      <c r="B93" s="69"/>
      <c r="C93" s="70"/>
      <c r="D93" s="321"/>
      <c r="E93" s="75" t="str">
        <f>IF(C93="","",IF(#REF!&gt;5,#REF!,IF(#REF!&gt;5,#REF!,IF(#REF!&gt;5,#REF!,IF(#REF!&gt;5,#REF!,IF(#REF!&gt;5,#REF!,IF(#REF!&gt;5,#REF!,IF(#REF!&gt;5,#REF!))))))))</f>
        <v/>
      </c>
      <c r="F93" s="76" t="str">
        <f>IF(C93="","",(#REF!+#REF!+#REF!+#REF!+#REF!+#REF!+#REF!)/100)</f>
        <v/>
      </c>
      <c r="G93" s="77"/>
      <c r="H93" s="77"/>
      <c r="I93" s="77"/>
      <c r="J93" s="77"/>
      <c r="K93" s="77"/>
      <c r="L93" s="77"/>
      <c r="M93" s="79"/>
      <c r="N93" s="80"/>
      <c r="O93" s="498"/>
      <c r="S93" s="1"/>
    </row>
    <row r="94" spans="2:19" ht="30.75" customHeight="1" x14ac:dyDescent="0.25">
      <c r="B94" s="69"/>
      <c r="C94" s="70"/>
      <c r="D94" s="321"/>
      <c r="E94" s="75" t="str">
        <f>IF(C94="","",IF(#REF!&gt;5,#REF!,IF(#REF!&gt;5,#REF!,IF(#REF!&gt;5,#REF!,IF(#REF!&gt;5,#REF!,IF(#REF!&gt;5,#REF!,IF(#REF!&gt;5,#REF!,IF(#REF!&gt;5,#REF!))))))))</f>
        <v/>
      </c>
      <c r="F94" s="76" t="str">
        <f>IF(C94="","",(#REF!+#REF!+#REF!+#REF!+#REF!+#REF!+#REF!)/100)</f>
        <v/>
      </c>
      <c r="G94" s="77"/>
      <c r="H94" s="77"/>
      <c r="I94" s="77"/>
      <c r="J94" s="77"/>
      <c r="K94" s="77"/>
      <c r="L94" s="77"/>
      <c r="M94" s="79"/>
      <c r="N94" s="80"/>
      <c r="O94" s="498"/>
      <c r="S94" s="1"/>
    </row>
    <row r="95" spans="2:19" ht="30.75" customHeight="1" x14ac:dyDescent="0.25">
      <c r="B95" s="69"/>
      <c r="C95" s="70"/>
      <c r="D95" s="321"/>
      <c r="E95" s="75" t="str">
        <f>IF(C95="","",IF(#REF!&gt;5,#REF!,IF(#REF!&gt;5,#REF!,IF(#REF!&gt;5,#REF!,IF(#REF!&gt;5,#REF!,IF(#REF!&gt;5,#REF!,IF(#REF!&gt;5,#REF!,IF(#REF!&gt;5,#REF!))))))))</f>
        <v/>
      </c>
      <c r="F95" s="76" t="str">
        <f>IF(C95="","",(#REF!+#REF!+#REF!+#REF!+#REF!+#REF!+#REF!)/100)</f>
        <v/>
      </c>
      <c r="G95" s="77"/>
      <c r="H95" s="77"/>
      <c r="I95" s="77"/>
      <c r="J95" s="77"/>
      <c r="K95" s="77"/>
      <c r="L95" s="77"/>
      <c r="M95" s="79"/>
      <c r="N95" s="80"/>
      <c r="O95" s="498"/>
      <c r="S95" s="1"/>
    </row>
    <row r="96" spans="2:19" ht="30.75" customHeight="1" x14ac:dyDescent="0.25">
      <c r="B96" s="69"/>
      <c r="C96" s="70"/>
      <c r="D96" s="321"/>
      <c r="E96" s="75" t="str">
        <f>IF(C96="","",IF(#REF!&gt;5,#REF!,IF(#REF!&gt;5,#REF!,IF(#REF!&gt;5,#REF!,IF(#REF!&gt;5,#REF!,IF(#REF!&gt;5,#REF!,IF(#REF!&gt;5,#REF!,IF(#REF!&gt;5,#REF!))))))))</f>
        <v/>
      </c>
      <c r="F96" s="76" t="str">
        <f>IF(C96="","",(#REF!+#REF!+#REF!+#REF!+#REF!+#REF!+#REF!)/100)</f>
        <v/>
      </c>
      <c r="G96" s="77"/>
      <c r="H96" s="77"/>
      <c r="I96" s="77"/>
      <c r="J96" s="77"/>
      <c r="K96" s="77"/>
      <c r="L96" s="77"/>
      <c r="M96" s="79"/>
      <c r="N96" s="80"/>
      <c r="O96" s="498"/>
      <c r="S96" s="1"/>
    </row>
    <row r="97" spans="2:19" ht="30.75" customHeight="1" x14ac:dyDescent="0.25">
      <c r="B97" s="69"/>
      <c r="C97" s="70"/>
      <c r="D97" s="321"/>
      <c r="E97" s="75" t="str">
        <f>IF(C97="","",IF(#REF!&gt;5,#REF!,IF(#REF!&gt;5,#REF!,IF(#REF!&gt;5,#REF!,IF(#REF!&gt;5,#REF!,IF(#REF!&gt;5,#REF!,IF(#REF!&gt;5,#REF!,IF(#REF!&gt;5,#REF!))))))))</f>
        <v/>
      </c>
      <c r="F97" s="76" t="str">
        <f>IF(C97="","",(#REF!+#REF!+#REF!+#REF!+#REF!+#REF!+#REF!)/100)</f>
        <v/>
      </c>
      <c r="G97" s="77"/>
      <c r="H97" s="77"/>
      <c r="I97" s="77"/>
      <c r="J97" s="77"/>
      <c r="K97" s="77"/>
      <c r="L97" s="77"/>
      <c r="M97" s="79"/>
      <c r="N97" s="80"/>
      <c r="O97" s="498"/>
      <c r="S97" s="1"/>
    </row>
    <row r="98" spans="2:19" ht="30.75" customHeight="1" x14ac:dyDescent="0.25">
      <c r="B98" s="69"/>
      <c r="C98" s="70"/>
      <c r="D98" s="321"/>
      <c r="E98" s="75" t="str">
        <f>IF(C98="","",IF(#REF!&gt;5,#REF!,IF(#REF!&gt;5,#REF!,IF(#REF!&gt;5,#REF!,IF(#REF!&gt;5,#REF!,IF(#REF!&gt;5,#REF!,IF(#REF!&gt;5,#REF!,IF(#REF!&gt;5,#REF!))))))))</f>
        <v/>
      </c>
      <c r="F98" s="76" t="str">
        <f>IF(C98="","",(#REF!+#REF!+#REF!+#REF!+#REF!+#REF!+#REF!)/100)</f>
        <v/>
      </c>
      <c r="G98" s="77"/>
      <c r="H98" s="77"/>
      <c r="I98" s="77"/>
      <c r="J98" s="77"/>
      <c r="K98" s="77"/>
      <c r="L98" s="77"/>
      <c r="M98" s="79"/>
      <c r="N98" s="80"/>
      <c r="O98" s="498"/>
      <c r="S98" s="1"/>
    </row>
    <row r="99" spans="2:19" ht="30.75" customHeight="1" x14ac:dyDescent="0.25">
      <c r="B99" s="69"/>
      <c r="C99" s="70"/>
      <c r="D99" s="321"/>
      <c r="E99" s="75" t="str">
        <f>IF(C99="","",IF(#REF!&gt;5,#REF!,IF(#REF!&gt;5,#REF!,IF(#REF!&gt;5,#REF!,IF(#REF!&gt;5,#REF!,IF(#REF!&gt;5,#REF!,IF(#REF!&gt;5,#REF!,IF(#REF!&gt;5,#REF!))))))))</f>
        <v/>
      </c>
      <c r="F99" s="76" t="str">
        <f>IF(C99="","",(#REF!+#REF!+#REF!+#REF!+#REF!+#REF!+#REF!)/100)</f>
        <v/>
      </c>
      <c r="G99" s="77"/>
      <c r="H99" s="77"/>
      <c r="I99" s="77"/>
      <c r="J99" s="77"/>
      <c r="K99" s="77"/>
      <c r="L99" s="77"/>
      <c r="M99" s="79"/>
      <c r="N99" s="80"/>
      <c r="O99" s="498"/>
      <c r="S99" s="1"/>
    </row>
    <row r="100" spans="2:19" ht="30.75" customHeight="1" x14ac:dyDescent="0.25">
      <c r="B100" s="69"/>
      <c r="C100" s="70"/>
      <c r="D100" s="321"/>
      <c r="E100" s="75" t="str">
        <f>IF(C100="","",IF(#REF!&gt;5,#REF!,IF(#REF!&gt;5,#REF!,IF(#REF!&gt;5,#REF!,IF(#REF!&gt;5,#REF!,IF(#REF!&gt;5,#REF!,IF(#REF!&gt;5,#REF!,IF(#REF!&gt;5,#REF!))))))))</f>
        <v/>
      </c>
      <c r="F100" s="76" t="str">
        <f>IF(C100="","",(#REF!+#REF!+#REF!+#REF!+#REF!+#REF!+#REF!)/100)</f>
        <v/>
      </c>
      <c r="G100" s="77"/>
      <c r="H100" s="77"/>
      <c r="I100" s="77"/>
      <c r="J100" s="77"/>
      <c r="K100" s="77"/>
      <c r="L100" s="77"/>
      <c r="M100" s="79"/>
      <c r="N100" s="80"/>
      <c r="O100" s="498"/>
      <c r="S100" s="1"/>
    </row>
    <row r="101" spans="2:19" ht="30.75" customHeight="1" x14ac:dyDescent="0.25">
      <c r="B101" s="69"/>
      <c r="C101" s="70"/>
      <c r="D101" s="321"/>
      <c r="E101" s="75" t="str">
        <f>IF(C101="","",IF(#REF!&gt;5,#REF!,IF(#REF!&gt;5,#REF!,IF(#REF!&gt;5,#REF!,IF(#REF!&gt;5,#REF!,IF(#REF!&gt;5,#REF!,IF(#REF!&gt;5,#REF!,IF(#REF!&gt;5,#REF!))))))))</f>
        <v/>
      </c>
      <c r="F101" s="76" t="str">
        <f>IF(C101="","",(#REF!+#REF!+#REF!+#REF!+#REF!+#REF!+#REF!)/100)</f>
        <v/>
      </c>
      <c r="G101" s="77"/>
      <c r="H101" s="77"/>
      <c r="I101" s="77"/>
      <c r="J101" s="77"/>
      <c r="K101" s="77"/>
      <c r="L101" s="77"/>
      <c r="M101" s="79"/>
      <c r="N101" s="80"/>
      <c r="O101" s="498"/>
      <c r="S101" s="1"/>
    </row>
    <row r="102" spans="2:19" ht="30.75" hidden="1" customHeight="1" x14ac:dyDescent="0.25">
      <c r="B102" s="69"/>
      <c r="C102" s="70"/>
      <c r="D102" s="321"/>
      <c r="E102" s="75" t="str">
        <f>IF(C102="","",IF(#REF!&gt;5,#REF!,IF(#REF!&gt;5,#REF!,IF(#REF!&gt;5,#REF!,IF(#REF!&gt;5,#REF!,IF(#REF!&gt;5,#REF!,IF(#REF!&gt;5,#REF!,IF(#REF!&gt;5,#REF!))))))))</f>
        <v/>
      </c>
      <c r="F102" s="76" t="str">
        <f>IF(C102="","",(#REF!+#REF!+#REF!+#REF!+#REF!+#REF!+#REF!)/100)</f>
        <v/>
      </c>
      <c r="G102" s="77"/>
      <c r="H102" s="77"/>
      <c r="I102" s="77"/>
      <c r="J102" s="77"/>
      <c r="K102" s="77"/>
      <c r="L102" s="77"/>
      <c r="M102" s="79" t="s">
        <v>82</v>
      </c>
      <c r="N102" s="80" t="s">
        <v>88</v>
      </c>
      <c r="O102" s="498"/>
      <c r="S102" s="1"/>
    </row>
    <row r="103" spans="2:19" ht="30.75" hidden="1" customHeight="1" x14ac:dyDescent="0.25">
      <c r="B103" s="69"/>
      <c r="C103" s="70"/>
      <c r="D103" s="321"/>
      <c r="E103" s="75" t="str">
        <f>IF(C103="","",IF(#REF!&gt;5,#REF!,IF(#REF!&gt;5,#REF!,IF(#REF!&gt;5,#REF!,IF(#REF!&gt;5,#REF!,IF(#REF!&gt;5,#REF!,IF(#REF!&gt;5,#REF!,IF(#REF!&gt;5,#REF!))))))))</f>
        <v/>
      </c>
      <c r="F103" s="76" t="str">
        <f>IF(C103="","",(#REF!+#REF!+#REF!+#REF!+#REF!+#REF!+#REF!)/100)</f>
        <v/>
      </c>
      <c r="G103" s="77"/>
      <c r="H103" s="77"/>
      <c r="I103" s="77"/>
      <c r="J103" s="77"/>
      <c r="K103" s="77"/>
      <c r="L103" s="77"/>
      <c r="M103" s="79" t="s">
        <v>82</v>
      </c>
      <c r="N103" s="80" t="s">
        <v>88</v>
      </c>
      <c r="O103" s="498"/>
      <c r="S103" s="1"/>
    </row>
    <row r="104" spans="2:19" ht="30.75" customHeight="1" x14ac:dyDescent="0.25">
      <c r="B104" s="69"/>
      <c r="C104" s="70"/>
      <c r="D104" s="321"/>
      <c r="E104" s="75" t="str">
        <f>IF(C104="","",IF(#REF!&gt;5,#REF!,IF(#REF!&gt;5,#REF!,IF(#REF!&gt;5,#REF!,IF(#REF!&gt;5,#REF!,IF(#REF!&gt;5,#REF!,IF(#REF!&gt;5,#REF!,IF(#REF!&gt;5,#REF!))))))))</f>
        <v/>
      </c>
      <c r="F104" s="76" t="str">
        <f>IF(C104="","",(#REF!+#REF!+#REF!+#REF!+#REF!+#REF!+#REF!)/100)</f>
        <v/>
      </c>
      <c r="G104" s="77"/>
      <c r="H104" s="77"/>
      <c r="I104" s="77"/>
      <c r="J104" s="77"/>
      <c r="K104" s="77"/>
      <c r="L104" s="77"/>
      <c r="M104" s="79"/>
      <c r="N104" s="80"/>
      <c r="O104" s="498"/>
      <c r="S104" s="1"/>
    </row>
    <row r="105" spans="2:19" ht="30.75" customHeight="1" x14ac:dyDescent="0.25">
      <c r="B105" s="69"/>
      <c r="C105" s="70"/>
      <c r="D105" s="321"/>
      <c r="E105" s="75" t="str">
        <f>IF(C105="","",IF(#REF!&gt;5,#REF!,IF(#REF!&gt;5,#REF!,IF(#REF!&gt;5,#REF!,IF(#REF!&gt;5,#REF!,IF(#REF!&gt;5,#REF!,IF(#REF!&gt;5,#REF!,IF(#REF!&gt;5,#REF!))))))))</f>
        <v/>
      </c>
      <c r="F105" s="76" t="str">
        <f>IF(C105="","",(#REF!+#REF!+#REF!+#REF!+#REF!+#REF!+#REF!)/100)</f>
        <v/>
      </c>
      <c r="G105" s="77"/>
      <c r="H105" s="77"/>
      <c r="I105" s="77"/>
      <c r="J105" s="77"/>
      <c r="K105" s="77"/>
      <c r="L105" s="77"/>
      <c r="M105" s="79"/>
      <c r="N105" s="80"/>
      <c r="O105" s="498"/>
      <c r="S105" s="1"/>
    </row>
    <row r="106" spans="2:19" ht="30.75" customHeight="1" x14ac:dyDescent="0.25">
      <c r="B106" s="69"/>
      <c r="C106" s="70"/>
      <c r="D106" s="321"/>
      <c r="E106" s="75" t="str">
        <f>IF(C106="","",IF(#REF!&gt;5,#REF!,IF(#REF!&gt;5,#REF!,IF(#REF!&gt;5,#REF!,IF(#REF!&gt;5,#REF!,IF(#REF!&gt;5,#REF!,IF(#REF!&gt;5,#REF!,IF(#REF!&gt;5,#REF!))))))))</f>
        <v/>
      </c>
      <c r="F106" s="76" t="str">
        <f>IF(C106="","",(#REF!+#REF!+#REF!+#REF!+#REF!+#REF!+#REF!)/100)</f>
        <v/>
      </c>
      <c r="G106" s="77"/>
      <c r="H106" s="77"/>
      <c r="I106" s="77"/>
      <c r="J106" s="77"/>
      <c r="K106" s="77"/>
      <c r="L106" s="77"/>
      <c r="M106" s="79"/>
      <c r="N106" s="80"/>
      <c r="O106" s="498"/>
      <c r="S106" s="1"/>
    </row>
    <row r="107" spans="2:19" ht="30.75" customHeight="1" x14ac:dyDescent="0.25">
      <c r="B107" s="69"/>
      <c r="C107" s="70"/>
      <c r="D107" s="321"/>
      <c r="E107" s="75" t="str">
        <f>IF(C107="","",IF(#REF!&gt;5,#REF!,IF(#REF!&gt;5,#REF!,IF(#REF!&gt;5,#REF!,IF(#REF!&gt;5,#REF!,IF(#REF!&gt;5,#REF!,IF(#REF!&gt;5,#REF!,IF(#REF!&gt;5,#REF!))))))))</f>
        <v/>
      </c>
      <c r="F107" s="76" t="str">
        <f>IF(C107="","",(#REF!+#REF!+#REF!+#REF!+#REF!+#REF!+#REF!)/100)</f>
        <v/>
      </c>
      <c r="G107" s="77"/>
      <c r="H107" s="77"/>
      <c r="I107" s="77"/>
      <c r="J107" s="77"/>
      <c r="K107" s="77"/>
      <c r="L107" s="77"/>
      <c r="M107" s="79"/>
      <c r="N107" s="80"/>
      <c r="O107" s="498"/>
      <c r="S107" s="1"/>
    </row>
    <row r="108" spans="2:19" ht="30.75" customHeight="1" x14ac:dyDescent="0.25">
      <c r="B108" s="69"/>
      <c r="C108" s="70"/>
      <c r="D108" s="321"/>
      <c r="E108" s="75" t="str">
        <f>IF(C108="","",IF(#REF!&gt;5,#REF!,IF(#REF!&gt;5,#REF!,IF(#REF!&gt;5,#REF!,IF(#REF!&gt;5,#REF!,IF(#REF!&gt;5,#REF!,IF(#REF!&gt;5,#REF!,IF(#REF!&gt;5,#REF!))))))))</f>
        <v/>
      </c>
      <c r="F108" s="76" t="str">
        <f>IF(C108="","",(#REF!+#REF!+#REF!+#REF!+#REF!+#REF!+#REF!)/100)</f>
        <v/>
      </c>
      <c r="G108" s="77"/>
      <c r="H108" s="77"/>
      <c r="I108" s="77"/>
      <c r="J108" s="77"/>
      <c r="K108" s="77"/>
      <c r="L108" s="77"/>
      <c r="M108" s="79"/>
      <c r="N108" s="80"/>
      <c r="O108" s="498"/>
      <c r="S108" s="1"/>
    </row>
    <row r="109" spans="2:19" ht="30.75" customHeight="1" x14ac:dyDescent="0.25">
      <c r="B109" s="69"/>
      <c r="C109" s="70"/>
      <c r="D109" s="321"/>
      <c r="E109" s="75" t="str">
        <f>IF(C109="","",IF(#REF!&gt;5,#REF!,IF(#REF!&gt;5,#REF!,IF(#REF!&gt;5,#REF!,IF(#REF!&gt;5,#REF!,IF(#REF!&gt;5,#REF!,IF(#REF!&gt;5,#REF!,IF(#REF!&gt;5,#REF!))))))))</f>
        <v/>
      </c>
      <c r="F109" s="76" t="str">
        <f>IF(C109="","",(#REF!+#REF!+#REF!+#REF!+#REF!+#REF!+#REF!)/100)</f>
        <v/>
      </c>
      <c r="G109" s="77"/>
      <c r="H109" s="77"/>
      <c r="I109" s="77"/>
      <c r="J109" s="77"/>
      <c r="K109" s="77"/>
      <c r="L109" s="77"/>
      <c r="M109" s="79"/>
      <c r="N109" s="80"/>
      <c r="O109" s="498"/>
      <c r="S109" s="1"/>
    </row>
    <row r="110" spans="2:19" ht="30.75" customHeight="1" x14ac:dyDescent="0.25">
      <c r="B110" s="69"/>
      <c r="C110" s="70"/>
      <c r="D110" s="321"/>
      <c r="E110" s="75" t="str">
        <f>IF(C110="","",IF(#REF!&gt;5,#REF!,IF(#REF!&gt;5,#REF!,IF(#REF!&gt;5,#REF!,IF(#REF!&gt;5,#REF!,IF(#REF!&gt;5,#REF!,IF(#REF!&gt;5,#REF!,IF(#REF!&gt;5,#REF!))))))))</f>
        <v/>
      </c>
      <c r="F110" s="76" t="str">
        <f>IF(C110="","",(#REF!+#REF!+#REF!+#REF!+#REF!+#REF!+#REF!)/100)</f>
        <v/>
      </c>
      <c r="G110" s="77"/>
      <c r="H110" s="77"/>
      <c r="I110" s="77"/>
      <c r="J110" s="77"/>
      <c r="K110" s="77"/>
      <c r="L110" s="77"/>
      <c r="M110" s="79"/>
      <c r="N110" s="80"/>
      <c r="O110" s="498"/>
      <c r="S110" s="1"/>
    </row>
    <row r="111" spans="2:19" ht="30.75" customHeight="1" x14ac:dyDescent="0.25">
      <c r="B111" s="69"/>
      <c r="C111" s="70"/>
      <c r="D111" s="321"/>
      <c r="E111" s="75" t="str">
        <f>IF(C111="","",IF(#REF!&gt;5,#REF!,IF(#REF!&gt;5,#REF!,IF(#REF!&gt;5,#REF!,IF(#REF!&gt;5,#REF!,IF(#REF!&gt;5,#REF!,IF(#REF!&gt;5,#REF!,IF(#REF!&gt;5,#REF!))))))))</f>
        <v/>
      </c>
      <c r="F111" s="76" t="str">
        <f>IF(C111="","",(#REF!+#REF!+#REF!+#REF!+#REF!+#REF!+#REF!)/100)</f>
        <v/>
      </c>
      <c r="G111" s="77"/>
      <c r="H111" s="77"/>
      <c r="I111" s="77"/>
      <c r="J111" s="77"/>
      <c r="K111" s="77"/>
      <c r="L111" s="77"/>
      <c r="M111" s="79"/>
      <c r="N111" s="80"/>
      <c r="O111" s="498"/>
      <c r="S111" s="1"/>
    </row>
    <row r="112" spans="2:19" ht="30.75" customHeight="1" x14ac:dyDescent="0.25">
      <c r="B112" s="69"/>
      <c r="C112" s="70"/>
      <c r="D112" s="321"/>
      <c r="E112" s="75" t="str">
        <f>IF(C112="","",IF(#REF!&gt;5,#REF!,IF(#REF!&gt;5,#REF!,IF(#REF!&gt;5,#REF!,IF(#REF!&gt;5,#REF!,IF(#REF!&gt;5,#REF!,IF(#REF!&gt;5,#REF!,IF(#REF!&gt;5,#REF!))))))))</f>
        <v/>
      </c>
      <c r="F112" s="76" t="str">
        <f>IF(C112="","",(#REF!+#REF!+#REF!+#REF!+#REF!+#REF!+#REF!)/100)</f>
        <v/>
      </c>
      <c r="G112" s="77"/>
      <c r="H112" s="77"/>
      <c r="I112" s="77"/>
      <c r="J112" s="77"/>
      <c r="K112" s="77"/>
      <c r="L112" s="77"/>
      <c r="M112" s="79"/>
      <c r="N112" s="80"/>
      <c r="O112" s="498"/>
      <c r="S112" s="1"/>
    </row>
    <row r="113" spans="2:19" ht="30.75" customHeight="1" x14ac:dyDescent="0.25">
      <c r="B113" s="69"/>
      <c r="C113" s="70"/>
      <c r="D113" s="321"/>
      <c r="E113" s="75" t="str">
        <f>IF(C113="","",IF(#REF!&gt;5,#REF!,IF(#REF!&gt;5,#REF!,IF(#REF!&gt;5,#REF!,IF(#REF!&gt;5,#REF!,IF(#REF!&gt;5,#REF!,IF(#REF!&gt;5,#REF!,IF(#REF!&gt;5,#REF!))))))))</f>
        <v/>
      </c>
      <c r="F113" s="76" t="str">
        <f>IF(C113="","",(#REF!+#REF!+#REF!+#REF!+#REF!+#REF!+#REF!)/100)</f>
        <v/>
      </c>
      <c r="G113" s="77"/>
      <c r="H113" s="77"/>
      <c r="I113" s="77"/>
      <c r="J113" s="77"/>
      <c r="K113" s="77"/>
      <c r="L113" s="77"/>
      <c r="M113" s="79"/>
      <c r="N113" s="80"/>
      <c r="O113" s="498"/>
      <c r="S113" s="1"/>
    </row>
    <row r="114" spans="2:19" ht="30.75" customHeight="1" x14ac:dyDescent="0.25">
      <c r="B114" s="69"/>
      <c r="C114" s="70"/>
      <c r="D114" s="321"/>
      <c r="E114" s="75" t="str">
        <f>IF(C114="","",IF(#REF!&gt;5,#REF!,IF(#REF!&gt;5,#REF!,IF(#REF!&gt;5,#REF!,IF(#REF!&gt;5,#REF!,IF(#REF!&gt;5,#REF!,IF(#REF!&gt;5,#REF!,IF(#REF!&gt;5,#REF!))))))))</f>
        <v/>
      </c>
      <c r="F114" s="76" t="str">
        <f>IF(C114="","",(#REF!+#REF!+#REF!+#REF!+#REF!+#REF!+#REF!)/100)</f>
        <v/>
      </c>
      <c r="G114" s="77"/>
      <c r="H114" s="77"/>
      <c r="I114" s="77"/>
      <c r="J114" s="77"/>
      <c r="K114" s="77"/>
      <c r="L114" s="77"/>
      <c r="M114" s="79"/>
      <c r="N114" s="80"/>
      <c r="O114" s="498"/>
      <c r="S114" s="1"/>
    </row>
    <row r="115" spans="2:19" ht="30.75" customHeight="1" x14ac:dyDescent="0.25">
      <c r="B115" s="69"/>
      <c r="C115" s="70"/>
      <c r="D115" s="321"/>
      <c r="E115" s="75" t="str">
        <f>IF(C115="","",IF(#REF!&gt;5,#REF!,IF(#REF!&gt;5,#REF!,IF(#REF!&gt;5,#REF!,IF(#REF!&gt;5,#REF!,IF(#REF!&gt;5,#REF!,IF(#REF!&gt;5,#REF!,IF(#REF!&gt;5,#REF!))))))))</f>
        <v/>
      </c>
      <c r="F115" s="76" t="str">
        <f>IF(C115="","",(#REF!+#REF!+#REF!+#REF!+#REF!+#REF!+#REF!)/100)</f>
        <v/>
      </c>
      <c r="G115" s="77"/>
      <c r="H115" s="77"/>
      <c r="I115" s="77"/>
      <c r="J115" s="77"/>
      <c r="K115" s="77"/>
      <c r="L115" s="77"/>
      <c r="M115" s="79"/>
      <c r="N115" s="80"/>
      <c r="O115" s="498"/>
      <c r="S115" s="1"/>
    </row>
    <row r="116" spans="2:19" ht="30.75" customHeight="1" x14ac:dyDescent="0.25">
      <c r="B116" s="69"/>
      <c r="C116" s="70"/>
      <c r="D116" s="321"/>
      <c r="E116" s="75" t="str">
        <f>IF(C116="","",IF(#REF!&gt;5,#REF!,IF(#REF!&gt;5,#REF!,IF(#REF!&gt;5,#REF!,IF(#REF!&gt;5,#REF!,IF(#REF!&gt;5,#REF!,IF(#REF!&gt;5,#REF!,IF(#REF!&gt;5,#REF!))))))))</f>
        <v/>
      </c>
      <c r="F116" s="76" t="str">
        <f>IF(C116="","",(#REF!+#REF!+#REF!+#REF!+#REF!+#REF!+#REF!)/100)</f>
        <v/>
      </c>
      <c r="G116" s="77"/>
      <c r="H116" s="77"/>
      <c r="I116" s="77"/>
      <c r="J116" s="77"/>
      <c r="K116" s="77"/>
      <c r="L116" s="77"/>
      <c r="M116" s="79"/>
      <c r="N116" s="80"/>
      <c r="O116" s="498"/>
      <c r="S116" s="1"/>
    </row>
    <row r="117" spans="2:19" ht="30.75" customHeight="1" x14ac:dyDescent="0.25">
      <c r="B117" s="69"/>
      <c r="C117" s="70"/>
      <c r="D117" s="321"/>
      <c r="E117" s="75" t="str">
        <f>IF(C117="","",IF(#REF!&gt;5,#REF!,IF(#REF!&gt;5,#REF!,IF(#REF!&gt;5,#REF!,IF(#REF!&gt;5,#REF!,IF(#REF!&gt;5,#REF!,IF(#REF!&gt;5,#REF!,IF(#REF!&gt;5,#REF!))))))))</f>
        <v/>
      </c>
      <c r="F117" s="76" t="str">
        <f>IF(C117="","",(#REF!+#REF!+#REF!+#REF!+#REF!+#REF!+#REF!)/100)</f>
        <v/>
      </c>
      <c r="G117" s="77"/>
      <c r="H117" s="77"/>
      <c r="I117" s="77"/>
      <c r="J117" s="77"/>
      <c r="K117" s="77"/>
      <c r="L117" s="77"/>
      <c r="M117" s="79"/>
      <c r="N117" s="80"/>
      <c r="O117" s="498"/>
      <c r="S117" s="1"/>
    </row>
    <row r="118" spans="2:19" ht="30.75" customHeight="1" x14ac:dyDescent="0.25">
      <c r="B118" s="69"/>
      <c r="C118" s="70"/>
      <c r="D118" s="321"/>
      <c r="E118" s="75" t="str">
        <f>IF(C118="","",IF(#REF!&gt;5,#REF!,IF(#REF!&gt;5,#REF!,IF(#REF!&gt;5,#REF!,IF(#REF!&gt;5,#REF!,IF(#REF!&gt;5,#REF!,IF(#REF!&gt;5,#REF!,IF(#REF!&gt;5,#REF!))))))))</f>
        <v/>
      </c>
      <c r="F118" s="76" t="str">
        <f>IF(C118="","",(#REF!+#REF!+#REF!+#REF!+#REF!+#REF!+#REF!)/100)</f>
        <v/>
      </c>
      <c r="G118" s="77"/>
      <c r="H118" s="77"/>
      <c r="I118" s="77"/>
      <c r="J118" s="77"/>
      <c r="K118" s="77"/>
      <c r="L118" s="77"/>
      <c r="M118" s="79"/>
      <c r="N118" s="80"/>
      <c r="O118" s="498"/>
      <c r="S118" s="1"/>
    </row>
    <row r="119" spans="2:19" ht="30.75" customHeight="1" x14ac:dyDescent="0.25">
      <c r="B119" s="69"/>
      <c r="C119" s="70"/>
      <c r="D119" s="321"/>
      <c r="E119" s="75" t="str">
        <f>IF(C119="","",IF(#REF!&gt;5,#REF!,IF(#REF!&gt;5,#REF!,IF(#REF!&gt;5,#REF!,IF(#REF!&gt;5,#REF!,IF(#REF!&gt;5,#REF!,IF(#REF!&gt;5,#REF!,IF(#REF!&gt;5,#REF!))))))))</f>
        <v/>
      </c>
      <c r="F119" s="76" t="str">
        <f>IF(C119="","",(#REF!+#REF!+#REF!+#REF!+#REF!+#REF!+#REF!)/100)</f>
        <v/>
      </c>
      <c r="G119" s="77"/>
      <c r="H119" s="77"/>
      <c r="I119" s="77"/>
      <c r="J119" s="77"/>
      <c r="K119" s="77"/>
      <c r="L119" s="77"/>
      <c r="M119" s="79"/>
      <c r="N119" s="80"/>
      <c r="O119" s="498"/>
      <c r="S119" s="1"/>
    </row>
    <row r="120" spans="2:19" ht="30.75" customHeight="1" x14ac:dyDescent="0.25">
      <c r="B120" s="69"/>
      <c r="C120" s="70"/>
      <c r="D120" s="321"/>
      <c r="E120" s="75" t="str">
        <f>IF(C120="","",IF(#REF!&gt;5,#REF!,IF(#REF!&gt;5,#REF!,IF(#REF!&gt;5,#REF!,IF(#REF!&gt;5,#REF!,IF(#REF!&gt;5,#REF!,IF(#REF!&gt;5,#REF!,IF(#REF!&gt;5,#REF!))))))))</f>
        <v/>
      </c>
      <c r="F120" s="76" t="str">
        <f>IF(C120="","",(#REF!+#REF!+#REF!+#REF!+#REF!+#REF!+#REF!)/100)</f>
        <v/>
      </c>
      <c r="G120" s="77"/>
      <c r="H120" s="77"/>
      <c r="I120" s="77"/>
      <c r="J120" s="77"/>
      <c r="K120" s="77"/>
      <c r="L120" s="77"/>
      <c r="M120" s="79"/>
      <c r="N120" s="80"/>
      <c r="O120" s="498"/>
      <c r="S120" s="1"/>
    </row>
    <row r="121" spans="2:19" ht="30.75" customHeight="1" x14ac:dyDescent="0.25">
      <c r="B121" s="69"/>
      <c r="C121" s="70"/>
      <c r="D121" s="321"/>
      <c r="E121" s="75" t="str">
        <f>IF(C121="","",IF(#REF!&gt;5,#REF!,IF(#REF!&gt;5,#REF!,IF(#REF!&gt;5,#REF!,IF(#REF!&gt;5,#REF!,IF(#REF!&gt;5,#REF!,IF(#REF!&gt;5,#REF!,IF(#REF!&gt;5,#REF!))))))))</f>
        <v/>
      </c>
      <c r="F121" s="76" t="str">
        <f>IF(C121="","",(#REF!+#REF!+#REF!+#REF!+#REF!+#REF!+#REF!)/100)</f>
        <v/>
      </c>
      <c r="G121" s="77"/>
      <c r="H121" s="77"/>
      <c r="I121" s="77"/>
      <c r="J121" s="77"/>
      <c r="K121" s="77"/>
      <c r="L121" s="77"/>
      <c r="M121" s="79"/>
      <c r="N121" s="80"/>
      <c r="O121" s="498"/>
      <c r="S121" s="1"/>
    </row>
    <row r="122" spans="2:19" ht="30.75" customHeight="1" x14ac:dyDescent="0.25">
      <c r="B122" s="69"/>
      <c r="C122" s="70"/>
      <c r="D122" s="321"/>
      <c r="E122" s="75" t="str">
        <f>IF(C122="","",IF(#REF!&gt;5,#REF!,IF(#REF!&gt;5,#REF!,IF(#REF!&gt;5,#REF!,IF(#REF!&gt;5,#REF!,IF(#REF!&gt;5,#REF!,IF(#REF!&gt;5,#REF!,IF(#REF!&gt;5,#REF!))))))))</f>
        <v/>
      </c>
      <c r="F122" s="76" t="str">
        <f>IF(C122="","",(#REF!+#REF!+#REF!+#REF!+#REF!+#REF!+#REF!)/100)</f>
        <v/>
      </c>
      <c r="G122" s="77"/>
      <c r="H122" s="77"/>
      <c r="I122" s="77"/>
      <c r="J122" s="77"/>
      <c r="K122" s="77"/>
      <c r="L122" s="77"/>
      <c r="M122" s="79"/>
      <c r="N122" s="80"/>
      <c r="O122" s="498"/>
      <c r="S122" s="1"/>
    </row>
    <row r="123" spans="2:19" ht="30.75" customHeight="1" x14ac:dyDescent="0.25">
      <c r="B123" s="69"/>
      <c r="C123" s="70"/>
      <c r="D123" s="321"/>
      <c r="E123" s="75" t="str">
        <f>IF(C123="","",IF(#REF!&gt;5,#REF!,IF(#REF!&gt;5,#REF!,IF(#REF!&gt;5,#REF!,IF(#REF!&gt;5,#REF!,IF(#REF!&gt;5,#REF!,IF(#REF!&gt;5,#REF!,IF(#REF!&gt;5,#REF!))))))))</f>
        <v/>
      </c>
      <c r="F123" s="76" t="str">
        <f>IF(C123="","",(#REF!+#REF!+#REF!+#REF!+#REF!+#REF!+#REF!)/100)</f>
        <v/>
      </c>
      <c r="G123" s="77"/>
      <c r="H123" s="77"/>
      <c r="I123" s="77"/>
      <c r="J123" s="77"/>
      <c r="K123" s="77"/>
      <c r="L123" s="77"/>
      <c r="M123" s="79"/>
      <c r="N123" s="80"/>
      <c r="O123" s="498"/>
      <c r="S123" s="1"/>
    </row>
    <row r="124" spans="2:19" ht="30.75" customHeight="1" x14ac:dyDescent="0.25">
      <c r="B124" s="69"/>
      <c r="C124" s="70"/>
      <c r="D124" s="321"/>
      <c r="E124" s="75" t="str">
        <f>IF(C124="","",IF(#REF!&gt;5,#REF!,IF(#REF!&gt;5,#REF!,IF(#REF!&gt;5,#REF!,IF(#REF!&gt;5,#REF!,IF(#REF!&gt;5,#REF!,IF(#REF!&gt;5,#REF!,IF(#REF!&gt;5,#REF!))))))))</f>
        <v/>
      </c>
      <c r="F124" s="76" t="str">
        <f>IF(C124="","",(#REF!+#REF!+#REF!+#REF!+#REF!+#REF!+#REF!)/100)</f>
        <v/>
      </c>
      <c r="G124" s="77"/>
      <c r="H124" s="77"/>
      <c r="I124" s="77"/>
      <c r="J124" s="77"/>
      <c r="K124" s="77"/>
      <c r="L124" s="77"/>
      <c r="M124" s="79"/>
      <c r="N124" s="80"/>
      <c r="O124" s="498"/>
      <c r="S124" s="1"/>
    </row>
    <row r="125" spans="2:19" ht="30.75" customHeight="1" x14ac:dyDescent="0.25">
      <c r="B125" s="69"/>
      <c r="C125" s="70"/>
      <c r="D125" s="321"/>
      <c r="E125" s="75" t="str">
        <f>IF(C125="","",IF(#REF!&gt;5,#REF!,IF(#REF!&gt;5,#REF!,IF(#REF!&gt;5,#REF!,IF(#REF!&gt;5,#REF!,IF(#REF!&gt;5,#REF!,IF(#REF!&gt;5,#REF!,IF(#REF!&gt;5,#REF!))))))))</f>
        <v/>
      </c>
      <c r="F125" s="76" t="str">
        <f>IF(C125="","",(#REF!+#REF!+#REF!+#REF!+#REF!+#REF!+#REF!)/100)</f>
        <v/>
      </c>
      <c r="G125" s="77"/>
      <c r="H125" s="77"/>
      <c r="I125" s="77"/>
      <c r="J125" s="77"/>
      <c r="K125" s="77"/>
      <c r="L125" s="77"/>
      <c r="M125" s="79"/>
      <c r="N125" s="80"/>
      <c r="O125" s="498"/>
      <c r="S125" s="1"/>
    </row>
    <row r="126" spans="2:19" ht="30.75" customHeight="1" x14ac:dyDescent="0.25">
      <c r="B126" s="69"/>
      <c r="C126" s="70"/>
      <c r="D126" s="321"/>
      <c r="E126" s="75" t="str">
        <f>IF(C126="","",IF(#REF!&gt;5,#REF!,IF(#REF!&gt;5,#REF!,IF(#REF!&gt;5,#REF!,IF(#REF!&gt;5,#REF!,IF(#REF!&gt;5,#REF!,IF(#REF!&gt;5,#REF!,IF(#REF!&gt;5,#REF!))))))))</f>
        <v/>
      </c>
      <c r="F126" s="76" t="str">
        <f>IF(C126="","",(#REF!+#REF!+#REF!+#REF!+#REF!+#REF!+#REF!)/100)</f>
        <v/>
      </c>
      <c r="G126" s="77"/>
      <c r="H126" s="77"/>
      <c r="I126" s="77"/>
      <c r="J126" s="77"/>
      <c r="K126" s="77"/>
      <c r="L126" s="77"/>
      <c r="M126" s="79"/>
      <c r="N126" s="80"/>
      <c r="O126" s="498"/>
      <c r="S126" s="1"/>
    </row>
    <row r="127" spans="2:19" ht="30.75" customHeight="1" x14ac:dyDescent="0.25">
      <c r="B127" s="69"/>
      <c r="C127" s="70"/>
      <c r="D127" s="321"/>
      <c r="E127" s="75" t="str">
        <f>IF(C127="","",IF(#REF!&gt;5,#REF!,IF(#REF!&gt;5,#REF!,IF(#REF!&gt;5,#REF!,IF(#REF!&gt;5,#REF!,IF(#REF!&gt;5,#REF!,IF(#REF!&gt;5,#REF!,IF(#REF!&gt;5,#REF!))))))))</f>
        <v/>
      </c>
      <c r="F127" s="76" t="str">
        <f>IF(C127="","",(#REF!+#REF!+#REF!+#REF!+#REF!+#REF!+#REF!)/100)</f>
        <v/>
      </c>
      <c r="G127" s="77"/>
      <c r="H127" s="77"/>
      <c r="I127" s="77"/>
      <c r="J127" s="77"/>
      <c r="K127" s="77"/>
      <c r="L127" s="77"/>
      <c r="M127" s="79"/>
      <c r="N127" s="80"/>
      <c r="O127" s="498"/>
      <c r="S127" s="1"/>
    </row>
    <row r="128" spans="2:19" ht="30.75" customHeight="1" x14ac:dyDescent="0.25">
      <c r="B128" s="69"/>
      <c r="C128" s="70"/>
      <c r="D128" s="321"/>
      <c r="E128" s="75" t="str">
        <f>IF(C128="","",IF(#REF!&gt;5,#REF!,IF(#REF!&gt;5,#REF!,IF(#REF!&gt;5,#REF!,IF(#REF!&gt;5,#REF!,IF(#REF!&gt;5,#REF!,IF(#REF!&gt;5,#REF!,IF(#REF!&gt;5,#REF!))))))))</f>
        <v/>
      </c>
      <c r="F128" s="76" t="str">
        <f>IF(C128="","",(#REF!+#REF!+#REF!+#REF!+#REF!+#REF!+#REF!)/100)</f>
        <v/>
      </c>
      <c r="G128" s="77"/>
      <c r="H128" s="77"/>
      <c r="I128" s="77"/>
      <c r="J128" s="77"/>
      <c r="K128" s="77"/>
      <c r="L128" s="77"/>
      <c r="M128" s="79"/>
      <c r="N128" s="80"/>
      <c r="O128" s="498"/>
      <c r="S128" s="1"/>
    </row>
    <row r="129" spans="2:19" ht="30.75" customHeight="1" x14ac:dyDescent="0.25">
      <c r="B129" s="69"/>
      <c r="C129" s="70"/>
      <c r="D129" s="321"/>
      <c r="E129" s="75" t="str">
        <f>IF(C129="","",IF(#REF!&gt;5,#REF!,IF(#REF!&gt;5,#REF!,IF(#REF!&gt;5,#REF!,IF(#REF!&gt;5,#REF!,IF(#REF!&gt;5,#REF!,IF(#REF!&gt;5,#REF!,IF(#REF!&gt;5,#REF!))))))))</f>
        <v/>
      </c>
      <c r="F129" s="76" t="str">
        <f>IF(C129="","",(#REF!+#REF!+#REF!+#REF!+#REF!+#REF!+#REF!)/100)</f>
        <v/>
      </c>
      <c r="G129" s="77"/>
      <c r="H129" s="77"/>
      <c r="I129" s="77"/>
      <c r="J129" s="77"/>
      <c r="K129" s="77"/>
      <c r="L129" s="77"/>
      <c r="M129" s="79"/>
      <c r="N129" s="80"/>
      <c r="O129" s="498"/>
      <c r="S129" s="1"/>
    </row>
    <row r="130" spans="2:19" ht="30.75" customHeight="1" thickBot="1" x14ac:dyDescent="0.3">
      <c r="B130" s="69"/>
      <c r="C130" s="70"/>
      <c r="D130" s="321"/>
      <c r="E130" s="322" t="str">
        <f>IF(C130="","",IF(#REF!&gt;5,#REF!,IF(#REF!&gt;5,#REF!,IF(#REF!&gt;5,#REF!,IF(#REF!&gt;5,#REF!,IF(#REF!&gt;5,#REF!,IF(#REF!&gt;5,#REF!,IF(#REF!&gt;5,#REF!))))))))</f>
        <v/>
      </c>
      <c r="F130" s="76" t="str">
        <f>IF(C130="","",(#REF!+#REF!+#REF!+#REF!+#REF!+#REF!+#REF!)/100)</f>
        <v/>
      </c>
      <c r="G130" s="77"/>
      <c r="H130" s="77"/>
      <c r="I130" s="77"/>
      <c r="J130" s="77"/>
      <c r="K130" s="77"/>
      <c r="L130" s="77"/>
      <c r="M130" s="79"/>
      <c r="N130" s="80"/>
      <c r="O130" s="498"/>
      <c r="S130" s="1"/>
    </row>
    <row r="131" spans="2:19" ht="30.75" hidden="1" customHeight="1" thickBot="1" x14ac:dyDescent="0.3">
      <c r="B131" s="69"/>
      <c r="C131" s="70"/>
      <c r="D131" s="71"/>
      <c r="E131" s="75" t="str">
        <f>IF(C131="","",IF(#REF!&gt;5,#REF!,IF(#REF!&gt;5,#REF!,IF(#REF!&gt;5,#REF!,IF(#REF!&gt;5,#REF!,IF(#REF!&gt;5,#REF!,IF(#REF!&gt;5,#REF!,IF(#REF!&gt;5,#REF!))))))))</f>
        <v/>
      </c>
      <c r="F131" s="76" t="str">
        <f>IF(C131="","",(#REF!+#REF!+#REF!+#REF!+#REF!+#REF!+#REF!)/100)</f>
        <v/>
      </c>
      <c r="G131" s="77"/>
      <c r="H131" s="77"/>
      <c r="I131" s="77"/>
      <c r="J131" s="77"/>
      <c r="K131" s="77"/>
      <c r="L131" s="77"/>
      <c r="M131" s="79"/>
      <c r="N131" s="80"/>
      <c r="O131" s="498"/>
      <c r="S131" s="1"/>
    </row>
    <row r="132" spans="2:19" ht="30.75" hidden="1" customHeight="1" thickTop="1" thickBot="1" x14ac:dyDescent="0.3">
      <c r="B132" s="69"/>
      <c r="C132" s="70"/>
      <c r="D132" s="71"/>
      <c r="E132" s="75" t="str">
        <f>IF(C132="","",IF(#REF!&gt;5,#REF!,IF(#REF!&gt;5,#REF!,IF(#REF!&gt;5,#REF!,IF(#REF!&gt;5,#REF!,IF(#REF!&gt;5,#REF!,IF(#REF!&gt;5,#REF!,IF(#REF!&gt;5,#REF!))))))))</f>
        <v/>
      </c>
      <c r="F132" s="76" t="str">
        <f>IF(C132="","",(#REF!+#REF!+#REF!+#REF!+#REF!+#REF!+#REF!)/100)</f>
        <v/>
      </c>
      <c r="G132" s="77"/>
      <c r="H132" s="77"/>
      <c r="I132" s="77"/>
      <c r="J132" s="77"/>
      <c r="K132" s="77"/>
      <c r="L132" s="77"/>
      <c r="M132" s="79"/>
      <c r="N132" s="80"/>
      <c r="O132" s="498"/>
      <c r="S132" s="1"/>
    </row>
    <row r="133" spans="2:19" ht="30.75" hidden="1" customHeight="1" thickTop="1" thickBot="1" x14ac:dyDescent="0.3">
      <c r="B133" s="69"/>
      <c r="C133" s="70"/>
      <c r="D133" s="71"/>
      <c r="E133" s="75" t="str">
        <f>IF(C133="","",IF(#REF!&gt;5,#REF!,IF(#REF!&gt;5,#REF!,IF(#REF!&gt;5,#REF!,IF(#REF!&gt;5,#REF!,IF(#REF!&gt;5,#REF!,IF(#REF!&gt;5,#REF!,IF(#REF!&gt;5,#REF!))))))))</f>
        <v/>
      </c>
      <c r="F133" s="76" t="str">
        <f>IF(C133="","",(#REF!+#REF!+#REF!+#REF!+#REF!+#REF!+#REF!)/100)</f>
        <v/>
      </c>
      <c r="G133" s="77"/>
      <c r="H133" s="77"/>
      <c r="I133" s="77"/>
      <c r="J133" s="77"/>
      <c r="K133" s="77"/>
      <c r="L133" s="77"/>
      <c r="M133" s="79"/>
      <c r="N133" s="80"/>
      <c r="O133" s="498"/>
      <c r="S133" s="1"/>
    </row>
    <row r="134" spans="2:19" ht="30.75" hidden="1" customHeight="1" thickTop="1" thickBot="1" x14ac:dyDescent="0.3">
      <c r="B134" s="69"/>
      <c r="C134" s="70"/>
      <c r="D134" s="71"/>
      <c r="E134" s="75" t="str">
        <f>IF(C134="","",IF(#REF!&gt;5,#REF!,IF(#REF!&gt;5,#REF!,IF(#REF!&gt;5,#REF!,IF(#REF!&gt;5,#REF!,IF(#REF!&gt;5,#REF!,IF(#REF!&gt;5,#REF!,IF(#REF!&gt;5,#REF!))))))))</f>
        <v/>
      </c>
      <c r="F134" s="76" t="str">
        <f>IF(C134="","",(#REF!+#REF!+#REF!+#REF!+#REF!+#REF!+#REF!)/100)</f>
        <v/>
      </c>
      <c r="G134" s="77"/>
      <c r="H134" s="77"/>
      <c r="I134" s="77"/>
      <c r="J134" s="77"/>
      <c r="K134" s="77"/>
      <c r="L134" s="77"/>
      <c r="M134" s="79"/>
      <c r="N134" s="80"/>
      <c r="O134" s="498"/>
      <c r="S134" s="1"/>
    </row>
    <row r="135" spans="2:19" ht="30.75" hidden="1" customHeight="1" thickTop="1" thickBot="1" x14ac:dyDescent="0.3">
      <c r="B135" s="69"/>
      <c r="C135" s="70"/>
      <c r="D135" s="71"/>
      <c r="E135" s="75" t="str">
        <f>IF(C135="","",IF(#REF!&gt;5,#REF!,IF(#REF!&gt;5,#REF!,IF(#REF!&gt;5,#REF!,IF(#REF!&gt;5,#REF!,IF(#REF!&gt;5,#REF!,IF(#REF!&gt;5,#REF!,IF(#REF!&gt;5,#REF!))))))))</f>
        <v/>
      </c>
      <c r="F135" s="76" t="str">
        <f>IF(C135="","",(#REF!+#REF!+#REF!+#REF!+#REF!+#REF!+#REF!)/100)</f>
        <v/>
      </c>
      <c r="G135" s="77"/>
      <c r="H135" s="77"/>
      <c r="I135" s="77"/>
      <c r="J135" s="77"/>
      <c r="K135" s="77"/>
      <c r="L135" s="77"/>
      <c r="M135" s="79"/>
      <c r="N135" s="80"/>
      <c r="O135" s="498"/>
      <c r="S135" s="1"/>
    </row>
    <row r="136" spans="2:19" ht="30.75" hidden="1" customHeight="1" thickTop="1" thickBot="1" x14ac:dyDescent="0.3">
      <c r="B136" s="69"/>
      <c r="C136" s="70"/>
      <c r="D136" s="71"/>
      <c r="E136" s="75" t="str">
        <f>IF(C136="","",IF(#REF!&gt;5,#REF!,IF(#REF!&gt;5,#REF!,IF(#REF!&gt;5,#REF!,IF(#REF!&gt;5,#REF!,IF(#REF!&gt;5,#REF!,IF(#REF!&gt;5,#REF!,IF(#REF!&gt;5,#REF!))))))))</f>
        <v/>
      </c>
      <c r="F136" s="76" t="str">
        <f>IF(C136="","",(#REF!+#REF!+#REF!+#REF!+#REF!+#REF!+#REF!)/100)</f>
        <v/>
      </c>
      <c r="G136" s="77"/>
      <c r="H136" s="77"/>
      <c r="I136" s="77"/>
      <c r="J136" s="77"/>
      <c r="K136" s="77"/>
      <c r="L136" s="77"/>
      <c r="M136" s="79"/>
      <c r="N136" s="80"/>
      <c r="O136" s="498"/>
      <c r="S136" s="1"/>
    </row>
    <row r="137" spans="2:19" ht="30.75" hidden="1" customHeight="1" thickTop="1" thickBot="1" x14ac:dyDescent="0.3">
      <c r="B137" s="69"/>
      <c r="C137" s="70"/>
      <c r="D137" s="71"/>
      <c r="E137" s="75" t="str">
        <f>IF(C137="","",IF(#REF!&gt;5,#REF!,IF(#REF!&gt;5,#REF!,IF(#REF!&gt;5,#REF!,IF(#REF!&gt;5,#REF!,IF(#REF!&gt;5,#REF!,IF(#REF!&gt;5,#REF!,IF(#REF!&gt;5,#REF!))))))))</f>
        <v/>
      </c>
      <c r="F137" s="76" t="str">
        <f>IF(C137="","",(#REF!+#REF!+#REF!+#REF!+#REF!+#REF!+#REF!)/100)</f>
        <v/>
      </c>
      <c r="G137" s="77"/>
      <c r="H137" s="77"/>
      <c r="I137" s="77"/>
      <c r="J137" s="77"/>
      <c r="K137" s="77"/>
      <c r="L137" s="77"/>
      <c r="M137" s="79"/>
      <c r="N137" s="80"/>
      <c r="O137" s="498"/>
      <c r="S137" s="1"/>
    </row>
    <row r="138" spans="2:19" ht="30.75" hidden="1" customHeight="1" thickTop="1" thickBot="1" x14ac:dyDescent="0.3">
      <c r="B138" s="69"/>
      <c r="C138" s="70"/>
      <c r="D138" s="71"/>
      <c r="E138" s="75" t="str">
        <f>IF(C138="","",IF(#REF!&gt;5,#REF!,IF(#REF!&gt;5,#REF!,IF(#REF!&gt;5,#REF!,IF(#REF!&gt;5,#REF!,IF(#REF!&gt;5,#REF!,IF(#REF!&gt;5,#REF!,IF(#REF!&gt;5,#REF!))))))))</f>
        <v/>
      </c>
      <c r="F138" s="76" t="str">
        <f>IF(C138="","",(#REF!+#REF!+#REF!+#REF!+#REF!+#REF!+#REF!)/100)</f>
        <v/>
      </c>
      <c r="G138" s="77"/>
      <c r="H138" s="77"/>
      <c r="I138" s="77"/>
      <c r="J138" s="77"/>
      <c r="K138" s="77"/>
      <c r="L138" s="77"/>
      <c r="M138" s="79"/>
      <c r="N138" s="80"/>
      <c r="O138" s="498"/>
      <c r="S138" s="1"/>
    </row>
    <row r="139" spans="2:19" ht="30.75" hidden="1" customHeight="1" thickTop="1" thickBot="1" x14ac:dyDescent="0.3">
      <c r="B139" s="69"/>
      <c r="C139" s="70"/>
      <c r="D139" s="71"/>
      <c r="E139" s="75" t="str">
        <f>IF(C139="","",IF(#REF!&gt;5,#REF!,IF(#REF!&gt;5,#REF!,IF(#REF!&gt;5,#REF!,IF(#REF!&gt;5,#REF!,IF(#REF!&gt;5,#REF!,IF(#REF!&gt;5,#REF!,IF(#REF!&gt;5,#REF!))))))))</f>
        <v/>
      </c>
      <c r="F139" s="76" t="str">
        <f>IF(C139="","",(#REF!+#REF!+#REF!+#REF!+#REF!+#REF!+#REF!)/100)</f>
        <v/>
      </c>
      <c r="G139" s="77"/>
      <c r="H139" s="77"/>
      <c r="I139" s="77"/>
      <c r="J139" s="77"/>
      <c r="K139" s="77"/>
      <c r="L139" s="77"/>
      <c r="M139" s="79"/>
      <c r="N139" s="80"/>
      <c r="O139" s="498"/>
      <c r="S139" s="1"/>
    </row>
    <row r="140" spans="2:19" ht="30.75" hidden="1" customHeight="1" thickTop="1" thickBot="1" x14ac:dyDescent="0.3">
      <c r="B140" s="69"/>
      <c r="C140" s="70"/>
      <c r="D140" s="71"/>
      <c r="E140" s="75" t="str">
        <f>IF(C140="","",IF(#REF!&gt;5,#REF!,IF(#REF!&gt;5,#REF!,IF(#REF!&gt;5,#REF!,IF(#REF!&gt;5,#REF!,IF(#REF!&gt;5,#REF!,IF(#REF!&gt;5,#REF!,IF(#REF!&gt;5,#REF!))))))))</f>
        <v/>
      </c>
      <c r="F140" s="76" t="str">
        <f>IF(C140="","",(#REF!+#REF!+#REF!+#REF!+#REF!+#REF!+#REF!)/100)</f>
        <v/>
      </c>
      <c r="G140" s="77"/>
      <c r="H140" s="77"/>
      <c r="I140" s="77"/>
      <c r="J140" s="77"/>
      <c r="K140" s="77"/>
      <c r="L140" s="77"/>
      <c r="M140" s="79"/>
      <c r="N140" s="80"/>
      <c r="O140" s="498"/>
      <c r="S140" s="1"/>
    </row>
    <row r="141" spans="2:19" ht="30.75" hidden="1" customHeight="1" thickTop="1" thickBot="1" x14ac:dyDescent="0.3">
      <c r="B141" s="69"/>
      <c r="C141" s="70"/>
      <c r="D141" s="71"/>
      <c r="E141" s="75" t="str">
        <f>IF(C141="","",IF(#REF!&gt;5,#REF!,IF(#REF!&gt;5,#REF!,IF(#REF!&gt;5,#REF!,IF(#REF!&gt;5,#REF!,IF(#REF!&gt;5,#REF!,IF(#REF!&gt;5,#REF!,IF(#REF!&gt;5,#REF!))))))))</f>
        <v/>
      </c>
      <c r="F141" s="76" t="str">
        <f>IF(C141="","",(#REF!+#REF!+#REF!+#REF!+#REF!+#REF!+#REF!)/100)</f>
        <v/>
      </c>
      <c r="G141" s="77"/>
      <c r="H141" s="77"/>
      <c r="I141" s="77"/>
      <c r="J141" s="77"/>
      <c r="K141" s="77"/>
      <c r="L141" s="77"/>
      <c r="M141" s="79"/>
      <c r="N141" s="80"/>
      <c r="O141" s="498"/>
      <c r="S141" s="1"/>
    </row>
    <row r="142" spans="2:19" ht="30.75" hidden="1" customHeight="1" thickTop="1" thickBot="1" x14ac:dyDescent="0.3">
      <c r="B142" s="69"/>
      <c r="C142" s="70"/>
      <c r="D142" s="71"/>
      <c r="E142" s="75" t="str">
        <f>IF(C142="","",IF(#REF!&gt;5,#REF!,IF(#REF!&gt;5,#REF!,IF(#REF!&gt;5,#REF!,IF(#REF!&gt;5,#REF!,IF(#REF!&gt;5,#REF!,IF(#REF!&gt;5,#REF!,IF(#REF!&gt;5,#REF!))))))))</f>
        <v/>
      </c>
      <c r="F142" s="76" t="str">
        <f>IF(C142="","",(#REF!+#REF!+#REF!+#REF!+#REF!+#REF!+#REF!)/100)</f>
        <v/>
      </c>
      <c r="G142" s="77"/>
      <c r="H142" s="77"/>
      <c r="I142" s="77"/>
      <c r="J142" s="77"/>
      <c r="K142" s="77"/>
      <c r="L142" s="77"/>
      <c r="M142" s="79"/>
      <c r="N142" s="80"/>
      <c r="O142" s="498"/>
      <c r="S142" s="1"/>
    </row>
    <row r="143" spans="2:19" ht="30.75" hidden="1" customHeight="1" thickTop="1" thickBot="1" x14ac:dyDescent="0.3">
      <c r="B143" s="69"/>
      <c r="C143" s="70"/>
      <c r="D143" s="71"/>
      <c r="E143" s="75" t="str">
        <f>IF(C143="","",IF(#REF!&gt;5,#REF!,IF(#REF!&gt;5,#REF!,IF(#REF!&gt;5,#REF!,IF(#REF!&gt;5,#REF!,IF(#REF!&gt;5,#REF!,IF(#REF!&gt;5,#REF!,IF(#REF!&gt;5,#REF!))))))))</f>
        <v/>
      </c>
      <c r="F143" s="76" t="str">
        <f>IF(C143="","",(#REF!+#REF!+#REF!+#REF!+#REF!+#REF!+#REF!)/100)</f>
        <v/>
      </c>
      <c r="G143" s="77"/>
      <c r="H143" s="77"/>
      <c r="I143" s="77"/>
      <c r="J143" s="77"/>
      <c r="K143" s="77"/>
      <c r="L143" s="77"/>
      <c r="M143" s="79"/>
      <c r="N143" s="80"/>
      <c r="O143" s="498"/>
      <c r="S143" s="1"/>
    </row>
    <row r="144" spans="2:19" ht="30.75" hidden="1" customHeight="1" thickTop="1" thickBot="1" x14ac:dyDescent="0.3">
      <c r="B144" s="69"/>
      <c r="C144" s="70"/>
      <c r="D144" s="71"/>
      <c r="E144" s="75" t="str">
        <f>IF(C144="","",IF(#REF!&gt;5,#REF!,IF(#REF!&gt;5,#REF!,IF(#REF!&gt;5,#REF!,IF(#REF!&gt;5,#REF!,IF(#REF!&gt;5,#REF!,IF(#REF!&gt;5,#REF!,IF(#REF!&gt;5,#REF!))))))))</f>
        <v/>
      </c>
      <c r="F144" s="76" t="str">
        <f>IF(C144="","",(#REF!+#REF!+#REF!+#REF!+#REF!+#REF!+#REF!)/100)</f>
        <v/>
      </c>
      <c r="G144" s="77"/>
      <c r="H144" s="77"/>
      <c r="I144" s="77"/>
      <c r="J144" s="77"/>
      <c r="K144" s="77"/>
      <c r="L144" s="77"/>
      <c r="M144" s="79"/>
      <c r="N144" s="80"/>
      <c r="O144" s="498"/>
      <c r="S144" s="1"/>
    </row>
    <row r="145" spans="2:19" ht="30.75" hidden="1" customHeight="1" thickTop="1" thickBot="1" x14ac:dyDescent="0.3">
      <c r="B145" s="69"/>
      <c r="C145" s="70"/>
      <c r="D145" s="71"/>
      <c r="E145" s="75" t="str">
        <f>IF(C145="","",IF(#REF!&gt;5,#REF!,IF(#REF!&gt;5,#REF!,IF(#REF!&gt;5,#REF!,IF(#REF!&gt;5,#REF!,IF(#REF!&gt;5,#REF!,IF(#REF!&gt;5,#REF!,IF(#REF!&gt;5,#REF!))))))))</f>
        <v/>
      </c>
      <c r="F145" s="76" t="str">
        <f>IF(C145="","",(#REF!+#REF!+#REF!+#REF!+#REF!+#REF!+#REF!)/100)</f>
        <v/>
      </c>
      <c r="G145" s="77"/>
      <c r="H145" s="77"/>
      <c r="I145" s="77"/>
      <c r="J145" s="77"/>
      <c r="K145" s="77"/>
      <c r="L145" s="77"/>
      <c r="M145" s="79"/>
      <c r="N145" s="80"/>
      <c r="O145" s="498"/>
      <c r="S145" s="1"/>
    </row>
    <row r="146" spans="2:19" ht="30.75" hidden="1" customHeight="1" thickTop="1" thickBot="1" x14ac:dyDescent="0.3">
      <c r="B146" s="69"/>
      <c r="C146" s="70"/>
      <c r="D146" s="71"/>
      <c r="E146" s="75" t="str">
        <f>IF(C146="","",IF(#REF!&gt;5,#REF!,IF(#REF!&gt;5,#REF!,IF(#REF!&gt;5,#REF!,IF(#REF!&gt;5,#REF!,IF(#REF!&gt;5,#REF!,IF(#REF!&gt;5,#REF!,IF(#REF!&gt;5,#REF!))))))))</f>
        <v/>
      </c>
      <c r="F146" s="76" t="str">
        <f>IF(C146="","",(#REF!+#REF!+#REF!+#REF!+#REF!+#REF!+#REF!)/100)</f>
        <v/>
      </c>
      <c r="G146" s="77"/>
      <c r="H146" s="77"/>
      <c r="I146" s="77"/>
      <c r="J146" s="77"/>
      <c r="K146" s="77"/>
      <c r="L146" s="77"/>
      <c r="M146" s="79"/>
      <c r="N146" s="80"/>
      <c r="O146" s="498"/>
      <c r="S146" s="1"/>
    </row>
    <row r="147" spans="2:19" ht="30.75" hidden="1" customHeight="1" thickTop="1" thickBot="1" x14ac:dyDescent="0.3">
      <c r="B147" s="69"/>
      <c r="C147" s="70"/>
      <c r="D147" s="71"/>
      <c r="E147" s="75" t="str">
        <f>IF(C147="","",IF(#REF!&gt;5,#REF!,IF(#REF!&gt;5,#REF!,IF(#REF!&gt;5,#REF!,IF(#REF!&gt;5,#REF!,IF(#REF!&gt;5,#REF!,IF(#REF!&gt;5,#REF!,IF(#REF!&gt;5,#REF!))))))))</f>
        <v/>
      </c>
      <c r="F147" s="76" t="str">
        <f>IF(C147="","",(#REF!+#REF!+#REF!+#REF!+#REF!+#REF!+#REF!)/100)</f>
        <v/>
      </c>
      <c r="G147" s="77"/>
      <c r="H147" s="77"/>
      <c r="I147" s="77"/>
      <c r="J147" s="77"/>
      <c r="K147" s="77"/>
      <c r="L147" s="77"/>
      <c r="M147" s="79"/>
      <c r="N147" s="80"/>
      <c r="O147" s="498"/>
      <c r="S147" s="1"/>
    </row>
    <row r="148" spans="2:19" ht="30.75" hidden="1" customHeight="1" thickTop="1" thickBot="1" x14ac:dyDescent="0.3">
      <c r="B148" s="69"/>
      <c r="C148" s="70"/>
      <c r="D148" s="71"/>
      <c r="E148" s="75" t="str">
        <f>IF(C148="","",IF(#REF!&gt;5,#REF!,IF(#REF!&gt;5,#REF!,IF(#REF!&gt;5,#REF!,IF(#REF!&gt;5,#REF!,IF(#REF!&gt;5,#REF!,IF(#REF!&gt;5,#REF!,IF(#REF!&gt;5,#REF!))))))))</f>
        <v/>
      </c>
      <c r="F148" s="76" t="str">
        <f>IF(C148="","",(#REF!+#REF!+#REF!+#REF!+#REF!+#REF!+#REF!)/100)</f>
        <v/>
      </c>
      <c r="G148" s="77"/>
      <c r="H148" s="77"/>
      <c r="I148" s="77"/>
      <c r="J148" s="77"/>
      <c r="K148" s="77"/>
      <c r="L148" s="77"/>
      <c r="M148" s="79"/>
      <c r="N148" s="80"/>
      <c r="O148" s="498"/>
      <c r="S148" s="1"/>
    </row>
    <row r="149" spans="2:19" ht="30.75" hidden="1" customHeight="1" thickTop="1" thickBot="1" x14ac:dyDescent="0.3">
      <c r="B149" s="69"/>
      <c r="C149" s="70"/>
      <c r="D149" s="71"/>
      <c r="E149" s="75" t="str">
        <f>IF(C149="","",IF(#REF!&gt;5,#REF!,IF(#REF!&gt;5,#REF!,IF(#REF!&gt;5,#REF!,IF(#REF!&gt;5,#REF!,IF(#REF!&gt;5,#REF!,IF(#REF!&gt;5,#REF!,IF(#REF!&gt;5,#REF!))))))))</f>
        <v/>
      </c>
      <c r="F149" s="76" t="str">
        <f>IF(C149="","",(#REF!+#REF!+#REF!+#REF!+#REF!+#REF!+#REF!)/100)</f>
        <v/>
      </c>
      <c r="G149" s="77"/>
      <c r="H149" s="77"/>
      <c r="I149" s="77"/>
      <c r="J149" s="77"/>
      <c r="K149" s="77"/>
      <c r="L149" s="77"/>
      <c r="M149" s="79"/>
      <c r="N149" s="80"/>
      <c r="O149" s="498"/>
      <c r="S149" s="1"/>
    </row>
    <row r="150" spans="2:19" ht="30.75" hidden="1" customHeight="1" thickTop="1" thickBot="1" x14ac:dyDescent="0.3">
      <c r="B150" s="69"/>
      <c r="C150" s="70"/>
      <c r="D150" s="71"/>
      <c r="E150" s="75" t="str">
        <f>IF(C150="","",IF(#REF!&gt;5,#REF!,IF(#REF!&gt;5,#REF!,IF(#REF!&gt;5,#REF!,IF(#REF!&gt;5,#REF!,IF(#REF!&gt;5,#REF!,IF(#REF!&gt;5,#REF!,IF(#REF!&gt;5,#REF!))))))))</f>
        <v/>
      </c>
      <c r="F150" s="76" t="str">
        <f>IF(C150="","",(#REF!+#REF!+#REF!+#REF!+#REF!+#REF!+#REF!)/100)</f>
        <v/>
      </c>
      <c r="G150" s="77"/>
      <c r="H150" s="77"/>
      <c r="I150" s="77"/>
      <c r="J150" s="77"/>
      <c r="K150" s="77"/>
      <c r="L150" s="77"/>
      <c r="M150" s="79"/>
      <c r="N150" s="80"/>
      <c r="O150" s="498"/>
      <c r="S150" s="1"/>
    </row>
    <row r="151" spans="2:19" ht="30.75" hidden="1" customHeight="1" thickTop="1" thickBot="1" x14ac:dyDescent="0.3">
      <c r="B151" s="69"/>
      <c r="C151" s="70"/>
      <c r="D151" s="71"/>
      <c r="E151" s="75" t="str">
        <f>IF(C151="","",IF(#REF!&gt;5,#REF!,IF(#REF!&gt;5,#REF!,IF(#REF!&gt;5,#REF!,IF(#REF!&gt;5,#REF!,IF(#REF!&gt;5,#REF!,IF(#REF!&gt;5,#REF!,IF(#REF!&gt;5,#REF!))))))))</f>
        <v/>
      </c>
      <c r="F151" s="76" t="str">
        <f>IF(C151="","",(#REF!+#REF!+#REF!+#REF!+#REF!+#REF!+#REF!)/100)</f>
        <v/>
      </c>
      <c r="G151" s="77"/>
      <c r="H151" s="77"/>
      <c r="I151" s="77"/>
      <c r="J151" s="77"/>
      <c r="K151" s="77"/>
      <c r="L151" s="77"/>
      <c r="M151" s="79"/>
      <c r="N151" s="80"/>
      <c r="O151" s="498"/>
      <c r="S151" s="1"/>
    </row>
    <row r="152" spans="2:19" ht="30.75" hidden="1" customHeight="1" thickTop="1" thickBot="1" x14ac:dyDescent="0.3">
      <c r="B152" s="69"/>
      <c r="C152" s="70"/>
      <c r="D152" s="71"/>
      <c r="E152" s="75" t="str">
        <f>IF(C152="","",IF(#REF!&gt;5,#REF!,IF(#REF!&gt;5,#REF!,IF(#REF!&gt;5,#REF!,IF(#REF!&gt;5,#REF!,IF(#REF!&gt;5,#REF!,IF(#REF!&gt;5,#REF!,IF(#REF!&gt;5,#REF!))))))))</f>
        <v/>
      </c>
      <c r="F152" s="76" t="str">
        <f>IF(C152="","",(#REF!+#REF!+#REF!+#REF!+#REF!+#REF!+#REF!)/100)</f>
        <v/>
      </c>
      <c r="G152" s="77"/>
      <c r="H152" s="77"/>
      <c r="I152" s="77"/>
      <c r="J152" s="77"/>
      <c r="K152" s="77"/>
      <c r="L152" s="77"/>
      <c r="M152" s="79"/>
      <c r="N152" s="80"/>
      <c r="O152" s="498"/>
      <c r="S152" s="1"/>
    </row>
    <row r="153" spans="2:19" ht="30.75" hidden="1" customHeight="1" thickTop="1" thickBot="1" x14ac:dyDescent="0.3">
      <c r="B153" s="69"/>
      <c r="C153" s="70"/>
      <c r="D153" s="71"/>
      <c r="E153" s="75" t="str">
        <f>IF(C153="","",IF(#REF!&gt;5,#REF!,IF(#REF!&gt;5,#REF!,IF(#REF!&gt;5,#REF!,IF(#REF!&gt;5,#REF!,IF(#REF!&gt;5,#REF!,IF(#REF!&gt;5,#REF!,IF(#REF!&gt;5,#REF!))))))))</f>
        <v/>
      </c>
      <c r="F153" s="76" t="str">
        <f>IF(C153="","",(#REF!+#REF!+#REF!+#REF!+#REF!+#REF!+#REF!)/100)</f>
        <v/>
      </c>
      <c r="G153" s="77"/>
      <c r="H153" s="77"/>
      <c r="I153" s="77"/>
      <c r="J153" s="77"/>
      <c r="K153" s="77"/>
      <c r="L153" s="77"/>
      <c r="M153" s="79"/>
      <c r="N153" s="80"/>
      <c r="O153" s="498"/>
      <c r="S153" s="1"/>
    </row>
    <row r="154" spans="2:19" ht="30.75" hidden="1" customHeight="1" thickTop="1" thickBot="1" x14ac:dyDescent="0.3">
      <c r="B154" s="69"/>
      <c r="C154" s="70"/>
      <c r="D154" s="71"/>
      <c r="E154" s="75" t="str">
        <f>IF(C154="","",IF(#REF!&gt;5,#REF!,IF(#REF!&gt;5,#REF!,IF(#REF!&gt;5,#REF!,IF(#REF!&gt;5,#REF!,IF(#REF!&gt;5,#REF!,IF(#REF!&gt;5,#REF!,IF(#REF!&gt;5,#REF!))))))))</f>
        <v/>
      </c>
      <c r="F154" s="76" t="str">
        <f>IF(C154="","",(#REF!+#REF!+#REF!+#REF!+#REF!+#REF!+#REF!)/100)</f>
        <v/>
      </c>
      <c r="G154" s="77"/>
      <c r="H154" s="77"/>
      <c r="I154" s="77"/>
      <c r="J154" s="77"/>
      <c r="K154" s="77"/>
      <c r="L154" s="77"/>
      <c r="M154" s="79"/>
      <c r="N154" s="80"/>
      <c r="O154" s="498"/>
      <c r="S154" s="1"/>
    </row>
    <row r="155" spans="2:19" ht="30.75" hidden="1" customHeight="1" thickTop="1" thickBot="1" x14ac:dyDescent="0.3">
      <c r="B155" s="69"/>
      <c r="C155" s="70"/>
      <c r="D155" s="71"/>
      <c r="E155" s="75" t="str">
        <f>IF(C155="","",IF(#REF!&gt;5,#REF!,IF(#REF!&gt;5,#REF!,IF(#REF!&gt;5,#REF!,IF(#REF!&gt;5,#REF!,IF(#REF!&gt;5,#REF!,IF(#REF!&gt;5,#REF!,IF(#REF!&gt;5,#REF!))))))))</f>
        <v/>
      </c>
      <c r="F155" s="76" t="str">
        <f>IF(C155="","",(#REF!+#REF!+#REF!+#REF!+#REF!+#REF!+#REF!)/100)</f>
        <v/>
      </c>
      <c r="G155" s="77"/>
      <c r="H155" s="77"/>
      <c r="I155" s="77"/>
      <c r="J155" s="77"/>
      <c r="K155" s="77"/>
      <c r="L155" s="77"/>
      <c r="M155" s="79"/>
      <c r="N155" s="80"/>
      <c r="O155" s="498"/>
      <c r="S155" s="1"/>
    </row>
    <row r="156" spans="2:19" ht="30.75" hidden="1" customHeight="1" thickTop="1" thickBot="1" x14ac:dyDescent="0.3">
      <c r="B156" s="69"/>
      <c r="C156" s="70"/>
      <c r="D156" s="71"/>
      <c r="E156" s="75" t="str">
        <f>IF(C156="","",IF(#REF!&gt;5,#REF!,IF(#REF!&gt;5,#REF!,IF(#REF!&gt;5,#REF!,IF(#REF!&gt;5,#REF!,IF(#REF!&gt;5,#REF!,IF(#REF!&gt;5,#REF!,IF(#REF!&gt;5,#REF!))))))))</f>
        <v/>
      </c>
      <c r="F156" s="76" t="str">
        <f>IF(C156="","",(#REF!+#REF!+#REF!+#REF!+#REF!+#REF!+#REF!)/100)</f>
        <v/>
      </c>
      <c r="G156" s="77"/>
      <c r="H156" s="77"/>
      <c r="I156" s="77"/>
      <c r="J156" s="77"/>
      <c r="K156" s="77"/>
      <c r="L156" s="77"/>
      <c r="M156" s="79"/>
      <c r="N156" s="80"/>
      <c r="O156" s="498"/>
      <c r="S156" s="1"/>
    </row>
    <row r="157" spans="2:19" ht="30.75" hidden="1" customHeight="1" thickTop="1" thickBot="1" x14ac:dyDescent="0.3">
      <c r="B157" s="69"/>
      <c r="C157" s="70"/>
      <c r="D157" s="71"/>
      <c r="E157" s="75" t="str">
        <f>IF(C157="","",IF(#REF!&gt;5,#REF!,IF(#REF!&gt;5,#REF!,IF(#REF!&gt;5,#REF!,IF(#REF!&gt;5,#REF!,IF(#REF!&gt;5,#REF!,IF(#REF!&gt;5,#REF!,IF(#REF!&gt;5,#REF!))))))))</f>
        <v/>
      </c>
      <c r="F157" s="76" t="str">
        <f>IF(C157="","",(#REF!+#REF!+#REF!+#REF!+#REF!+#REF!+#REF!)/100)</f>
        <v/>
      </c>
      <c r="G157" s="77"/>
      <c r="H157" s="77"/>
      <c r="I157" s="77"/>
      <c r="J157" s="77"/>
      <c r="K157" s="77"/>
      <c r="L157" s="77"/>
      <c r="M157" s="79"/>
      <c r="N157" s="80"/>
      <c r="O157" s="498"/>
      <c r="S157" s="1"/>
    </row>
    <row r="158" spans="2:19" ht="30.75" hidden="1" customHeight="1" thickTop="1" thickBot="1" x14ac:dyDescent="0.3">
      <c r="B158" s="69"/>
      <c r="C158" s="70"/>
      <c r="D158" s="71"/>
      <c r="E158" s="75" t="str">
        <f>IF(C158="","",IF(#REF!&gt;5,#REF!,IF(#REF!&gt;5,#REF!,IF(#REF!&gt;5,#REF!,IF(#REF!&gt;5,#REF!,IF(#REF!&gt;5,#REF!,IF(#REF!&gt;5,#REF!,IF(#REF!&gt;5,#REF!))))))))</f>
        <v/>
      </c>
      <c r="F158" s="76" t="str">
        <f>IF(C158="","",(#REF!+#REF!+#REF!+#REF!+#REF!+#REF!+#REF!)/100)</f>
        <v/>
      </c>
      <c r="G158" s="77"/>
      <c r="H158" s="77"/>
      <c r="I158" s="77"/>
      <c r="J158" s="77"/>
      <c r="K158" s="77"/>
      <c r="L158" s="77"/>
      <c r="M158" s="79"/>
      <c r="N158" s="80"/>
      <c r="O158" s="498"/>
      <c r="S158" s="1"/>
    </row>
    <row r="159" spans="2:19" ht="30.75" hidden="1" customHeight="1" thickTop="1" thickBot="1" x14ac:dyDescent="0.3">
      <c r="B159" s="69"/>
      <c r="C159" s="70"/>
      <c r="D159" s="71"/>
      <c r="E159" s="75" t="str">
        <f>IF(C159="","",IF(#REF!&gt;5,#REF!,IF(#REF!&gt;5,#REF!,IF(#REF!&gt;5,#REF!,IF(#REF!&gt;5,#REF!,IF(#REF!&gt;5,#REF!,IF(#REF!&gt;5,#REF!,IF(#REF!&gt;5,#REF!))))))))</f>
        <v/>
      </c>
      <c r="F159" s="76" t="str">
        <f>IF(C159="","",(#REF!+#REF!+#REF!+#REF!+#REF!+#REF!+#REF!)/100)</f>
        <v/>
      </c>
      <c r="G159" s="77"/>
      <c r="H159" s="77"/>
      <c r="I159" s="77"/>
      <c r="J159" s="77"/>
      <c r="K159" s="77"/>
      <c r="L159" s="77"/>
      <c r="M159" s="79"/>
      <c r="N159" s="80"/>
      <c r="O159" s="498"/>
      <c r="S159" s="1"/>
    </row>
    <row r="160" spans="2:19" ht="30.75" hidden="1" customHeight="1" thickTop="1" thickBot="1" x14ac:dyDescent="0.3">
      <c r="B160" s="69"/>
      <c r="C160" s="70"/>
      <c r="D160" s="71"/>
      <c r="E160" s="75" t="str">
        <f>IF(C160="","",IF(#REF!&gt;5,#REF!,IF(#REF!&gt;5,#REF!,IF(#REF!&gt;5,#REF!,IF(#REF!&gt;5,#REF!,IF(#REF!&gt;5,#REF!,IF(#REF!&gt;5,#REF!,IF(#REF!&gt;5,#REF!))))))))</f>
        <v/>
      </c>
      <c r="F160" s="76" t="str">
        <f>IF(C160="","",(#REF!+#REF!+#REF!+#REF!+#REF!+#REF!+#REF!)/100)</f>
        <v/>
      </c>
      <c r="G160" s="77"/>
      <c r="H160" s="77"/>
      <c r="I160" s="77"/>
      <c r="J160" s="77"/>
      <c r="K160" s="77"/>
      <c r="L160" s="77"/>
      <c r="M160" s="79"/>
      <c r="N160" s="80"/>
      <c r="O160" s="498"/>
      <c r="S160" s="1"/>
    </row>
    <row r="161" spans="2:19" ht="30.75" hidden="1" customHeight="1" thickTop="1" thickBot="1" x14ac:dyDescent="0.3">
      <c r="B161" s="69"/>
      <c r="C161" s="70"/>
      <c r="D161" s="71"/>
      <c r="E161" s="75" t="str">
        <f>IF(C161="","",IF(#REF!&gt;5,#REF!,IF(#REF!&gt;5,#REF!,IF(#REF!&gt;5,#REF!,IF(#REF!&gt;5,#REF!,IF(#REF!&gt;5,#REF!,IF(#REF!&gt;5,#REF!,IF(#REF!&gt;5,#REF!))))))))</f>
        <v/>
      </c>
      <c r="F161" s="76" t="str">
        <f>IF(C161="","",(#REF!+#REF!+#REF!+#REF!+#REF!+#REF!+#REF!)/100)</f>
        <v/>
      </c>
      <c r="G161" s="77"/>
      <c r="H161" s="77"/>
      <c r="I161" s="77"/>
      <c r="J161" s="77"/>
      <c r="K161" s="77"/>
      <c r="L161" s="77"/>
      <c r="M161" s="79"/>
      <c r="N161" s="80"/>
      <c r="O161" s="498"/>
      <c r="S161" s="1"/>
    </row>
    <row r="162" spans="2:19" ht="30.75" hidden="1" customHeight="1" thickTop="1" thickBot="1" x14ac:dyDescent="0.3">
      <c r="B162" s="69"/>
      <c r="C162" s="70"/>
      <c r="D162" s="71"/>
      <c r="E162" s="75" t="str">
        <f>IF(C162="","",IF(#REF!&gt;5,#REF!,IF(#REF!&gt;5,#REF!,IF(#REF!&gt;5,#REF!,IF(#REF!&gt;5,#REF!,IF(#REF!&gt;5,#REF!,IF(#REF!&gt;5,#REF!,IF(#REF!&gt;5,#REF!))))))))</f>
        <v/>
      </c>
      <c r="F162" s="76" t="str">
        <f>IF(C162="","",(#REF!+#REF!+#REF!+#REF!+#REF!+#REF!+#REF!)/100)</f>
        <v/>
      </c>
      <c r="G162" s="77"/>
      <c r="H162" s="77"/>
      <c r="I162" s="77"/>
      <c r="J162" s="77"/>
      <c r="K162" s="77"/>
      <c r="L162" s="77"/>
      <c r="M162" s="79"/>
      <c r="N162" s="80"/>
      <c r="O162" s="498"/>
      <c r="S162" s="1"/>
    </row>
    <row r="163" spans="2:19" ht="30.75" hidden="1" customHeight="1" thickTop="1" thickBot="1" x14ac:dyDescent="0.3">
      <c r="B163" s="69"/>
      <c r="C163" s="70"/>
      <c r="D163" s="71"/>
      <c r="E163" s="75" t="str">
        <f>IF(C163="","",IF(#REF!&gt;5,#REF!,IF(#REF!&gt;5,#REF!,IF(#REF!&gt;5,#REF!,IF(#REF!&gt;5,#REF!,IF(#REF!&gt;5,#REF!,IF(#REF!&gt;5,#REF!,IF(#REF!&gt;5,#REF!))))))))</f>
        <v/>
      </c>
      <c r="F163" s="76" t="str">
        <f>IF(C163="","",(#REF!+#REF!+#REF!+#REF!+#REF!+#REF!+#REF!)/100)</f>
        <v/>
      </c>
      <c r="G163" s="77"/>
      <c r="H163" s="77"/>
      <c r="I163" s="77"/>
      <c r="J163" s="77"/>
      <c r="K163" s="77"/>
      <c r="L163" s="77"/>
      <c r="M163" s="79"/>
      <c r="N163" s="80"/>
      <c r="O163" s="498"/>
      <c r="S163" s="1"/>
    </row>
    <row r="164" spans="2:19" ht="30.75" hidden="1" customHeight="1" thickTop="1" thickBot="1" x14ac:dyDescent="0.3">
      <c r="B164" s="69"/>
      <c r="C164" s="70"/>
      <c r="D164" s="71"/>
      <c r="E164" s="75" t="str">
        <f>IF(C164="","",IF(#REF!&gt;5,#REF!,IF(#REF!&gt;5,#REF!,IF(#REF!&gt;5,#REF!,IF(#REF!&gt;5,#REF!,IF(#REF!&gt;5,#REF!,IF(#REF!&gt;5,#REF!,IF(#REF!&gt;5,#REF!))))))))</f>
        <v/>
      </c>
      <c r="F164" s="76" t="str">
        <f>IF(C164="","",(#REF!+#REF!+#REF!+#REF!+#REF!+#REF!+#REF!)/100)</f>
        <v/>
      </c>
      <c r="G164" s="77"/>
      <c r="H164" s="77"/>
      <c r="I164" s="77"/>
      <c r="J164" s="77"/>
      <c r="K164" s="77"/>
      <c r="L164" s="77"/>
      <c r="M164" s="79"/>
      <c r="N164" s="80"/>
      <c r="O164" s="498"/>
      <c r="S164" s="1"/>
    </row>
    <row r="165" spans="2:19" ht="30.75" hidden="1" customHeight="1" thickTop="1" thickBot="1" x14ac:dyDescent="0.3">
      <c r="B165" s="69"/>
      <c r="C165" s="70"/>
      <c r="D165" s="71"/>
      <c r="E165" s="75" t="str">
        <f>IF(C165="","",IF(#REF!&gt;5,#REF!,IF(#REF!&gt;5,#REF!,IF(#REF!&gt;5,#REF!,IF(#REF!&gt;5,#REF!,IF(#REF!&gt;5,#REF!,IF(#REF!&gt;5,#REF!,IF(#REF!&gt;5,#REF!))))))))</f>
        <v/>
      </c>
      <c r="F165" s="76" t="str">
        <f>IF(C165="","",(#REF!+#REF!+#REF!+#REF!+#REF!+#REF!+#REF!)/100)</f>
        <v/>
      </c>
      <c r="G165" s="77"/>
      <c r="H165" s="77"/>
      <c r="I165" s="77"/>
      <c r="J165" s="77"/>
      <c r="K165" s="77"/>
      <c r="L165" s="77"/>
      <c r="M165" s="79"/>
      <c r="N165" s="80"/>
      <c r="O165" s="498"/>
      <c r="S165" s="1"/>
    </row>
    <row r="166" spans="2:19" ht="30.75" hidden="1" customHeight="1" thickTop="1" thickBot="1" x14ac:dyDescent="0.3">
      <c r="B166" s="69"/>
      <c r="C166" s="70"/>
      <c r="D166" s="71"/>
      <c r="E166" s="75" t="str">
        <f>IF(C166="","",IF(#REF!&gt;5,#REF!,IF(#REF!&gt;5,#REF!,IF(#REF!&gt;5,#REF!,IF(#REF!&gt;5,#REF!,IF(#REF!&gt;5,#REF!,IF(#REF!&gt;5,#REF!,IF(#REF!&gt;5,#REF!))))))))</f>
        <v/>
      </c>
      <c r="F166" s="76" t="str">
        <f>IF(C166="","",(#REF!+#REF!+#REF!+#REF!+#REF!+#REF!+#REF!)/100)</f>
        <v/>
      </c>
      <c r="G166" s="77"/>
      <c r="H166" s="77"/>
      <c r="I166" s="77"/>
      <c r="J166" s="77"/>
      <c r="K166" s="77"/>
      <c r="L166" s="77"/>
      <c r="M166" s="79"/>
      <c r="N166" s="80"/>
      <c r="O166" s="498"/>
      <c r="S166" s="1"/>
    </row>
    <row r="167" spans="2:19" ht="30.75" hidden="1" customHeight="1" thickTop="1" thickBot="1" x14ac:dyDescent="0.3">
      <c r="B167" s="69"/>
      <c r="C167" s="70"/>
      <c r="D167" s="71"/>
      <c r="E167" s="75" t="str">
        <f>IF(C167="","",IF(#REF!&gt;5,#REF!,IF(#REF!&gt;5,#REF!,IF(#REF!&gt;5,#REF!,IF(#REF!&gt;5,#REF!,IF(#REF!&gt;5,#REF!,IF(#REF!&gt;5,#REF!,IF(#REF!&gt;5,#REF!))))))))</f>
        <v/>
      </c>
      <c r="F167" s="76" t="str">
        <f>IF(C167="","",(#REF!+#REF!+#REF!+#REF!+#REF!+#REF!+#REF!)/100)</f>
        <v/>
      </c>
      <c r="G167" s="77"/>
      <c r="H167" s="77"/>
      <c r="I167" s="77"/>
      <c r="J167" s="77"/>
      <c r="K167" s="77"/>
      <c r="L167" s="77"/>
      <c r="M167" s="79"/>
      <c r="N167" s="80"/>
      <c r="O167" s="498"/>
      <c r="S167" s="1"/>
    </row>
    <row r="168" spans="2:19" ht="30.75" hidden="1" customHeight="1" thickTop="1" thickBot="1" x14ac:dyDescent="0.3">
      <c r="B168" s="69"/>
      <c r="C168" s="70"/>
      <c r="D168" s="71"/>
      <c r="E168" s="75" t="str">
        <f>IF(C168="","",IF(#REF!&gt;5,#REF!,IF(#REF!&gt;5,#REF!,IF(#REF!&gt;5,#REF!,IF(#REF!&gt;5,#REF!,IF(#REF!&gt;5,#REF!,IF(#REF!&gt;5,#REF!,IF(#REF!&gt;5,#REF!))))))))</f>
        <v/>
      </c>
      <c r="F168" s="76" t="str">
        <f>IF(C168="","",(#REF!+#REF!+#REF!+#REF!+#REF!+#REF!+#REF!)/100)</f>
        <v/>
      </c>
      <c r="G168" s="77"/>
      <c r="H168" s="77"/>
      <c r="I168" s="77"/>
      <c r="J168" s="77"/>
      <c r="K168" s="77"/>
      <c r="L168" s="77"/>
      <c r="M168" s="79"/>
      <c r="N168" s="80"/>
      <c r="O168" s="498"/>
      <c r="S168" s="1"/>
    </row>
    <row r="169" spans="2:19" ht="30.75" hidden="1" customHeight="1" thickTop="1" thickBot="1" x14ac:dyDescent="0.3">
      <c r="B169" s="69"/>
      <c r="C169" s="70"/>
      <c r="D169" s="71"/>
      <c r="E169" s="75" t="str">
        <f>IF(C169="","",IF(#REF!&gt;5,#REF!,IF(#REF!&gt;5,#REF!,IF(#REF!&gt;5,#REF!,IF(#REF!&gt;5,#REF!,IF(#REF!&gt;5,#REF!,IF(#REF!&gt;5,#REF!,IF(#REF!&gt;5,#REF!))))))))</f>
        <v/>
      </c>
      <c r="F169" s="76" t="str">
        <f>IF(C169="","",(#REF!+#REF!+#REF!+#REF!+#REF!+#REF!+#REF!)/100)</f>
        <v/>
      </c>
      <c r="G169" s="77"/>
      <c r="H169" s="77"/>
      <c r="I169" s="77"/>
      <c r="J169" s="78"/>
      <c r="K169" s="78"/>
      <c r="L169" s="77"/>
      <c r="M169" s="79"/>
      <c r="N169" s="80"/>
      <c r="O169" s="498"/>
      <c r="S169" s="1"/>
    </row>
    <row r="170" spans="2:19" ht="30.75" hidden="1" customHeight="1" thickTop="1" thickBot="1" x14ac:dyDescent="0.3">
      <c r="B170" s="69"/>
      <c r="C170" s="70"/>
      <c r="D170" s="71"/>
      <c r="E170" s="75" t="str">
        <f>IF(C170="","",IF(#REF!&gt;5,#REF!,IF(#REF!&gt;5,#REF!,IF(#REF!&gt;5,#REF!,IF(#REF!&gt;5,#REF!,IF(#REF!&gt;5,#REF!,IF(#REF!&gt;5,#REF!,IF(#REF!&gt;5,#REF!))))))))</f>
        <v/>
      </c>
      <c r="F170" s="76" t="str">
        <f>IF(C170="","",(#REF!+#REF!+#REF!+#REF!+#REF!+#REF!+#REF!)/100)</f>
        <v/>
      </c>
      <c r="G170" s="77"/>
      <c r="H170" s="77"/>
      <c r="I170" s="77"/>
      <c r="J170" s="78"/>
      <c r="K170" s="78"/>
      <c r="L170" s="77"/>
      <c r="M170" s="79"/>
      <c r="N170" s="80"/>
      <c r="O170" s="498"/>
      <c r="S170" s="1"/>
    </row>
    <row r="171" spans="2:19" ht="30.75" hidden="1" customHeight="1" thickTop="1" thickBot="1" x14ac:dyDescent="0.3">
      <c r="B171" s="69"/>
      <c r="C171" s="70"/>
      <c r="D171" s="71"/>
      <c r="E171" s="75" t="str">
        <f>IF(C171="","",IF(#REF!&gt;5,#REF!,IF(#REF!&gt;5,#REF!,IF(#REF!&gt;5,#REF!,IF(#REF!&gt;5,#REF!,IF(#REF!&gt;5,#REF!,IF(#REF!&gt;5,#REF!,IF(#REF!&gt;5,#REF!))))))))</f>
        <v/>
      </c>
      <c r="F171" s="76" t="str">
        <f>IF(C171="","",(#REF!+#REF!+#REF!+#REF!+#REF!+#REF!+#REF!)/100)</f>
        <v/>
      </c>
      <c r="G171" s="77"/>
      <c r="H171" s="77"/>
      <c r="I171" s="77"/>
      <c r="J171" s="78"/>
      <c r="K171" s="78"/>
      <c r="L171" s="77"/>
      <c r="M171" s="79"/>
      <c r="N171" s="80"/>
      <c r="O171" s="498"/>
      <c r="S171" s="1"/>
    </row>
    <row r="172" spans="2:19" ht="27" hidden="1" customHeight="1" thickTop="1" thickBot="1" x14ac:dyDescent="0.3">
      <c r="B172" s="81"/>
      <c r="C172" s="82"/>
      <c r="D172" s="83"/>
      <c r="E172" s="75" t="str">
        <f>IF(C172="","",IF(#REF!&gt;5,#REF!,IF(#REF!&gt;5,#REF!,IF(#REF!&gt;5,#REF!,IF(#REF!&gt;5,#REF!,IF(#REF!&gt;5,#REF!,IF(#REF!&gt;5,#REF!,IF(#REF!&gt;5,#REF!))))))))</f>
        <v/>
      </c>
      <c r="F172" s="76" t="str">
        <f>IF(C172="","",(#REF!+#REF!+#REF!+#REF!+#REF!+#REF!+#REF!)/100)</f>
        <v/>
      </c>
      <c r="G172" s="86"/>
      <c r="H172" s="86"/>
      <c r="I172" s="86"/>
      <c r="J172" s="87"/>
      <c r="K172" s="78"/>
      <c r="L172" s="86"/>
      <c r="M172" s="88"/>
      <c r="N172" s="89"/>
      <c r="O172" s="498"/>
      <c r="S172" s="1"/>
    </row>
    <row r="173" spans="2:19" ht="27" customHeight="1" thickTop="1" thickBot="1" x14ac:dyDescent="0.3">
      <c r="B173" s="346" t="s">
        <v>202</v>
      </c>
      <c r="C173" s="347"/>
      <c r="D173" s="348"/>
      <c r="E173" s="124" t="e">
        <f>AVERAGE(E119:E123)</f>
        <v>#DIV/0!</v>
      </c>
      <c r="F173" s="124" t="e">
        <f>AVERAGE(F119:F123)</f>
        <v>#DIV/0!</v>
      </c>
      <c r="G173" s="124" t="e">
        <f t="shared" ref="G173:L173" si="0">AVERAGE(G119:G123)</f>
        <v>#DIV/0!</v>
      </c>
      <c r="H173" s="124" t="e">
        <f t="shared" ref="H173" si="1">AVERAGE(H119:H123)</f>
        <v>#DIV/0!</v>
      </c>
      <c r="I173" s="124" t="e">
        <f t="shared" si="0"/>
        <v>#DIV/0!</v>
      </c>
      <c r="J173" s="124" t="e">
        <f t="shared" si="0"/>
        <v>#DIV/0!</v>
      </c>
      <c r="K173" s="124" t="e">
        <f t="shared" si="0"/>
        <v>#DIV/0!</v>
      </c>
      <c r="L173" s="124" t="e">
        <f t="shared" si="0"/>
        <v>#DIV/0!</v>
      </c>
      <c r="M173" s="125"/>
      <c r="N173" s="126"/>
      <c r="O173" s="498"/>
      <c r="S173" s="1"/>
    </row>
    <row r="174" spans="2:19" ht="27" customHeight="1" thickTop="1" x14ac:dyDescent="0.25">
      <c r="B174" s="349" t="s">
        <v>96</v>
      </c>
      <c r="C174" s="121" t="s">
        <v>0</v>
      </c>
      <c r="D174" s="118"/>
      <c r="E174" s="128" t="e">
        <f>AVERAGE(E13:E118)</f>
        <v>#DIV/0!</v>
      </c>
      <c r="F174" s="128" t="e">
        <f>AVERAGE(F13:F118)</f>
        <v>#DIV/0!</v>
      </c>
      <c r="G174" s="128" t="e">
        <f>AVERAGE(G13:G118)</f>
        <v>#DIV/0!</v>
      </c>
      <c r="H174" s="128" t="e">
        <f t="shared" ref="H174" si="2">AVERAGE(H13:H118)</f>
        <v>#DIV/0!</v>
      </c>
      <c r="I174" s="128" t="e">
        <f t="shared" ref="I174:L174" si="3">AVERAGE(I13:I118)</f>
        <v>#DIV/0!</v>
      </c>
      <c r="J174" s="128" t="e">
        <f t="shared" si="3"/>
        <v>#DIV/0!</v>
      </c>
      <c r="K174" s="128" t="e">
        <f t="shared" si="3"/>
        <v>#DIV/0!</v>
      </c>
      <c r="L174" s="128" t="e">
        <f t="shared" si="3"/>
        <v>#DIV/0!</v>
      </c>
      <c r="M174" s="27"/>
      <c r="N174" s="28"/>
      <c r="O174" s="498"/>
      <c r="S174" s="1"/>
    </row>
    <row r="175" spans="2:19" ht="27" customHeight="1" x14ac:dyDescent="0.25">
      <c r="B175" s="350"/>
      <c r="C175" s="122" t="s">
        <v>26</v>
      </c>
      <c r="D175" s="119"/>
      <c r="E175" s="33">
        <f>MAX(E14:E114)</f>
        <v>0</v>
      </c>
      <c r="F175" s="33">
        <f>MAX(F14:F114)</f>
        <v>0</v>
      </c>
      <c r="G175" s="33">
        <f t="shared" ref="G175:L175" si="4">MAX(G14:G114)</f>
        <v>0</v>
      </c>
      <c r="H175" s="33">
        <f t="shared" ref="H175" si="5">MAX(H14:H114)</f>
        <v>0</v>
      </c>
      <c r="I175" s="33">
        <f t="shared" si="4"/>
        <v>0</v>
      </c>
      <c r="J175" s="33">
        <f t="shared" si="4"/>
        <v>0</v>
      </c>
      <c r="K175" s="33">
        <f t="shared" si="4"/>
        <v>0</v>
      </c>
      <c r="L175" s="33">
        <f t="shared" si="4"/>
        <v>0</v>
      </c>
      <c r="M175" s="35"/>
      <c r="N175" s="36"/>
    </row>
    <row r="176" spans="2:19" ht="27" customHeight="1" x14ac:dyDescent="0.25">
      <c r="B176" s="350"/>
      <c r="C176" s="122" t="s">
        <v>25</v>
      </c>
      <c r="D176" s="119"/>
      <c r="E176" s="33">
        <f>MIN(E80:E172)</f>
        <v>0</v>
      </c>
      <c r="F176" s="33">
        <f>MIN(F80:F172)</f>
        <v>0</v>
      </c>
      <c r="G176" s="33">
        <f t="shared" ref="G176:L176" si="6">MIN(G13:G172)</f>
        <v>0</v>
      </c>
      <c r="H176" s="33">
        <f t="shared" ref="H176" si="7">MIN(H13:H172)</f>
        <v>0</v>
      </c>
      <c r="I176" s="33">
        <f t="shared" si="6"/>
        <v>0</v>
      </c>
      <c r="J176" s="34">
        <f t="shared" si="6"/>
        <v>0</v>
      </c>
      <c r="K176" s="34">
        <f t="shared" si="6"/>
        <v>0</v>
      </c>
      <c r="L176" s="33">
        <f t="shared" si="6"/>
        <v>0</v>
      </c>
      <c r="M176" s="35"/>
      <c r="N176" s="36"/>
    </row>
    <row r="177" spans="2:14" ht="27" customHeight="1" thickBot="1" x14ac:dyDescent="0.3">
      <c r="B177" s="351"/>
      <c r="C177" s="123" t="s">
        <v>1</v>
      </c>
      <c r="D177" s="120"/>
      <c r="E177" s="42" t="e">
        <f t="shared" ref="E177" si="8">STDEV(E13:E172)</f>
        <v>#DIV/0!</v>
      </c>
      <c r="F177" s="42" t="e">
        <f t="shared" ref="F177:L177" si="9">STDEV(F13:F172)</f>
        <v>#DIV/0!</v>
      </c>
      <c r="G177" s="42" t="e">
        <f t="shared" si="9"/>
        <v>#DIV/0!</v>
      </c>
      <c r="H177" s="42" t="e">
        <f t="shared" ref="H177" si="10">STDEV(H13:H172)</f>
        <v>#DIV/0!</v>
      </c>
      <c r="I177" s="42" t="e">
        <f t="shared" si="9"/>
        <v>#DIV/0!</v>
      </c>
      <c r="J177" s="43" t="e">
        <f t="shared" si="9"/>
        <v>#DIV/0!</v>
      </c>
      <c r="K177" s="43" t="e">
        <f t="shared" si="9"/>
        <v>#DIV/0!</v>
      </c>
      <c r="L177" s="42" t="e">
        <f t="shared" si="9"/>
        <v>#DIV/0!</v>
      </c>
      <c r="M177" s="44"/>
      <c r="N177" s="45"/>
    </row>
    <row r="178" spans="2:14" ht="15" customHeight="1" x14ac:dyDescent="0.25"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</row>
    <row r="179" spans="2:14" ht="30" customHeight="1" x14ac:dyDescent="0.25">
      <c r="B179" s="393" t="s">
        <v>219</v>
      </c>
      <c r="C179" s="393"/>
      <c r="D179" s="394" t="s">
        <v>230</v>
      </c>
      <c r="E179" s="394"/>
      <c r="F179" s="394"/>
      <c r="G179" s="394"/>
      <c r="H179" s="394"/>
      <c r="I179" s="394"/>
      <c r="J179" s="394"/>
      <c r="K179" s="394"/>
      <c r="L179" s="394"/>
      <c r="M179" s="394"/>
      <c r="N179" s="339"/>
    </row>
    <row r="180" spans="2:14" ht="30" customHeight="1" x14ac:dyDescent="0.25">
      <c r="B180" s="395" t="s">
        <v>220</v>
      </c>
      <c r="C180" s="395"/>
      <c r="D180" s="396" t="s">
        <v>222</v>
      </c>
      <c r="E180" s="396"/>
      <c r="F180" s="396"/>
      <c r="G180" s="396"/>
      <c r="H180" s="396"/>
      <c r="I180" s="396"/>
      <c r="J180" s="396"/>
      <c r="K180" s="396"/>
      <c r="L180" s="396"/>
      <c r="M180" s="396"/>
      <c r="N180" s="339"/>
    </row>
    <row r="181" spans="2:14" ht="30" customHeight="1" x14ac:dyDescent="0.25">
      <c r="B181" s="397" t="s">
        <v>221</v>
      </c>
      <c r="C181" s="397"/>
      <c r="D181" s="398" t="s">
        <v>231</v>
      </c>
      <c r="E181" s="398"/>
      <c r="F181" s="398"/>
      <c r="G181" s="398"/>
      <c r="H181" s="398"/>
      <c r="I181" s="398"/>
      <c r="J181" s="398"/>
      <c r="K181" s="398"/>
      <c r="L181" s="398"/>
      <c r="M181" s="398"/>
      <c r="N181" s="339"/>
    </row>
    <row r="182" spans="2:14" ht="15" customHeight="1" x14ac:dyDescent="0.25">
      <c r="B182" s="332"/>
      <c r="C182" s="333"/>
      <c r="D182" s="334"/>
      <c r="E182" s="335"/>
      <c r="F182" s="335"/>
      <c r="G182" s="335"/>
      <c r="H182" s="335"/>
      <c r="I182" s="335"/>
      <c r="J182" s="336"/>
      <c r="K182" s="336"/>
      <c r="L182" s="335"/>
      <c r="M182" s="337"/>
      <c r="N182" s="337"/>
    </row>
    <row r="183" spans="2:14" ht="27" customHeight="1" x14ac:dyDescent="0.25">
      <c r="B183" s="326"/>
      <c r="C183" s="327"/>
      <c r="D183" s="328"/>
      <c r="E183" s="329"/>
      <c r="F183" s="329"/>
      <c r="G183" s="329"/>
      <c r="H183" s="329"/>
      <c r="I183" s="329"/>
      <c r="J183" s="330"/>
      <c r="K183" s="330"/>
      <c r="L183" s="329"/>
      <c r="M183" s="331"/>
      <c r="N183" s="331"/>
    </row>
    <row r="184" spans="2:14" ht="27" customHeight="1" x14ac:dyDescent="0.25">
      <c r="B184" s="326"/>
      <c r="C184" s="327"/>
      <c r="D184" s="328"/>
      <c r="E184" s="329"/>
      <c r="F184" s="329"/>
      <c r="G184" s="329"/>
      <c r="H184" s="329"/>
      <c r="I184" s="329"/>
      <c r="J184" s="330"/>
      <c r="K184" s="330"/>
      <c r="L184" s="329"/>
      <c r="M184" s="331"/>
      <c r="N184" s="331"/>
    </row>
    <row r="185" spans="2:14" ht="27" customHeight="1" x14ac:dyDescent="0.25">
      <c r="B185" s="326"/>
      <c r="C185" s="327"/>
      <c r="D185" s="328"/>
      <c r="E185" s="329"/>
      <c r="F185" s="329"/>
      <c r="G185" s="329"/>
      <c r="H185" s="329"/>
      <c r="I185" s="329"/>
      <c r="J185" s="330"/>
      <c r="K185" s="330"/>
      <c r="L185" s="329"/>
      <c r="M185" s="331"/>
      <c r="N185" s="331"/>
    </row>
    <row r="186" spans="2:14" ht="27" customHeight="1" x14ac:dyDescent="0.25">
      <c r="B186" s="326"/>
      <c r="C186" s="327"/>
      <c r="D186" s="328"/>
      <c r="E186" s="329"/>
      <c r="F186" s="329"/>
      <c r="G186" s="329"/>
      <c r="H186" s="329"/>
      <c r="I186" s="329"/>
      <c r="J186" s="330"/>
      <c r="K186" s="330"/>
      <c r="L186" s="329"/>
      <c r="M186" s="331"/>
      <c r="N186" s="331"/>
    </row>
    <row r="187" spans="2:14" ht="13" thickBot="1" x14ac:dyDescent="0.3">
      <c r="B187" s="5"/>
      <c r="C187" s="5"/>
      <c r="D187" s="5"/>
      <c r="E187" s="5"/>
      <c r="F187" s="46"/>
      <c r="G187" s="47"/>
      <c r="H187" s="47"/>
      <c r="I187" s="47"/>
      <c r="J187" s="46"/>
      <c r="K187" s="46"/>
      <c r="L187" s="47"/>
      <c r="M187" s="5"/>
      <c r="N187" s="5"/>
    </row>
    <row r="188" spans="2:14" ht="22.5" customHeight="1" thickBot="1" x14ac:dyDescent="0.3">
      <c r="B188" s="352"/>
      <c r="C188" s="352"/>
      <c r="D188" s="353"/>
      <c r="E188" s="354" t="s">
        <v>34</v>
      </c>
      <c r="F188" s="354"/>
      <c r="G188" s="354"/>
      <c r="H188" s="354"/>
      <c r="I188" s="354"/>
      <c r="J188" s="354"/>
      <c r="K188" s="354"/>
      <c r="L188" s="355"/>
      <c r="M188" s="5"/>
      <c r="N188" s="5"/>
    </row>
    <row r="189" spans="2:14" ht="20.25" customHeight="1" x14ac:dyDescent="0.25">
      <c r="B189" s="343"/>
      <c r="C189" s="343"/>
      <c r="D189" s="343"/>
      <c r="E189" s="356"/>
      <c r="F189" s="359"/>
      <c r="G189" s="359"/>
      <c r="H189" s="362"/>
      <c r="I189" s="362"/>
      <c r="J189" s="359"/>
      <c r="K189" s="359"/>
      <c r="L189" s="365"/>
      <c r="M189" s="5"/>
      <c r="N189" s="5"/>
    </row>
    <row r="190" spans="2:14" ht="20.25" customHeight="1" x14ac:dyDescent="0.25">
      <c r="B190" s="343"/>
      <c r="C190" s="343"/>
      <c r="D190" s="343"/>
      <c r="E190" s="357"/>
      <c r="F190" s="360"/>
      <c r="G190" s="360"/>
      <c r="H190" s="363"/>
      <c r="I190" s="363"/>
      <c r="J190" s="360"/>
      <c r="K190" s="360"/>
      <c r="L190" s="366"/>
      <c r="M190" s="5"/>
      <c r="N190" s="5"/>
    </row>
    <row r="191" spans="2:14" ht="20.25" customHeight="1" x14ac:dyDescent="0.25">
      <c r="B191" s="343"/>
      <c r="C191" s="343"/>
      <c r="D191" s="343"/>
      <c r="E191" s="357"/>
      <c r="F191" s="360"/>
      <c r="G191" s="360"/>
      <c r="H191" s="363"/>
      <c r="I191" s="363"/>
      <c r="J191" s="360"/>
      <c r="K191" s="360"/>
      <c r="L191" s="366"/>
      <c r="M191" s="5"/>
      <c r="N191" s="5"/>
    </row>
    <row r="192" spans="2:14" ht="20.25" customHeight="1" x14ac:dyDescent="0.25">
      <c r="B192" s="343"/>
      <c r="C192" s="343"/>
      <c r="D192" s="343"/>
      <c r="E192" s="357"/>
      <c r="F192" s="360"/>
      <c r="G192" s="360"/>
      <c r="H192" s="363"/>
      <c r="I192" s="363"/>
      <c r="J192" s="360"/>
      <c r="K192" s="360"/>
      <c r="L192" s="366"/>
      <c r="M192" s="5"/>
      <c r="N192" s="5"/>
    </row>
    <row r="193" spans="2:14" ht="20.25" customHeight="1" x14ac:dyDescent="0.25">
      <c r="B193" s="343"/>
      <c r="C193" s="343"/>
      <c r="D193" s="343"/>
      <c r="E193" s="357"/>
      <c r="F193" s="360"/>
      <c r="G193" s="360"/>
      <c r="H193" s="363"/>
      <c r="I193" s="363"/>
      <c r="J193" s="360"/>
      <c r="K193" s="360"/>
      <c r="L193" s="366"/>
      <c r="M193" s="5"/>
      <c r="N193" s="5"/>
    </row>
    <row r="194" spans="2:14" ht="20.25" customHeight="1" x14ac:dyDescent="0.25">
      <c r="B194" s="343"/>
      <c r="C194" s="343"/>
      <c r="D194" s="343"/>
      <c r="E194" s="357"/>
      <c r="F194" s="360"/>
      <c r="G194" s="360"/>
      <c r="H194" s="363"/>
      <c r="I194" s="363"/>
      <c r="J194" s="360"/>
      <c r="K194" s="360"/>
      <c r="L194" s="366"/>
      <c r="M194" s="5"/>
      <c r="N194" s="5"/>
    </row>
    <row r="195" spans="2:14" ht="20.25" customHeight="1" x14ac:dyDescent="0.25">
      <c r="B195" s="343"/>
      <c r="C195" s="343"/>
      <c r="D195" s="343"/>
      <c r="E195" s="357"/>
      <c r="F195" s="360"/>
      <c r="G195" s="360"/>
      <c r="H195" s="363"/>
      <c r="I195" s="363"/>
      <c r="J195" s="360"/>
      <c r="K195" s="360"/>
      <c r="L195" s="366"/>
      <c r="M195" s="5"/>
      <c r="N195" s="5"/>
    </row>
    <row r="196" spans="2:14" ht="20.25" customHeight="1" thickBot="1" x14ac:dyDescent="0.3">
      <c r="B196" s="343"/>
      <c r="C196" s="343"/>
      <c r="D196" s="343"/>
      <c r="E196" s="358"/>
      <c r="F196" s="361"/>
      <c r="G196" s="361"/>
      <c r="H196" s="364"/>
      <c r="I196" s="364"/>
      <c r="J196" s="361"/>
      <c r="K196" s="361"/>
      <c r="L196" s="367"/>
      <c r="M196" s="5"/>
      <c r="N196" s="5"/>
    </row>
    <row r="197" spans="2:14" ht="18.75" customHeight="1" thickBot="1" x14ac:dyDescent="0.3">
      <c r="B197" s="5"/>
      <c r="C197" s="5"/>
      <c r="D197" s="323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2:14" ht="15.75" customHeight="1" thickBot="1" x14ac:dyDescent="0.3">
      <c r="B198" s="5"/>
      <c r="C198" s="5"/>
      <c r="D198" s="323"/>
      <c r="E198" s="344"/>
      <c r="F198" s="345"/>
      <c r="G198" s="345"/>
      <c r="H198" s="345"/>
      <c r="I198" s="345"/>
      <c r="J198" s="345"/>
      <c r="K198" s="345"/>
      <c r="L198" s="345"/>
      <c r="M198" s="5"/>
      <c r="N198" s="5"/>
    </row>
    <row r="199" spans="2:14" ht="18.75" customHeight="1" thickBot="1" x14ac:dyDescent="0.3">
      <c r="B199" s="5"/>
      <c r="C199" s="5"/>
      <c r="D199" s="323"/>
      <c r="E199" s="324" t="s">
        <v>212</v>
      </c>
      <c r="F199" s="66" t="s">
        <v>213</v>
      </c>
      <c r="G199" s="66" t="s">
        <v>214</v>
      </c>
      <c r="H199" s="66" t="s">
        <v>215</v>
      </c>
      <c r="I199" s="66" t="s">
        <v>216</v>
      </c>
      <c r="J199" s="66" t="s">
        <v>217</v>
      </c>
      <c r="K199" s="66" t="s">
        <v>218</v>
      </c>
      <c r="L199" s="66"/>
      <c r="M199" s="5"/>
      <c r="N199" s="5"/>
    </row>
  </sheetData>
  <sheetProtection insertRows="0"/>
  <mergeCells count="47">
    <mergeCell ref="D179:M179"/>
    <mergeCell ref="B180:C180"/>
    <mergeCell ref="D180:M180"/>
    <mergeCell ref="B181:C181"/>
    <mergeCell ref="D181:M181"/>
    <mergeCell ref="B7:N8"/>
    <mergeCell ref="B3:H3"/>
    <mergeCell ref="B4:H4"/>
    <mergeCell ref="B5:H5"/>
    <mergeCell ref="B6:N6"/>
    <mergeCell ref="B1:N1"/>
    <mergeCell ref="B2:N2"/>
    <mergeCell ref="I3:N3"/>
    <mergeCell ref="I4:N4"/>
    <mergeCell ref="I5:N5"/>
    <mergeCell ref="B9:N9"/>
    <mergeCell ref="B193:D194"/>
    <mergeCell ref="B10:B12"/>
    <mergeCell ref="C10:C12"/>
    <mergeCell ref="D10:D12"/>
    <mergeCell ref="E10:E12"/>
    <mergeCell ref="F10:F12"/>
    <mergeCell ref="G10:G12"/>
    <mergeCell ref="I10:I12"/>
    <mergeCell ref="J10:J12"/>
    <mergeCell ref="K10:K12"/>
    <mergeCell ref="L10:L12"/>
    <mergeCell ref="M10:M12"/>
    <mergeCell ref="N10:N12"/>
    <mergeCell ref="B191:D192"/>
    <mergeCell ref="B179:C179"/>
    <mergeCell ref="H10:H12"/>
    <mergeCell ref="B195:D196"/>
    <mergeCell ref="E198:L198"/>
    <mergeCell ref="B173:D173"/>
    <mergeCell ref="B174:B177"/>
    <mergeCell ref="B188:D188"/>
    <mergeCell ref="E188:L188"/>
    <mergeCell ref="B189:D190"/>
    <mergeCell ref="E189:E196"/>
    <mergeCell ref="F189:F196"/>
    <mergeCell ref="G189:G196"/>
    <mergeCell ref="I189:I196"/>
    <mergeCell ref="J189:J196"/>
    <mergeCell ref="H189:H196"/>
    <mergeCell ref="K189:K196"/>
    <mergeCell ref="L189:L196"/>
  </mergeCells>
  <phoneticPr fontId="32" type="noConversion"/>
  <conditionalFormatting sqref="E13:F172">
    <cfRule type="cellIs" dxfId="11" priority="1" operator="equal">
      <formula>""</formula>
    </cfRule>
  </conditionalFormatting>
  <printOptions horizontalCentered="1"/>
  <pageMargins left="0.39370078740157483" right="0.39370078740157483" top="0.9055118110236221" bottom="0.55118110236220474" header="0.51181102362204722" footer="0.35433070866141736"/>
  <pageSetup paperSize="9" scale="68" firstPageNumber="41" fitToHeight="0" orientation="landscape" errors="dash" r:id="rId1"/>
  <headerFooter scaleWithDoc="0" alignWithMargins="0"/>
  <rowBreaks count="4" manualBreakCount="4">
    <brk id="68" max="14" man="1"/>
    <brk id="87" max="14" man="1"/>
    <brk id="108" max="14" man="1"/>
    <brk id="127" max="14" man="1"/>
  </rowBreaks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5">
    <tabColor theme="1"/>
    <pageSetUpPr fitToPage="1"/>
  </sheetPr>
  <dimension ref="A1:AA55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1" width="10.26953125" style="1" customWidth="1"/>
    <col min="2" max="2" width="10.54296875" style="1" customWidth="1"/>
    <col min="3" max="3" width="12.1796875" style="1" customWidth="1"/>
    <col min="4" max="4" width="10.26953125" style="1" bestFit="1" customWidth="1"/>
    <col min="5" max="10" width="10.81640625" style="1" customWidth="1"/>
    <col min="11" max="11" width="11.453125" style="1" customWidth="1"/>
    <col min="12" max="12" width="10.81640625" style="1" customWidth="1"/>
    <col min="13" max="13" width="11.54296875" style="1" customWidth="1"/>
    <col min="14" max="14" width="10.7265625" style="1" customWidth="1"/>
    <col min="15" max="15" width="14.81640625" style="1" customWidth="1"/>
    <col min="16" max="16" width="10.453125" style="1" customWidth="1"/>
    <col min="17" max="18" width="13.1796875" style="1" customWidth="1"/>
    <col min="19" max="19" width="12.7265625" style="1" customWidth="1"/>
    <col min="20" max="20" width="11.54296875" style="1" customWidth="1"/>
    <col min="21" max="21" width="22.453125" style="1" customWidth="1"/>
    <col min="22" max="22" width="26.81640625" style="1" customWidth="1"/>
    <col min="23" max="26" width="9.1796875" style="1"/>
    <col min="27" max="27" width="15.453125" style="2" customWidth="1"/>
    <col min="28" max="28" width="13" style="1" customWidth="1"/>
    <col min="29" max="16384" width="9.1796875" style="1"/>
  </cols>
  <sheetData>
    <row r="1" spans="1:27" ht="31.5" customHeight="1" x14ac:dyDescent="0.25">
      <c r="A1" s="466" t="s">
        <v>27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</row>
    <row r="2" spans="1:27" ht="22.5" customHeight="1" x14ac:dyDescent="0.25">
      <c r="A2" s="467" t="s">
        <v>79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</row>
    <row r="3" spans="1:27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4"/>
      <c r="J4" s="434"/>
      <c r="K4" s="434"/>
      <c r="L4" s="435"/>
      <c r="M4" s="478" t="s">
        <v>29</v>
      </c>
      <c r="N4" s="469" t="s">
        <v>5</v>
      </c>
      <c r="O4" s="443" t="s">
        <v>21</v>
      </c>
      <c r="P4" s="443" t="s">
        <v>30</v>
      </c>
      <c r="Q4" s="443" t="s">
        <v>66</v>
      </c>
      <c r="R4" s="443" t="s">
        <v>31</v>
      </c>
      <c r="S4" s="443" t="s">
        <v>28</v>
      </c>
      <c r="T4" s="443" t="s">
        <v>22</v>
      </c>
      <c r="U4" s="469" t="s">
        <v>20</v>
      </c>
      <c r="V4" s="468" t="s">
        <v>6</v>
      </c>
    </row>
    <row r="5" spans="1:27" ht="16.5" customHeight="1" x14ac:dyDescent="0.25">
      <c r="A5" s="476"/>
      <c r="B5" s="473"/>
      <c r="C5" s="482"/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23</v>
      </c>
      <c r="L5" s="431" t="s">
        <v>15</v>
      </c>
      <c r="M5" s="479"/>
      <c r="N5" s="470"/>
      <c r="O5" s="444"/>
      <c r="P5" s="444"/>
      <c r="Q5" s="444"/>
      <c r="R5" s="444"/>
      <c r="S5" s="444"/>
      <c r="T5" s="444"/>
      <c r="U5" s="470"/>
      <c r="V5" s="431"/>
    </row>
    <row r="6" spans="1:27" ht="16.5" customHeight="1" thickBot="1" x14ac:dyDescent="0.3">
      <c r="A6" s="477"/>
      <c r="B6" s="474"/>
      <c r="C6" s="483"/>
      <c r="D6" s="8">
        <v>6.3</v>
      </c>
      <c r="E6" s="9">
        <v>4.75</v>
      </c>
      <c r="F6" s="9">
        <v>2.36</v>
      </c>
      <c r="G6" s="9">
        <v>1.18</v>
      </c>
      <c r="H6" s="9">
        <v>0.6</v>
      </c>
      <c r="I6" s="9">
        <v>0.3</v>
      </c>
      <c r="J6" s="9">
        <v>0.15</v>
      </c>
      <c r="K6" s="9">
        <v>7.4999999999999997E-2</v>
      </c>
      <c r="L6" s="432"/>
      <c r="M6" s="480"/>
      <c r="N6" s="471"/>
      <c r="O6" s="445"/>
      <c r="P6" s="445"/>
      <c r="Q6" s="445"/>
      <c r="R6" s="445"/>
      <c r="S6" s="445"/>
      <c r="T6" s="445"/>
      <c r="U6" s="471"/>
      <c r="V6" s="432"/>
    </row>
    <row r="7" spans="1:27" ht="27.75" customHeight="1" thickTop="1" x14ac:dyDescent="0.25">
      <c r="A7" s="69">
        <v>39701</v>
      </c>
      <c r="B7" s="70">
        <v>1</v>
      </c>
      <c r="C7" s="71">
        <v>39701</v>
      </c>
      <c r="D7" s="72">
        <v>0</v>
      </c>
      <c r="E7" s="73">
        <v>0.5</v>
      </c>
      <c r="F7" s="73">
        <v>6.3</v>
      </c>
      <c r="G7" s="73">
        <v>41.3</v>
      </c>
      <c r="H7" s="73">
        <v>75.5</v>
      </c>
      <c r="I7" s="73">
        <v>90.6</v>
      </c>
      <c r="J7" s="73">
        <v>97.6</v>
      </c>
      <c r="K7" s="73">
        <v>100</v>
      </c>
      <c r="L7" s="74">
        <v>100</v>
      </c>
      <c r="M7" s="75">
        <f t="shared" ref="M7:M8" si="0">IF(B7="","",IF(E7&gt;5,D$6,IF(F7&gt;5,E$6,IF(G7&gt;5,F$6,IF(H7&gt;5,G$6,IF(I7&gt;5,H$6,IF(J7&gt;5,I$6,IF(K7&gt;5,J$6))))))))</f>
        <v>4.75</v>
      </c>
      <c r="N7" s="76">
        <f t="shared" ref="N7:N8" si="1">IF(B7="","",(E7+F7+G7+H7+I7+J7)/100)</f>
        <v>3.1179999999999994</v>
      </c>
      <c r="O7" s="77">
        <v>0.7</v>
      </c>
      <c r="P7" s="77">
        <v>0.2</v>
      </c>
      <c r="Q7" s="78">
        <v>2.6</v>
      </c>
      <c r="R7" s="78">
        <v>1.5</v>
      </c>
      <c r="S7" s="77">
        <v>1.2</v>
      </c>
      <c r="T7" s="78" t="s">
        <v>24</v>
      </c>
      <c r="U7" s="79" t="s">
        <v>78</v>
      </c>
      <c r="V7" s="80" t="s">
        <v>77</v>
      </c>
      <c r="W7" s="3"/>
      <c r="AA7" s="1"/>
    </row>
    <row r="8" spans="1:27" ht="27" customHeight="1" x14ac:dyDescent="0.25">
      <c r="A8" s="69">
        <v>39743</v>
      </c>
      <c r="B8" s="70">
        <v>2</v>
      </c>
      <c r="C8" s="71">
        <v>39743</v>
      </c>
      <c r="D8" s="72">
        <v>0</v>
      </c>
      <c r="E8" s="73">
        <v>0.2</v>
      </c>
      <c r="F8" s="73">
        <v>3.1</v>
      </c>
      <c r="G8" s="73">
        <v>27</v>
      </c>
      <c r="H8" s="73">
        <v>67.8</v>
      </c>
      <c r="I8" s="73">
        <v>90.6</v>
      </c>
      <c r="J8" s="73">
        <v>98.6</v>
      </c>
      <c r="K8" s="73">
        <v>100</v>
      </c>
      <c r="L8" s="74">
        <v>100</v>
      </c>
      <c r="M8" s="75">
        <f t="shared" si="0"/>
        <v>2.36</v>
      </c>
      <c r="N8" s="76">
        <f t="shared" si="1"/>
        <v>2.8729999999999993</v>
      </c>
      <c r="O8" s="77" t="s">
        <v>24</v>
      </c>
      <c r="P8" s="77" t="s">
        <v>24</v>
      </c>
      <c r="Q8" s="78" t="s">
        <v>24</v>
      </c>
      <c r="R8" s="78" t="s">
        <v>24</v>
      </c>
      <c r="S8" s="77" t="s">
        <v>24</v>
      </c>
      <c r="T8" s="78" t="s">
        <v>24</v>
      </c>
      <c r="U8" s="79" t="s">
        <v>78</v>
      </c>
      <c r="V8" s="80" t="s">
        <v>77</v>
      </c>
      <c r="W8" s="3"/>
      <c r="AA8" s="1"/>
    </row>
    <row r="9" spans="1:27" ht="27" customHeight="1" x14ac:dyDescent="0.25">
      <c r="A9" s="69">
        <v>39743</v>
      </c>
      <c r="B9" s="70">
        <v>3</v>
      </c>
      <c r="C9" s="71">
        <v>39743</v>
      </c>
      <c r="D9" s="72">
        <v>0</v>
      </c>
      <c r="E9" s="73">
        <v>0</v>
      </c>
      <c r="F9" s="73">
        <v>3.1</v>
      </c>
      <c r="G9" s="73">
        <v>29.7</v>
      </c>
      <c r="H9" s="73">
        <v>70.5</v>
      </c>
      <c r="I9" s="73">
        <v>94</v>
      </c>
      <c r="J9" s="73">
        <v>98.4</v>
      </c>
      <c r="K9" s="73">
        <v>100</v>
      </c>
      <c r="L9" s="74">
        <v>100</v>
      </c>
      <c r="M9" s="75">
        <f t="shared" ref="M9:M35" si="2">IF(B9="","",IF(E9&gt;5,D$6,IF(F9&gt;5,E$6,IF(G9&gt;5,F$6,IF(H9&gt;5,G$6,IF(I9&gt;5,H$6,IF(J9&gt;5,I$6,IF(K9&gt;5,J$6))))))))</f>
        <v>2.36</v>
      </c>
      <c r="N9" s="76">
        <f t="shared" ref="N9:N35" si="3">IF(B9="","",(E9+F9+G9+H9+I9+J9)/100)</f>
        <v>2.9570000000000003</v>
      </c>
      <c r="O9" s="77" t="s">
        <v>24</v>
      </c>
      <c r="P9" s="77" t="s">
        <v>24</v>
      </c>
      <c r="Q9" s="78" t="s">
        <v>24</v>
      </c>
      <c r="R9" s="78" t="s">
        <v>24</v>
      </c>
      <c r="S9" s="77" t="s">
        <v>24</v>
      </c>
      <c r="T9" s="78" t="s">
        <v>24</v>
      </c>
      <c r="U9" s="79" t="s">
        <v>78</v>
      </c>
      <c r="V9" s="80" t="s">
        <v>77</v>
      </c>
      <c r="W9" s="3"/>
      <c r="AA9" s="1"/>
    </row>
    <row r="10" spans="1:27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3"/>
      <c r="J10" s="73"/>
      <c r="K10" s="73"/>
      <c r="L10" s="74"/>
      <c r="M10" s="75" t="str">
        <f>IF(B10="","",IF(E10&gt;5,D$6,IF(F10&gt;5,E$6,IF(G10&gt;5,F$6,IF(H10&gt;5,G$6,IF(I10&gt;5,H$6,IF(J10&gt;5,I$6,IF(K10&gt;5,J$6))))))))</f>
        <v/>
      </c>
      <c r="N10" s="76" t="str">
        <f t="shared" si="3"/>
        <v/>
      </c>
      <c r="O10" s="77"/>
      <c r="P10" s="77"/>
      <c r="Q10" s="78"/>
      <c r="R10" s="78"/>
      <c r="S10" s="77"/>
      <c r="T10" s="78"/>
      <c r="U10" s="79"/>
      <c r="V10" s="80"/>
      <c r="W10" s="3"/>
      <c r="AA10" s="1"/>
    </row>
    <row r="11" spans="1:27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si="2"/>
        <v/>
      </c>
      <c r="N11" s="76" t="str">
        <f t="shared" si="3"/>
        <v/>
      </c>
      <c r="O11" s="77"/>
      <c r="P11" s="77"/>
      <c r="Q11" s="78"/>
      <c r="R11" s="78"/>
      <c r="S11" s="77"/>
      <c r="T11" s="78"/>
      <c r="U11" s="79"/>
      <c r="V11" s="80"/>
      <c r="W11" s="3"/>
      <c r="AA11" s="1"/>
    </row>
    <row r="12" spans="1:27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2"/>
        <v/>
      </c>
      <c r="N12" s="76" t="str">
        <f t="shared" si="3"/>
        <v/>
      </c>
      <c r="O12" s="77"/>
      <c r="P12" s="77"/>
      <c r="Q12" s="78"/>
      <c r="R12" s="78"/>
      <c r="S12" s="77"/>
      <c r="T12" s="78"/>
      <c r="U12" s="79"/>
      <c r="V12" s="80"/>
      <c r="W12" s="3"/>
      <c r="AA12" s="1"/>
    </row>
    <row r="13" spans="1:27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2"/>
        <v/>
      </c>
      <c r="N13" s="76" t="str">
        <f t="shared" si="3"/>
        <v/>
      </c>
      <c r="O13" s="77"/>
      <c r="P13" s="77"/>
      <c r="Q13" s="78"/>
      <c r="R13" s="78"/>
      <c r="S13" s="77"/>
      <c r="T13" s="78"/>
      <c r="U13" s="79"/>
      <c r="V13" s="80"/>
      <c r="W13" s="3"/>
      <c r="AA13" s="1"/>
    </row>
    <row r="14" spans="1:27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2"/>
        <v/>
      </c>
      <c r="N14" s="76" t="str">
        <f t="shared" si="3"/>
        <v/>
      </c>
      <c r="O14" s="77"/>
      <c r="P14" s="77"/>
      <c r="Q14" s="78"/>
      <c r="R14" s="78"/>
      <c r="S14" s="77"/>
      <c r="T14" s="78"/>
      <c r="U14" s="79"/>
      <c r="V14" s="80"/>
      <c r="W14" s="3"/>
      <c r="AA14" s="1"/>
    </row>
    <row r="15" spans="1:27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2"/>
        <v/>
      </c>
      <c r="N15" s="76" t="str">
        <f t="shared" si="3"/>
        <v/>
      </c>
      <c r="O15" s="77"/>
      <c r="P15" s="77"/>
      <c r="Q15" s="78"/>
      <c r="R15" s="78"/>
      <c r="S15" s="77"/>
      <c r="T15" s="78"/>
      <c r="U15" s="79"/>
      <c r="V15" s="80"/>
      <c r="W15" s="3"/>
      <c r="AA15" s="1"/>
    </row>
    <row r="16" spans="1:27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2"/>
        <v/>
      </c>
      <c r="N16" s="76" t="str">
        <f t="shared" si="3"/>
        <v/>
      </c>
      <c r="O16" s="77"/>
      <c r="P16" s="77"/>
      <c r="Q16" s="78"/>
      <c r="R16" s="78"/>
      <c r="S16" s="77"/>
      <c r="T16" s="78"/>
      <c r="U16" s="79"/>
      <c r="V16" s="80"/>
      <c r="W16" s="3"/>
      <c r="AA16" s="1"/>
    </row>
    <row r="17" spans="1:27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2"/>
        <v/>
      </c>
      <c r="N17" s="76" t="str">
        <f t="shared" si="3"/>
        <v/>
      </c>
      <c r="O17" s="77"/>
      <c r="P17" s="77"/>
      <c r="Q17" s="78"/>
      <c r="R17" s="78"/>
      <c r="S17" s="77"/>
      <c r="T17" s="78"/>
      <c r="U17" s="79"/>
      <c r="V17" s="80"/>
      <c r="W17" s="3"/>
      <c r="AA17" s="1"/>
    </row>
    <row r="18" spans="1:27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2"/>
        <v/>
      </c>
      <c r="N18" s="76" t="str">
        <f t="shared" si="3"/>
        <v/>
      </c>
      <c r="O18" s="77"/>
      <c r="P18" s="77"/>
      <c r="Q18" s="78"/>
      <c r="R18" s="78"/>
      <c r="S18" s="77"/>
      <c r="T18" s="78"/>
      <c r="U18" s="79"/>
      <c r="V18" s="80"/>
      <c r="W18" s="3"/>
      <c r="AA18" s="1"/>
    </row>
    <row r="19" spans="1:27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2"/>
        <v/>
      </c>
      <c r="N19" s="76" t="str">
        <f t="shared" si="3"/>
        <v/>
      </c>
      <c r="O19" s="77"/>
      <c r="P19" s="77"/>
      <c r="Q19" s="78"/>
      <c r="R19" s="78"/>
      <c r="S19" s="77"/>
      <c r="T19" s="78"/>
      <c r="U19" s="79"/>
      <c r="V19" s="80"/>
      <c r="W19" s="3"/>
      <c r="AA19" s="1"/>
    </row>
    <row r="20" spans="1:27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2"/>
        <v/>
      </c>
      <c r="N20" s="76" t="str">
        <f t="shared" si="3"/>
        <v/>
      </c>
      <c r="O20" s="77"/>
      <c r="P20" s="77"/>
      <c r="Q20" s="78"/>
      <c r="R20" s="78"/>
      <c r="S20" s="77"/>
      <c r="T20" s="78"/>
      <c r="U20" s="79"/>
      <c r="V20" s="80"/>
      <c r="W20" s="3"/>
      <c r="AA20" s="1"/>
    </row>
    <row r="21" spans="1:27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2"/>
        <v/>
      </c>
      <c r="N21" s="76" t="str">
        <f t="shared" si="3"/>
        <v/>
      </c>
      <c r="O21" s="77"/>
      <c r="P21" s="77"/>
      <c r="Q21" s="78"/>
      <c r="R21" s="78"/>
      <c r="S21" s="77"/>
      <c r="T21" s="78"/>
      <c r="U21" s="79"/>
      <c r="V21" s="80"/>
      <c r="W21" s="3"/>
      <c r="AA21" s="1"/>
    </row>
    <row r="22" spans="1:27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2"/>
        <v/>
      </c>
      <c r="N22" s="76" t="str">
        <f t="shared" si="3"/>
        <v/>
      </c>
      <c r="O22" s="77"/>
      <c r="P22" s="77"/>
      <c r="Q22" s="78"/>
      <c r="R22" s="78"/>
      <c r="S22" s="77"/>
      <c r="T22" s="78"/>
      <c r="U22" s="79"/>
      <c r="V22" s="80"/>
      <c r="W22" s="3"/>
      <c r="AA22" s="1"/>
    </row>
    <row r="23" spans="1:27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2"/>
        <v/>
      </c>
      <c r="N23" s="76" t="str">
        <f t="shared" si="3"/>
        <v/>
      </c>
      <c r="O23" s="77"/>
      <c r="P23" s="77"/>
      <c r="Q23" s="78"/>
      <c r="R23" s="78"/>
      <c r="S23" s="77"/>
      <c r="T23" s="78"/>
      <c r="U23" s="79"/>
      <c r="V23" s="80"/>
      <c r="W23" s="3"/>
      <c r="AA23" s="1"/>
    </row>
    <row r="24" spans="1:27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2"/>
        <v/>
      </c>
      <c r="N24" s="76" t="str">
        <f t="shared" si="3"/>
        <v/>
      </c>
      <c r="O24" s="77"/>
      <c r="P24" s="77"/>
      <c r="Q24" s="78"/>
      <c r="R24" s="78"/>
      <c r="S24" s="77"/>
      <c r="T24" s="78"/>
      <c r="U24" s="79"/>
      <c r="V24" s="80"/>
      <c r="W24" s="3"/>
      <c r="AA24" s="1"/>
    </row>
    <row r="25" spans="1:27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2"/>
        <v/>
      </c>
      <c r="N25" s="76" t="str">
        <f t="shared" si="3"/>
        <v/>
      </c>
      <c r="O25" s="77"/>
      <c r="P25" s="77"/>
      <c r="Q25" s="78"/>
      <c r="R25" s="78"/>
      <c r="S25" s="77"/>
      <c r="T25" s="78"/>
      <c r="U25" s="79"/>
      <c r="V25" s="80"/>
      <c r="W25" s="3"/>
      <c r="AA25" s="1"/>
    </row>
    <row r="26" spans="1:27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2"/>
        <v/>
      </c>
      <c r="N26" s="76" t="str">
        <f t="shared" si="3"/>
        <v/>
      </c>
      <c r="O26" s="77"/>
      <c r="P26" s="77"/>
      <c r="Q26" s="78"/>
      <c r="R26" s="78"/>
      <c r="S26" s="77"/>
      <c r="T26" s="78"/>
      <c r="U26" s="79"/>
      <c r="V26" s="80"/>
      <c r="W26" s="3"/>
      <c r="AA26" s="1"/>
    </row>
    <row r="27" spans="1:27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2"/>
        <v/>
      </c>
      <c r="N27" s="76" t="str">
        <f t="shared" si="3"/>
        <v/>
      </c>
      <c r="O27" s="77"/>
      <c r="P27" s="77"/>
      <c r="Q27" s="78"/>
      <c r="R27" s="78"/>
      <c r="S27" s="77"/>
      <c r="T27" s="78"/>
      <c r="U27" s="79"/>
      <c r="V27" s="80"/>
      <c r="W27" s="3"/>
      <c r="AA27" s="1"/>
    </row>
    <row r="28" spans="1:27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2"/>
        <v/>
      </c>
      <c r="N28" s="76" t="str">
        <f t="shared" si="3"/>
        <v/>
      </c>
      <c r="O28" s="77"/>
      <c r="P28" s="77"/>
      <c r="Q28" s="78"/>
      <c r="R28" s="78"/>
      <c r="S28" s="77"/>
      <c r="T28" s="78"/>
      <c r="U28" s="79"/>
      <c r="V28" s="80"/>
      <c r="W28" s="3"/>
      <c r="AA28" s="1"/>
    </row>
    <row r="29" spans="1:27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2"/>
        <v/>
      </c>
      <c r="N29" s="76" t="str">
        <f t="shared" si="3"/>
        <v/>
      </c>
      <c r="O29" s="77"/>
      <c r="P29" s="77"/>
      <c r="Q29" s="78"/>
      <c r="R29" s="78"/>
      <c r="S29" s="77"/>
      <c r="T29" s="78"/>
      <c r="U29" s="79"/>
      <c r="V29" s="80"/>
      <c r="W29" s="3"/>
      <c r="AA29" s="1"/>
    </row>
    <row r="30" spans="1:27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 t="shared" ref="M30:M32" si="4">IF(B30="","",IF(E30&gt;5,D$6,IF(F30&gt;5,E$6,IF(G30&gt;5,F$6,IF(H30&gt;5,G$6,IF(I30&gt;5,H$6,IF(J30&gt;5,I$6,IF(K30&gt;5,J$6))))))))</f>
        <v/>
      </c>
      <c r="N30" s="76" t="str">
        <f t="shared" ref="N30:N32" si="5">IF(B30="","",(E30+F30+G30+H30+I30+J30)/100)</f>
        <v/>
      </c>
      <c r="O30" s="77"/>
      <c r="P30" s="77"/>
      <c r="Q30" s="78"/>
      <c r="R30" s="78"/>
      <c r="S30" s="77"/>
      <c r="T30" s="78"/>
      <c r="U30" s="79"/>
      <c r="V30" s="80"/>
      <c r="W30" s="3"/>
      <c r="AA30" s="1"/>
    </row>
    <row r="31" spans="1:27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 t="str">
        <f t="shared" si="4"/>
        <v/>
      </c>
      <c r="N31" s="76" t="str">
        <f t="shared" si="5"/>
        <v/>
      </c>
      <c r="O31" s="77"/>
      <c r="P31" s="77"/>
      <c r="Q31" s="78"/>
      <c r="R31" s="78"/>
      <c r="S31" s="77"/>
      <c r="T31" s="78"/>
      <c r="U31" s="79"/>
      <c r="V31" s="80"/>
      <c r="W31" s="3"/>
      <c r="AA31" s="1"/>
    </row>
    <row r="32" spans="1:27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4"/>
        <v/>
      </c>
      <c r="N32" s="76" t="str">
        <f t="shared" si="5"/>
        <v/>
      </c>
      <c r="O32" s="77"/>
      <c r="P32" s="77"/>
      <c r="Q32" s="78"/>
      <c r="R32" s="78"/>
      <c r="S32" s="77"/>
      <c r="T32" s="78"/>
      <c r="U32" s="79"/>
      <c r="V32" s="80"/>
      <c r="W32" s="3"/>
      <c r="AA32" s="1"/>
    </row>
    <row r="33" spans="1:27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2"/>
        <v/>
      </c>
      <c r="N33" s="76" t="str">
        <f t="shared" si="3"/>
        <v/>
      </c>
      <c r="O33" s="77"/>
      <c r="P33" s="77"/>
      <c r="Q33" s="78"/>
      <c r="R33" s="78"/>
      <c r="S33" s="77"/>
      <c r="T33" s="78"/>
      <c r="U33" s="79"/>
      <c r="V33" s="80"/>
      <c r="W33" s="3"/>
      <c r="AA33" s="1"/>
    </row>
    <row r="34" spans="1:27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2"/>
        <v/>
      </c>
      <c r="N34" s="76" t="str">
        <f t="shared" si="3"/>
        <v/>
      </c>
      <c r="O34" s="77"/>
      <c r="P34" s="77"/>
      <c r="Q34" s="78"/>
      <c r="R34" s="78"/>
      <c r="S34" s="77"/>
      <c r="T34" s="78"/>
      <c r="U34" s="79"/>
      <c r="V34" s="80"/>
      <c r="W34" s="3"/>
      <c r="AA34" s="1"/>
    </row>
    <row r="35" spans="1:27" ht="27" hidden="1" customHeight="1" thickBot="1" x14ac:dyDescent="0.3">
      <c r="A35" s="81"/>
      <c r="B35" s="82"/>
      <c r="C35" s="83"/>
      <c r="D35" s="72"/>
      <c r="E35" s="73"/>
      <c r="F35" s="84"/>
      <c r="G35" s="84"/>
      <c r="H35" s="84"/>
      <c r="I35" s="84"/>
      <c r="J35" s="84"/>
      <c r="K35" s="84"/>
      <c r="L35" s="85"/>
      <c r="M35" s="75" t="str">
        <f t="shared" si="2"/>
        <v/>
      </c>
      <c r="N35" s="76" t="str">
        <f t="shared" si="3"/>
        <v/>
      </c>
      <c r="O35" s="86"/>
      <c r="P35" s="86"/>
      <c r="Q35" s="87"/>
      <c r="R35" s="78"/>
      <c r="S35" s="86"/>
      <c r="T35" s="87"/>
      <c r="U35" s="88"/>
      <c r="V35" s="89"/>
      <c r="W35" s="3"/>
      <c r="AA35" s="1"/>
    </row>
    <row r="36" spans="1:27" ht="27" customHeight="1" thickTop="1" x14ac:dyDescent="0.25">
      <c r="A36" s="452" t="s">
        <v>0</v>
      </c>
      <c r="B36" s="453"/>
      <c r="C36" s="454"/>
      <c r="D36" s="21">
        <f t="shared" ref="D36:L36" si="6">AVERAGE(D7:D35)</f>
        <v>0</v>
      </c>
      <c r="E36" s="22">
        <f t="shared" si="6"/>
        <v>0.23333333333333331</v>
      </c>
      <c r="F36" s="22">
        <f>AVERAGE(F7:F35)</f>
        <v>4.166666666666667</v>
      </c>
      <c r="G36" s="22">
        <f t="shared" si="6"/>
        <v>32.666666666666664</v>
      </c>
      <c r="H36" s="22">
        <f t="shared" si="6"/>
        <v>71.266666666666666</v>
      </c>
      <c r="I36" s="22">
        <f t="shared" si="6"/>
        <v>91.733333333333334</v>
      </c>
      <c r="J36" s="22">
        <f t="shared" si="6"/>
        <v>98.2</v>
      </c>
      <c r="K36" s="22">
        <f t="shared" si="6"/>
        <v>100</v>
      </c>
      <c r="L36" s="23">
        <f t="shared" si="6"/>
        <v>100</v>
      </c>
      <c r="M36" s="24" t="s">
        <v>24</v>
      </c>
      <c r="N36" s="25">
        <f t="shared" ref="N36:T36" si="7">AVERAGE(N7:N35)</f>
        <v>2.9826666666666664</v>
      </c>
      <c r="O36" s="25">
        <f t="shared" si="7"/>
        <v>0.7</v>
      </c>
      <c r="P36" s="25">
        <f t="shared" si="7"/>
        <v>0.2</v>
      </c>
      <c r="Q36" s="26">
        <f t="shared" si="7"/>
        <v>2.6</v>
      </c>
      <c r="R36" s="26">
        <f t="shared" si="7"/>
        <v>1.5</v>
      </c>
      <c r="S36" s="25">
        <f t="shared" si="7"/>
        <v>1.2</v>
      </c>
      <c r="T36" s="22" t="e">
        <f t="shared" si="7"/>
        <v>#DIV/0!</v>
      </c>
      <c r="U36" s="27"/>
      <c r="V36" s="28"/>
      <c r="W36" s="3"/>
      <c r="AA36" s="1"/>
    </row>
    <row r="37" spans="1:27" ht="27" customHeight="1" x14ac:dyDescent="0.25">
      <c r="A37" s="446" t="s">
        <v>26</v>
      </c>
      <c r="B37" s="447"/>
      <c r="C37" s="448"/>
      <c r="D37" s="29">
        <f>MAX(D7:D35)</f>
        <v>0</v>
      </c>
      <c r="E37" s="30">
        <f>MAX(E7:E35)</f>
        <v>0.5</v>
      </c>
      <c r="F37" s="30">
        <f t="shared" ref="F37:T37" si="8">MAX(F7:F35)</f>
        <v>6.3</v>
      </c>
      <c r="G37" s="30">
        <f t="shared" si="8"/>
        <v>41.3</v>
      </c>
      <c r="H37" s="30">
        <f t="shared" si="8"/>
        <v>75.5</v>
      </c>
      <c r="I37" s="30">
        <f t="shared" si="8"/>
        <v>94</v>
      </c>
      <c r="J37" s="30">
        <f t="shared" si="8"/>
        <v>98.6</v>
      </c>
      <c r="K37" s="30">
        <f t="shared" si="8"/>
        <v>100</v>
      </c>
      <c r="L37" s="31">
        <f t="shared" si="8"/>
        <v>100</v>
      </c>
      <c r="M37" s="32">
        <f>MAX(M7:M35)</f>
        <v>4.75</v>
      </c>
      <c r="N37" s="33">
        <f t="shared" si="8"/>
        <v>3.1179999999999994</v>
      </c>
      <c r="O37" s="33">
        <f t="shared" si="8"/>
        <v>0.7</v>
      </c>
      <c r="P37" s="33">
        <f t="shared" si="8"/>
        <v>0.2</v>
      </c>
      <c r="Q37" s="34">
        <f t="shared" si="8"/>
        <v>2.6</v>
      </c>
      <c r="R37" s="34">
        <f>MAX(R7:R35)</f>
        <v>1.5</v>
      </c>
      <c r="S37" s="33">
        <f t="shared" si="8"/>
        <v>1.2</v>
      </c>
      <c r="T37" s="30">
        <f t="shared" si="8"/>
        <v>0</v>
      </c>
      <c r="U37" s="35"/>
      <c r="V37" s="36"/>
    </row>
    <row r="38" spans="1:27" ht="27" customHeight="1" x14ac:dyDescent="0.25">
      <c r="A38" s="446" t="s">
        <v>25</v>
      </c>
      <c r="B38" s="447"/>
      <c r="C38" s="448"/>
      <c r="D38" s="29">
        <f t="shared" ref="D38:L38" si="9">MIN(D7:D35)</f>
        <v>0</v>
      </c>
      <c r="E38" s="30">
        <f t="shared" si="9"/>
        <v>0</v>
      </c>
      <c r="F38" s="30">
        <f t="shared" si="9"/>
        <v>3.1</v>
      </c>
      <c r="G38" s="30">
        <f t="shared" si="9"/>
        <v>27</v>
      </c>
      <c r="H38" s="30">
        <f t="shared" si="9"/>
        <v>67.8</v>
      </c>
      <c r="I38" s="30">
        <f t="shared" si="9"/>
        <v>90.6</v>
      </c>
      <c r="J38" s="30">
        <f t="shared" si="9"/>
        <v>97.6</v>
      </c>
      <c r="K38" s="30">
        <f t="shared" si="9"/>
        <v>100</v>
      </c>
      <c r="L38" s="31">
        <f t="shared" si="9"/>
        <v>100</v>
      </c>
      <c r="M38" s="37" t="s">
        <v>24</v>
      </c>
      <c r="N38" s="33">
        <f t="shared" ref="N38:T38" si="10">MIN(N7:N35)</f>
        <v>2.8729999999999993</v>
      </c>
      <c r="O38" s="33">
        <f t="shared" si="10"/>
        <v>0.7</v>
      </c>
      <c r="P38" s="33">
        <f t="shared" si="10"/>
        <v>0.2</v>
      </c>
      <c r="Q38" s="34">
        <f t="shared" si="10"/>
        <v>2.6</v>
      </c>
      <c r="R38" s="34">
        <f t="shared" si="10"/>
        <v>1.5</v>
      </c>
      <c r="S38" s="33">
        <f t="shared" si="10"/>
        <v>1.2</v>
      </c>
      <c r="T38" s="30">
        <f t="shared" si="10"/>
        <v>0</v>
      </c>
      <c r="U38" s="35"/>
      <c r="V38" s="36"/>
    </row>
    <row r="39" spans="1:27" ht="27" customHeight="1" thickBot="1" x14ac:dyDescent="0.3">
      <c r="A39" s="449" t="s">
        <v>1</v>
      </c>
      <c r="B39" s="450"/>
      <c r="C39" s="451"/>
      <c r="D39" s="38">
        <f t="shared" ref="D39:L39" si="11">STDEV(D7:D35)</f>
        <v>0</v>
      </c>
      <c r="E39" s="39">
        <f t="shared" si="11"/>
        <v>0.25166114784235838</v>
      </c>
      <c r="F39" s="39">
        <f t="shared" si="11"/>
        <v>1.8475208614068017</v>
      </c>
      <c r="G39" s="39">
        <f t="shared" si="11"/>
        <v>7.5975873363412632</v>
      </c>
      <c r="H39" s="39">
        <f t="shared" si="11"/>
        <v>3.9068316233660934</v>
      </c>
      <c r="I39" s="39">
        <f t="shared" si="11"/>
        <v>1.9629909152447309</v>
      </c>
      <c r="J39" s="39">
        <f t="shared" si="11"/>
        <v>0.52915026221292027</v>
      </c>
      <c r="K39" s="39">
        <f t="shared" si="11"/>
        <v>0</v>
      </c>
      <c r="L39" s="40">
        <f t="shared" si="11"/>
        <v>0</v>
      </c>
      <c r="M39" s="41" t="s">
        <v>24</v>
      </c>
      <c r="N39" s="42">
        <f t="shared" ref="N39:T39" si="12">STDEV(N7:N35)</f>
        <v>0.12450033467157155</v>
      </c>
      <c r="O39" s="42" t="e">
        <f t="shared" si="12"/>
        <v>#DIV/0!</v>
      </c>
      <c r="P39" s="42" t="e">
        <f t="shared" si="12"/>
        <v>#DIV/0!</v>
      </c>
      <c r="Q39" s="43" t="e">
        <f t="shared" si="12"/>
        <v>#DIV/0!</v>
      </c>
      <c r="R39" s="43" t="e">
        <f t="shared" si="12"/>
        <v>#DIV/0!</v>
      </c>
      <c r="S39" s="42" t="e">
        <f t="shared" si="12"/>
        <v>#DIV/0!</v>
      </c>
      <c r="T39" s="39" t="e">
        <f t="shared" si="12"/>
        <v>#DIV/0!</v>
      </c>
      <c r="U39" s="44"/>
      <c r="V39" s="45"/>
    </row>
    <row r="40" spans="1:27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  <c r="V40" s="5"/>
    </row>
    <row r="41" spans="1:27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36" t="s">
        <v>34</v>
      </c>
      <c r="N41" s="354"/>
      <c r="O41" s="354"/>
      <c r="P41" s="354"/>
      <c r="Q41" s="354"/>
      <c r="R41" s="354"/>
      <c r="S41" s="354"/>
      <c r="T41" s="355"/>
      <c r="U41" s="5"/>
      <c r="V41" s="5"/>
    </row>
    <row r="42" spans="1:27" ht="20.25" customHeight="1" x14ac:dyDescent="0.25">
      <c r="A42" s="441" t="s">
        <v>35</v>
      </c>
      <c r="B42" s="442"/>
      <c r="C42" s="442"/>
      <c r="D42" s="48">
        <f>100-D46</f>
        <v>100</v>
      </c>
      <c r="E42" s="48">
        <f t="shared" ref="E42:J42" si="13">100-E46</f>
        <v>95</v>
      </c>
      <c r="F42" s="48">
        <f t="shared" si="13"/>
        <v>80</v>
      </c>
      <c r="G42" s="48">
        <f t="shared" si="13"/>
        <v>70</v>
      </c>
      <c r="H42" s="48">
        <f t="shared" si="13"/>
        <v>45</v>
      </c>
      <c r="I42" s="48">
        <f t="shared" si="13"/>
        <v>15</v>
      </c>
      <c r="J42" s="48">
        <f t="shared" si="13"/>
        <v>5</v>
      </c>
      <c r="K42" s="49" t="s">
        <v>24</v>
      </c>
      <c r="L42" s="50" t="s">
        <v>24</v>
      </c>
      <c r="M42" s="455" t="s">
        <v>32</v>
      </c>
      <c r="N42" s="359"/>
      <c r="O42" s="359" t="s">
        <v>50</v>
      </c>
      <c r="P42" s="359" t="s">
        <v>40</v>
      </c>
      <c r="Q42" s="359" t="s">
        <v>65</v>
      </c>
      <c r="R42" s="359" t="s">
        <v>68</v>
      </c>
      <c r="S42" s="359" t="s">
        <v>33</v>
      </c>
      <c r="T42" s="365" t="s">
        <v>41</v>
      </c>
      <c r="U42" s="5"/>
      <c r="V42" s="5"/>
    </row>
    <row r="43" spans="1:27" ht="20.25" customHeight="1" x14ac:dyDescent="0.25">
      <c r="A43" s="437"/>
      <c r="B43" s="438"/>
      <c r="C43" s="438"/>
      <c r="D43" s="51">
        <f t="shared" ref="D43:J45" si="14">100-D47</f>
        <v>100</v>
      </c>
      <c r="E43" s="51">
        <f t="shared" si="14"/>
        <v>100</v>
      </c>
      <c r="F43" s="51">
        <f t="shared" si="14"/>
        <v>90</v>
      </c>
      <c r="G43" s="51">
        <f t="shared" si="14"/>
        <v>80</v>
      </c>
      <c r="H43" s="51">
        <f t="shared" si="14"/>
        <v>65</v>
      </c>
      <c r="I43" s="51">
        <f t="shared" si="14"/>
        <v>35</v>
      </c>
      <c r="J43" s="51">
        <f t="shared" si="14"/>
        <v>10</v>
      </c>
      <c r="K43" s="52" t="s">
        <v>24</v>
      </c>
      <c r="L43" s="53" t="s">
        <v>24</v>
      </c>
      <c r="M43" s="357"/>
      <c r="N43" s="360"/>
      <c r="O43" s="360"/>
      <c r="P43" s="360"/>
      <c r="Q43" s="360"/>
      <c r="R43" s="360"/>
      <c r="S43" s="360"/>
      <c r="T43" s="366"/>
      <c r="U43" s="5"/>
      <c r="V43" s="5"/>
    </row>
    <row r="44" spans="1:27" ht="20.25" customHeight="1" x14ac:dyDescent="0.25">
      <c r="A44" s="437" t="s">
        <v>36</v>
      </c>
      <c r="B44" s="438"/>
      <c r="C44" s="438"/>
      <c r="D44" s="51">
        <f t="shared" si="14"/>
        <v>93</v>
      </c>
      <c r="E44" s="51">
        <f t="shared" si="14"/>
        <v>90</v>
      </c>
      <c r="F44" s="51">
        <f t="shared" si="14"/>
        <v>75</v>
      </c>
      <c r="G44" s="51">
        <f t="shared" si="14"/>
        <v>50</v>
      </c>
      <c r="H44" s="51">
        <f t="shared" si="14"/>
        <v>30</v>
      </c>
      <c r="I44" s="51">
        <f t="shared" si="14"/>
        <v>5</v>
      </c>
      <c r="J44" s="51">
        <f t="shared" si="14"/>
        <v>0</v>
      </c>
      <c r="K44" s="52" t="s">
        <v>24</v>
      </c>
      <c r="L44" s="53" t="s">
        <v>24</v>
      </c>
      <c r="M44" s="357"/>
      <c r="N44" s="360"/>
      <c r="O44" s="360"/>
      <c r="P44" s="360"/>
      <c r="Q44" s="360"/>
      <c r="R44" s="360"/>
      <c r="S44" s="360"/>
      <c r="T44" s="366"/>
      <c r="U44" s="5"/>
      <c r="V44" s="5"/>
    </row>
    <row r="45" spans="1:27" ht="20.25" customHeight="1" thickBot="1" x14ac:dyDescent="0.3">
      <c r="A45" s="439"/>
      <c r="B45" s="440"/>
      <c r="C45" s="440"/>
      <c r="D45" s="54">
        <f>100-D49</f>
        <v>100</v>
      </c>
      <c r="E45" s="54">
        <f t="shared" si="14"/>
        <v>100</v>
      </c>
      <c r="F45" s="54">
        <f t="shared" si="14"/>
        <v>100</v>
      </c>
      <c r="G45" s="54">
        <f t="shared" si="14"/>
        <v>95</v>
      </c>
      <c r="H45" s="54">
        <f t="shared" si="14"/>
        <v>85</v>
      </c>
      <c r="I45" s="54">
        <f t="shared" si="14"/>
        <v>50</v>
      </c>
      <c r="J45" s="54">
        <f t="shared" si="14"/>
        <v>15</v>
      </c>
      <c r="K45" s="55" t="s">
        <v>24</v>
      </c>
      <c r="L45" s="56" t="s">
        <v>24</v>
      </c>
      <c r="M45" s="357"/>
      <c r="N45" s="360"/>
      <c r="O45" s="360"/>
      <c r="P45" s="360"/>
      <c r="Q45" s="360"/>
      <c r="R45" s="360"/>
      <c r="S45" s="360"/>
      <c r="T45" s="366"/>
      <c r="U45" s="5"/>
      <c r="V45" s="5"/>
    </row>
    <row r="46" spans="1:27" ht="20.25" customHeight="1" thickTop="1" x14ac:dyDescent="0.25">
      <c r="A46" s="460" t="s">
        <v>37</v>
      </c>
      <c r="B46" s="461"/>
      <c r="C46" s="461"/>
      <c r="D46" s="57">
        <v>0</v>
      </c>
      <c r="E46" s="57">
        <v>5</v>
      </c>
      <c r="F46" s="57">
        <v>20</v>
      </c>
      <c r="G46" s="57">
        <v>30</v>
      </c>
      <c r="H46" s="57">
        <v>55</v>
      </c>
      <c r="I46" s="57">
        <v>85</v>
      </c>
      <c r="J46" s="57">
        <v>95</v>
      </c>
      <c r="K46" s="58" t="s">
        <v>24</v>
      </c>
      <c r="L46" s="59" t="s">
        <v>24</v>
      </c>
      <c r="M46" s="357"/>
      <c r="N46" s="360"/>
      <c r="O46" s="360"/>
      <c r="P46" s="360"/>
      <c r="Q46" s="360"/>
      <c r="R46" s="360"/>
      <c r="S46" s="360"/>
      <c r="T46" s="366"/>
      <c r="U46" s="5"/>
      <c r="V46" s="5"/>
    </row>
    <row r="47" spans="1:27" ht="20.25" customHeight="1" x14ac:dyDescent="0.25">
      <c r="A47" s="437"/>
      <c r="B47" s="438"/>
      <c r="C47" s="438"/>
      <c r="D47" s="51">
        <v>0</v>
      </c>
      <c r="E47" s="51">
        <v>0</v>
      </c>
      <c r="F47" s="51">
        <v>10</v>
      </c>
      <c r="G47" s="51">
        <v>20</v>
      </c>
      <c r="H47" s="51">
        <v>35</v>
      </c>
      <c r="I47" s="51">
        <v>65</v>
      </c>
      <c r="J47" s="51">
        <v>90</v>
      </c>
      <c r="K47" s="60" t="s">
        <v>24</v>
      </c>
      <c r="L47" s="61" t="s">
        <v>24</v>
      </c>
      <c r="M47" s="357"/>
      <c r="N47" s="360"/>
      <c r="O47" s="360"/>
      <c r="P47" s="360"/>
      <c r="Q47" s="360"/>
      <c r="R47" s="360"/>
      <c r="S47" s="360"/>
      <c r="T47" s="366"/>
      <c r="U47" s="5"/>
      <c r="V47" s="5"/>
    </row>
    <row r="48" spans="1:27" ht="20.25" customHeight="1" x14ac:dyDescent="0.25">
      <c r="A48" s="437" t="s">
        <v>38</v>
      </c>
      <c r="B48" s="438"/>
      <c r="C48" s="438"/>
      <c r="D48" s="51">
        <v>7</v>
      </c>
      <c r="E48" s="51">
        <v>10</v>
      </c>
      <c r="F48" s="51">
        <v>25</v>
      </c>
      <c r="G48" s="51">
        <v>50</v>
      </c>
      <c r="H48" s="51">
        <v>70</v>
      </c>
      <c r="I48" s="51">
        <v>95</v>
      </c>
      <c r="J48" s="51">
        <v>100</v>
      </c>
      <c r="K48" s="60" t="s">
        <v>24</v>
      </c>
      <c r="L48" s="61" t="s">
        <v>24</v>
      </c>
      <c r="M48" s="357"/>
      <c r="N48" s="360"/>
      <c r="O48" s="360"/>
      <c r="P48" s="360"/>
      <c r="Q48" s="360"/>
      <c r="R48" s="360"/>
      <c r="S48" s="360"/>
      <c r="T48" s="366"/>
      <c r="U48" s="5"/>
      <c r="V48" s="5"/>
    </row>
    <row r="49" spans="1:22" ht="20.25" customHeight="1" thickBot="1" x14ac:dyDescent="0.3">
      <c r="A49" s="456"/>
      <c r="B49" s="457"/>
      <c r="C49" s="457"/>
      <c r="D49" s="62">
        <v>0</v>
      </c>
      <c r="E49" s="62">
        <v>0</v>
      </c>
      <c r="F49" s="62">
        <v>0</v>
      </c>
      <c r="G49" s="62">
        <v>5</v>
      </c>
      <c r="H49" s="62">
        <v>15</v>
      </c>
      <c r="I49" s="62">
        <v>50</v>
      </c>
      <c r="J49" s="62">
        <v>85</v>
      </c>
      <c r="K49" s="63" t="s">
        <v>24</v>
      </c>
      <c r="L49" s="64" t="s">
        <v>24</v>
      </c>
      <c r="M49" s="358"/>
      <c r="N49" s="361"/>
      <c r="O49" s="361"/>
      <c r="P49" s="361"/>
      <c r="Q49" s="361"/>
      <c r="R49" s="361"/>
      <c r="S49" s="361"/>
      <c r="T49" s="367"/>
      <c r="U49" s="5"/>
      <c r="V49" s="5"/>
    </row>
    <row r="50" spans="1:22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5"/>
      <c r="Q50" s="5"/>
      <c r="R50" s="5"/>
      <c r="S50" s="5"/>
      <c r="T50" s="65"/>
      <c r="U50" s="5"/>
      <c r="V50" s="5"/>
    </row>
    <row r="51" spans="1:22" ht="15.75" customHeight="1" thickBot="1" x14ac:dyDescent="0.3">
      <c r="A51" s="5"/>
      <c r="B51" s="5"/>
      <c r="C51" s="5"/>
      <c r="D51" s="462" t="s">
        <v>42</v>
      </c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463"/>
      <c r="U51" s="5"/>
      <c r="V51" s="5"/>
    </row>
    <row r="52" spans="1:22" ht="18.75" customHeight="1" thickBot="1" x14ac:dyDescent="0.3">
      <c r="A52" s="5"/>
      <c r="B52" s="5"/>
      <c r="C52" s="5"/>
      <c r="D52" s="464" t="s">
        <v>43</v>
      </c>
      <c r="E52" s="465"/>
      <c r="F52" s="465"/>
      <c r="G52" s="465"/>
      <c r="H52" s="465"/>
      <c r="I52" s="465"/>
      <c r="J52" s="465"/>
      <c r="K52" s="465"/>
      <c r="L52" s="465"/>
      <c r="M52" s="465"/>
      <c r="N52" s="465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68" t="s">
        <v>47</v>
      </c>
      <c r="U52" s="5"/>
      <c r="V52" s="5"/>
    </row>
    <row r="53" spans="1:2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sheetProtection insertRows="0"/>
  <mergeCells count="37">
    <mergeCell ref="D51:T51"/>
    <mergeCell ref="D52:N52"/>
    <mergeCell ref="A1:V1"/>
    <mergeCell ref="A2:V2"/>
    <mergeCell ref="V4:V6"/>
    <mergeCell ref="T4:T6"/>
    <mergeCell ref="S4:S6"/>
    <mergeCell ref="O4:O6"/>
    <mergeCell ref="P4:P6"/>
    <mergeCell ref="Q4:Q6"/>
    <mergeCell ref="U4:U6"/>
    <mergeCell ref="N4:N6"/>
    <mergeCell ref="B4:B6"/>
    <mergeCell ref="A4:A6"/>
    <mergeCell ref="M4:M6"/>
    <mergeCell ref="C4:C6"/>
    <mergeCell ref="L5:L6"/>
    <mergeCell ref="D4:L4"/>
    <mergeCell ref="M41:T41"/>
    <mergeCell ref="A44:C45"/>
    <mergeCell ref="A42:C43"/>
    <mergeCell ref="R4:R6"/>
    <mergeCell ref="A38:C38"/>
    <mergeCell ref="A39:C39"/>
    <mergeCell ref="A36:C36"/>
    <mergeCell ref="A37:C37"/>
    <mergeCell ref="M42:M49"/>
    <mergeCell ref="N42:N49"/>
    <mergeCell ref="A48:C49"/>
    <mergeCell ref="A41:L41"/>
    <mergeCell ref="A46:C47"/>
    <mergeCell ref="O42:O49"/>
    <mergeCell ref="P42:P49"/>
    <mergeCell ref="Q42:Q49"/>
    <mergeCell ref="R42:R49"/>
    <mergeCell ref="S42:S49"/>
    <mergeCell ref="T42:T49"/>
  </mergeCells>
  <phoneticPr fontId="0" type="noConversion"/>
  <conditionalFormatting sqref="M7:N35">
    <cfRule type="cellIs" dxfId="1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  <pageSetUpPr fitToPage="1"/>
  </sheetPr>
  <dimension ref="A1:Z52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66" t="s">
        <v>94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</row>
    <row r="2" spans="1:26" ht="22.5" customHeight="1" x14ac:dyDescent="0.25">
      <c r="A2" s="467" t="s">
        <v>79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4"/>
      <c r="J4" s="434"/>
      <c r="K4" s="434"/>
      <c r="L4" s="435"/>
      <c r="M4" s="478" t="s">
        <v>29</v>
      </c>
      <c r="N4" s="469" t="s">
        <v>5</v>
      </c>
      <c r="O4" s="443" t="s">
        <v>21</v>
      </c>
      <c r="P4" s="443" t="s">
        <v>30</v>
      </c>
      <c r="Q4" s="443" t="s">
        <v>67</v>
      </c>
      <c r="R4" s="443" t="s">
        <v>31</v>
      </c>
      <c r="S4" s="443" t="s">
        <v>28</v>
      </c>
      <c r="T4" s="469" t="s">
        <v>20</v>
      </c>
      <c r="U4" s="468" t="s">
        <v>6</v>
      </c>
    </row>
    <row r="5" spans="1:26" ht="16.5" customHeight="1" x14ac:dyDescent="0.25">
      <c r="A5" s="476"/>
      <c r="B5" s="473"/>
      <c r="C5" s="482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1" t="s">
        <v>15</v>
      </c>
      <c r="M5" s="479"/>
      <c r="N5" s="470"/>
      <c r="O5" s="444"/>
      <c r="P5" s="444"/>
      <c r="Q5" s="444"/>
      <c r="R5" s="444"/>
      <c r="S5" s="444"/>
      <c r="T5" s="470"/>
      <c r="U5" s="431"/>
    </row>
    <row r="6" spans="1:26" ht="16.5" customHeight="1" thickBot="1" x14ac:dyDescent="0.3">
      <c r="A6" s="477"/>
      <c r="B6" s="474"/>
      <c r="C6" s="483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32"/>
      <c r="M6" s="480"/>
      <c r="N6" s="471"/>
      <c r="O6" s="445"/>
      <c r="P6" s="445"/>
      <c r="Q6" s="445"/>
      <c r="R6" s="445"/>
      <c r="S6" s="445"/>
      <c r="T6" s="471"/>
      <c r="U6" s="432"/>
    </row>
    <row r="7" spans="1:26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0</v>
      </c>
      <c r="F7" s="73">
        <v>0.4</v>
      </c>
      <c r="G7" s="73">
        <v>22.4</v>
      </c>
      <c r="H7" s="73">
        <v>51</v>
      </c>
      <c r="I7" s="73">
        <v>69.599999999999994</v>
      </c>
      <c r="J7" s="73">
        <v>80.3</v>
      </c>
      <c r="K7" s="73">
        <v>86.7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3.1039999999999996</v>
      </c>
      <c r="O7" s="77">
        <v>15.2</v>
      </c>
      <c r="P7" s="77" t="s">
        <v>24</v>
      </c>
      <c r="Q7" s="78">
        <v>2.71</v>
      </c>
      <c r="R7" s="78">
        <v>1.48</v>
      </c>
      <c r="S7" s="77">
        <v>1.3</v>
      </c>
      <c r="T7" s="79" t="s">
        <v>69</v>
      </c>
      <c r="U7" s="80" t="s">
        <v>73</v>
      </c>
      <c r="V7" s="3"/>
      <c r="Z7" s="1"/>
    </row>
    <row r="8" spans="1:26" ht="27" customHeight="1" x14ac:dyDescent="0.25">
      <c r="A8" s="69">
        <v>39723</v>
      </c>
      <c r="B8" s="70">
        <v>2</v>
      </c>
      <c r="C8" s="71">
        <v>39723</v>
      </c>
      <c r="D8" s="72">
        <v>0</v>
      </c>
      <c r="E8" s="73">
        <v>0</v>
      </c>
      <c r="F8" s="73">
        <v>0.8</v>
      </c>
      <c r="G8" s="73">
        <v>36.6</v>
      </c>
      <c r="H8" s="73">
        <v>63</v>
      </c>
      <c r="I8" s="73">
        <v>79.8</v>
      </c>
      <c r="J8" s="73">
        <v>84.3</v>
      </c>
      <c r="K8" s="73">
        <v>88.5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3.53</v>
      </c>
      <c r="O8" s="77">
        <v>14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73</v>
      </c>
      <c r="V8" s="3"/>
      <c r="Z8" s="1"/>
    </row>
    <row r="9" spans="1:26" ht="27" customHeight="1" x14ac:dyDescent="0.25">
      <c r="A9" s="69">
        <v>39725</v>
      </c>
      <c r="B9" s="70">
        <v>3</v>
      </c>
      <c r="C9" s="71">
        <v>39725</v>
      </c>
      <c r="D9" s="72">
        <v>0</v>
      </c>
      <c r="E9" s="73">
        <v>0</v>
      </c>
      <c r="F9" s="73">
        <v>0.5</v>
      </c>
      <c r="G9" s="73">
        <v>29.5</v>
      </c>
      <c r="H9" s="73">
        <v>55.4</v>
      </c>
      <c r="I9" s="73">
        <v>70</v>
      </c>
      <c r="J9" s="73">
        <v>79.2</v>
      </c>
      <c r="K9" s="73">
        <v>84.7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3.1930000000000001</v>
      </c>
      <c r="O9" s="77">
        <v>17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73</v>
      </c>
      <c r="V9" s="3"/>
      <c r="Z9" s="1"/>
    </row>
    <row r="10" spans="1:26" ht="27" customHeight="1" x14ac:dyDescent="0.25">
      <c r="A10" s="69">
        <v>39725</v>
      </c>
      <c r="B10" s="70">
        <v>4</v>
      </c>
      <c r="C10" s="71">
        <v>39735</v>
      </c>
      <c r="D10" s="72">
        <v>0</v>
      </c>
      <c r="E10" s="73">
        <v>0</v>
      </c>
      <c r="F10" s="73">
        <v>1.2</v>
      </c>
      <c r="G10" s="73">
        <v>33.200000000000003</v>
      </c>
      <c r="H10" s="73">
        <v>59.9</v>
      </c>
      <c r="I10" s="73">
        <v>75.400000000000006</v>
      </c>
      <c r="J10" s="73">
        <v>85.5</v>
      </c>
      <c r="K10" s="73">
        <v>90.5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3.4570000000000003</v>
      </c>
      <c r="O10" s="77">
        <v>14.9</v>
      </c>
      <c r="P10" s="77" t="s">
        <v>24</v>
      </c>
      <c r="Q10" s="78" t="s">
        <v>24</v>
      </c>
      <c r="R10" s="78" t="s">
        <v>24</v>
      </c>
      <c r="S10" s="78" t="s">
        <v>24</v>
      </c>
      <c r="T10" s="79" t="s">
        <v>69</v>
      </c>
      <c r="U10" s="80" t="s">
        <v>73</v>
      </c>
      <c r="V10" s="3"/>
      <c r="Z10" s="1"/>
    </row>
    <row r="11" spans="1:26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ref="M11:M35" si="1">IF(B11="","",IF(E11&gt;5,D$6,IF(F11&gt;5,E$6,IF(G11&gt;5,F$6,IF(H11&gt;5,G$6,IF(I11&gt;5,H$6,IF(J11&gt;5,I$6,IF(K11&gt;5,J$6))))))))</f>
        <v/>
      </c>
      <c r="N11" s="76" t="str">
        <f t="shared" si="0"/>
        <v/>
      </c>
      <c r="O11" s="77"/>
      <c r="P11" s="77"/>
      <c r="Q11" s="78"/>
      <c r="R11" s="78"/>
      <c r="S11" s="78"/>
      <c r="T11" s="79"/>
      <c r="U11" s="80"/>
      <c r="V11" s="3"/>
      <c r="Z11" s="1"/>
    </row>
    <row r="12" spans="1:26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1"/>
        <v/>
      </c>
      <c r="N12" s="76" t="str">
        <f t="shared" si="0"/>
        <v/>
      </c>
      <c r="O12" s="77"/>
      <c r="P12" s="77"/>
      <c r="Q12" s="78"/>
      <c r="R12" s="78"/>
      <c r="S12" s="78"/>
      <c r="T12" s="79"/>
      <c r="U12" s="80"/>
      <c r="V12" s="3"/>
      <c r="Z12" s="1"/>
    </row>
    <row r="13" spans="1:26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1"/>
        <v/>
      </c>
      <c r="N13" s="76" t="str">
        <f t="shared" si="0"/>
        <v/>
      </c>
      <c r="O13" s="77"/>
      <c r="P13" s="77"/>
      <c r="Q13" s="78"/>
      <c r="R13" s="78"/>
      <c r="S13" s="77"/>
      <c r="T13" s="79"/>
      <c r="U13" s="80"/>
      <c r="V13" s="3"/>
      <c r="Z13" s="1"/>
    </row>
    <row r="14" spans="1:26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1"/>
        <v/>
      </c>
      <c r="N14" s="76" t="str">
        <f>IF(B14="","",(D14+F14+G14+H14+I14+J14+K14)/100)</f>
        <v/>
      </c>
      <c r="O14" s="77"/>
      <c r="P14" s="77"/>
      <c r="Q14" s="78"/>
      <c r="R14" s="78"/>
      <c r="S14" s="77"/>
      <c r="T14" s="79"/>
      <c r="U14" s="80"/>
      <c r="V14" s="3"/>
      <c r="Z14" s="1"/>
    </row>
    <row r="15" spans="1:26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1"/>
        <v/>
      </c>
      <c r="N15" s="76" t="str">
        <f t="shared" si="0"/>
        <v/>
      </c>
      <c r="O15" s="77"/>
      <c r="P15" s="77"/>
      <c r="Q15" s="78"/>
      <c r="R15" s="78"/>
      <c r="S15" s="77"/>
      <c r="T15" s="79"/>
      <c r="U15" s="80"/>
      <c r="V15" s="3"/>
      <c r="Z15" s="1"/>
    </row>
    <row r="16" spans="1:26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1"/>
        <v/>
      </c>
      <c r="N16" s="76" t="str">
        <f t="shared" si="0"/>
        <v/>
      </c>
      <c r="O16" s="77"/>
      <c r="P16" s="77"/>
      <c r="Q16" s="78"/>
      <c r="R16" s="78"/>
      <c r="S16" s="77"/>
      <c r="T16" s="79"/>
      <c r="U16" s="80"/>
      <c r="V16" s="3"/>
      <c r="Z16" s="1"/>
    </row>
    <row r="17" spans="1:26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1"/>
        <v/>
      </c>
      <c r="N17" s="76" t="str">
        <f t="shared" si="0"/>
        <v/>
      </c>
      <c r="O17" s="77"/>
      <c r="P17" s="77"/>
      <c r="Q17" s="78"/>
      <c r="R17" s="78"/>
      <c r="S17" s="77"/>
      <c r="T17" s="79"/>
      <c r="U17" s="80"/>
      <c r="V17" s="3"/>
      <c r="Z17" s="1"/>
    </row>
    <row r="18" spans="1:26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1"/>
        <v/>
      </c>
      <c r="N18" s="76" t="str">
        <f t="shared" si="0"/>
        <v/>
      </c>
      <c r="O18" s="77"/>
      <c r="P18" s="77"/>
      <c r="Q18" s="78"/>
      <c r="R18" s="78"/>
      <c r="S18" s="77"/>
      <c r="T18" s="79"/>
      <c r="U18" s="80"/>
      <c r="V18" s="3"/>
      <c r="Z18" s="1"/>
    </row>
    <row r="19" spans="1:26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1"/>
        <v/>
      </c>
      <c r="N19" s="76" t="str">
        <f t="shared" si="0"/>
        <v/>
      </c>
      <c r="O19" s="77"/>
      <c r="P19" s="77"/>
      <c r="Q19" s="78"/>
      <c r="R19" s="78"/>
      <c r="S19" s="77"/>
      <c r="T19" s="79"/>
      <c r="U19" s="80"/>
      <c r="V19" s="3"/>
      <c r="Z19" s="1"/>
    </row>
    <row r="20" spans="1:26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1"/>
        <v/>
      </c>
      <c r="N20" s="76" t="str">
        <f t="shared" si="0"/>
        <v/>
      </c>
      <c r="O20" s="77"/>
      <c r="P20" s="77"/>
      <c r="Q20" s="78"/>
      <c r="R20" s="78"/>
      <c r="S20" s="77"/>
      <c r="T20" s="79"/>
      <c r="U20" s="80"/>
      <c r="V20" s="3"/>
      <c r="Z20" s="1"/>
    </row>
    <row r="21" spans="1:26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1"/>
        <v/>
      </c>
      <c r="N21" s="76" t="str">
        <f t="shared" si="0"/>
        <v/>
      </c>
      <c r="O21" s="77"/>
      <c r="P21" s="77"/>
      <c r="Q21" s="78"/>
      <c r="R21" s="78"/>
      <c r="S21" s="77"/>
      <c r="T21" s="79"/>
      <c r="U21" s="80"/>
      <c r="V21" s="3"/>
      <c r="Z21" s="1"/>
    </row>
    <row r="22" spans="1:26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1"/>
        <v/>
      </c>
      <c r="N22" s="76" t="str">
        <f t="shared" si="0"/>
        <v/>
      </c>
      <c r="O22" s="77"/>
      <c r="P22" s="77"/>
      <c r="Q22" s="78"/>
      <c r="R22" s="78"/>
      <c r="S22" s="77"/>
      <c r="T22" s="79"/>
      <c r="U22" s="80"/>
      <c r="V22" s="3"/>
      <c r="Z22" s="1"/>
    </row>
    <row r="23" spans="1:26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1"/>
        <v/>
      </c>
      <c r="N23" s="76" t="str">
        <f t="shared" si="0"/>
        <v/>
      </c>
      <c r="O23" s="77"/>
      <c r="P23" s="77"/>
      <c r="Q23" s="78"/>
      <c r="R23" s="78"/>
      <c r="S23" s="77"/>
      <c r="T23" s="79"/>
      <c r="U23" s="80"/>
      <c r="V23" s="3"/>
      <c r="Z23" s="1"/>
    </row>
    <row r="24" spans="1:26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1"/>
        <v/>
      </c>
      <c r="N24" s="76" t="str">
        <f t="shared" si="0"/>
        <v/>
      </c>
      <c r="O24" s="77"/>
      <c r="P24" s="77"/>
      <c r="Q24" s="78"/>
      <c r="R24" s="78"/>
      <c r="S24" s="77"/>
      <c r="T24" s="79"/>
      <c r="U24" s="80"/>
      <c r="V24" s="3"/>
      <c r="Z24" s="1"/>
    </row>
    <row r="25" spans="1:26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1"/>
        <v/>
      </c>
      <c r="N25" s="76" t="str">
        <f t="shared" si="0"/>
        <v/>
      </c>
      <c r="O25" s="77"/>
      <c r="P25" s="77"/>
      <c r="Q25" s="78"/>
      <c r="R25" s="78"/>
      <c r="S25" s="77"/>
      <c r="T25" s="79"/>
      <c r="U25" s="80"/>
      <c r="V25" s="3"/>
      <c r="Z25" s="1"/>
    </row>
    <row r="26" spans="1:26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1"/>
        <v/>
      </c>
      <c r="N26" s="76" t="str">
        <f t="shared" si="0"/>
        <v/>
      </c>
      <c r="O26" s="77"/>
      <c r="P26" s="77"/>
      <c r="Q26" s="78"/>
      <c r="R26" s="78"/>
      <c r="S26" s="77"/>
      <c r="T26" s="79"/>
      <c r="U26" s="80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52" t="s">
        <v>0</v>
      </c>
      <c r="B36" s="453"/>
      <c r="C36" s="454"/>
      <c r="D36" s="21">
        <f t="shared" ref="D36:L36" si="2">AVERAGE(D7:D35)</f>
        <v>0</v>
      </c>
      <c r="E36" s="22">
        <f t="shared" si="2"/>
        <v>0</v>
      </c>
      <c r="F36" s="22">
        <f t="shared" si="2"/>
        <v>0.72500000000000009</v>
      </c>
      <c r="G36" s="22">
        <f t="shared" si="2"/>
        <v>30.425000000000001</v>
      </c>
      <c r="H36" s="22">
        <f t="shared" si="2"/>
        <v>57.325000000000003</v>
      </c>
      <c r="I36" s="22">
        <f t="shared" si="2"/>
        <v>73.699999999999989</v>
      </c>
      <c r="J36" s="22">
        <f t="shared" si="2"/>
        <v>82.325000000000003</v>
      </c>
      <c r="K36" s="22">
        <f>AVERAGE(K7:K35)</f>
        <v>87.6</v>
      </c>
      <c r="L36" s="23">
        <f t="shared" si="2"/>
        <v>100</v>
      </c>
      <c r="M36" s="25">
        <f t="shared" ref="M36:S36" si="3">AVERAGE(M7:M35)</f>
        <v>4.75</v>
      </c>
      <c r="N36" s="25">
        <f t="shared" si="3"/>
        <v>3.3210000000000002</v>
      </c>
      <c r="O36" s="25">
        <f t="shared" si="3"/>
        <v>15.275</v>
      </c>
      <c r="P36" s="25" t="e">
        <f t="shared" si="3"/>
        <v>#DIV/0!</v>
      </c>
      <c r="Q36" s="26">
        <f t="shared" si="3"/>
        <v>2.71</v>
      </c>
      <c r="R36" s="26">
        <f t="shared" si="3"/>
        <v>1.48</v>
      </c>
      <c r="S36" s="25">
        <f t="shared" si="3"/>
        <v>1.3</v>
      </c>
      <c r="T36" s="27"/>
      <c r="U36" s="28"/>
      <c r="V36" s="3"/>
      <c r="Z36" s="1"/>
    </row>
    <row r="37" spans="1:26" ht="27" customHeight="1" x14ac:dyDescent="0.25">
      <c r="A37" s="446" t="s">
        <v>26</v>
      </c>
      <c r="B37" s="447"/>
      <c r="C37" s="448"/>
      <c r="D37" s="29">
        <f>MAX(D7:D35)</f>
        <v>0</v>
      </c>
      <c r="E37" s="30">
        <f>MAX(E7:E35)</f>
        <v>0</v>
      </c>
      <c r="F37" s="30">
        <f>MAX(F7:F35)</f>
        <v>1.2</v>
      </c>
      <c r="G37" s="30">
        <f t="shared" ref="G37:S37" si="4">MAX(G7:G35)</f>
        <v>36.6</v>
      </c>
      <c r="H37" s="30">
        <f t="shared" si="4"/>
        <v>63</v>
      </c>
      <c r="I37" s="30">
        <f t="shared" si="4"/>
        <v>79.8</v>
      </c>
      <c r="J37" s="30">
        <f t="shared" si="4"/>
        <v>85.5</v>
      </c>
      <c r="K37" s="30">
        <f t="shared" si="4"/>
        <v>90.5</v>
      </c>
      <c r="L37" s="31">
        <f t="shared" si="4"/>
        <v>100</v>
      </c>
      <c r="M37" s="32">
        <f>MAX(M7:M35)</f>
        <v>4.75</v>
      </c>
      <c r="N37" s="33">
        <f t="shared" si="4"/>
        <v>3.53</v>
      </c>
      <c r="O37" s="33">
        <f t="shared" si="4"/>
        <v>17</v>
      </c>
      <c r="P37" s="33">
        <f t="shared" ref="P37" si="5">MAX(P7:P35)</f>
        <v>0</v>
      </c>
      <c r="Q37" s="34">
        <f t="shared" si="4"/>
        <v>2.71</v>
      </c>
      <c r="R37" s="34">
        <f>MAX(R7:R35)</f>
        <v>1.48</v>
      </c>
      <c r="S37" s="33">
        <f t="shared" si="4"/>
        <v>1.3</v>
      </c>
      <c r="T37" s="35"/>
      <c r="U37" s="36"/>
    </row>
    <row r="38" spans="1:26" ht="27" customHeight="1" x14ac:dyDescent="0.25">
      <c r="A38" s="446" t="s">
        <v>25</v>
      </c>
      <c r="B38" s="447"/>
      <c r="C38" s="448"/>
      <c r="D38" s="29">
        <f>MIN(D7:D35)</f>
        <v>0</v>
      </c>
      <c r="E38" s="30">
        <f t="shared" ref="E38:L38" si="6">MIN(E7:E35)</f>
        <v>0</v>
      </c>
      <c r="F38" s="30">
        <f t="shared" si="6"/>
        <v>0.4</v>
      </c>
      <c r="G38" s="30">
        <f t="shared" si="6"/>
        <v>22.4</v>
      </c>
      <c r="H38" s="30">
        <f t="shared" si="6"/>
        <v>51</v>
      </c>
      <c r="I38" s="30">
        <f t="shared" si="6"/>
        <v>69.599999999999994</v>
      </c>
      <c r="J38" s="30">
        <f t="shared" si="6"/>
        <v>79.2</v>
      </c>
      <c r="K38" s="30">
        <f t="shared" si="6"/>
        <v>84.7</v>
      </c>
      <c r="L38" s="31">
        <f t="shared" si="6"/>
        <v>100</v>
      </c>
      <c r="M38" s="37" t="s">
        <v>24</v>
      </c>
      <c r="N38" s="33">
        <f t="shared" ref="N38:S38" si="7">MIN(N7:N35)</f>
        <v>3.1039999999999996</v>
      </c>
      <c r="O38" s="33">
        <f t="shared" si="7"/>
        <v>14</v>
      </c>
      <c r="P38" s="33">
        <f t="shared" si="7"/>
        <v>0</v>
      </c>
      <c r="Q38" s="34">
        <f t="shared" si="7"/>
        <v>2.71</v>
      </c>
      <c r="R38" s="34">
        <f t="shared" si="7"/>
        <v>1.48</v>
      </c>
      <c r="S38" s="33">
        <f t="shared" si="7"/>
        <v>1.3</v>
      </c>
      <c r="T38" s="35"/>
      <c r="U38" s="36"/>
    </row>
    <row r="39" spans="1:26" ht="27" customHeight="1" thickBot="1" x14ac:dyDescent="0.3">
      <c r="A39" s="449" t="s">
        <v>1</v>
      </c>
      <c r="B39" s="450"/>
      <c r="C39" s="451"/>
      <c r="D39" s="38">
        <f>STDEV(D7:D35)</f>
        <v>0</v>
      </c>
      <c r="E39" s="39">
        <f t="shared" ref="E39:L39" si="8">STDEV(E7:E35)</f>
        <v>0</v>
      </c>
      <c r="F39" s="39">
        <f t="shared" si="8"/>
        <v>0.35939764421413029</v>
      </c>
      <c r="G39" s="39">
        <f t="shared" si="8"/>
        <v>6.0851595432385084</v>
      </c>
      <c r="H39" s="39">
        <f t="shared" si="8"/>
        <v>5.2455536727149532</v>
      </c>
      <c r="I39" s="39">
        <f t="shared" si="8"/>
        <v>4.85111670992704</v>
      </c>
      <c r="J39" s="39">
        <f t="shared" si="8"/>
        <v>3.0467195473164237</v>
      </c>
      <c r="K39" s="39">
        <f t="shared" si="8"/>
        <v>2.4792471975716053</v>
      </c>
      <c r="L39" s="40">
        <f t="shared" si="8"/>
        <v>0</v>
      </c>
      <c r="M39" s="41" t="s">
        <v>24</v>
      </c>
      <c r="N39" s="42">
        <f t="shared" ref="N39:S39" si="9">STDEV(N7:N35)</f>
        <v>0.20465417985795792</v>
      </c>
      <c r="O39" s="42">
        <f t="shared" si="9"/>
        <v>1.2579745625409124</v>
      </c>
      <c r="P39" s="42" t="e">
        <f t="shared" si="9"/>
        <v>#DIV/0!</v>
      </c>
      <c r="Q39" s="43" t="e">
        <f t="shared" si="9"/>
        <v>#DIV/0!</v>
      </c>
      <c r="R39" s="43" t="e">
        <f t="shared" si="9"/>
        <v>#DIV/0!</v>
      </c>
      <c r="S39" s="42" t="e">
        <f t="shared" si="9"/>
        <v>#DIV/0!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36" t="s">
        <v>34</v>
      </c>
      <c r="N41" s="354"/>
      <c r="O41" s="354"/>
      <c r="P41" s="354"/>
      <c r="Q41" s="354"/>
      <c r="R41" s="354"/>
      <c r="S41" s="355"/>
      <c r="T41" s="5"/>
      <c r="U41" s="5"/>
    </row>
    <row r="42" spans="1:26" ht="20.25" customHeight="1" x14ac:dyDescent="0.25">
      <c r="A42" s="441" t="s">
        <v>35</v>
      </c>
      <c r="B42" s="442"/>
      <c r="C42" s="442"/>
      <c r="D42" s="48">
        <f>100-D46</f>
        <v>100</v>
      </c>
      <c r="E42" s="48">
        <f>100-E46</f>
        <v>100</v>
      </c>
      <c r="F42" s="48">
        <f t="shared" ref="F42:K42" si="10">100-F46</f>
        <v>95</v>
      </c>
      <c r="G42" s="48">
        <f t="shared" si="10"/>
        <v>80</v>
      </c>
      <c r="H42" s="48">
        <f t="shared" si="10"/>
        <v>70</v>
      </c>
      <c r="I42" s="48">
        <f t="shared" si="10"/>
        <v>45</v>
      </c>
      <c r="J42" s="48">
        <f t="shared" si="10"/>
        <v>15</v>
      </c>
      <c r="K42" s="48">
        <f t="shared" si="10"/>
        <v>5</v>
      </c>
      <c r="L42" s="50" t="s">
        <v>24</v>
      </c>
      <c r="M42" s="455" t="s">
        <v>51</v>
      </c>
      <c r="N42" s="359"/>
      <c r="O42" s="359" t="s">
        <v>50</v>
      </c>
      <c r="P42" s="362" t="s">
        <v>40</v>
      </c>
      <c r="Q42" s="359" t="s">
        <v>52</v>
      </c>
      <c r="R42" s="359"/>
      <c r="S42" s="365"/>
      <c r="T42" s="5"/>
      <c r="U42" s="5"/>
    </row>
    <row r="43" spans="1:26" ht="20.25" customHeight="1" x14ac:dyDescent="0.25">
      <c r="A43" s="437"/>
      <c r="B43" s="438"/>
      <c r="C43" s="438"/>
      <c r="D43" s="51">
        <f>100-D47</f>
        <v>100</v>
      </c>
      <c r="E43" s="51">
        <f t="shared" ref="E43:K44" si="11">100-E47</f>
        <v>100</v>
      </c>
      <c r="F43" s="51">
        <f t="shared" si="11"/>
        <v>100</v>
      </c>
      <c r="G43" s="51">
        <f t="shared" si="11"/>
        <v>90</v>
      </c>
      <c r="H43" s="51">
        <f t="shared" si="11"/>
        <v>80</v>
      </c>
      <c r="I43" s="51">
        <f t="shared" si="11"/>
        <v>65</v>
      </c>
      <c r="J43" s="51">
        <f t="shared" si="11"/>
        <v>35</v>
      </c>
      <c r="K43" s="51">
        <f t="shared" si="11"/>
        <v>10</v>
      </c>
      <c r="L43" s="53" t="s">
        <v>24</v>
      </c>
      <c r="M43" s="357"/>
      <c r="N43" s="360"/>
      <c r="O43" s="360"/>
      <c r="P43" s="363"/>
      <c r="Q43" s="360"/>
      <c r="R43" s="360"/>
      <c r="S43" s="366"/>
      <c r="T43" s="5"/>
      <c r="U43" s="5"/>
    </row>
    <row r="44" spans="1:26" ht="20.25" customHeight="1" x14ac:dyDescent="0.25">
      <c r="A44" s="437" t="s">
        <v>36</v>
      </c>
      <c r="B44" s="438"/>
      <c r="C44" s="438"/>
      <c r="D44" s="51">
        <f>100-D48</f>
        <v>100</v>
      </c>
      <c r="E44" s="51">
        <f t="shared" si="11"/>
        <v>93</v>
      </c>
      <c r="F44" s="51">
        <f t="shared" si="11"/>
        <v>90</v>
      </c>
      <c r="G44" s="51">
        <f t="shared" si="11"/>
        <v>75</v>
      </c>
      <c r="H44" s="51">
        <f t="shared" si="11"/>
        <v>50</v>
      </c>
      <c r="I44" s="51">
        <f t="shared" si="11"/>
        <v>30</v>
      </c>
      <c r="J44" s="51">
        <f t="shared" si="11"/>
        <v>5</v>
      </c>
      <c r="K44" s="51">
        <f t="shared" si="11"/>
        <v>0</v>
      </c>
      <c r="L44" s="53" t="s">
        <v>24</v>
      </c>
      <c r="M44" s="357"/>
      <c r="N44" s="360"/>
      <c r="O44" s="360"/>
      <c r="P44" s="363"/>
      <c r="Q44" s="360"/>
      <c r="R44" s="360"/>
      <c r="S44" s="366"/>
      <c r="T44" s="5"/>
      <c r="U44" s="5"/>
    </row>
    <row r="45" spans="1:26" ht="20.25" customHeight="1" thickBot="1" x14ac:dyDescent="0.3">
      <c r="A45" s="439"/>
      <c r="B45" s="440"/>
      <c r="C45" s="440"/>
      <c r="D45" s="54">
        <f>100-D49</f>
        <v>100</v>
      </c>
      <c r="E45" s="54">
        <f>100-E49</f>
        <v>100</v>
      </c>
      <c r="F45" s="54">
        <f t="shared" ref="F45:K45" si="12">100-F49</f>
        <v>100</v>
      </c>
      <c r="G45" s="54">
        <f t="shared" si="12"/>
        <v>100</v>
      </c>
      <c r="H45" s="54">
        <f t="shared" si="12"/>
        <v>95</v>
      </c>
      <c r="I45" s="54">
        <f t="shared" si="12"/>
        <v>85</v>
      </c>
      <c r="J45" s="54">
        <f t="shared" si="12"/>
        <v>50</v>
      </c>
      <c r="K45" s="54">
        <f t="shared" si="12"/>
        <v>15</v>
      </c>
      <c r="L45" s="56" t="s">
        <v>24</v>
      </c>
      <c r="M45" s="357"/>
      <c r="N45" s="360"/>
      <c r="O45" s="360"/>
      <c r="P45" s="363"/>
      <c r="Q45" s="360"/>
      <c r="R45" s="360"/>
      <c r="S45" s="366"/>
      <c r="T45" s="5"/>
      <c r="U45" s="5"/>
    </row>
    <row r="46" spans="1:26" ht="20.25" customHeight="1" thickTop="1" x14ac:dyDescent="0.25">
      <c r="A46" s="460" t="s">
        <v>37</v>
      </c>
      <c r="B46" s="461"/>
      <c r="C46" s="461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357"/>
      <c r="N46" s="360"/>
      <c r="O46" s="360"/>
      <c r="P46" s="363"/>
      <c r="Q46" s="360"/>
      <c r="R46" s="360"/>
      <c r="S46" s="366"/>
      <c r="T46" s="5"/>
      <c r="U46" s="5"/>
    </row>
    <row r="47" spans="1:26" ht="20.25" customHeight="1" x14ac:dyDescent="0.25">
      <c r="A47" s="437"/>
      <c r="B47" s="438"/>
      <c r="C47" s="438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357"/>
      <c r="N47" s="360"/>
      <c r="O47" s="360"/>
      <c r="P47" s="363"/>
      <c r="Q47" s="360"/>
      <c r="R47" s="360"/>
      <c r="S47" s="366"/>
      <c r="T47" s="5"/>
      <c r="U47" s="5"/>
    </row>
    <row r="48" spans="1:26" ht="20.25" customHeight="1" x14ac:dyDescent="0.25">
      <c r="A48" s="437" t="s">
        <v>38</v>
      </c>
      <c r="B48" s="438"/>
      <c r="C48" s="438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357"/>
      <c r="N48" s="360"/>
      <c r="O48" s="360"/>
      <c r="P48" s="363"/>
      <c r="Q48" s="360"/>
      <c r="R48" s="360"/>
      <c r="S48" s="366"/>
      <c r="T48" s="5"/>
      <c r="U48" s="5"/>
    </row>
    <row r="49" spans="1:21" ht="20.25" customHeight="1" thickBot="1" x14ac:dyDescent="0.3">
      <c r="A49" s="456"/>
      <c r="B49" s="457"/>
      <c r="C49" s="457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358"/>
      <c r="N49" s="361"/>
      <c r="O49" s="361"/>
      <c r="P49" s="364"/>
      <c r="Q49" s="361"/>
      <c r="R49" s="361"/>
      <c r="S49" s="367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62" t="s">
        <v>42</v>
      </c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5"/>
      <c r="U51" s="5"/>
    </row>
    <row r="52" spans="1:21" ht="18.75" customHeight="1" thickBot="1" x14ac:dyDescent="0.3">
      <c r="A52" s="5"/>
      <c r="B52" s="5"/>
      <c r="C52" s="5"/>
      <c r="D52" s="5"/>
      <c r="E52" s="464" t="s">
        <v>43</v>
      </c>
      <c r="F52" s="465"/>
      <c r="G52" s="465"/>
      <c r="H52" s="465"/>
      <c r="I52" s="465"/>
      <c r="J52" s="465"/>
      <c r="K52" s="465"/>
      <c r="L52" s="465"/>
      <c r="M52" s="465"/>
      <c r="N52" s="465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5">
    <mergeCell ref="E51:S51"/>
    <mergeCell ref="E52:N52"/>
    <mergeCell ref="P42:P49"/>
    <mergeCell ref="A36:C36"/>
    <mergeCell ref="A37:C37"/>
    <mergeCell ref="A38:C38"/>
    <mergeCell ref="A39:C39"/>
    <mergeCell ref="A41:L41"/>
    <mergeCell ref="M41:S41"/>
    <mergeCell ref="A42:C43"/>
    <mergeCell ref="M42:M49"/>
    <mergeCell ref="N42:N49"/>
    <mergeCell ref="O42:O49"/>
    <mergeCell ref="Q42:Q49"/>
    <mergeCell ref="R42:R49"/>
    <mergeCell ref="S42:S49"/>
    <mergeCell ref="A44:C45"/>
    <mergeCell ref="A46:C47"/>
    <mergeCell ref="A48:C49"/>
    <mergeCell ref="R4:R6"/>
    <mergeCell ref="S4:S6"/>
    <mergeCell ref="T4:T6"/>
    <mergeCell ref="U4:U6"/>
    <mergeCell ref="A1:U1"/>
    <mergeCell ref="A2:U2"/>
    <mergeCell ref="A4:A6"/>
    <mergeCell ref="B4:B6"/>
    <mergeCell ref="C4:C6"/>
    <mergeCell ref="M4:M6"/>
    <mergeCell ref="N4:N6"/>
    <mergeCell ref="O4:O6"/>
    <mergeCell ref="P4:P6"/>
    <mergeCell ref="D4:L4"/>
    <mergeCell ref="L5:L6"/>
    <mergeCell ref="Q4:Q6"/>
  </mergeCells>
  <conditionalFormatting sqref="M7:N35">
    <cfRule type="cellIs" dxfId="9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A1:Z52"/>
  <sheetViews>
    <sheetView zoomScale="75" zoomScaleNormal="75" zoomScaleSheetLayoutView="70" workbookViewId="0">
      <pane ySplit="6" topLeftCell="A30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66" t="s">
        <v>93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</row>
    <row r="2" spans="1:26" ht="22.5" customHeight="1" x14ac:dyDescent="0.25">
      <c r="A2" s="467" t="s">
        <v>80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4"/>
      <c r="J4" s="434"/>
      <c r="K4" s="434"/>
      <c r="L4" s="435"/>
      <c r="M4" s="478" t="s">
        <v>29</v>
      </c>
      <c r="N4" s="469" t="s">
        <v>5</v>
      </c>
      <c r="O4" s="443" t="s">
        <v>21</v>
      </c>
      <c r="P4" s="443" t="s">
        <v>30</v>
      </c>
      <c r="Q4" s="443" t="s">
        <v>67</v>
      </c>
      <c r="R4" s="443" t="s">
        <v>31</v>
      </c>
      <c r="S4" s="443" t="s">
        <v>28</v>
      </c>
      <c r="T4" s="469" t="s">
        <v>20</v>
      </c>
      <c r="U4" s="468" t="s">
        <v>6</v>
      </c>
    </row>
    <row r="5" spans="1:26" ht="16.5" customHeight="1" x14ac:dyDescent="0.25">
      <c r="A5" s="476"/>
      <c r="B5" s="473"/>
      <c r="C5" s="482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1" t="s">
        <v>15</v>
      </c>
      <c r="M5" s="479"/>
      <c r="N5" s="470"/>
      <c r="O5" s="444"/>
      <c r="P5" s="444"/>
      <c r="Q5" s="444"/>
      <c r="R5" s="444"/>
      <c r="S5" s="444"/>
      <c r="T5" s="470"/>
      <c r="U5" s="431"/>
    </row>
    <row r="6" spans="1:26" ht="16.5" customHeight="1" thickBot="1" x14ac:dyDescent="0.3">
      <c r="A6" s="477"/>
      <c r="B6" s="474"/>
      <c r="C6" s="483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32"/>
      <c r="M6" s="480"/>
      <c r="N6" s="471"/>
      <c r="O6" s="445"/>
      <c r="P6" s="445"/>
      <c r="Q6" s="445"/>
      <c r="R6" s="445"/>
      <c r="S6" s="445"/>
      <c r="T6" s="471"/>
      <c r="U6" s="432"/>
    </row>
    <row r="7" spans="1:26" ht="27.75" customHeight="1" thickTop="1" x14ac:dyDescent="0.25">
      <c r="A7" s="69">
        <v>39704</v>
      </c>
      <c r="B7" s="70">
        <v>1</v>
      </c>
      <c r="C7" s="71">
        <v>39704</v>
      </c>
      <c r="D7" s="72">
        <v>0</v>
      </c>
      <c r="E7" s="73">
        <v>0</v>
      </c>
      <c r="F7" s="73">
        <v>0.2</v>
      </c>
      <c r="G7" s="73">
        <v>20.2</v>
      </c>
      <c r="H7" s="73">
        <v>46.6</v>
      </c>
      <c r="I7" s="73">
        <v>65.099999999999994</v>
      </c>
      <c r="J7" s="73">
        <v>80.2</v>
      </c>
      <c r="K7" s="73">
        <v>89.6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3.0189999999999997</v>
      </c>
      <c r="O7" s="77">
        <v>7.9</v>
      </c>
      <c r="P7" s="77" t="s">
        <v>24</v>
      </c>
      <c r="Q7" s="78">
        <v>2.65</v>
      </c>
      <c r="R7" s="78">
        <v>1.44</v>
      </c>
      <c r="S7" s="77">
        <v>1.2</v>
      </c>
      <c r="T7" s="79" t="s">
        <v>69</v>
      </c>
      <c r="U7" s="80" t="s">
        <v>75</v>
      </c>
      <c r="V7" s="3"/>
      <c r="Z7" s="1"/>
    </row>
    <row r="8" spans="1:26" ht="27" customHeight="1" x14ac:dyDescent="0.25">
      <c r="A8" s="69" t="s">
        <v>76</v>
      </c>
      <c r="B8" s="70">
        <v>2</v>
      </c>
      <c r="C8" s="71">
        <v>39731</v>
      </c>
      <c r="D8" s="72">
        <v>0</v>
      </c>
      <c r="E8" s="73">
        <v>0</v>
      </c>
      <c r="F8" s="73">
        <v>0</v>
      </c>
      <c r="G8" s="73">
        <v>27.6</v>
      </c>
      <c r="H8" s="73">
        <v>52.8</v>
      </c>
      <c r="I8" s="73">
        <v>70.3</v>
      </c>
      <c r="J8" s="73">
        <v>83.7</v>
      </c>
      <c r="K8" s="73">
        <v>91.1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3.2549999999999999</v>
      </c>
      <c r="O8" s="77">
        <v>5.9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75</v>
      </c>
      <c r="V8" s="3"/>
      <c r="Z8" s="1"/>
    </row>
    <row r="9" spans="1:26" ht="27" customHeight="1" x14ac:dyDescent="0.25">
      <c r="A9" s="69" t="s">
        <v>76</v>
      </c>
      <c r="B9" s="70">
        <v>3</v>
      </c>
      <c r="C9" s="71">
        <v>39741</v>
      </c>
      <c r="D9" s="72">
        <v>0</v>
      </c>
      <c r="E9" s="73">
        <v>0</v>
      </c>
      <c r="F9" s="73">
        <v>0</v>
      </c>
      <c r="G9" s="73">
        <v>19.2</v>
      </c>
      <c r="H9" s="73">
        <v>45.1</v>
      </c>
      <c r="I9" s="73">
        <v>60.5</v>
      </c>
      <c r="J9" s="73">
        <v>76.400000000000006</v>
      </c>
      <c r="K9" s="73">
        <v>86.5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2.8769999999999998</v>
      </c>
      <c r="O9" s="77">
        <v>7.7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75</v>
      </c>
      <c r="V9" s="3"/>
      <c r="Z9" s="1"/>
    </row>
    <row r="10" spans="1:26" ht="27" customHeight="1" x14ac:dyDescent="0.25">
      <c r="A10" s="69">
        <v>39753</v>
      </c>
      <c r="B10" s="70">
        <v>4</v>
      </c>
      <c r="C10" s="71">
        <v>39758</v>
      </c>
      <c r="D10" s="72">
        <v>0</v>
      </c>
      <c r="E10" s="73">
        <v>0</v>
      </c>
      <c r="F10" s="73">
        <v>0</v>
      </c>
      <c r="G10" s="73">
        <v>13.4</v>
      </c>
      <c r="H10" s="73">
        <v>35</v>
      </c>
      <c r="I10" s="73">
        <v>54.3</v>
      </c>
      <c r="J10" s="73">
        <v>72.2</v>
      </c>
      <c r="K10" s="73">
        <v>84.6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2.5950000000000002</v>
      </c>
      <c r="O10" s="77" t="s">
        <v>24</v>
      </c>
      <c r="P10" s="77" t="s">
        <v>24</v>
      </c>
      <c r="Q10" s="77" t="s">
        <v>24</v>
      </c>
      <c r="R10" s="77" t="s">
        <v>24</v>
      </c>
      <c r="S10" s="77" t="s">
        <v>24</v>
      </c>
      <c r="T10" s="79" t="s">
        <v>69</v>
      </c>
      <c r="U10" s="80" t="s">
        <v>75</v>
      </c>
      <c r="V10" s="3"/>
      <c r="Z10" s="1"/>
    </row>
    <row r="11" spans="1:26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</v>
      </c>
      <c r="F11" s="73">
        <v>1.1000000000000001</v>
      </c>
      <c r="G11" s="73">
        <v>23.7</v>
      </c>
      <c r="H11" s="73">
        <v>47.6</v>
      </c>
      <c r="I11" s="73">
        <v>66.5</v>
      </c>
      <c r="J11" s="73">
        <v>82.3</v>
      </c>
      <c r="K11" s="73">
        <v>91.3</v>
      </c>
      <c r="L11" s="74">
        <v>100</v>
      </c>
      <c r="M11" s="75">
        <f t="shared" ref="M11:M35" si="1">IF(B11="","",IF(E11&gt;5,D$6,IF(F11&gt;5,E$6,IF(G11&gt;5,F$6,IF(H11&gt;5,G$6,IF(I11&gt;5,H$6,IF(J11&gt;5,I$6,IF(K11&gt;5,J$6))))))))</f>
        <v>4.75</v>
      </c>
      <c r="N11" s="76">
        <f t="shared" si="0"/>
        <v>3.125</v>
      </c>
      <c r="O11" s="77">
        <v>7.8</v>
      </c>
      <c r="P11" s="77" t="s">
        <v>24</v>
      </c>
      <c r="Q11" s="78">
        <v>2.68</v>
      </c>
      <c r="R11" s="78">
        <v>1.48</v>
      </c>
      <c r="S11" s="78">
        <v>1.2</v>
      </c>
      <c r="T11" s="79" t="s">
        <v>69</v>
      </c>
      <c r="U11" s="80" t="s">
        <v>75</v>
      </c>
      <c r="V11" s="3"/>
      <c r="Z11" s="1"/>
    </row>
    <row r="12" spans="1:26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</v>
      </c>
      <c r="F12" s="73">
        <v>0</v>
      </c>
      <c r="G12" s="73">
        <v>13.1</v>
      </c>
      <c r="H12" s="73">
        <v>34.5</v>
      </c>
      <c r="I12" s="73">
        <v>55.1</v>
      </c>
      <c r="J12" s="73">
        <v>73.900000000000006</v>
      </c>
      <c r="K12" s="73">
        <v>86</v>
      </c>
      <c r="L12" s="74">
        <v>100</v>
      </c>
      <c r="M12" s="75">
        <f t="shared" si="1"/>
        <v>4.75</v>
      </c>
      <c r="N12" s="76">
        <f t="shared" si="0"/>
        <v>2.6260000000000003</v>
      </c>
      <c r="O12" s="77" t="s">
        <v>24</v>
      </c>
      <c r="P12" s="77" t="s">
        <v>24</v>
      </c>
      <c r="Q12" s="78" t="s">
        <v>24</v>
      </c>
      <c r="R12" s="78" t="s">
        <v>24</v>
      </c>
      <c r="S12" s="78" t="s">
        <v>24</v>
      </c>
      <c r="T12" s="79" t="s">
        <v>81</v>
      </c>
      <c r="U12" s="80" t="s">
        <v>75</v>
      </c>
      <c r="V12" s="3"/>
      <c r="Z12" s="1"/>
    </row>
    <row r="13" spans="1:26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0</v>
      </c>
      <c r="F13" s="73">
        <v>0.1</v>
      </c>
      <c r="G13" s="73">
        <v>15.7</v>
      </c>
      <c r="H13" s="73">
        <v>37.5</v>
      </c>
      <c r="I13" s="73">
        <v>56.9</v>
      </c>
      <c r="J13" s="73">
        <v>74.599999999999994</v>
      </c>
      <c r="K13" s="73">
        <v>86.7</v>
      </c>
      <c r="L13" s="74">
        <v>100</v>
      </c>
      <c r="M13" s="75">
        <f t="shared" si="1"/>
        <v>4.75</v>
      </c>
      <c r="N13" s="76">
        <f t="shared" si="0"/>
        <v>2.7149999999999999</v>
      </c>
      <c r="O13" s="77" t="s">
        <v>24</v>
      </c>
      <c r="P13" s="77" t="s">
        <v>24</v>
      </c>
      <c r="Q13" s="78" t="s">
        <v>24</v>
      </c>
      <c r="R13" s="78" t="s">
        <v>24</v>
      </c>
      <c r="S13" s="77" t="s">
        <v>24</v>
      </c>
      <c r="T13" s="79" t="s">
        <v>69</v>
      </c>
      <c r="U13" s="80" t="s">
        <v>75</v>
      </c>
      <c r="V13" s="3"/>
      <c r="Z13" s="1"/>
    </row>
    <row r="14" spans="1:26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</v>
      </c>
      <c r="F14" s="73">
        <v>0.4</v>
      </c>
      <c r="G14" s="73">
        <v>21.6</v>
      </c>
      <c r="H14" s="73">
        <v>45.2</v>
      </c>
      <c r="I14" s="73">
        <v>63</v>
      </c>
      <c r="J14" s="73">
        <v>77.099999999999994</v>
      </c>
      <c r="K14" s="73">
        <v>86.9</v>
      </c>
      <c r="L14" s="74">
        <v>100</v>
      </c>
      <c r="M14" s="75">
        <f t="shared" si="1"/>
        <v>4.75</v>
      </c>
      <c r="N14" s="76">
        <f>IF(B14="","",(D14+F14+G14+H14+I14+J14+K14)/100)</f>
        <v>2.9419999999999997</v>
      </c>
      <c r="O14" s="77" t="s">
        <v>24</v>
      </c>
      <c r="P14" s="77" t="s">
        <v>24</v>
      </c>
      <c r="Q14" s="77" t="s">
        <v>24</v>
      </c>
      <c r="R14" s="77" t="s">
        <v>24</v>
      </c>
      <c r="S14" s="77" t="s">
        <v>24</v>
      </c>
      <c r="T14" s="79" t="s">
        <v>69</v>
      </c>
      <c r="U14" s="80" t="s">
        <v>75</v>
      </c>
      <c r="V14" s="3"/>
      <c r="Z14" s="1"/>
    </row>
    <row r="15" spans="1:26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</v>
      </c>
      <c r="F15" s="73">
        <v>0.4</v>
      </c>
      <c r="G15" s="73">
        <v>22.7</v>
      </c>
      <c r="H15" s="73">
        <v>48.4</v>
      </c>
      <c r="I15" s="73">
        <v>65.3</v>
      </c>
      <c r="J15" s="73">
        <v>79.3</v>
      </c>
      <c r="K15" s="73">
        <v>87.8</v>
      </c>
      <c r="L15" s="74">
        <v>100</v>
      </c>
      <c r="M15" s="75">
        <f t="shared" si="1"/>
        <v>4.75</v>
      </c>
      <c r="N15" s="76">
        <f t="shared" si="0"/>
        <v>3.0390000000000001</v>
      </c>
      <c r="O15" s="77" t="s">
        <v>24</v>
      </c>
      <c r="P15" s="77" t="s">
        <v>24</v>
      </c>
      <c r="Q15" s="77" t="s">
        <v>24</v>
      </c>
      <c r="R15" s="77" t="s">
        <v>24</v>
      </c>
      <c r="S15" s="77" t="s">
        <v>24</v>
      </c>
      <c r="T15" s="79" t="s">
        <v>69</v>
      </c>
      <c r="U15" s="80" t="s">
        <v>75</v>
      </c>
      <c r="V15" s="3"/>
      <c r="Z15" s="1"/>
    </row>
    <row r="16" spans="1:26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</v>
      </c>
      <c r="F16" s="73">
        <v>0.5</v>
      </c>
      <c r="G16" s="73">
        <v>23.3</v>
      </c>
      <c r="H16" s="73">
        <v>47.6</v>
      </c>
      <c r="I16" s="73">
        <v>65.2</v>
      </c>
      <c r="J16" s="73">
        <v>78.400000000000006</v>
      </c>
      <c r="K16" s="73">
        <v>86.7</v>
      </c>
      <c r="L16" s="74">
        <v>100</v>
      </c>
      <c r="M16" s="75">
        <f t="shared" si="1"/>
        <v>4.75</v>
      </c>
      <c r="N16" s="76">
        <f t="shared" si="0"/>
        <v>3.0170000000000003</v>
      </c>
      <c r="O16" s="77">
        <v>8.9</v>
      </c>
      <c r="P16" s="77" t="s">
        <v>24</v>
      </c>
      <c r="Q16" s="78">
        <v>2.68</v>
      </c>
      <c r="R16" s="78">
        <v>1.5</v>
      </c>
      <c r="S16" s="77">
        <v>1.4</v>
      </c>
      <c r="T16" s="79" t="s">
        <v>69</v>
      </c>
      <c r="U16" s="80" t="s">
        <v>75</v>
      </c>
      <c r="V16" s="3"/>
      <c r="Z16" s="1"/>
    </row>
    <row r="17" spans="1:26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</v>
      </c>
      <c r="F17" s="73">
        <v>0.4</v>
      </c>
      <c r="G17" s="73">
        <v>20.6</v>
      </c>
      <c r="H17" s="73">
        <v>46.3</v>
      </c>
      <c r="I17" s="73">
        <v>65.7</v>
      </c>
      <c r="J17" s="73">
        <v>80.3</v>
      </c>
      <c r="K17" s="73">
        <v>89.4</v>
      </c>
      <c r="L17" s="74">
        <v>100</v>
      </c>
      <c r="M17" s="75">
        <f t="shared" si="1"/>
        <v>4.75</v>
      </c>
      <c r="N17" s="76">
        <f t="shared" si="0"/>
        <v>3.0270000000000006</v>
      </c>
      <c r="O17" s="77" t="s">
        <v>24</v>
      </c>
      <c r="P17" s="77" t="s">
        <v>24</v>
      </c>
      <c r="Q17" s="78" t="s">
        <v>24</v>
      </c>
      <c r="R17" s="78" t="s">
        <v>24</v>
      </c>
      <c r="S17" s="77" t="s">
        <v>24</v>
      </c>
      <c r="T17" s="79" t="s">
        <v>69</v>
      </c>
      <c r="U17" s="80" t="s">
        <v>75</v>
      </c>
      <c r="V17" s="3"/>
      <c r="Z17" s="1"/>
    </row>
    <row r="18" spans="1:26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0</v>
      </c>
      <c r="F18" s="73">
        <v>0.2</v>
      </c>
      <c r="G18" s="73">
        <v>16.7</v>
      </c>
      <c r="H18" s="73">
        <v>40.4</v>
      </c>
      <c r="I18" s="73">
        <v>60.4</v>
      </c>
      <c r="J18" s="73">
        <v>76.599999999999994</v>
      </c>
      <c r="K18" s="73">
        <v>87.5</v>
      </c>
      <c r="L18" s="74">
        <v>100</v>
      </c>
      <c r="M18" s="75">
        <f t="shared" si="1"/>
        <v>4.75</v>
      </c>
      <c r="N18" s="76">
        <f t="shared" si="0"/>
        <v>2.8179999999999996</v>
      </c>
      <c r="O18" s="77" t="s">
        <v>24</v>
      </c>
      <c r="P18" s="77" t="s">
        <v>24</v>
      </c>
      <c r="Q18" s="77" t="s">
        <v>24</v>
      </c>
      <c r="R18" s="77" t="s">
        <v>24</v>
      </c>
      <c r="S18" s="77" t="s">
        <v>24</v>
      </c>
      <c r="T18" s="79" t="s">
        <v>69</v>
      </c>
      <c r="U18" s="80" t="s">
        <v>75</v>
      </c>
      <c r="V18" s="3"/>
      <c r="Z18" s="1"/>
    </row>
    <row r="19" spans="1:26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</v>
      </c>
      <c r="F19" s="73">
        <v>0.3</v>
      </c>
      <c r="G19" s="73">
        <v>21.5</v>
      </c>
      <c r="H19" s="73">
        <v>46.5</v>
      </c>
      <c r="I19" s="73">
        <v>65.3</v>
      </c>
      <c r="J19" s="73">
        <v>80.2</v>
      </c>
      <c r="K19" s="73">
        <v>89.6</v>
      </c>
      <c r="L19" s="74">
        <v>100</v>
      </c>
      <c r="M19" s="75">
        <f t="shared" si="1"/>
        <v>4.75</v>
      </c>
      <c r="N19" s="76">
        <f t="shared" si="0"/>
        <v>3.0339999999999998</v>
      </c>
      <c r="O19" s="77">
        <v>8.6999999999999993</v>
      </c>
      <c r="P19" s="77" t="s">
        <v>24</v>
      </c>
      <c r="Q19" s="78">
        <v>2.68</v>
      </c>
      <c r="R19" s="78">
        <v>1.5</v>
      </c>
      <c r="S19" s="77">
        <v>1.2</v>
      </c>
      <c r="T19" s="79" t="s">
        <v>82</v>
      </c>
      <c r="U19" s="80" t="s">
        <v>75</v>
      </c>
      <c r="V19" s="3"/>
      <c r="Z19" s="1"/>
    </row>
    <row r="20" spans="1:26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</v>
      </c>
      <c r="F20" s="73">
        <v>0.2</v>
      </c>
      <c r="G20" s="73">
        <v>17.7</v>
      </c>
      <c r="H20" s="73">
        <v>42.2</v>
      </c>
      <c r="I20" s="73">
        <v>62.1</v>
      </c>
      <c r="J20" s="73">
        <v>78.2</v>
      </c>
      <c r="K20" s="73">
        <v>88.3</v>
      </c>
      <c r="L20" s="74">
        <v>100</v>
      </c>
      <c r="M20" s="75">
        <f t="shared" si="1"/>
        <v>4.75</v>
      </c>
      <c r="N20" s="76">
        <f t="shared" si="0"/>
        <v>2.887</v>
      </c>
      <c r="O20" s="77" t="s">
        <v>24</v>
      </c>
      <c r="P20" s="77" t="s">
        <v>24</v>
      </c>
      <c r="Q20" s="77" t="s">
        <v>24</v>
      </c>
      <c r="R20" s="77" t="s">
        <v>24</v>
      </c>
      <c r="S20" s="77" t="s">
        <v>24</v>
      </c>
      <c r="T20" s="79" t="s">
        <v>82</v>
      </c>
      <c r="U20" s="80" t="s">
        <v>75</v>
      </c>
      <c r="V20" s="3"/>
      <c r="Z20" s="1"/>
    </row>
    <row r="21" spans="1:26" ht="27" customHeight="1" x14ac:dyDescent="0.25">
      <c r="A21" s="69">
        <v>39815</v>
      </c>
      <c r="B21" s="70">
        <v>15</v>
      </c>
      <c r="C21" s="71">
        <v>39821</v>
      </c>
      <c r="D21" s="72">
        <v>0</v>
      </c>
      <c r="E21" s="73">
        <v>0</v>
      </c>
      <c r="F21" s="73">
        <v>0.2</v>
      </c>
      <c r="G21" s="73">
        <v>20.6</v>
      </c>
      <c r="H21" s="73">
        <v>44.2</v>
      </c>
      <c r="I21" s="73">
        <v>62.4</v>
      </c>
      <c r="J21" s="73">
        <v>77.599999999999994</v>
      </c>
      <c r="K21" s="73">
        <v>87.9</v>
      </c>
      <c r="L21" s="74">
        <v>100</v>
      </c>
      <c r="M21" s="75">
        <f t="shared" si="1"/>
        <v>4.75</v>
      </c>
      <c r="N21" s="76">
        <f t="shared" si="0"/>
        <v>2.9289999999999998</v>
      </c>
      <c r="O21" s="77">
        <v>9.3000000000000007</v>
      </c>
      <c r="P21" s="77" t="s">
        <v>24</v>
      </c>
      <c r="Q21" s="78">
        <v>2.68</v>
      </c>
      <c r="R21" s="78">
        <v>1.5</v>
      </c>
      <c r="S21" s="77">
        <v>1.2</v>
      </c>
      <c r="T21" s="79" t="s">
        <v>82</v>
      </c>
      <c r="U21" s="80" t="s">
        <v>75</v>
      </c>
      <c r="V21" s="3"/>
      <c r="Z21" s="1"/>
    </row>
    <row r="22" spans="1:26" ht="27" customHeight="1" x14ac:dyDescent="0.25">
      <c r="A22" s="69">
        <v>39816</v>
      </c>
      <c r="B22" s="70">
        <v>16</v>
      </c>
      <c r="C22" s="71">
        <v>39825</v>
      </c>
      <c r="D22" s="72">
        <v>0</v>
      </c>
      <c r="E22" s="73">
        <v>0</v>
      </c>
      <c r="F22" s="73">
        <v>0</v>
      </c>
      <c r="G22" s="73">
        <v>22.1</v>
      </c>
      <c r="H22" s="73">
        <v>46.5</v>
      </c>
      <c r="I22" s="73">
        <v>63.3</v>
      </c>
      <c r="J22" s="73">
        <v>77.5</v>
      </c>
      <c r="K22" s="73">
        <v>87.5</v>
      </c>
      <c r="L22" s="74">
        <v>100</v>
      </c>
      <c r="M22" s="75">
        <f t="shared" si="1"/>
        <v>4.75</v>
      </c>
      <c r="N22" s="76">
        <f t="shared" si="0"/>
        <v>2.9689999999999999</v>
      </c>
      <c r="O22" s="77" t="s">
        <v>24</v>
      </c>
      <c r="P22" s="77" t="s">
        <v>24</v>
      </c>
      <c r="Q22" s="77" t="s">
        <v>24</v>
      </c>
      <c r="R22" s="77" t="s">
        <v>24</v>
      </c>
      <c r="S22" s="77" t="s">
        <v>24</v>
      </c>
      <c r="T22" s="79" t="s">
        <v>82</v>
      </c>
      <c r="U22" s="80" t="s">
        <v>75</v>
      </c>
      <c r="V22" s="3"/>
      <c r="Z22" s="1"/>
    </row>
    <row r="23" spans="1:26" ht="27" customHeight="1" x14ac:dyDescent="0.25">
      <c r="A23" s="69">
        <v>39817</v>
      </c>
      <c r="B23" s="70">
        <v>17</v>
      </c>
      <c r="C23" s="71">
        <v>39828</v>
      </c>
      <c r="D23" s="72">
        <v>0</v>
      </c>
      <c r="E23" s="73">
        <v>0</v>
      </c>
      <c r="F23" s="73">
        <v>0.2</v>
      </c>
      <c r="G23" s="73">
        <v>19.100000000000001</v>
      </c>
      <c r="H23" s="73">
        <v>42.4</v>
      </c>
      <c r="I23" s="73">
        <v>61.2</v>
      </c>
      <c r="J23" s="73">
        <v>77.400000000000006</v>
      </c>
      <c r="K23" s="73">
        <v>88.3</v>
      </c>
      <c r="L23" s="74">
        <v>100</v>
      </c>
      <c r="M23" s="75">
        <f t="shared" si="1"/>
        <v>4.75</v>
      </c>
      <c r="N23" s="76">
        <f t="shared" si="0"/>
        <v>2.8860000000000001</v>
      </c>
      <c r="O23" s="77">
        <v>8.3000000000000007</v>
      </c>
      <c r="P23" s="77" t="s">
        <v>24</v>
      </c>
      <c r="Q23" s="78">
        <v>2.67</v>
      </c>
      <c r="R23" s="78">
        <v>1.51</v>
      </c>
      <c r="S23" s="77">
        <v>1.1000000000000001</v>
      </c>
      <c r="T23" s="79" t="s">
        <v>82</v>
      </c>
      <c r="U23" s="80" t="s">
        <v>75</v>
      </c>
      <c r="V23" s="3"/>
      <c r="Z23" s="1"/>
    </row>
    <row r="24" spans="1:26" ht="27" customHeight="1" x14ac:dyDescent="0.25">
      <c r="A24" s="69">
        <v>39817</v>
      </c>
      <c r="B24" s="70">
        <v>18</v>
      </c>
      <c r="C24" s="71">
        <v>39833</v>
      </c>
      <c r="D24" s="72">
        <v>0</v>
      </c>
      <c r="E24" s="73">
        <v>0</v>
      </c>
      <c r="F24" s="73">
        <v>0.4</v>
      </c>
      <c r="G24" s="73">
        <v>19.100000000000001</v>
      </c>
      <c r="H24" s="73">
        <v>42.4</v>
      </c>
      <c r="I24" s="73">
        <v>61.1</v>
      </c>
      <c r="J24" s="73">
        <v>76.099999999999994</v>
      </c>
      <c r="K24" s="73">
        <v>86.4</v>
      </c>
      <c r="L24" s="74">
        <v>100</v>
      </c>
      <c r="M24" s="75">
        <f t="shared" si="1"/>
        <v>4.75</v>
      </c>
      <c r="N24" s="76">
        <f t="shared" si="0"/>
        <v>2.855</v>
      </c>
      <c r="O24" s="77" t="s">
        <v>24</v>
      </c>
      <c r="P24" s="77" t="s">
        <v>24</v>
      </c>
      <c r="Q24" s="77" t="s">
        <v>24</v>
      </c>
      <c r="R24" s="77" t="s">
        <v>24</v>
      </c>
      <c r="S24" s="77" t="s">
        <v>24</v>
      </c>
      <c r="T24" s="79" t="s">
        <v>82</v>
      </c>
      <c r="U24" s="80" t="s">
        <v>75</v>
      </c>
      <c r="V24" s="3"/>
      <c r="Z24" s="1"/>
    </row>
    <row r="25" spans="1:26" ht="27" customHeight="1" x14ac:dyDescent="0.25">
      <c r="A25" s="69">
        <v>39817</v>
      </c>
      <c r="B25" s="70">
        <v>19</v>
      </c>
      <c r="C25" s="71">
        <v>39835</v>
      </c>
      <c r="D25" s="72">
        <v>0</v>
      </c>
      <c r="E25" s="73">
        <v>0</v>
      </c>
      <c r="F25" s="73">
        <v>0.4</v>
      </c>
      <c r="G25" s="73">
        <v>17.600000000000001</v>
      </c>
      <c r="H25" s="73">
        <v>41.8</v>
      </c>
      <c r="I25" s="73">
        <v>62.2</v>
      </c>
      <c r="J25" s="73">
        <v>78.5</v>
      </c>
      <c r="K25" s="73">
        <v>88.7</v>
      </c>
      <c r="L25" s="74">
        <v>100</v>
      </c>
      <c r="M25" s="75">
        <f t="shared" si="1"/>
        <v>4.75</v>
      </c>
      <c r="N25" s="76">
        <f t="shared" si="0"/>
        <v>2.8919999999999999</v>
      </c>
      <c r="O25" s="77" t="s">
        <v>24</v>
      </c>
      <c r="P25" s="77" t="s">
        <v>24</v>
      </c>
      <c r="Q25" s="77" t="s">
        <v>24</v>
      </c>
      <c r="R25" s="77" t="s">
        <v>24</v>
      </c>
      <c r="S25" s="77" t="s">
        <v>24</v>
      </c>
      <c r="T25" s="79" t="s">
        <v>82</v>
      </c>
      <c r="U25" s="80" t="s">
        <v>75</v>
      </c>
      <c r="V25" s="3"/>
      <c r="Z25" s="1"/>
    </row>
    <row r="26" spans="1:26" ht="27" customHeight="1" x14ac:dyDescent="0.25">
      <c r="A26" s="484" t="s">
        <v>86</v>
      </c>
      <c r="B26" s="485"/>
      <c r="C26" s="485"/>
      <c r="D26" s="485"/>
      <c r="E26" s="485"/>
      <c r="F26" s="485"/>
      <c r="G26" s="485"/>
      <c r="H26" s="485"/>
      <c r="I26" s="485"/>
      <c r="J26" s="485"/>
      <c r="K26" s="485"/>
      <c r="L26" s="485"/>
      <c r="M26" s="485"/>
      <c r="N26" s="485"/>
      <c r="O26" s="485"/>
      <c r="P26" s="485"/>
      <c r="Q26" s="485"/>
      <c r="R26" s="485"/>
      <c r="S26" s="485"/>
      <c r="T26" s="485"/>
      <c r="U26" s="486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52" t="s">
        <v>0</v>
      </c>
      <c r="B36" s="453"/>
      <c r="C36" s="454"/>
      <c r="D36" s="21">
        <f t="shared" ref="D36:S36" si="2">AVERAGE(D7:D35)</f>
        <v>0</v>
      </c>
      <c r="E36" s="22">
        <f t="shared" si="2"/>
        <v>0</v>
      </c>
      <c r="F36" s="22">
        <f t="shared" si="2"/>
        <v>0.26315789473684215</v>
      </c>
      <c r="G36" s="22">
        <f t="shared" si="2"/>
        <v>19.763157894736846</v>
      </c>
      <c r="H36" s="22">
        <f t="shared" si="2"/>
        <v>43.842105263157897</v>
      </c>
      <c r="I36" s="22">
        <f>AVERAGE(I7:I35)</f>
        <v>62.415789473684207</v>
      </c>
      <c r="J36" s="22">
        <f t="shared" si="2"/>
        <v>77.921052631578945</v>
      </c>
      <c r="K36" s="22">
        <f t="shared" si="2"/>
        <v>87.936842105263153</v>
      </c>
      <c r="L36" s="23">
        <f t="shared" si="2"/>
        <v>100</v>
      </c>
      <c r="M36" s="25" t="s">
        <v>24</v>
      </c>
      <c r="N36" s="25">
        <f t="shared" si="2"/>
        <v>2.9214210526315791</v>
      </c>
      <c r="O36" s="25">
        <f t="shared" si="2"/>
        <v>8.0625</v>
      </c>
      <c r="P36" s="25" t="e">
        <f t="shared" si="2"/>
        <v>#DIV/0!</v>
      </c>
      <c r="Q36" s="26">
        <f t="shared" si="2"/>
        <v>2.6733333333333333</v>
      </c>
      <c r="R36" s="26">
        <f t="shared" si="2"/>
        <v>1.4883333333333333</v>
      </c>
      <c r="S36" s="25">
        <f t="shared" si="2"/>
        <v>1.2166666666666668</v>
      </c>
      <c r="T36" s="27"/>
      <c r="U36" s="28"/>
      <c r="V36" s="3"/>
      <c r="Z36" s="1"/>
    </row>
    <row r="37" spans="1:26" ht="27" customHeight="1" x14ac:dyDescent="0.25">
      <c r="A37" s="446" t="s">
        <v>26</v>
      </c>
      <c r="B37" s="447"/>
      <c r="C37" s="448"/>
      <c r="D37" s="29">
        <f>MAX(D7:D35)</f>
        <v>0</v>
      </c>
      <c r="E37" s="30">
        <f>MAX(E7:E35)</f>
        <v>0</v>
      </c>
      <c r="F37" s="30">
        <f>MAX(F7:F35)</f>
        <v>1.1000000000000001</v>
      </c>
      <c r="G37" s="30">
        <f t="shared" ref="G37:S37" si="3">MAX(G7:G35)</f>
        <v>27.6</v>
      </c>
      <c r="H37" s="30">
        <f t="shared" si="3"/>
        <v>52.8</v>
      </c>
      <c r="I37" s="30">
        <f t="shared" si="3"/>
        <v>70.3</v>
      </c>
      <c r="J37" s="30">
        <f t="shared" si="3"/>
        <v>83.7</v>
      </c>
      <c r="K37" s="30">
        <f t="shared" si="3"/>
        <v>91.3</v>
      </c>
      <c r="L37" s="31">
        <f t="shared" si="3"/>
        <v>100</v>
      </c>
      <c r="M37" s="32">
        <f>MAX(M7:M35)</f>
        <v>4.75</v>
      </c>
      <c r="N37" s="33">
        <f t="shared" si="3"/>
        <v>3.2549999999999999</v>
      </c>
      <c r="O37" s="33">
        <f t="shared" si="3"/>
        <v>9.3000000000000007</v>
      </c>
      <c r="P37" s="33">
        <f t="shared" si="3"/>
        <v>0</v>
      </c>
      <c r="Q37" s="34">
        <f t="shared" si="3"/>
        <v>2.68</v>
      </c>
      <c r="R37" s="34">
        <f>MAX(R7:R35)</f>
        <v>1.51</v>
      </c>
      <c r="S37" s="33">
        <f t="shared" si="3"/>
        <v>1.4</v>
      </c>
      <c r="T37" s="35"/>
      <c r="U37" s="36"/>
    </row>
    <row r="38" spans="1:26" ht="27" customHeight="1" x14ac:dyDescent="0.25">
      <c r="A38" s="446" t="s">
        <v>25</v>
      </c>
      <c r="B38" s="447"/>
      <c r="C38" s="448"/>
      <c r="D38" s="29">
        <f>MIN(D7:D35)</f>
        <v>0</v>
      </c>
      <c r="E38" s="30">
        <f t="shared" ref="E38:L38" si="4">MIN(E7:E35)</f>
        <v>0</v>
      </c>
      <c r="F38" s="30">
        <f t="shared" si="4"/>
        <v>0</v>
      </c>
      <c r="G38" s="30">
        <f t="shared" si="4"/>
        <v>13.1</v>
      </c>
      <c r="H38" s="30">
        <f t="shared" si="4"/>
        <v>34.5</v>
      </c>
      <c r="I38" s="30">
        <f t="shared" si="4"/>
        <v>54.3</v>
      </c>
      <c r="J38" s="30">
        <f t="shared" si="4"/>
        <v>72.2</v>
      </c>
      <c r="K38" s="30">
        <f t="shared" si="4"/>
        <v>84.6</v>
      </c>
      <c r="L38" s="31">
        <f t="shared" si="4"/>
        <v>100</v>
      </c>
      <c r="M38" s="37" t="s">
        <v>24</v>
      </c>
      <c r="N38" s="33">
        <f t="shared" ref="N38:S38" si="5">MIN(N7:N35)</f>
        <v>2.5950000000000002</v>
      </c>
      <c r="O38" s="33">
        <f t="shared" si="5"/>
        <v>5.9</v>
      </c>
      <c r="P38" s="33">
        <f t="shared" si="5"/>
        <v>0</v>
      </c>
      <c r="Q38" s="34">
        <f t="shared" si="5"/>
        <v>2.65</v>
      </c>
      <c r="R38" s="34">
        <f t="shared" si="5"/>
        <v>1.44</v>
      </c>
      <c r="S38" s="33">
        <f t="shared" si="5"/>
        <v>1.1000000000000001</v>
      </c>
      <c r="T38" s="35"/>
      <c r="U38" s="36"/>
    </row>
    <row r="39" spans="1:26" ht="27" customHeight="1" thickBot="1" x14ac:dyDescent="0.3">
      <c r="A39" s="449" t="s">
        <v>1</v>
      </c>
      <c r="B39" s="450"/>
      <c r="C39" s="451"/>
      <c r="D39" s="38">
        <f>STDEV(D7:D35)</f>
        <v>0</v>
      </c>
      <c r="E39" s="39">
        <f t="shared" ref="E39:L39" si="6">STDEV(E7:E35)</f>
        <v>0</v>
      </c>
      <c r="F39" s="39">
        <f t="shared" si="6"/>
        <v>0.26291216597476785</v>
      </c>
      <c r="G39" s="39">
        <f t="shared" si="6"/>
        <v>3.5932360107902293</v>
      </c>
      <c r="H39" s="39">
        <f t="shared" si="6"/>
        <v>4.6496494239976407</v>
      </c>
      <c r="I39" s="39">
        <f t="shared" si="6"/>
        <v>3.9668435755921072</v>
      </c>
      <c r="J39" s="39">
        <f t="shared" si="6"/>
        <v>2.7857931141514802</v>
      </c>
      <c r="K39" s="39">
        <f t="shared" si="6"/>
        <v>1.7269789055894322</v>
      </c>
      <c r="L39" s="40">
        <f t="shared" si="6"/>
        <v>0</v>
      </c>
      <c r="M39" s="41" t="s">
        <v>24</v>
      </c>
      <c r="N39" s="42">
        <f t="shared" ref="N39:S39" si="7">STDEV(N7:N35)</f>
        <v>0.16134618261141118</v>
      </c>
      <c r="O39" s="42">
        <f t="shared" si="7"/>
        <v>1.0418904521521031</v>
      </c>
      <c r="P39" s="42" t="e">
        <f t="shared" si="7"/>
        <v>#DIV/0!</v>
      </c>
      <c r="Q39" s="43">
        <f t="shared" si="7"/>
        <v>1.2110601416390072E-2</v>
      </c>
      <c r="R39" s="43">
        <f t="shared" si="7"/>
        <v>2.5625508125043446E-2</v>
      </c>
      <c r="S39" s="42">
        <f t="shared" si="7"/>
        <v>9.8319208025017465E-2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59"/>
      <c r="K41" s="459"/>
      <c r="L41" s="459"/>
      <c r="M41" s="436" t="s">
        <v>34</v>
      </c>
      <c r="N41" s="354"/>
      <c r="O41" s="354"/>
      <c r="P41" s="354"/>
      <c r="Q41" s="354"/>
      <c r="R41" s="354"/>
      <c r="S41" s="355"/>
      <c r="T41" s="5"/>
      <c r="U41" s="5"/>
    </row>
    <row r="42" spans="1:26" ht="20.25" customHeight="1" x14ac:dyDescent="0.25">
      <c r="A42" s="441" t="s">
        <v>35</v>
      </c>
      <c r="B42" s="442"/>
      <c r="C42" s="442"/>
      <c r="D42" s="48">
        <f>100-D46</f>
        <v>100</v>
      </c>
      <c r="E42" s="48">
        <f>100-E46</f>
        <v>100</v>
      </c>
      <c r="F42" s="48">
        <f t="shared" ref="F42:K42" si="8">100-F46</f>
        <v>95</v>
      </c>
      <c r="G42" s="48">
        <f t="shared" si="8"/>
        <v>80</v>
      </c>
      <c r="H42" s="48">
        <f t="shared" si="8"/>
        <v>70</v>
      </c>
      <c r="I42" s="48">
        <f t="shared" si="8"/>
        <v>45</v>
      </c>
      <c r="J42" s="48">
        <f t="shared" si="8"/>
        <v>15</v>
      </c>
      <c r="K42" s="48">
        <f t="shared" si="8"/>
        <v>5</v>
      </c>
      <c r="L42" s="50" t="s">
        <v>24</v>
      </c>
      <c r="M42" s="455" t="s">
        <v>51</v>
      </c>
      <c r="N42" s="359"/>
      <c r="O42" s="359" t="s">
        <v>50</v>
      </c>
      <c r="P42" s="362" t="s">
        <v>40</v>
      </c>
      <c r="Q42" s="359" t="s">
        <v>52</v>
      </c>
      <c r="R42" s="359"/>
      <c r="S42" s="365"/>
      <c r="T42" s="5"/>
      <c r="U42" s="5"/>
    </row>
    <row r="43" spans="1:26" ht="20.25" customHeight="1" x14ac:dyDescent="0.25">
      <c r="A43" s="437"/>
      <c r="B43" s="438"/>
      <c r="C43" s="438"/>
      <c r="D43" s="51">
        <f>100-D47</f>
        <v>100</v>
      </c>
      <c r="E43" s="51">
        <f t="shared" ref="E43:K45" si="9">100-E47</f>
        <v>100</v>
      </c>
      <c r="F43" s="51">
        <f t="shared" si="9"/>
        <v>100</v>
      </c>
      <c r="G43" s="51">
        <f t="shared" si="9"/>
        <v>90</v>
      </c>
      <c r="H43" s="51">
        <f t="shared" si="9"/>
        <v>80</v>
      </c>
      <c r="I43" s="51">
        <f t="shared" si="9"/>
        <v>65</v>
      </c>
      <c r="J43" s="51">
        <f t="shared" si="9"/>
        <v>35</v>
      </c>
      <c r="K43" s="51">
        <f t="shared" si="9"/>
        <v>10</v>
      </c>
      <c r="L43" s="53" t="s">
        <v>24</v>
      </c>
      <c r="M43" s="357"/>
      <c r="N43" s="360"/>
      <c r="O43" s="360"/>
      <c r="P43" s="363"/>
      <c r="Q43" s="360"/>
      <c r="R43" s="360"/>
      <c r="S43" s="366"/>
      <c r="T43" s="5"/>
      <c r="U43" s="5"/>
    </row>
    <row r="44" spans="1:26" ht="20.25" customHeight="1" x14ac:dyDescent="0.25">
      <c r="A44" s="437" t="s">
        <v>36</v>
      </c>
      <c r="B44" s="438"/>
      <c r="C44" s="438"/>
      <c r="D44" s="51">
        <f>100-D48</f>
        <v>100</v>
      </c>
      <c r="E44" s="51">
        <f t="shared" si="9"/>
        <v>93</v>
      </c>
      <c r="F44" s="51">
        <f t="shared" si="9"/>
        <v>90</v>
      </c>
      <c r="G44" s="51">
        <f t="shared" si="9"/>
        <v>75</v>
      </c>
      <c r="H44" s="51">
        <f t="shared" si="9"/>
        <v>50</v>
      </c>
      <c r="I44" s="51">
        <f t="shared" si="9"/>
        <v>30</v>
      </c>
      <c r="J44" s="51">
        <f t="shared" si="9"/>
        <v>5</v>
      </c>
      <c r="K44" s="51">
        <f t="shared" si="9"/>
        <v>0</v>
      </c>
      <c r="L44" s="53" t="s">
        <v>24</v>
      </c>
      <c r="M44" s="357"/>
      <c r="N44" s="360"/>
      <c r="O44" s="360"/>
      <c r="P44" s="363"/>
      <c r="Q44" s="360"/>
      <c r="R44" s="360"/>
      <c r="S44" s="366"/>
      <c r="T44" s="5"/>
      <c r="U44" s="5"/>
    </row>
    <row r="45" spans="1:26" ht="20.25" customHeight="1" thickBot="1" x14ac:dyDescent="0.3">
      <c r="A45" s="439"/>
      <c r="B45" s="440"/>
      <c r="C45" s="440"/>
      <c r="D45" s="54">
        <f>100-D49</f>
        <v>100</v>
      </c>
      <c r="E45" s="54">
        <f>100-E49</f>
        <v>100</v>
      </c>
      <c r="F45" s="54">
        <f t="shared" si="9"/>
        <v>100</v>
      </c>
      <c r="G45" s="54">
        <f t="shared" si="9"/>
        <v>100</v>
      </c>
      <c r="H45" s="54">
        <f t="shared" si="9"/>
        <v>95</v>
      </c>
      <c r="I45" s="54">
        <f t="shared" si="9"/>
        <v>85</v>
      </c>
      <c r="J45" s="54">
        <f t="shared" si="9"/>
        <v>50</v>
      </c>
      <c r="K45" s="54">
        <f t="shared" si="9"/>
        <v>15</v>
      </c>
      <c r="L45" s="56" t="s">
        <v>24</v>
      </c>
      <c r="M45" s="357"/>
      <c r="N45" s="360"/>
      <c r="O45" s="360"/>
      <c r="P45" s="363"/>
      <c r="Q45" s="360"/>
      <c r="R45" s="360"/>
      <c r="S45" s="366"/>
      <c r="T45" s="5"/>
      <c r="U45" s="5"/>
    </row>
    <row r="46" spans="1:26" ht="20.25" customHeight="1" thickTop="1" x14ac:dyDescent="0.25">
      <c r="A46" s="460" t="s">
        <v>37</v>
      </c>
      <c r="B46" s="461"/>
      <c r="C46" s="461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357"/>
      <c r="N46" s="360"/>
      <c r="O46" s="360"/>
      <c r="P46" s="363"/>
      <c r="Q46" s="360"/>
      <c r="R46" s="360"/>
      <c r="S46" s="366"/>
      <c r="T46" s="5"/>
      <c r="U46" s="5"/>
    </row>
    <row r="47" spans="1:26" ht="20.25" customHeight="1" x14ac:dyDescent="0.25">
      <c r="A47" s="437"/>
      <c r="B47" s="438"/>
      <c r="C47" s="438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357"/>
      <c r="N47" s="360"/>
      <c r="O47" s="360"/>
      <c r="P47" s="363"/>
      <c r="Q47" s="360"/>
      <c r="R47" s="360"/>
      <c r="S47" s="366"/>
      <c r="T47" s="5"/>
      <c r="U47" s="5"/>
    </row>
    <row r="48" spans="1:26" ht="20.25" customHeight="1" x14ac:dyDescent="0.25">
      <c r="A48" s="437" t="s">
        <v>38</v>
      </c>
      <c r="B48" s="438"/>
      <c r="C48" s="438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357"/>
      <c r="N48" s="360"/>
      <c r="O48" s="360"/>
      <c r="P48" s="363"/>
      <c r="Q48" s="360"/>
      <c r="R48" s="360"/>
      <c r="S48" s="366"/>
      <c r="T48" s="5"/>
      <c r="U48" s="5"/>
    </row>
    <row r="49" spans="1:21" ht="20.25" customHeight="1" thickBot="1" x14ac:dyDescent="0.3">
      <c r="A49" s="456"/>
      <c r="B49" s="457"/>
      <c r="C49" s="457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358"/>
      <c r="N49" s="361"/>
      <c r="O49" s="361"/>
      <c r="P49" s="364"/>
      <c r="Q49" s="361"/>
      <c r="R49" s="361"/>
      <c r="S49" s="367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62" t="s">
        <v>42</v>
      </c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5"/>
      <c r="U51" s="5"/>
    </row>
    <row r="52" spans="1:21" ht="18.75" customHeight="1" thickBot="1" x14ac:dyDescent="0.3">
      <c r="A52" s="5"/>
      <c r="B52" s="5"/>
      <c r="C52" s="5"/>
      <c r="D52" s="5"/>
      <c r="E52" s="464" t="s">
        <v>43</v>
      </c>
      <c r="F52" s="465"/>
      <c r="G52" s="465"/>
      <c r="H52" s="465"/>
      <c r="I52" s="465"/>
      <c r="J52" s="465"/>
      <c r="K52" s="465"/>
      <c r="L52" s="465"/>
      <c r="M52" s="465"/>
      <c r="N52" s="465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6">
    <mergeCell ref="A1:U1"/>
    <mergeCell ref="A2:U2"/>
    <mergeCell ref="A4:A6"/>
    <mergeCell ref="B4:B6"/>
    <mergeCell ref="C4:C6"/>
    <mergeCell ref="D4:L4"/>
    <mergeCell ref="M4:M6"/>
    <mergeCell ref="N4:N6"/>
    <mergeCell ref="O4:O6"/>
    <mergeCell ref="P4:P6"/>
    <mergeCell ref="M41:S41"/>
    <mergeCell ref="Q4:Q6"/>
    <mergeCell ref="R4:R6"/>
    <mergeCell ref="S4:S6"/>
    <mergeCell ref="T4:T6"/>
    <mergeCell ref="A26:U26"/>
    <mergeCell ref="A36:C36"/>
    <mergeCell ref="A37:C37"/>
    <mergeCell ref="A38:C38"/>
    <mergeCell ref="A39:C39"/>
    <mergeCell ref="A41:L41"/>
    <mergeCell ref="U4:U6"/>
    <mergeCell ref="L5:L6"/>
    <mergeCell ref="E52:N52"/>
    <mergeCell ref="R42:R49"/>
    <mergeCell ref="S42:S49"/>
    <mergeCell ref="A44:C45"/>
    <mergeCell ref="A46:C47"/>
    <mergeCell ref="A48:C49"/>
    <mergeCell ref="E51:S51"/>
    <mergeCell ref="A42:C43"/>
    <mergeCell ref="M42:M49"/>
    <mergeCell ref="N42:N49"/>
    <mergeCell ref="O42:O49"/>
    <mergeCell ref="P42:P49"/>
    <mergeCell ref="Q42:Q49"/>
  </mergeCells>
  <conditionalFormatting sqref="M7:N25">
    <cfRule type="cellIs" dxfId="8" priority="1" operator="equal">
      <formula>""</formula>
    </cfRule>
  </conditionalFormatting>
  <conditionalFormatting sqref="M27:N35">
    <cfRule type="cellIs" dxfId="7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  <pageSetUpPr fitToPage="1"/>
  </sheetPr>
  <dimension ref="A1:W14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5.7265625" style="1" customWidth="1"/>
    <col min="4" max="9" width="11.81640625" style="1" customWidth="1"/>
    <col min="10" max="16" width="14.1796875" style="1" customWidth="1"/>
    <col min="17" max="18" width="28.81640625" style="1" customWidth="1"/>
    <col min="19" max="22" width="9.1796875" style="1"/>
    <col min="23" max="23" width="15.453125" style="2" customWidth="1"/>
    <col min="24" max="24" width="13" style="1" customWidth="1"/>
    <col min="25" max="16384" width="9.1796875" style="1"/>
  </cols>
  <sheetData>
    <row r="1" spans="1:23" ht="31.5" customHeight="1" x14ac:dyDescent="0.25">
      <c r="A1" s="466" t="s">
        <v>62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</row>
    <row r="2" spans="1:23" ht="22.5" customHeight="1" x14ac:dyDescent="0.25">
      <c r="A2" s="467" t="s">
        <v>80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</row>
    <row r="3" spans="1:23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3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5"/>
      <c r="J4" s="478" t="s">
        <v>29</v>
      </c>
      <c r="K4" s="469" t="s">
        <v>5</v>
      </c>
      <c r="L4" s="443" t="s">
        <v>21</v>
      </c>
      <c r="M4" s="443" t="s">
        <v>30</v>
      </c>
      <c r="N4" s="443" t="s">
        <v>66</v>
      </c>
      <c r="O4" s="443" t="s">
        <v>31</v>
      </c>
      <c r="P4" s="443" t="s">
        <v>28</v>
      </c>
      <c r="Q4" s="469" t="s">
        <v>20</v>
      </c>
      <c r="R4" s="468" t="s">
        <v>6</v>
      </c>
    </row>
    <row r="5" spans="1:23" ht="16.5" customHeight="1" x14ac:dyDescent="0.25">
      <c r="A5" s="476"/>
      <c r="B5" s="473"/>
      <c r="C5" s="482"/>
      <c r="D5" s="6" t="s">
        <v>16</v>
      </c>
      <c r="E5" s="7" t="s">
        <v>7</v>
      </c>
      <c r="F5" s="7" t="s">
        <v>8</v>
      </c>
      <c r="G5" s="7" t="s">
        <v>9</v>
      </c>
      <c r="H5" s="7" t="s">
        <v>10</v>
      </c>
      <c r="I5" s="431" t="s">
        <v>15</v>
      </c>
      <c r="J5" s="479"/>
      <c r="K5" s="470"/>
      <c r="L5" s="444"/>
      <c r="M5" s="444"/>
      <c r="N5" s="444"/>
      <c r="O5" s="444"/>
      <c r="P5" s="444"/>
      <c r="Q5" s="470"/>
      <c r="R5" s="431"/>
    </row>
    <row r="6" spans="1:23" ht="16.5" customHeight="1" thickBot="1" x14ac:dyDescent="0.3">
      <c r="A6" s="477"/>
      <c r="B6" s="474"/>
      <c r="C6" s="483"/>
      <c r="D6" s="90">
        <v>12.5</v>
      </c>
      <c r="E6" s="91">
        <v>9.5</v>
      </c>
      <c r="F6" s="91">
        <v>6.3</v>
      </c>
      <c r="G6" s="9">
        <v>4.75</v>
      </c>
      <c r="H6" s="9">
        <v>2.36</v>
      </c>
      <c r="I6" s="432"/>
      <c r="J6" s="480"/>
      <c r="K6" s="471"/>
      <c r="L6" s="445"/>
      <c r="M6" s="445"/>
      <c r="N6" s="445"/>
      <c r="O6" s="445"/>
      <c r="P6" s="445"/>
      <c r="Q6" s="471"/>
      <c r="R6" s="432"/>
    </row>
    <row r="7" spans="1:23" ht="27.75" customHeight="1" thickTop="1" x14ac:dyDescent="0.25">
      <c r="A7" s="69">
        <v>39707</v>
      </c>
      <c r="B7" s="70">
        <v>1</v>
      </c>
      <c r="C7" s="71">
        <v>39707</v>
      </c>
      <c r="D7" s="72">
        <v>1.5</v>
      </c>
      <c r="E7" s="73">
        <v>3.2</v>
      </c>
      <c r="F7" s="73">
        <v>22.8</v>
      </c>
      <c r="G7" s="73">
        <v>50.5</v>
      </c>
      <c r="H7" s="73">
        <v>86.4</v>
      </c>
      <c r="I7" s="74">
        <v>100</v>
      </c>
      <c r="J7" s="103">
        <f>IF(B7="","",IF(E7&gt;5,D$6,IF(F7&gt;5,E$6,IF(G7&gt;5,F$6,IF(H7&gt;5,G$6,$H$6)))))</f>
        <v>9.5</v>
      </c>
      <c r="K7" s="76">
        <f>IF(B7="","",(E7+G7+H7+400)/100)</f>
        <v>5.4009999999999998</v>
      </c>
      <c r="L7" s="77">
        <v>0.5</v>
      </c>
      <c r="M7" s="77" t="s">
        <v>24</v>
      </c>
      <c r="N7" s="78">
        <v>2.68</v>
      </c>
      <c r="O7" s="78">
        <v>1.33</v>
      </c>
      <c r="P7" s="77">
        <v>0.6</v>
      </c>
      <c r="Q7" s="79" t="s">
        <v>69</v>
      </c>
      <c r="R7" s="80" t="s">
        <v>75</v>
      </c>
      <c r="S7" s="3"/>
      <c r="W7" s="1"/>
    </row>
    <row r="8" spans="1:23" ht="27" customHeight="1" x14ac:dyDescent="0.25">
      <c r="A8" s="69">
        <v>39783</v>
      </c>
      <c r="B8" s="70">
        <v>2</v>
      </c>
      <c r="C8" s="71">
        <v>39785</v>
      </c>
      <c r="D8" s="72">
        <v>0.2</v>
      </c>
      <c r="E8" s="73">
        <v>1.5</v>
      </c>
      <c r="F8" s="73">
        <v>43.7</v>
      </c>
      <c r="G8" s="73">
        <v>76.3</v>
      </c>
      <c r="H8" s="73">
        <v>97.2</v>
      </c>
      <c r="I8" s="74">
        <v>100</v>
      </c>
      <c r="J8" s="103">
        <f>IF(B8="","",IF(E8&gt;5,D$6,IF(F8&gt;5,E$6,IF(G8&gt;5,F$6,IF(H8&gt;5,G$6,$H$6)))))</f>
        <v>9.5</v>
      </c>
      <c r="K8" s="76">
        <f>IF(B8="","",(E8+G8+H8+400)/100)</f>
        <v>5.75</v>
      </c>
      <c r="L8" s="77">
        <v>0.8</v>
      </c>
      <c r="M8" s="77" t="s">
        <v>24</v>
      </c>
      <c r="N8" s="78">
        <v>2.62</v>
      </c>
      <c r="O8" s="78">
        <v>1.36</v>
      </c>
      <c r="P8" s="77">
        <v>0.8</v>
      </c>
      <c r="Q8" s="79" t="s">
        <v>69</v>
      </c>
      <c r="R8" s="80" t="s">
        <v>75</v>
      </c>
      <c r="S8" s="3"/>
      <c r="W8" s="1"/>
    </row>
    <row r="9" spans="1:23" ht="27" customHeight="1" x14ac:dyDescent="0.25">
      <c r="A9" s="69">
        <v>39783</v>
      </c>
      <c r="B9" s="70">
        <v>3</v>
      </c>
      <c r="C9" s="71">
        <v>39791</v>
      </c>
      <c r="D9" s="72">
        <v>0</v>
      </c>
      <c r="E9" s="73">
        <v>0.4</v>
      </c>
      <c r="F9" s="73">
        <v>30.9</v>
      </c>
      <c r="G9" s="73">
        <v>71.099999999999994</v>
      </c>
      <c r="H9" s="73">
        <v>97.5</v>
      </c>
      <c r="I9" s="74">
        <v>100</v>
      </c>
      <c r="J9" s="103">
        <f>IF(B9="","",IF(E9&gt;5,D$6,IF(F9&gt;5,E$6,IF(G9&gt;5,F$6,IF(H9&gt;5,G$6,$H$6)))))</f>
        <v>9.5</v>
      </c>
      <c r="K9" s="76">
        <f t="shared" ref="K9:K35" si="0">IF(B9="","",(E9+G9+H9+400)/100)</f>
        <v>5.69</v>
      </c>
      <c r="L9" s="77" t="s">
        <v>24</v>
      </c>
      <c r="M9" s="77" t="s">
        <v>24</v>
      </c>
      <c r="N9" s="77" t="s">
        <v>24</v>
      </c>
      <c r="O9" s="77" t="s">
        <v>24</v>
      </c>
      <c r="P9" s="77" t="s">
        <v>24</v>
      </c>
      <c r="Q9" s="79" t="s">
        <v>69</v>
      </c>
      <c r="R9" s="80" t="s">
        <v>75</v>
      </c>
      <c r="S9" s="3"/>
      <c r="W9" s="1"/>
    </row>
    <row r="10" spans="1:23" ht="27" customHeight="1" x14ac:dyDescent="0.25">
      <c r="A10" s="69">
        <v>39783</v>
      </c>
      <c r="B10" s="70">
        <v>4</v>
      </c>
      <c r="C10" s="71">
        <v>39797</v>
      </c>
      <c r="D10" s="72">
        <v>0.1</v>
      </c>
      <c r="E10" s="73">
        <v>0.7</v>
      </c>
      <c r="F10" s="73">
        <v>22.7</v>
      </c>
      <c r="G10" s="73">
        <v>50.4</v>
      </c>
      <c r="H10" s="73">
        <v>85</v>
      </c>
      <c r="I10" s="74">
        <v>100</v>
      </c>
      <c r="J10" s="103">
        <f>IF(B10="","",IF(E10&gt;5,D$6,IF(F10&gt;5,E$6,IF(G10&gt;5,F$6,IF(H10&gt;5,G$6,$H$6)))))</f>
        <v>9.5</v>
      </c>
      <c r="K10" s="76">
        <f t="shared" si="0"/>
        <v>5.3610000000000007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9" t="s">
        <v>69</v>
      </c>
      <c r="R10" s="80" t="s">
        <v>75</v>
      </c>
      <c r="S10" s="3"/>
      <c r="W10" s="1"/>
    </row>
    <row r="11" spans="1:23" ht="27" customHeight="1" x14ac:dyDescent="0.25">
      <c r="A11" s="69">
        <v>39783</v>
      </c>
      <c r="B11" s="70">
        <v>5</v>
      </c>
      <c r="C11" s="71">
        <v>39800</v>
      </c>
      <c r="D11" s="72">
        <v>0</v>
      </c>
      <c r="E11" s="73">
        <v>0.1</v>
      </c>
      <c r="F11" s="73">
        <v>33.200000000000003</v>
      </c>
      <c r="G11" s="73">
        <v>63</v>
      </c>
      <c r="H11" s="73">
        <v>93.9</v>
      </c>
      <c r="I11" s="74">
        <v>100</v>
      </c>
      <c r="J11" s="103">
        <f t="shared" ref="J11:J35" si="1">IF(B11="","",IF(E11&gt;5,D$6,IF(F11&gt;5,E$6,IF(G11&gt;5,F$6,IF(H11&gt;5,G$6,$H$6)))))</f>
        <v>9.5</v>
      </c>
      <c r="K11" s="76">
        <f t="shared" si="0"/>
        <v>5.57</v>
      </c>
      <c r="L11" s="77">
        <v>1.2</v>
      </c>
      <c r="M11" s="77" t="s">
        <v>24</v>
      </c>
      <c r="N11" s="78">
        <v>2.62</v>
      </c>
      <c r="O11" s="78">
        <v>1.35</v>
      </c>
      <c r="P11" s="77">
        <v>0.8</v>
      </c>
      <c r="Q11" s="79" t="s">
        <v>69</v>
      </c>
      <c r="R11" s="80" t="s">
        <v>75</v>
      </c>
      <c r="S11" s="3"/>
      <c r="W11" s="1"/>
    </row>
    <row r="12" spans="1:23" ht="27" customHeight="1" x14ac:dyDescent="0.25">
      <c r="A12" s="484" t="s">
        <v>86</v>
      </c>
      <c r="B12" s="485"/>
      <c r="C12" s="485"/>
      <c r="D12" s="485"/>
      <c r="E12" s="485"/>
      <c r="F12" s="485"/>
      <c r="G12" s="485"/>
      <c r="H12" s="485"/>
      <c r="I12" s="485"/>
      <c r="J12" s="485"/>
      <c r="K12" s="485"/>
      <c r="L12" s="485"/>
      <c r="M12" s="485"/>
      <c r="N12" s="485"/>
      <c r="O12" s="485"/>
      <c r="P12" s="485"/>
      <c r="Q12" s="485"/>
      <c r="R12" s="486"/>
      <c r="S12" s="3"/>
      <c r="W12" s="1"/>
    </row>
    <row r="13" spans="1:23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03" t="str">
        <f t="shared" si="1"/>
        <v/>
      </c>
      <c r="K13" s="76" t="str">
        <f t="shared" si="0"/>
        <v/>
      </c>
      <c r="L13" s="77"/>
      <c r="M13" s="77"/>
      <c r="N13" s="78"/>
      <c r="O13" s="78"/>
      <c r="P13" s="77"/>
      <c r="Q13" s="79"/>
      <c r="R13" s="80"/>
      <c r="S13" s="3"/>
      <c r="W13" s="1"/>
    </row>
    <row r="14" spans="1:23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03" t="str">
        <f t="shared" si="1"/>
        <v/>
      </c>
      <c r="K14" s="76" t="str">
        <f t="shared" si="0"/>
        <v/>
      </c>
      <c r="L14" s="77"/>
      <c r="M14" s="77"/>
      <c r="N14" s="78"/>
      <c r="O14" s="78"/>
      <c r="P14" s="77"/>
      <c r="Q14" s="79"/>
      <c r="R14" s="80"/>
      <c r="S14" s="3"/>
      <c r="W14" s="1"/>
    </row>
    <row r="15" spans="1:23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03" t="str">
        <f t="shared" si="1"/>
        <v/>
      </c>
      <c r="K15" s="76" t="str">
        <f t="shared" si="0"/>
        <v/>
      </c>
      <c r="L15" s="77"/>
      <c r="M15" s="77"/>
      <c r="N15" s="78"/>
      <c r="O15" s="78"/>
      <c r="P15" s="77"/>
      <c r="Q15" s="79"/>
      <c r="R15" s="80"/>
      <c r="S15" s="3"/>
      <c r="W15" s="1"/>
    </row>
    <row r="16" spans="1:23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03" t="str">
        <f t="shared" si="1"/>
        <v/>
      </c>
      <c r="K16" s="76" t="str">
        <f t="shared" si="0"/>
        <v/>
      </c>
      <c r="L16" s="77"/>
      <c r="M16" s="77"/>
      <c r="N16" s="78"/>
      <c r="O16" s="78"/>
      <c r="P16" s="77"/>
      <c r="Q16" s="79"/>
      <c r="R16" s="80"/>
      <c r="S16" s="3"/>
      <c r="W16" s="1"/>
    </row>
    <row r="17" spans="1:23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03" t="str">
        <f t="shared" si="1"/>
        <v/>
      </c>
      <c r="K17" s="76" t="str">
        <f t="shared" si="0"/>
        <v/>
      </c>
      <c r="L17" s="77"/>
      <c r="M17" s="77"/>
      <c r="N17" s="78"/>
      <c r="O17" s="78"/>
      <c r="P17" s="77"/>
      <c r="Q17" s="79"/>
      <c r="R17" s="80"/>
      <c r="S17" s="3"/>
      <c r="W17" s="1"/>
    </row>
    <row r="18" spans="1:23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03" t="str">
        <f t="shared" si="1"/>
        <v/>
      </c>
      <c r="K18" s="76" t="str">
        <f t="shared" si="0"/>
        <v/>
      </c>
      <c r="L18" s="77"/>
      <c r="M18" s="77"/>
      <c r="N18" s="78"/>
      <c r="O18" s="78"/>
      <c r="P18" s="77"/>
      <c r="Q18" s="79"/>
      <c r="R18" s="80"/>
      <c r="S18" s="3"/>
      <c r="W18" s="1"/>
    </row>
    <row r="19" spans="1:23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03" t="str">
        <f t="shared" si="1"/>
        <v/>
      </c>
      <c r="K19" s="76" t="str">
        <f t="shared" si="0"/>
        <v/>
      </c>
      <c r="L19" s="77"/>
      <c r="M19" s="77"/>
      <c r="N19" s="78"/>
      <c r="O19" s="78"/>
      <c r="P19" s="77"/>
      <c r="Q19" s="79"/>
      <c r="R19" s="80"/>
      <c r="S19" s="3"/>
      <c r="W19" s="1"/>
    </row>
    <row r="20" spans="1:23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03" t="str">
        <f t="shared" si="1"/>
        <v/>
      </c>
      <c r="K20" s="76" t="str">
        <f t="shared" si="0"/>
        <v/>
      </c>
      <c r="L20" s="77"/>
      <c r="M20" s="77"/>
      <c r="N20" s="78"/>
      <c r="O20" s="78"/>
      <c r="P20" s="77"/>
      <c r="Q20" s="79"/>
      <c r="R20" s="80"/>
      <c r="S20" s="3"/>
      <c r="W20" s="1"/>
    </row>
    <row r="21" spans="1:23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03" t="str">
        <f t="shared" si="1"/>
        <v/>
      </c>
      <c r="K21" s="76" t="str">
        <f t="shared" si="0"/>
        <v/>
      </c>
      <c r="L21" s="77"/>
      <c r="M21" s="77"/>
      <c r="N21" s="78"/>
      <c r="O21" s="78"/>
      <c r="P21" s="77"/>
      <c r="Q21" s="79"/>
      <c r="R21" s="80"/>
      <c r="S21" s="3"/>
      <c r="W21" s="1"/>
    </row>
    <row r="22" spans="1:23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03" t="str">
        <f t="shared" si="1"/>
        <v/>
      </c>
      <c r="K22" s="76" t="str">
        <f t="shared" si="0"/>
        <v/>
      </c>
      <c r="L22" s="77"/>
      <c r="M22" s="77"/>
      <c r="N22" s="78"/>
      <c r="O22" s="78"/>
      <c r="P22" s="77"/>
      <c r="Q22" s="79"/>
      <c r="R22" s="80"/>
      <c r="S22" s="3"/>
      <c r="W22" s="1"/>
    </row>
    <row r="23" spans="1:23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03" t="str">
        <f t="shared" si="1"/>
        <v/>
      </c>
      <c r="K23" s="76" t="str">
        <f t="shared" si="0"/>
        <v/>
      </c>
      <c r="L23" s="77"/>
      <c r="M23" s="77"/>
      <c r="N23" s="78"/>
      <c r="O23" s="78"/>
      <c r="P23" s="77"/>
      <c r="Q23" s="79"/>
      <c r="R23" s="80"/>
      <c r="S23" s="3"/>
      <c r="W23" s="1"/>
    </row>
    <row r="24" spans="1:23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03" t="str">
        <f t="shared" si="1"/>
        <v/>
      </c>
      <c r="K24" s="76" t="str">
        <f t="shared" si="0"/>
        <v/>
      </c>
      <c r="L24" s="77"/>
      <c r="M24" s="77"/>
      <c r="N24" s="78"/>
      <c r="O24" s="78"/>
      <c r="P24" s="77"/>
      <c r="Q24" s="79"/>
      <c r="R24" s="80"/>
      <c r="S24" s="3"/>
      <c r="W24" s="1"/>
    </row>
    <row r="25" spans="1:23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03" t="str">
        <f t="shared" si="1"/>
        <v/>
      </c>
      <c r="K25" s="76" t="str">
        <f t="shared" si="0"/>
        <v/>
      </c>
      <c r="L25" s="77"/>
      <c r="M25" s="77"/>
      <c r="N25" s="78"/>
      <c r="O25" s="78"/>
      <c r="P25" s="77"/>
      <c r="Q25" s="79"/>
      <c r="R25" s="80"/>
      <c r="S25" s="3"/>
      <c r="W25" s="1"/>
    </row>
    <row r="26" spans="1:23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03" t="str">
        <f t="shared" si="1"/>
        <v/>
      </c>
      <c r="K26" s="76" t="str">
        <f t="shared" si="0"/>
        <v/>
      </c>
      <c r="L26" s="77"/>
      <c r="M26" s="77"/>
      <c r="N26" s="78"/>
      <c r="O26" s="78"/>
      <c r="P26" s="77"/>
      <c r="Q26" s="79"/>
      <c r="R26" s="80"/>
      <c r="S26" s="3"/>
      <c r="W26" s="1"/>
    </row>
    <row r="27" spans="1:23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03" t="str">
        <f t="shared" si="1"/>
        <v/>
      </c>
      <c r="K27" s="76" t="str">
        <f t="shared" si="0"/>
        <v/>
      </c>
      <c r="L27" s="77"/>
      <c r="M27" s="77"/>
      <c r="N27" s="78"/>
      <c r="O27" s="78"/>
      <c r="P27" s="77"/>
      <c r="Q27" s="79"/>
      <c r="R27" s="80"/>
      <c r="S27" s="3"/>
      <c r="W27" s="1"/>
    </row>
    <row r="28" spans="1:23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03" t="str">
        <f t="shared" si="1"/>
        <v/>
      </c>
      <c r="K28" s="76" t="str">
        <f t="shared" si="0"/>
        <v/>
      </c>
      <c r="L28" s="77"/>
      <c r="M28" s="77"/>
      <c r="N28" s="78"/>
      <c r="O28" s="78"/>
      <c r="P28" s="77"/>
      <c r="Q28" s="79"/>
      <c r="R28" s="80"/>
      <c r="S28" s="3"/>
      <c r="W28" s="1"/>
    </row>
    <row r="29" spans="1:23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03"/>
      <c r="K29" s="76"/>
      <c r="L29" s="77"/>
      <c r="M29" s="77"/>
      <c r="N29" s="78"/>
      <c r="O29" s="78"/>
      <c r="P29" s="77"/>
      <c r="Q29" s="79"/>
      <c r="R29" s="80"/>
      <c r="S29" s="3"/>
      <c r="W29" s="1"/>
    </row>
    <row r="30" spans="1:23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03" t="str">
        <f t="shared" si="1"/>
        <v/>
      </c>
      <c r="K30" s="76" t="str">
        <f t="shared" si="0"/>
        <v/>
      </c>
      <c r="L30" s="77"/>
      <c r="M30" s="77"/>
      <c r="N30" s="78"/>
      <c r="O30" s="78"/>
      <c r="P30" s="77"/>
      <c r="Q30" s="79"/>
      <c r="R30" s="80"/>
      <c r="S30" s="3"/>
      <c r="W30" s="1"/>
    </row>
    <row r="31" spans="1:23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03" t="str">
        <f t="shared" si="1"/>
        <v/>
      </c>
      <c r="K31" s="76" t="str">
        <f t="shared" si="0"/>
        <v/>
      </c>
      <c r="L31" s="77"/>
      <c r="M31" s="77"/>
      <c r="N31" s="78"/>
      <c r="O31" s="78"/>
      <c r="P31" s="77"/>
      <c r="Q31" s="79"/>
      <c r="R31" s="80"/>
      <c r="S31" s="3"/>
      <c r="W31" s="1"/>
    </row>
    <row r="32" spans="1:23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03" t="str">
        <f t="shared" si="1"/>
        <v/>
      </c>
      <c r="K32" s="76" t="str">
        <f t="shared" si="0"/>
        <v/>
      </c>
      <c r="L32" s="77"/>
      <c r="M32" s="77"/>
      <c r="N32" s="78"/>
      <c r="O32" s="78"/>
      <c r="P32" s="77"/>
      <c r="Q32" s="79"/>
      <c r="R32" s="80"/>
      <c r="S32" s="3"/>
      <c r="W32" s="1"/>
    </row>
    <row r="33" spans="1:23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03" t="str">
        <f t="shared" si="1"/>
        <v/>
      </c>
      <c r="K33" s="76" t="str">
        <f t="shared" si="0"/>
        <v/>
      </c>
      <c r="L33" s="77"/>
      <c r="M33" s="77"/>
      <c r="N33" s="78"/>
      <c r="O33" s="78"/>
      <c r="P33" s="77"/>
      <c r="Q33" s="79"/>
      <c r="R33" s="80"/>
      <c r="S33" s="3"/>
      <c r="W33" s="1"/>
    </row>
    <row r="34" spans="1:23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03" t="str">
        <f t="shared" si="1"/>
        <v/>
      </c>
      <c r="K34" s="76" t="str">
        <f t="shared" si="0"/>
        <v/>
      </c>
      <c r="L34" s="77"/>
      <c r="M34" s="77"/>
      <c r="N34" s="78"/>
      <c r="O34" s="78"/>
      <c r="P34" s="77"/>
      <c r="Q34" s="79"/>
      <c r="R34" s="80"/>
      <c r="S34" s="3"/>
      <c r="W34" s="1"/>
    </row>
    <row r="35" spans="1:23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5"/>
      <c r="J35" s="103" t="str">
        <f t="shared" si="1"/>
        <v/>
      </c>
      <c r="K35" s="76" t="str">
        <f t="shared" si="0"/>
        <v/>
      </c>
      <c r="L35" s="86"/>
      <c r="M35" s="86"/>
      <c r="N35" s="87"/>
      <c r="O35" s="78"/>
      <c r="P35" s="86"/>
      <c r="Q35" s="88"/>
      <c r="R35" s="89"/>
      <c r="S35" s="3"/>
      <c r="W35" s="1"/>
    </row>
    <row r="36" spans="1:23" ht="27" customHeight="1" thickTop="1" x14ac:dyDescent="0.25">
      <c r="A36" s="452" t="s">
        <v>0</v>
      </c>
      <c r="B36" s="453"/>
      <c r="C36" s="454"/>
      <c r="D36" s="21">
        <f t="shared" ref="D36:I36" si="2">AVERAGE(D7:D35)</f>
        <v>0.36</v>
      </c>
      <c r="E36" s="22">
        <f t="shared" si="2"/>
        <v>1.1800000000000002</v>
      </c>
      <c r="F36" s="22">
        <f t="shared" si="2"/>
        <v>30.660000000000004</v>
      </c>
      <c r="G36" s="22">
        <f t="shared" si="2"/>
        <v>62.259999999999991</v>
      </c>
      <c r="H36" s="22">
        <f t="shared" si="2"/>
        <v>92</v>
      </c>
      <c r="I36" s="23">
        <f t="shared" si="2"/>
        <v>100</v>
      </c>
      <c r="J36" s="24" t="s">
        <v>24</v>
      </c>
      <c r="K36" s="25">
        <f t="shared" ref="K36:P36" si="3">AVERAGE(K7:K35)</f>
        <v>5.5544000000000002</v>
      </c>
      <c r="L36" s="25">
        <f t="shared" si="3"/>
        <v>0.83333333333333337</v>
      </c>
      <c r="M36" s="25" t="e">
        <f t="shared" si="3"/>
        <v>#DIV/0!</v>
      </c>
      <c r="N36" s="26">
        <f t="shared" si="3"/>
        <v>2.64</v>
      </c>
      <c r="O36" s="26">
        <f t="shared" si="3"/>
        <v>1.3466666666666669</v>
      </c>
      <c r="P36" s="25">
        <f t="shared" si="3"/>
        <v>0.73333333333333339</v>
      </c>
      <c r="Q36" s="27"/>
      <c r="R36" s="28"/>
      <c r="S36" s="3"/>
      <c r="W36" s="1"/>
    </row>
    <row r="37" spans="1:23" ht="27" customHeight="1" x14ac:dyDescent="0.25">
      <c r="A37" s="446" t="s">
        <v>26</v>
      </c>
      <c r="B37" s="447"/>
      <c r="C37" s="448"/>
      <c r="D37" s="29">
        <f>MAX(D7:D35)</f>
        <v>1.5</v>
      </c>
      <c r="E37" s="30">
        <f>MAX(E7:E35)</f>
        <v>3.2</v>
      </c>
      <c r="F37" s="30">
        <f>MAX(F7:F35)</f>
        <v>43.7</v>
      </c>
      <c r="G37" s="30">
        <f t="shared" ref="G37:P37" si="4">MAX(G7:G35)</f>
        <v>76.3</v>
      </c>
      <c r="H37" s="30">
        <f t="shared" si="4"/>
        <v>97.5</v>
      </c>
      <c r="I37" s="31">
        <f t="shared" si="4"/>
        <v>100</v>
      </c>
      <c r="J37" s="37">
        <f>MAX(J7:J35)</f>
        <v>9.5</v>
      </c>
      <c r="K37" s="33">
        <f t="shared" si="4"/>
        <v>5.75</v>
      </c>
      <c r="L37" s="33">
        <f t="shared" si="4"/>
        <v>1.2</v>
      </c>
      <c r="M37" s="33">
        <f t="shared" ref="M37" si="5">MAX(M7:M35)</f>
        <v>0</v>
      </c>
      <c r="N37" s="34">
        <f t="shared" si="4"/>
        <v>2.68</v>
      </c>
      <c r="O37" s="34">
        <f>MAX(O7:O35)</f>
        <v>1.36</v>
      </c>
      <c r="P37" s="33">
        <f t="shared" si="4"/>
        <v>0.8</v>
      </c>
      <c r="Q37" s="35"/>
      <c r="R37" s="36"/>
    </row>
    <row r="38" spans="1:23" ht="27" customHeight="1" x14ac:dyDescent="0.25">
      <c r="A38" s="446" t="s">
        <v>25</v>
      </c>
      <c r="B38" s="447"/>
      <c r="C38" s="448"/>
      <c r="D38" s="29">
        <f t="shared" ref="D38:I38" si="6">MIN(D7:D35)</f>
        <v>0</v>
      </c>
      <c r="E38" s="30">
        <f t="shared" si="6"/>
        <v>0.1</v>
      </c>
      <c r="F38" s="30">
        <f t="shared" si="6"/>
        <v>22.7</v>
      </c>
      <c r="G38" s="30">
        <f t="shared" si="6"/>
        <v>50.4</v>
      </c>
      <c r="H38" s="30">
        <f t="shared" si="6"/>
        <v>85</v>
      </c>
      <c r="I38" s="31">
        <f t="shared" si="6"/>
        <v>100</v>
      </c>
      <c r="J38" s="37" t="s">
        <v>24</v>
      </c>
      <c r="K38" s="33">
        <f t="shared" ref="K38:P38" si="7">MIN(K7:K35)</f>
        <v>5.3610000000000007</v>
      </c>
      <c r="L38" s="33">
        <f t="shared" si="7"/>
        <v>0.5</v>
      </c>
      <c r="M38" s="33">
        <f t="shared" si="7"/>
        <v>0</v>
      </c>
      <c r="N38" s="34">
        <f t="shared" si="7"/>
        <v>2.62</v>
      </c>
      <c r="O38" s="34">
        <f t="shared" si="7"/>
        <v>1.33</v>
      </c>
      <c r="P38" s="33">
        <f t="shared" si="7"/>
        <v>0.6</v>
      </c>
      <c r="Q38" s="35"/>
      <c r="R38" s="36"/>
    </row>
    <row r="39" spans="1:23" ht="27" customHeight="1" thickBot="1" x14ac:dyDescent="0.3">
      <c r="A39" s="449" t="s">
        <v>1</v>
      </c>
      <c r="B39" s="450"/>
      <c r="C39" s="451"/>
      <c r="D39" s="38">
        <f t="shared" ref="D39:I39" si="8">STDEV(D7:D35)</f>
        <v>0.64265076052238512</v>
      </c>
      <c r="E39" s="39">
        <f t="shared" si="8"/>
        <v>1.2437845472588893</v>
      </c>
      <c r="F39" s="39">
        <f t="shared" si="8"/>
        <v>8.6846416160944724</v>
      </c>
      <c r="G39" s="39">
        <f t="shared" si="8"/>
        <v>11.776799225596109</v>
      </c>
      <c r="H39" s="39">
        <f t="shared" si="8"/>
        <v>5.9426425098604074</v>
      </c>
      <c r="I39" s="40">
        <f t="shared" si="8"/>
        <v>0</v>
      </c>
      <c r="J39" s="41" t="s">
        <v>24</v>
      </c>
      <c r="K39" s="42">
        <f t="shared" ref="K39:P39" si="9">STDEV(K7:K35)</f>
        <v>0.17162837760696795</v>
      </c>
      <c r="L39" s="42">
        <f t="shared" si="9"/>
        <v>0.35118845842842455</v>
      </c>
      <c r="M39" s="42" t="e">
        <f t="shared" si="9"/>
        <v>#DIV/0!</v>
      </c>
      <c r="N39" s="43">
        <f t="shared" si="9"/>
        <v>3.4641016151377574E-2</v>
      </c>
      <c r="O39" s="43">
        <f t="shared" si="9"/>
        <v>1.527525231651948E-2</v>
      </c>
      <c r="P39" s="42">
        <f t="shared" si="9"/>
        <v>0.11547005383792504</v>
      </c>
      <c r="Q39" s="44"/>
      <c r="R39" s="45"/>
    </row>
    <row r="40" spans="1:23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5"/>
      <c r="R40" s="5"/>
    </row>
    <row r="41" spans="1:23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87"/>
      <c r="J41" s="436" t="s">
        <v>34</v>
      </c>
      <c r="K41" s="354"/>
      <c r="L41" s="354"/>
      <c r="M41" s="354"/>
      <c r="N41" s="354"/>
      <c r="O41" s="354"/>
      <c r="P41" s="355"/>
      <c r="Q41" s="5"/>
      <c r="R41" s="5"/>
    </row>
    <row r="42" spans="1:23" ht="40.5" customHeight="1" x14ac:dyDescent="0.25">
      <c r="A42" s="441" t="s">
        <v>53</v>
      </c>
      <c r="B42" s="442"/>
      <c r="C42" s="442"/>
      <c r="D42" s="48">
        <f>100-D44</f>
        <v>100</v>
      </c>
      <c r="E42" s="48">
        <f>100-E44</f>
        <v>98</v>
      </c>
      <c r="F42" s="48">
        <f t="shared" ref="F42:H42" si="10">100-F44</f>
        <v>60</v>
      </c>
      <c r="G42" s="48">
        <f t="shared" si="10"/>
        <v>20</v>
      </c>
      <c r="H42" s="48">
        <f t="shared" si="10"/>
        <v>5</v>
      </c>
      <c r="I42" s="97" t="s">
        <v>24</v>
      </c>
      <c r="J42" s="455" t="s">
        <v>51</v>
      </c>
      <c r="K42" s="359"/>
      <c r="L42" s="359" t="s">
        <v>55</v>
      </c>
      <c r="M42" s="362" t="s">
        <v>57</v>
      </c>
      <c r="N42" s="359" t="s">
        <v>52</v>
      </c>
      <c r="O42" s="359"/>
      <c r="P42" s="365"/>
      <c r="Q42" s="5"/>
      <c r="R42" s="5"/>
    </row>
    <row r="43" spans="1:23" ht="40.5" customHeight="1" x14ac:dyDescent="0.25">
      <c r="A43" s="437"/>
      <c r="B43" s="438"/>
      <c r="C43" s="438"/>
      <c r="D43" s="51">
        <f>100-D45</f>
        <v>95</v>
      </c>
      <c r="E43" s="51">
        <f>100-E45</f>
        <v>85</v>
      </c>
      <c r="F43" s="51">
        <f t="shared" ref="F43:H43" si="11">100-F45</f>
        <v>35</v>
      </c>
      <c r="G43" s="51">
        <f t="shared" si="11"/>
        <v>0</v>
      </c>
      <c r="H43" s="51">
        <f t="shared" si="11"/>
        <v>0</v>
      </c>
      <c r="I43" s="98" t="s">
        <v>24</v>
      </c>
      <c r="J43" s="357"/>
      <c r="K43" s="360"/>
      <c r="L43" s="360"/>
      <c r="M43" s="363"/>
      <c r="N43" s="360"/>
      <c r="O43" s="360"/>
      <c r="P43" s="366"/>
      <c r="Q43" s="5"/>
      <c r="R43" s="5"/>
    </row>
    <row r="44" spans="1:23" ht="40.5" customHeight="1" x14ac:dyDescent="0.25">
      <c r="A44" s="460" t="s">
        <v>54</v>
      </c>
      <c r="B44" s="461"/>
      <c r="C44" s="461"/>
      <c r="D44" s="93">
        <v>0</v>
      </c>
      <c r="E44" s="57">
        <v>2</v>
      </c>
      <c r="F44" s="57">
        <v>40</v>
      </c>
      <c r="G44" s="57">
        <v>80</v>
      </c>
      <c r="H44" s="57">
        <v>95</v>
      </c>
      <c r="I44" s="99" t="s">
        <v>24</v>
      </c>
      <c r="J44" s="357"/>
      <c r="K44" s="360"/>
      <c r="L44" s="360"/>
      <c r="M44" s="363"/>
      <c r="N44" s="360"/>
      <c r="O44" s="360"/>
      <c r="P44" s="366"/>
      <c r="Q44" s="5"/>
      <c r="R44" s="5"/>
    </row>
    <row r="45" spans="1:23" ht="40.5" customHeight="1" thickBot="1" x14ac:dyDescent="0.3">
      <c r="A45" s="456"/>
      <c r="B45" s="457"/>
      <c r="C45" s="457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100" t="s">
        <v>24</v>
      </c>
      <c r="J45" s="357"/>
      <c r="K45" s="360"/>
      <c r="L45" s="360"/>
      <c r="M45" s="359"/>
      <c r="N45" s="360"/>
      <c r="O45" s="360"/>
      <c r="P45" s="366"/>
      <c r="Q45" s="5"/>
      <c r="R45" s="5"/>
    </row>
    <row r="46" spans="1:23" ht="32.25" customHeight="1" x14ac:dyDescent="0.25">
      <c r="A46" s="488" t="s">
        <v>58</v>
      </c>
      <c r="B46" s="488"/>
      <c r="C46" s="488"/>
      <c r="D46" s="488"/>
      <c r="E46" s="488"/>
      <c r="F46" s="488"/>
      <c r="G46" s="488"/>
      <c r="H46" s="488"/>
      <c r="I46" s="488"/>
      <c r="J46" s="101"/>
      <c r="K46" s="101"/>
      <c r="L46" s="101"/>
      <c r="M46" s="101"/>
      <c r="N46" s="101"/>
      <c r="O46" s="101"/>
      <c r="P46" s="101"/>
      <c r="Q46" s="5"/>
      <c r="R46" s="5"/>
    </row>
    <row r="47" spans="1:23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3" ht="15.75" customHeight="1" thickBot="1" x14ac:dyDescent="0.3">
      <c r="A48" s="5"/>
      <c r="B48" s="5"/>
      <c r="C48" s="5"/>
      <c r="D48" s="5"/>
      <c r="E48" s="462" t="s">
        <v>42</v>
      </c>
      <c r="F48" s="345"/>
      <c r="G48" s="345"/>
      <c r="H48" s="345"/>
      <c r="I48" s="345"/>
      <c r="J48" s="345"/>
      <c r="K48" s="345"/>
      <c r="L48" s="345"/>
      <c r="M48" s="345"/>
      <c r="N48" s="345"/>
      <c r="O48" s="345"/>
      <c r="P48" s="345"/>
      <c r="Q48" s="5"/>
      <c r="R48" s="5"/>
    </row>
    <row r="49" spans="1:18" ht="18.75" customHeight="1" thickBot="1" x14ac:dyDescent="0.3">
      <c r="A49" s="5"/>
      <c r="B49" s="5"/>
      <c r="C49" s="5"/>
      <c r="D49" s="5"/>
      <c r="E49" s="464" t="s">
        <v>43</v>
      </c>
      <c r="F49" s="465"/>
      <c r="G49" s="465"/>
      <c r="H49" s="465"/>
      <c r="I49" s="465"/>
      <c r="J49" s="465"/>
      <c r="K49" s="465"/>
      <c r="L49" s="66" t="s">
        <v>44</v>
      </c>
      <c r="M49" s="102" t="s">
        <v>45</v>
      </c>
      <c r="N49" s="489" t="s">
        <v>56</v>
      </c>
      <c r="O49" s="490"/>
      <c r="P49" s="491"/>
      <c r="Q49" s="5"/>
      <c r="R49" s="5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</sheetData>
  <sheetProtection insertRows="0"/>
  <mergeCells count="36">
    <mergeCell ref="J41:P41"/>
    <mergeCell ref="E49:K49"/>
    <mergeCell ref="O42:O45"/>
    <mergeCell ref="P42:P45"/>
    <mergeCell ref="A44:C45"/>
    <mergeCell ref="E48:P48"/>
    <mergeCell ref="A42:C43"/>
    <mergeCell ref="J42:J45"/>
    <mergeCell ref="K42:K45"/>
    <mergeCell ref="L42:L45"/>
    <mergeCell ref="N42:N45"/>
    <mergeCell ref="A46:I46"/>
    <mergeCell ref="N49:P49"/>
    <mergeCell ref="M42:M45"/>
    <mergeCell ref="A39:C39"/>
    <mergeCell ref="A41:I41"/>
    <mergeCell ref="A36:C36"/>
    <mergeCell ref="A1:R1"/>
    <mergeCell ref="A2:R2"/>
    <mergeCell ref="A4:A6"/>
    <mergeCell ref="B4:B6"/>
    <mergeCell ref="C4:C6"/>
    <mergeCell ref="D4:I4"/>
    <mergeCell ref="J4:J6"/>
    <mergeCell ref="K4:K6"/>
    <mergeCell ref="L4:L6"/>
    <mergeCell ref="N4:N6"/>
    <mergeCell ref="M4:M6"/>
    <mergeCell ref="O4:O6"/>
    <mergeCell ref="A12:R12"/>
    <mergeCell ref="P4:P6"/>
    <mergeCell ref="Q4:Q6"/>
    <mergeCell ref="R4:R6"/>
    <mergeCell ref="I5:I6"/>
    <mergeCell ref="A38:C38"/>
    <mergeCell ref="A37:C37"/>
  </mergeCells>
  <conditionalFormatting sqref="J7:K11">
    <cfRule type="cellIs" dxfId="6" priority="1" operator="equal">
      <formula>""</formula>
    </cfRule>
  </conditionalFormatting>
  <conditionalFormatting sqref="J13:K35">
    <cfRule type="cellIs" dxfId="5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  <pageSetUpPr fitToPage="1"/>
  </sheetPr>
  <dimension ref="A1:Y52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66" t="s">
        <v>92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</row>
    <row r="2" spans="1:25" ht="22.5" customHeight="1" x14ac:dyDescent="0.25">
      <c r="A2" s="467" t="s">
        <v>80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4"/>
      <c r="J4" s="435"/>
      <c r="K4" s="478" t="s">
        <v>29</v>
      </c>
      <c r="L4" s="469" t="s">
        <v>5</v>
      </c>
      <c r="M4" s="443" t="s">
        <v>21</v>
      </c>
      <c r="N4" s="443" t="s">
        <v>30</v>
      </c>
      <c r="O4" s="443" t="s">
        <v>66</v>
      </c>
      <c r="P4" s="443" t="s">
        <v>31</v>
      </c>
      <c r="Q4" s="443" t="s">
        <v>28</v>
      </c>
      <c r="R4" s="443" t="s">
        <v>59</v>
      </c>
      <c r="S4" s="469" t="s">
        <v>20</v>
      </c>
      <c r="T4" s="468" t="s">
        <v>6</v>
      </c>
    </row>
    <row r="5" spans="1:25" ht="16.5" customHeight="1" x14ac:dyDescent="0.25">
      <c r="A5" s="476"/>
      <c r="B5" s="473"/>
      <c r="C5" s="482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1" t="s">
        <v>15</v>
      </c>
      <c r="K5" s="479"/>
      <c r="L5" s="470"/>
      <c r="M5" s="444"/>
      <c r="N5" s="444"/>
      <c r="O5" s="444"/>
      <c r="P5" s="444"/>
      <c r="Q5" s="444"/>
      <c r="R5" s="444"/>
      <c r="S5" s="470"/>
      <c r="T5" s="431"/>
    </row>
    <row r="6" spans="1:25" ht="16.5" customHeight="1" thickBot="1" x14ac:dyDescent="0.3">
      <c r="A6" s="477"/>
      <c r="B6" s="474"/>
      <c r="C6" s="483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32"/>
      <c r="K6" s="480"/>
      <c r="L6" s="471"/>
      <c r="M6" s="445"/>
      <c r="N6" s="445"/>
      <c r="O6" s="445"/>
      <c r="P6" s="445"/>
      <c r="Q6" s="445"/>
      <c r="R6" s="445"/>
      <c r="S6" s="471"/>
      <c r="T6" s="432"/>
    </row>
    <row r="7" spans="1:25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1.3</v>
      </c>
      <c r="F7" s="73">
        <v>50</v>
      </c>
      <c r="G7" s="73">
        <v>76.599999999999994</v>
      </c>
      <c r="H7" s="73">
        <v>99.2</v>
      </c>
      <c r="I7" s="73">
        <v>99.8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6.7770000000000001</v>
      </c>
      <c r="M7" s="77">
        <v>0.3</v>
      </c>
      <c r="N7" s="77" t="s">
        <v>24</v>
      </c>
      <c r="O7" s="78">
        <v>2.74</v>
      </c>
      <c r="P7" s="78" t="s">
        <v>24</v>
      </c>
      <c r="Q7" s="77">
        <v>0.3</v>
      </c>
      <c r="R7" s="113" t="s">
        <v>24</v>
      </c>
      <c r="S7" s="79" t="s">
        <v>69</v>
      </c>
      <c r="T7" s="80" t="s">
        <v>74</v>
      </c>
      <c r="U7" s="3"/>
      <c r="Y7" s="1"/>
    </row>
    <row r="8" spans="1:25" ht="27" customHeight="1" x14ac:dyDescent="0.25">
      <c r="A8" s="69">
        <v>39727</v>
      </c>
      <c r="B8" s="70">
        <v>2</v>
      </c>
      <c r="C8" s="71">
        <v>39727</v>
      </c>
      <c r="D8" s="72">
        <v>0</v>
      </c>
      <c r="E8" s="73">
        <v>0.7</v>
      </c>
      <c r="F8" s="73">
        <v>48.7</v>
      </c>
      <c r="G8" s="73">
        <v>75.8</v>
      </c>
      <c r="H8" s="73">
        <v>97.5</v>
      </c>
      <c r="I8" s="73">
        <v>98.9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74</v>
      </c>
      <c r="U8" s="3"/>
      <c r="Y8" s="1"/>
    </row>
    <row r="9" spans="1:25" ht="27" customHeight="1" x14ac:dyDescent="0.25">
      <c r="A9" s="69">
        <v>39731</v>
      </c>
      <c r="B9" s="70">
        <v>3</v>
      </c>
      <c r="C9" s="71">
        <v>39735</v>
      </c>
      <c r="D9" s="72">
        <v>0</v>
      </c>
      <c r="E9" s="73">
        <v>2.9</v>
      </c>
      <c r="F9" s="73">
        <v>47.6</v>
      </c>
      <c r="G9" s="73">
        <v>75.2</v>
      </c>
      <c r="H9" s="73">
        <v>98.2</v>
      </c>
      <c r="I9" s="73">
        <v>99.5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6.7759999999999998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74</v>
      </c>
      <c r="U9" s="3"/>
      <c r="Y9" s="1"/>
    </row>
    <row r="10" spans="1:25" ht="27" customHeight="1" x14ac:dyDescent="0.25">
      <c r="A10" s="69">
        <v>39814</v>
      </c>
      <c r="B10" s="70">
        <v>4</v>
      </c>
      <c r="C10" s="71">
        <v>39821</v>
      </c>
      <c r="D10" s="72">
        <v>0</v>
      </c>
      <c r="E10" s="73">
        <v>0.6</v>
      </c>
      <c r="F10" s="73">
        <v>46.3</v>
      </c>
      <c r="G10" s="73">
        <v>73.8</v>
      </c>
      <c r="H10" s="73">
        <v>94</v>
      </c>
      <c r="I10" s="73">
        <v>96.1</v>
      </c>
      <c r="J10" s="74">
        <v>100</v>
      </c>
      <c r="K10" s="112">
        <f t="shared" si="1"/>
        <v>19</v>
      </c>
      <c r="L10" s="76">
        <f t="shared" ref="L10:L35" si="2">IF(B10="","",(E10+G10+I10+500)/100)</f>
        <v>6.7050000000000001</v>
      </c>
      <c r="M10" s="77">
        <v>1.7</v>
      </c>
      <c r="N10" s="77" t="s">
        <v>24</v>
      </c>
      <c r="O10" s="78">
        <v>2.69</v>
      </c>
      <c r="P10" s="78">
        <v>1.43</v>
      </c>
      <c r="Q10" s="77">
        <v>0.2</v>
      </c>
      <c r="R10" s="113" t="s">
        <v>24</v>
      </c>
      <c r="S10" s="79" t="s">
        <v>83</v>
      </c>
      <c r="T10" s="80" t="s">
        <v>74</v>
      </c>
      <c r="U10" s="3"/>
      <c r="Y10" s="1"/>
    </row>
    <row r="11" spans="1:25" ht="27" customHeight="1" x14ac:dyDescent="0.25">
      <c r="A11" s="69">
        <v>39814</v>
      </c>
      <c r="B11" s="70">
        <v>5</v>
      </c>
      <c r="C11" s="71">
        <v>39828</v>
      </c>
      <c r="D11" s="72">
        <v>0</v>
      </c>
      <c r="E11" s="73">
        <v>0.9</v>
      </c>
      <c r="F11" s="73">
        <v>46.9</v>
      </c>
      <c r="G11" s="73">
        <v>74</v>
      </c>
      <c r="H11" s="73">
        <v>92.6</v>
      </c>
      <c r="I11" s="73">
        <v>94.3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6.6920000000000002</v>
      </c>
      <c r="M11" s="77">
        <v>1.9</v>
      </c>
      <c r="N11" s="77" t="s">
        <v>24</v>
      </c>
      <c r="O11" s="78">
        <v>2.7</v>
      </c>
      <c r="P11" s="78">
        <v>1.44</v>
      </c>
      <c r="Q11" s="77">
        <v>0.2</v>
      </c>
      <c r="R11" s="113" t="s">
        <v>24</v>
      </c>
      <c r="S11" s="79" t="s">
        <v>69</v>
      </c>
      <c r="T11" s="80" t="s">
        <v>74</v>
      </c>
      <c r="U11" s="3"/>
      <c r="Y11" s="1"/>
    </row>
    <row r="12" spans="1:25" ht="27" customHeight="1" x14ac:dyDescent="0.25">
      <c r="A12" s="69">
        <v>39814</v>
      </c>
      <c r="B12" s="70">
        <v>6</v>
      </c>
      <c r="C12" s="71">
        <v>39833</v>
      </c>
      <c r="D12" s="72">
        <v>0</v>
      </c>
      <c r="E12" s="73">
        <v>1.4</v>
      </c>
      <c r="F12" s="73">
        <v>55.8</v>
      </c>
      <c r="G12" s="73">
        <v>80.099999999999994</v>
      </c>
      <c r="H12" s="73">
        <v>95.6</v>
      </c>
      <c r="I12" s="73">
        <v>97.3</v>
      </c>
      <c r="J12" s="74">
        <v>100</v>
      </c>
      <c r="K12" s="112">
        <f t="shared" si="1"/>
        <v>19</v>
      </c>
      <c r="L12" s="76">
        <f t="shared" si="2"/>
        <v>6.7879999999999994</v>
      </c>
      <c r="M12" s="77" t="s">
        <v>24</v>
      </c>
      <c r="N12" s="77" t="s">
        <v>24</v>
      </c>
      <c r="O12" s="77" t="s">
        <v>24</v>
      </c>
      <c r="P12" s="77" t="s">
        <v>24</v>
      </c>
      <c r="Q12" s="77" t="s">
        <v>24</v>
      </c>
      <c r="R12" s="77" t="s">
        <v>24</v>
      </c>
      <c r="S12" s="79" t="s">
        <v>83</v>
      </c>
      <c r="T12" s="80" t="s">
        <v>74</v>
      </c>
      <c r="U12" s="3"/>
      <c r="Y12" s="1"/>
    </row>
    <row r="13" spans="1:25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4"/>
      <c r="K13" s="112" t="str">
        <f t="shared" si="1"/>
        <v/>
      </c>
      <c r="L13" s="76" t="str">
        <f t="shared" si="2"/>
        <v/>
      </c>
      <c r="M13" s="77"/>
      <c r="N13" s="77"/>
      <c r="O13" s="78"/>
      <c r="P13" s="78"/>
      <c r="Q13" s="77"/>
      <c r="R13" s="113"/>
      <c r="S13" s="79"/>
      <c r="T13" s="80"/>
      <c r="U13" s="3"/>
      <c r="Y13" s="1"/>
    </row>
    <row r="14" spans="1:25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4"/>
      <c r="K14" s="112" t="str">
        <f t="shared" si="1"/>
        <v/>
      </c>
      <c r="L14" s="76" t="str">
        <f t="shared" si="2"/>
        <v/>
      </c>
      <c r="M14" s="77"/>
      <c r="N14" s="77"/>
      <c r="O14" s="78"/>
      <c r="P14" s="78"/>
      <c r="Q14" s="77"/>
      <c r="R14" s="113"/>
      <c r="S14" s="79"/>
      <c r="T14" s="80"/>
      <c r="U14" s="3"/>
      <c r="Y14" s="1"/>
    </row>
    <row r="15" spans="1:25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4"/>
      <c r="K15" s="112" t="str">
        <f t="shared" si="1"/>
        <v/>
      </c>
      <c r="L15" s="76" t="str">
        <f t="shared" si="2"/>
        <v/>
      </c>
      <c r="M15" s="77"/>
      <c r="N15" s="77"/>
      <c r="O15" s="78"/>
      <c r="P15" s="78"/>
      <c r="Q15" s="77"/>
      <c r="R15" s="113"/>
      <c r="S15" s="79"/>
      <c r="T15" s="80"/>
      <c r="U15" s="3"/>
      <c r="Y15" s="1"/>
    </row>
    <row r="16" spans="1:25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4"/>
      <c r="K16" s="112" t="str">
        <f t="shared" si="1"/>
        <v/>
      </c>
      <c r="L16" s="76" t="str">
        <f t="shared" si="2"/>
        <v/>
      </c>
      <c r="M16" s="77"/>
      <c r="N16" s="77"/>
      <c r="O16" s="78"/>
      <c r="P16" s="78"/>
      <c r="Q16" s="77"/>
      <c r="R16" s="113"/>
      <c r="S16" s="79"/>
      <c r="T16" s="80"/>
      <c r="U16" s="3"/>
      <c r="Y16" s="1"/>
    </row>
    <row r="17" spans="1:25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4"/>
      <c r="K17" s="112" t="str">
        <f t="shared" si="1"/>
        <v/>
      </c>
      <c r="L17" s="76" t="str">
        <f t="shared" si="2"/>
        <v/>
      </c>
      <c r="M17" s="77"/>
      <c r="N17" s="77"/>
      <c r="O17" s="78"/>
      <c r="P17" s="78"/>
      <c r="Q17" s="77"/>
      <c r="R17" s="113"/>
      <c r="S17" s="79"/>
      <c r="T17" s="80"/>
      <c r="U17" s="3"/>
      <c r="Y17" s="1"/>
    </row>
    <row r="18" spans="1:25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4"/>
      <c r="K18" s="112" t="str">
        <f t="shared" si="1"/>
        <v/>
      </c>
      <c r="L18" s="76" t="str">
        <f t="shared" si="2"/>
        <v/>
      </c>
      <c r="M18" s="77"/>
      <c r="N18" s="77"/>
      <c r="O18" s="78"/>
      <c r="P18" s="78"/>
      <c r="Q18" s="77"/>
      <c r="R18" s="113"/>
      <c r="S18" s="79"/>
      <c r="T18" s="80"/>
      <c r="U18" s="3"/>
      <c r="Y18" s="1"/>
    </row>
    <row r="19" spans="1:25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4"/>
      <c r="K19" s="112" t="str">
        <f t="shared" si="1"/>
        <v/>
      </c>
      <c r="L19" s="76" t="str">
        <f t="shared" si="2"/>
        <v/>
      </c>
      <c r="M19" s="77"/>
      <c r="N19" s="77"/>
      <c r="O19" s="78"/>
      <c r="P19" s="78"/>
      <c r="Q19" s="77"/>
      <c r="R19" s="113"/>
      <c r="S19" s="79"/>
      <c r="T19" s="80"/>
      <c r="U19" s="3"/>
      <c r="Y19" s="1"/>
    </row>
    <row r="20" spans="1:25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4"/>
      <c r="K20" s="112" t="str">
        <f t="shared" si="1"/>
        <v/>
      </c>
      <c r="L20" s="76" t="str">
        <f t="shared" si="2"/>
        <v/>
      </c>
      <c r="M20" s="77"/>
      <c r="N20" s="77"/>
      <c r="O20" s="78"/>
      <c r="P20" s="78"/>
      <c r="Q20" s="77"/>
      <c r="R20" s="113"/>
      <c r="S20" s="79"/>
      <c r="T20" s="80"/>
      <c r="U20" s="3"/>
      <c r="Y20" s="1"/>
    </row>
    <row r="21" spans="1:25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4"/>
      <c r="K21" s="112" t="str">
        <f>IF(B21="","",IF(E21&gt;5,D$6,IF(F21&gt;5,E$6,IF(G21&gt;5,F$6,IF(H21&gt;5,G$6,$H$6)))))</f>
        <v/>
      </c>
      <c r="L21" s="76" t="str">
        <f>IF(B21="","",(E21+G21+I21+500)/100)</f>
        <v/>
      </c>
      <c r="M21" s="77"/>
      <c r="N21" s="77"/>
      <c r="O21" s="78"/>
      <c r="P21" s="78"/>
      <c r="Q21" s="77"/>
      <c r="R21" s="113"/>
      <c r="S21" s="79"/>
      <c r="T21" s="80"/>
      <c r="U21" s="3"/>
      <c r="Y21" s="1"/>
    </row>
    <row r="22" spans="1:25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4"/>
      <c r="K22" s="112" t="str">
        <f t="shared" si="1"/>
        <v/>
      </c>
      <c r="L22" s="76" t="str">
        <f t="shared" si="2"/>
        <v/>
      </c>
      <c r="M22" s="77"/>
      <c r="N22" s="77"/>
      <c r="O22" s="78"/>
      <c r="P22" s="78"/>
      <c r="Q22" s="77"/>
      <c r="R22" s="113"/>
      <c r="S22" s="79"/>
      <c r="T22" s="80"/>
      <c r="U22" s="3"/>
      <c r="Y22" s="1"/>
    </row>
    <row r="23" spans="1:25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4"/>
      <c r="K23" s="112" t="str">
        <f t="shared" si="1"/>
        <v/>
      </c>
      <c r="L23" s="76" t="str">
        <f t="shared" si="2"/>
        <v/>
      </c>
      <c r="M23" s="77"/>
      <c r="N23" s="77"/>
      <c r="O23" s="78"/>
      <c r="P23" s="78"/>
      <c r="Q23" s="77"/>
      <c r="R23" s="113"/>
      <c r="S23" s="79"/>
      <c r="T23" s="80"/>
      <c r="U23" s="3"/>
      <c r="Y23" s="1"/>
    </row>
    <row r="24" spans="1:25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4"/>
      <c r="K24" s="112" t="str">
        <f t="shared" si="1"/>
        <v/>
      </c>
      <c r="L24" s="76" t="str">
        <f t="shared" si="2"/>
        <v/>
      </c>
      <c r="M24" s="77"/>
      <c r="N24" s="77"/>
      <c r="O24" s="78"/>
      <c r="P24" s="78"/>
      <c r="Q24" s="77"/>
      <c r="R24" s="113"/>
      <c r="S24" s="79"/>
      <c r="T24" s="80"/>
      <c r="U24" s="3"/>
      <c r="Y24" s="1"/>
    </row>
    <row r="25" spans="1:25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4"/>
      <c r="K25" s="112" t="str">
        <f t="shared" si="1"/>
        <v/>
      </c>
      <c r="L25" s="76" t="str">
        <f t="shared" si="2"/>
        <v/>
      </c>
      <c r="M25" s="77"/>
      <c r="N25" s="77"/>
      <c r="O25" s="78"/>
      <c r="P25" s="78"/>
      <c r="Q25" s="77"/>
      <c r="R25" s="113"/>
      <c r="S25" s="79"/>
      <c r="T25" s="80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52" t="s">
        <v>0</v>
      </c>
      <c r="B36" s="453"/>
      <c r="C36" s="454"/>
      <c r="D36" s="21">
        <f t="shared" ref="D36:J36" si="3">AVERAGE(D7:D35)</f>
        <v>0</v>
      </c>
      <c r="E36" s="22">
        <f t="shared" si="3"/>
        <v>1.3</v>
      </c>
      <c r="F36" s="22">
        <f t="shared" si="3"/>
        <v>49.216666666666669</v>
      </c>
      <c r="G36" s="22">
        <f t="shared" ref="G36" si="4">AVERAGE(G7:G35)</f>
        <v>75.916666666666671</v>
      </c>
      <c r="H36" s="22">
        <f t="shared" si="3"/>
        <v>96.183333333333337</v>
      </c>
      <c r="I36" s="22">
        <f t="shared" si="3"/>
        <v>97.649999999999991</v>
      </c>
      <c r="J36" s="23">
        <f t="shared" si="3"/>
        <v>100</v>
      </c>
      <c r="K36" s="24" t="s">
        <v>24</v>
      </c>
      <c r="L36" s="25">
        <f t="shared" ref="L36:R36" si="5">AVERAGE(L7:L35)</f>
        <v>6.7486666666666659</v>
      </c>
      <c r="M36" s="25">
        <f t="shared" si="5"/>
        <v>1.3</v>
      </c>
      <c r="N36" s="25" t="e">
        <f t="shared" si="5"/>
        <v>#DIV/0!</v>
      </c>
      <c r="O36" s="26">
        <f t="shared" si="5"/>
        <v>2.7099999999999995</v>
      </c>
      <c r="P36" s="26">
        <f t="shared" si="5"/>
        <v>1.4350000000000001</v>
      </c>
      <c r="Q36" s="25">
        <f t="shared" si="5"/>
        <v>0.23333333333333331</v>
      </c>
      <c r="R36" s="22" t="e">
        <f t="shared" si="5"/>
        <v>#DIV/0!</v>
      </c>
      <c r="S36" s="27"/>
      <c r="T36" s="28"/>
      <c r="U36" s="3"/>
      <c r="Y36" s="1"/>
    </row>
    <row r="37" spans="1:25" ht="27" customHeight="1" x14ac:dyDescent="0.25">
      <c r="A37" s="446" t="s">
        <v>26</v>
      </c>
      <c r="B37" s="447"/>
      <c r="C37" s="448"/>
      <c r="D37" s="29">
        <f>MAX(D7:D35)</f>
        <v>0</v>
      </c>
      <c r="E37" s="30">
        <f>MAX(E7:E35)</f>
        <v>2.9</v>
      </c>
      <c r="F37" s="30">
        <f>MAX(F7:F35)</f>
        <v>55.8</v>
      </c>
      <c r="G37" s="30">
        <f>MAX(G7:G35)</f>
        <v>80.099999999999994</v>
      </c>
      <c r="H37" s="30">
        <f t="shared" ref="H37:Q37" si="6">MAX(H7:H35)</f>
        <v>99.2</v>
      </c>
      <c r="I37" s="30">
        <f t="shared" si="6"/>
        <v>99.8</v>
      </c>
      <c r="J37" s="31">
        <f t="shared" si="6"/>
        <v>100</v>
      </c>
      <c r="K37" s="109">
        <f>MAX(K7:K35)</f>
        <v>19</v>
      </c>
      <c r="L37" s="33">
        <f t="shared" si="6"/>
        <v>6.7879999999999994</v>
      </c>
      <c r="M37" s="33">
        <f t="shared" si="6"/>
        <v>1.9</v>
      </c>
      <c r="N37" s="33">
        <f t="shared" si="6"/>
        <v>0</v>
      </c>
      <c r="O37" s="34">
        <f t="shared" si="6"/>
        <v>2.74</v>
      </c>
      <c r="P37" s="34">
        <f>MAX(P7:P35)</f>
        <v>1.44</v>
      </c>
      <c r="Q37" s="33">
        <f t="shared" si="6"/>
        <v>0.3</v>
      </c>
      <c r="R37" s="30">
        <f t="shared" ref="R37" si="7">MAX(R7:R35)</f>
        <v>0</v>
      </c>
      <c r="S37" s="35"/>
      <c r="T37" s="36"/>
    </row>
    <row r="38" spans="1:25" ht="27" customHeight="1" x14ac:dyDescent="0.25">
      <c r="A38" s="446" t="s">
        <v>25</v>
      </c>
      <c r="B38" s="447"/>
      <c r="C38" s="448"/>
      <c r="D38" s="29">
        <f t="shared" ref="D38:J38" si="8">MIN(D7:D35)</f>
        <v>0</v>
      </c>
      <c r="E38" s="30">
        <f t="shared" si="8"/>
        <v>0.6</v>
      </c>
      <c r="F38" s="30">
        <f t="shared" si="8"/>
        <v>46.3</v>
      </c>
      <c r="G38" s="30">
        <f t="shared" ref="G38" si="9">MIN(G7:G35)</f>
        <v>73.8</v>
      </c>
      <c r="H38" s="30">
        <f t="shared" si="8"/>
        <v>92.6</v>
      </c>
      <c r="I38" s="30">
        <f t="shared" si="8"/>
        <v>94.3</v>
      </c>
      <c r="J38" s="31">
        <f t="shared" si="8"/>
        <v>100</v>
      </c>
      <c r="K38" s="37" t="s">
        <v>24</v>
      </c>
      <c r="L38" s="33">
        <f t="shared" ref="L38:R38" si="10">MIN(L7:L35)</f>
        <v>6.6920000000000002</v>
      </c>
      <c r="M38" s="33">
        <f t="shared" si="10"/>
        <v>0.3</v>
      </c>
      <c r="N38" s="33">
        <f t="shared" si="10"/>
        <v>0</v>
      </c>
      <c r="O38" s="34">
        <f t="shared" si="10"/>
        <v>2.69</v>
      </c>
      <c r="P38" s="34">
        <f t="shared" si="10"/>
        <v>1.43</v>
      </c>
      <c r="Q38" s="33">
        <f t="shared" si="10"/>
        <v>0.2</v>
      </c>
      <c r="R38" s="30">
        <f t="shared" si="10"/>
        <v>0</v>
      </c>
      <c r="S38" s="35"/>
      <c r="T38" s="36"/>
    </row>
    <row r="39" spans="1:25" ht="27" customHeight="1" thickBot="1" x14ac:dyDescent="0.3">
      <c r="A39" s="449" t="s">
        <v>1</v>
      </c>
      <c r="B39" s="450"/>
      <c r="C39" s="451"/>
      <c r="D39" s="38">
        <f t="shared" ref="D39:J39" si="11">STDEV(D7:D35)</f>
        <v>0</v>
      </c>
      <c r="E39" s="39">
        <f t="shared" si="11"/>
        <v>0.84616783205224677</v>
      </c>
      <c r="F39" s="39">
        <f t="shared" si="11"/>
        <v>3.4844894413194401</v>
      </c>
      <c r="G39" s="39">
        <f t="shared" ref="G39" si="12">STDEV(G7:G35)</f>
        <v>2.308607083647336</v>
      </c>
      <c r="H39" s="39">
        <f t="shared" si="11"/>
        <v>2.5631360999109436</v>
      </c>
      <c r="I39" s="39">
        <f t="shared" si="11"/>
        <v>2.1612496385193469</v>
      </c>
      <c r="J39" s="40">
        <f t="shared" si="11"/>
        <v>0</v>
      </c>
      <c r="K39" s="41" t="s">
        <v>24</v>
      </c>
      <c r="L39" s="42">
        <f t="shared" ref="L39:R39" si="13">STDEV(L7:L35)</f>
        <v>4.0603776507446329E-2</v>
      </c>
      <c r="M39" s="42">
        <f t="shared" si="13"/>
        <v>0.87177978870813488</v>
      </c>
      <c r="N39" s="42" t="e">
        <f t="shared" si="13"/>
        <v>#DIV/0!</v>
      </c>
      <c r="O39" s="43">
        <f t="shared" si="13"/>
        <v>2.6457513110646015E-2</v>
      </c>
      <c r="P39" s="43">
        <f t="shared" si="13"/>
        <v>7.0710678118654814E-3</v>
      </c>
      <c r="Q39" s="42">
        <f t="shared" si="13"/>
        <v>5.7735026918962762E-2</v>
      </c>
      <c r="R39" s="39" t="e">
        <f t="shared" si="13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59"/>
      <c r="K41" s="462" t="s">
        <v>34</v>
      </c>
      <c r="L41" s="345"/>
      <c r="M41" s="345"/>
      <c r="N41" s="345"/>
      <c r="O41" s="345"/>
      <c r="P41" s="345"/>
      <c r="Q41" s="345"/>
      <c r="R41" s="463"/>
      <c r="S41" s="5"/>
      <c r="T41" s="5"/>
    </row>
    <row r="42" spans="1:25" ht="40.5" customHeight="1" x14ac:dyDescent="0.25">
      <c r="A42" s="441" t="s">
        <v>63</v>
      </c>
      <c r="B42" s="442"/>
      <c r="C42" s="442"/>
      <c r="D42" s="48">
        <f>100-D44</f>
        <v>100</v>
      </c>
      <c r="E42" s="48">
        <f>100-E44</f>
        <v>98</v>
      </c>
      <c r="F42" s="48">
        <f t="shared" ref="F42:I42" si="14">100-F44</f>
        <v>60</v>
      </c>
      <c r="G42" s="48">
        <f t="shared" si="14"/>
        <v>20</v>
      </c>
      <c r="H42" s="48">
        <f t="shared" si="14"/>
        <v>8</v>
      </c>
      <c r="I42" s="48">
        <f t="shared" si="14"/>
        <v>5</v>
      </c>
      <c r="J42" s="50" t="s">
        <v>24</v>
      </c>
      <c r="K42" s="455" t="s">
        <v>51</v>
      </c>
      <c r="L42" s="359"/>
      <c r="M42" s="359" t="s">
        <v>55</v>
      </c>
      <c r="N42" s="359" t="s">
        <v>57</v>
      </c>
      <c r="O42" s="359" t="s">
        <v>52</v>
      </c>
      <c r="P42" s="359"/>
      <c r="Q42" s="359"/>
      <c r="R42" s="365" t="s">
        <v>60</v>
      </c>
      <c r="S42" s="5"/>
      <c r="T42" s="5"/>
    </row>
    <row r="43" spans="1:25" ht="40.5" customHeight="1" x14ac:dyDescent="0.25">
      <c r="A43" s="437"/>
      <c r="B43" s="438"/>
      <c r="C43" s="438"/>
      <c r="D43" s="51">
        <f>100-D45</f>
        <v>95</v>
      </c>
      <c r="E43" s="51">
        <f>100-E45</f>
        <v>85</v>
      </c>
      <c r="F43" s="51">
        <f t="shared" ref="F43:I43" si="15">100-F45</f>
        <v>35</v>
      </c>
      <c r="G43" s="51">
        <f t="shared" si="15"/>
        <v>0</v>
      </c>
      <c r="H43" s="51">
        <f t="shared" si="15"/>
        <v>0</v>
      </c>
      <c r="I43" s="51">
        <f t="shared" si="15"/>
        <v>0</v>
      </c>
      <c r="J43" s="53" t="s">
        <v>24</v>
      </c>
      <c r="K43" s="357"/>
      <c r="L43" s="360"/>
      <c r="M43" s="360"/>
      <c r="N43" s="360"/>
      <c r="O43" s="360"/>
      <c r="P43" s="360"/>
      <c r="Q43" s="360"/>
      <c r="R43" s="366"/>
      <c r="S43" s="5"/>
      <c r="T43" s="5"/>
    </row>
    <row r="44" spans="1:25" ht="40.5" customHeight="1" x14ac:dyDescent="0.25">
      <c r="A44" s="460" t="s">
        <v>64</v>
      </c>
      <c r="B44" s="461"/>
      <c r="C44" s="461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357"/>
      <c r="L44" s="360"/>
      <c r="M44" s="360"/>
      <c r="N44" s="360"/>
      <c r="O44" s="360"/>
      <c r="P44" s="360"/>
      <c r="Q44" s="360"/>
      <c r="R44" s="366"/>
      <c r="S44" s="5"/>
      <c r="T44" s="5"/>
    </row>
    <row r="45" spans="1:25" ht="40.5" customHeight="1" thickBot="1" x14ac:dyDescent="0.3">
      <c r="A45" s="456"/>
      <c r="B45" s="457"/>
      <c r="C45" s="457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358"/>
      <c r="L45" s="361"/>
      <c r="M45" s="361"/>
      <c r="N45" s="361"/>
      <c r="O45" s="361"/>
      <c r="P45" s="361"/>
      <c r="Q45" s="361"/>
      <c r="R45" s="367"/>
      <c r="S45" s="5"/>
      <c r="T45" s="5"/>
    </row>
    <row r="46" spans="1:25" ht="32.25" customHeight="1" x14ac:dyDescent="0.25">
      <c r="A46" s="488" t="s">
        <v>58</v>
      </c>
      <c r="B46" s="488"/>
      <c r="C46" s="488"/>
      <c r="D46" s="488"/>
      <c r="E46" s="488"/>
      <c r="F46" s="488"/>
      <c r="G46" s="488"/>
      <c r="H46" s="488"/>
      <c r="I46" s="488"/>
      <c r="J46" s="488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492" t="s">
        <v>42</v>
      </c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4"/>
      <c r="S48" s="5"/>
      <c r="T48" s="5"/>
    </row>
    <row r="49" spans="1:20" ht="18.75" customHeight="1" thickBot="1" x14ac:dyDescent="0.3">
      <c r="A49" s="5"/>
      <c r="B49" s="5"/>
      <c r="C49" s="5"/>
      <c r="D49" s="5"/>
      <c r="E49" s="495" t="s">
        <v>43</v>
      </c>
      <c r="F49" s="496"/>
      <c r="G49" s="496"/>
      <c r="H49" s="496"/>
      <c r="I49" s="496"/>
      <c r="J49" s="496"/>
      <c r="K49" s="496"/>
      <c r="L49" s="496"/>
      <c r="M49" s="110" t="s">
        <v>44</v>
      </c>
      <c r="N49" s="110" t="s">
        <v>45</v>
      </c>
      <c r="O49" s="497" t="s">
        <v>56</v>
      </c>
      <c r="P49" s="497"/>
      <c r="Q49" s="497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7"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S4:S6"/>
    <mergeCell ref="T4:T6"/>
    <mergeCell ref="R4:R6"/>
    <mergeCell ref="A36:C36"/>
    <mergeCell ref="A37:C37"/>
    <mergeCell ref="A38:C38"/>
    <mergeCell ref="A39:C39"/>
    <mergeCell ref="J5:J6"/>
    <mergeCell ref="E49:L49"/>
    <mergeCell ref="O49:Q49"/>
    <mergeCell ref="A42:C43"/>
    <mergeCell ref="K42:K45"/>
    <mergeCell ref="L42:L45"/>
    <mergeCell ref="M42:M45"/>
    <mergeCell ref="N42:N45"/>
    <mergeCell ref="O42:O45"/>
    <mergeCell ref="R42:R45"/>
    <mergeCell ref="K41:R41"/>
    <mergeCell ref="E48:R48"/>
    <mergeCell ref="P42:P45"/>
    <mergeCell ref="Q42:Q45"/>
    <mergeCell ref="A41:J41"/>
    <mergeCell ref="A44:C45"/>
    <mergeCell ref="A46:J46"/>
  </mergeCells>
  <conditionalFormatting sqref="K7:L35">
    <cfRule type="cellIs" dxfId="4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  <pageSetUpPr fitToPage="1"/>
  </sheetPr>
  <dimension ref="A1:Y52"/>
  <sheetViews>
    <sheetView zoomScale="75" zoomScaleNormal="75" zoomScaleSheetLayoutView="70" workbookViewId="0">
      <pane ySplit="6" topLeftCell="A15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66" t="s">
        <v>91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</row>
    <row r="2" spans="1:25" ht="22.5" customHeight="1" x14ac:dyDescent="0.25">
      <c r="A2" s="467" t="s">
        <v>79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4"/>
      <c r="J4" s="435"/>
      <c r="K4" s="478" t="s">
        <v>29</v>
      </c>
      <c r="L4" s="469" t="s">
        <v>5</v>
      </c>
      <c r="M4" s="443" t="s">
        <v>21</v>
      </c>
      <c r="N4" s="443" t="s">
        <v>30</v>
      </c>
      <c r="O4" s="443" t="s">
        <v>66</v>
      </c>
      <c r="P4" s="443" t="s">
        <v>31</v>
      </c>
      <c r="Q4" s="443" t="s">
        <v>28</v>
      </c>
      <c r="R4" s="443" t="s">
        <v>59</v>
      </c>
      <c r="S4" s="469" t="s">
        <v>20</v>
      </c>
      <c r="T4" s="468" t="s">
        <v>6</v>
      </c>
    </row>
    <row r="5" spans="1:25" ht="16.5" customHeight="1" x14ac:dyDescent="0.25">
      <c r="A5" s="476"/>
      <c r="B5" s="473"/>
      <c r="C5" s="482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1" t="s">
        <v>15</v>
      </c>
      <c r="K5" s="479"/>
      <c r="L5" s="470"/>
      <c r="M5" s="444"/>
      <c r="N5" s="444"/>
      <c r="O5" s="444"/>
      <c r="P5" s="444"/>
      <c r="Q5" s="444"/>
      <c r="R5" s="444"/>
      <c r="S5" s="470"/>
      <c r="T5" s="431"/>
    </row>
    <row r="6" spans="1:25" ht="16.5" customHeight="1" thickBot="1" x14ac:dyDescent="0.3">
      <c r="A6" s="477"/>
      <c r="B6" s="474"/>
      <c r="C6" s="483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32"/>
      <c r="K6" s="480"/>
      <c r="L6" s="471"/>
      <c r="M6" s="445"/>
      <c r="N6" s="445"/>
      <c r="O6" s="445"/>
      <c r="P6" s="445"/>
      <c r="Q6" s="445"/>
      <c r="R6" s="445"/>
      <c r="S6" s="471"/>
      <c r="T6" s="432"/>
    </row>
    <row r="7" spans="1:25" ht="27.75" customHeight="1" thickTop="1" x14ac:dyDescent="0.25">
      <c r="A7" s="69">
        <v>39720</v>
      </c>
      <c r="B7" s="70">
        <v>1</v>
      </c>
      <c r="C7" s="71">
        <v>39719</v>
      </c>
      <c r="D7" s="72">
        <v>0</v>
      </c>
      <c r="E7" s="73">
        <v>1.6</v>
      </c>
      <c r="F7" s="73">
        <v>54.7</v>
      </c>
      <c r="G7" s="73">
        <v>79.3</v>
      </c>
      <c r="H7" s="73">
        <v>98</v>
      </c>
      <c r="I7" s="73">
        <v>99.2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6.8010000000000002</v>
      </c>
      <c r="M7" s="77">
        <v>0.3</v>
      </c>
      <c r="N7" s="77" t="s">
        <v>24</v>
      </c>
      <c r="O7" s="78">
        <v>2.69</v>
      </c>
      <c r="P7" s="78">
        <v>1.35</v>
      </c>
      <c r="Q7" s="77">
        <v>0.3</v>
      </c>
      <c r="R7" s="113" t="s">
        <v>24</v>
      </c>
      <c r="S7" s="79" t="s">
        <v>69</v>
      </c>
      <c r="T7" s="80" t="s">
        <v>75</v>
      </c>
      <c r="U7" s="3"/>
      <c r="Y7" s="1"/>
    </row>
    <row r="8" spans="1:25" ht="27" customHeight="1" x14ac:dyDescent="0.25">
      <c r="A8" s="69">
        <v>39738</v>
      </c>
      <c r="B8" s="70">
        <v>2</v>
      </c>
      <c r="C8" s="71">
        <v>39738</v>
      </c>
      <c r="D8" s="72">
        <v>0</v>
      </c>
      <c r="E8" s="73">
        <v>4.7</v>
      </c>
      <c r="F8" s="73">
        <v>44.3</v>
      </c>
      <c r="G8" s="73">
        <v>71.599999999999994</v>
      </c>
      <c r="H8" s="73">
        <v>97.6</v>
      </c>
      <c r="I8" s="73">
        <v>99.1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75</v>
      </c>
      <c r="U8" s="3"/>
      <c r="Y8" s="1"/>
    </row>
    <row r="9" spans="1:25" ht="27" customHeight="1" x14ac:dyDescent="0.25">
      <c r="A9" s="69">
        <v>39741</v>
      </c>
      <c r="B9" s="70">
        <v>3</v>
      </c>
      <c r="C9" s="71">
        <v>39741</v>
      </c>
      <c r="D9" s="72">
        <v>0</v>
      </c>
      <c r="E9" s="73">
        <v>0.8</v>
      </c>
      <c r="F9" s="73">
        <v>44.3</v>
      </c>
      <c r="G9" s="73">
        <v>70.5</v>
      </c>
      <c r="H9" s="73">
        <v>95.3</v>
      </c>
      <c r="I9" s="73">
        <v>98.3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6.6960000000000006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75</v>
      </c>
      <c r="U9" s="3"/>
      <c r="Y9" s="1"/>
    </row>
    <row r="10" spans="1:25" ht="27" customHeight="1" x14ac:dyDescent="0.25">
      <c r="A10" s="69">
        <v>39753</v>
      </c>
      <c r="B10" s="70">
        <v>4</v>
      </c>
      <c r="C10" s="71">
        <v>39759</v>
      </c>
      <c r="D10" s="72">
        <v>0</v>
      </c>
      <c r="E10" s="73">
        <v>1.3</v>
      </c>
      <c r="F10" s="73">
        <v>45.5</v>
      </c>
      <c r="G10" s="73">
        <v>78.2</v>
      </c>
      <c r="H10" s="73">
        <v>98.5</v>
      </c>
      <c r="I10" s="73">
        <v>99.5</v>
      </c>
      <c r="J10" s="74">
        <v>100</v>
      </c>
      <c r="K10" s="112">
        <f t="shared" si="1"/>
        <v>19</v>
      </c>
      <c r="L10" s="76">
        <f t="shared" ref="L10:L35" si="2">IF(B10="","",(E10+G10+I10+500)/100)</f>
        <v>6.79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7" t="s">
        <v>24</v>
      </c>
      <c r="S10" s="79" t="s">
        <v>69</v>
      </c>
      <c r="T10" s="80" t="s">
        <v>75</v>
      </c>
      <c r="U10" s="3"/>
      <c r="Y10" s="1"/>
    </row>
    <row r="11" spans="1:25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0.5</v>
      </c>
      <c r="F11" s="73">
        <v>47.4</v>
      </c>
      <c r="G11" s="73">
        <v>73.5</v>
      </c>
      <c r="H11" s="73">
        <v>96.5</v>
      </c>
      <c r="I11" s="73">
        <v>97.9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6.7189999999999994</v>
      </c>
      <c r="M11" s="77">
        <v>0.9</v>
      </c>
      <c r="N11" s="77" t="s">
        <v>24</v>
      </c>
      <c r="O11" s="78">
        <v>2.7</v>
      </c>
      <c r="P11" s="78">
        <v>1.3</v>
      </c>
      <c r="Q11" s="77">
        <v>0.4</v>
      </c>
      <c r="R11" s="113" t="s">
        <v>24</v>
      </c>
      <c r="S11" s="79" t="s">
        <v>69</v>
      </c>
      <c r="T11" s="80" t="s">
        <v>75</v>
      </c>
      <c r="U11" s="3"/>
      <c r="Y11" s="1"/>
    </row>
    <row r="12" spans="1:25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0.3</v>
      </c>
      <c r="F12" s="73">
        <v>39.6</v>
      </c>
      <c r="G12" s="73">
        <v>64</v>
      </c>
      <c r="H12" s="73">
        <v>96.8</v>
      </c>
      <c r="I12" s="73">
        <v>98.9</v>
      </c>
      <c r="J12" s="74">
        <v>100</v>
      </c>
      <c r="K12" s="112">
        <f t="shared" si="1"/>
        <v>19</v>
      </c>
      <c r="L12" s="76">
        <f t="shared" si="2"/>
        <v>6.6320000000000006</v>
      </c>
      <c r="M12" s="77" t="s">
        <v>24</v>
      </c>
      <c r="N12" s="77" t="s">
        <v>24</v>
      </c>
      <c r="O12" s="78" t="s">
        <v>24</v>
      </c>
      <c r="P12" s="78" t="s">
        <v>24</v>
      </c>
      <c r="Q12" s="77" t="s">
        <v>24</v>
      </c>
      <c r="R12" s="113" t="s">
        <v>24</v>
      </c>
      <c r="S12" s="79" t="s">
        <v>69</v>
      </c>
      <c r="T12" s="80" t="s">
        <v>75</v>
      </c>
      <c r="U12" s="3"/>
      <c r="Y12" s="1"/>
    </row>
    <row r="13" spans="1:25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1</v>
      </c>
      <c r="F13" s="73">
        <v>51</v>
      </c>
      <c r="G13" s="73">
        <v>78</v>
      </c>
      <c r="H13" s="73">
        <v>98.5</v>
      </c>
      <c r="I13" s="73">
        <v>99.5</v>
      </c>
      <c r="J13" s="74">
        <v>100</v>
      </c>
      <c r="K13" s="112">
        <f t="shared" si="1"/>
        <v>19</v>
      </c>
      <c r="L13" s="76">
        <f t="shared" si="2"/>
        <v>6.7850000000000001</v>
      </c>
      <c r="M13" s="77" t="s">
        <v>24</v>
      </c>
      <c r="N13" s="77" t="s">
        <v>24</v>
      </c>
      <c r="O13" s="78" t="s">
        <v>24</v>
      </c>
      <c r="P13" s="78" t="s">
        <v>24</v>
      </c>
      <c r="Q13" s="77" t="s">
        <v>24</v>
      </c>
      <c r="R13" s="113" t="s">
        <v>24</v>
      </c>
      <c r="S13" s="79" t="s">
        <v>69</v>
      </c>
      <c r="T13" s="80" t="s">
        <v>75</v>
      </c>
      <c r="U13" s="3"/>
      <c r="Y13" s="1"/>
    </row>
    <row r="14" spans="1:25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0.4</v>
      </c>
      <c r="F14" s="73">
        <v>40.200000000000003</v>
      </c>
      <c r="G14" s="73">
        <v>68.599999999999994</v>
      </c>
      <c r="H14" s="73">
        <v>95.1</v>
      </c>
      <c r="I14" s="73">
        <v>97.9</v>
      </c>
      <c r="J14" s="74">
        <v>100</v>
      </c>
      <c r="K14" s="112">
        <f t="shared" si="1"/>
        <v>19</v>
      </c>
      <c r="L14" s="76">
        <f t="shared" si="2"/>
        <v>6.6689999999999996</v>
      </c>
      <c r="M14" s="77" t="s">
        <v>24</v>
      </c>
      <c r="N14" s="77" t="s">
        <v>24</v>
      </c>
      <c r="O14" s="77" t="s">
        <v>24</v>
      </c>
      <c r="P14" s="77" t="s">
        <v>24</v>
      </c>
      <c r="Q14" s="77" t="s">
        <v>24</v>
      </c>
      <c r="R14" s="77" t="s">
        <v>24</v>
      </c>
      <c r="S14" s="79" t="s">
        <v>69</v>
      </c>
      <c r="T14" s="80" t="s">
        <v>75</v>
      </c>
      <c r="U14" s="3"/>
      <c r="Y14" s="1"/>
    </row>
    <row r="15" spans="1:25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0.2</v>
      </c>
      <c r="F15" s="73">
        <v>46.6</v>
      </c>
      <c r="G15" s="73">
        <v>73.599999999999994</v>
      </c>
      <c r="H15" s="73">
        <v>96.9</v>
      </c>
      <c r="I15" s="73">
        <v>98.3</v>
      </c>
      <c r="J15" s="74">
        <v>100</v>
      </c>
      <c r="K15" s="112">
        <f t="shared" si="1"/>
        <v>19</v>
      </c>
      <c r="L15" s="76">
        <f t="shared" si="2"/>
        <v>6.7210000000000001</v>
      </c>
      <c r="M15" s="77" t="s">
        <v>24</v>
      </c>
      <c r="N15" s="77" t="s">
        <v>24</v>
      </c>
      <c r="O15" s="77" t="s">
        <v>24</v>
      </c>
      <c r="P15" s="77" t="s">
        <v>24</v>
      </c>
      <c r="Q15" s="77" t="s">
        <v>24</v>
      </c>
      <c r="R15" s="77" t="s">
        <v>24</v>
      </c>
      <c r="S15" s="79" t="s">
        <v>69</v>
      </c>
      <c r="T15" s="80" t="s">
        <v>75</v>
      </c>
      <c r="U15" s="3"/>
      <c r="Y15" s="1"/>
    </row>
    <row r="16" spans="1:25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0.6</v>
      </c>
      <c r="F16" s="73">
        <v>58.1</v>
      </c>
      <c r="G16" s="73">
        <v>86.8</v>
      </c>
      <c r="H16" s="73">
        <v>98.6</v>
      </c>
      <c r="I16" s="73">
        <v>99.1</v>
      </c>
      <c r="J16" s="74">
        <v>100</v>
      </c>
      <c r="K16" s="112">
        <f t="shared" si="1"/>
        <v>19</v>
      </c>
      <c r="L16" s="76">
        <f t="shared" si="2"/>
        <v>6.8650000000000002</v>
      </c>
      <c r="M16" s="77">
        <v>0.3</v>
      </c>
      <c r="N16" s="77" t="s">
        <v>24</v>
      </c>
      <c r="O16" s="78">
        <v>2.65</v>
      </c>
      <c r="P16" s="78">
        <v>1.34</v>
      </c>
      <c r="Q16" s="77">
        <v>0.5</v>
      </c>
      <c r="R16" s="113">
        <v>2.1</v>
      </c>
      <c r="S16" s="79" t="s">
        <v>69</v>
      </c>
      <c r="T16" s="80" t="s">
        <v>75</v>
      </c>
      <c r="U16" s="3"/>
      <c r="Y16" s="1"/>
    </row>
    <row r="17" spans="1:25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0.5</v>
      </c>
      <c r="F17" s="73">
        <v>47.3</v>
      </c>
      <c r="G17" s="73">
        <v>78.099999999999994</v>
      </c>
      <c r="H17" s="73">
        <v>97.1</v>
      </c>
      <c r="I17" s="73">
        <v>98.4</v>
      </c>
      <c r="J17" s="74">
        <v>100</v>
      </c>
      <c r="K17" s="112">
        <f t="shared" si="1"/>
        <v>19</v>
      </c>
      <c r="L17" s="76">
        <f t="shared" si="2"/>
        <v>6.77</v>
      </c>
      <c r="M17" s="77" t="s">
        <v>24</v>
      </c>
      <c r="N17" s="77" t="s">
        <v>24</v>
      </c>
      <c r="O17" s="77" t="s">
        <v>24</v>
      </c>
      <c r="P17" s="77" t="s">
        <v>24</v>
      </c>
      <c r="Q17" s="77" t="s">
        <v>24</v>
      </c>
      <c r="R17" s="77" t="s">
        <v>24</v>
      </c>
      <c r="S17" s="79" t="s">
        <v>69</v>
      </c>
      <c r="T17" s="80" t="s">
        <v>75</v>
      </c>
      <c r="U17" s="3"/>
      <c r="Y17" s="1"/>
    </row>
    <row r="18" spans="1:25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1.4</v>
      </c>
      <c r="F18" s="73">
        <v>44.5</v>
      </c>
      <c r="G18" s="73">
        <v>74.2</v>
      </c>
      <c r="H18" s="73">
        <v>93.4</v>
      </c>
      <c r="I18" s="73">
        <v>96.4</v>
      </c>
      <c r="J18" s="74">
        <v>100</v>
      </c>
      <c r="K18" s="112">
        <f t="shared" si="1"/>
        <v>19</v>
      </c>
      <c r="L18" s="76">
        <f t="shared" si="2"/>
        <v>6.72</v>
      </c>
      <c r="M18" s="77" t="s">
        <v>24</v>
      </c>
      <c r="N18" s="77" t="s">
        <v>24</v>
      </c>
      <c r="O18" s="77" t="s">
        <v>24</v>
      </c>
      <c r="P18" s="77" t="s">
        <v>24</v>
      </c>
      <c r="Q18" s="77" t="s">
        <v>24</v>
      </c>
      <c r="R18" s="77" t="s">
        <v>24</v>
      </c>
      <c r="S18" s="79" t="s">
        <v>69</v>
      </c>
      <c r="T18" s="80" t="s">
        <v>75</v>
      </c>
      <c r="U18" s="3"/>
      <c r="Y18" s="1"/>
    </row>
    <row r="19" spans="1:25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0.8</v>
      </c>
      <c r="F19" s="73">
        <v>51.8</v>
      </c>
      <c r="G19" s="73">
        <v>74</v>
      </c>
      <c r="H19" s="73">
        <v>95.1</v>
      </c>
      <c r="I19" s="73">
        <v>97.4</v>
      </c>
      <c r="J19" s="74">
        <v>100</v>
      </c>
      <c r="K19" s="112">
        <f t="shared" si="1"/>
        <v>19</v>
      </c>
      <c r="L19" s="76">
        <f t="shared" si="2"/>
        <v>6.7220000000000004</v>
      </c>
      <c r="M19" s="77">
        <v>0.6</v>
      </c>
      <c r="N19" s="77" t="s">
        <v>24</v>
      </c>
      <c r="O19" s="78">
        <v>2.64</v>
      </c>
      <c r="P19" s="78">
        <v>1.34</v>
      </c>
      <c r="Q19" s="77">
        <v>0.5</v>
      </c>
      <c r="R19" s="113" t="s">
        <v>24</v>
      </c>
      <c r="S19" s="79" t="s">
        <v>82</v>
      </c>
      <c r="T19" s="80" t="s">
        <v>75</v>
      </c>
      <c r="U19" s="3"/>
      <c r="Y19" s="1"/>
    </row>
    <row r="20" spans="1:25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0.8</v>
      </c>
      <c r="F20" s="73">
        <v>48.7</v>
      </c>
      <c r="G20" s="73">
        <v>77.8</v>
      </c>
      <c r="H20" s="73">
        <v>95.1</v>
      </c>
      <c r="I20" s="73">
        <v>96.7</v>
      </c>
      <c r="J20" s="74">
        <v>100</v>
      </c>
      <c r="K20" s="112">
        <f t="shared" si="1"/>
        <v>19</v>
      </c>
      <c r="L20" s="76">
        <f t="shared" si="2"/>
        <v>6.7529999999999992</v>
      </c>
      <c r="M20" s="77" t="s">
        <v>24</v>
      </c>
      <c r="N20" s="77" t="s">
        <v>24</v>
      </c>
      <c r="O20" s="78" t="s">
        <v>24</v>
      </c>
      <c r="P20" s="78" t="s">
        <v>24</v>
      </c>
      <c r="Q20" s="77" t="s">
        <v>24</v>
      </c>
      <c r="R20" s="113" t="s">
        <v>24</v>
      </c>
      <c r="S20" s="79" t="s">
        <v>82</v>
      </c>
      <c r="T20" s="80" t="s">
        <v>75</v>
      </c>
      <c r="U20" s="3"/>
      <c r="Y20" s="1"/>
    </row>
    <row r="21" spans="1:25" ht="27" customHeight="1" x14ac:dyDescent="0.25">
      <c r="A21" s="69">
        <v>39814</v>
      </c>
      <c r="B21" s="70">
        <v>15</v>
      </c>
      <c r="C21" s="71">
        <v>39821</v>
      </c>
      <c r="D21" s="72">
        <v>0</v>
      </c>
      <c r="E21" s="73">
        <v>4.4000000000000004</v>
      </c>
      <c r="F21" s="73">
        <v>68.2</v>
      </c>
      <c r="G21" s="73">
        <v>93</v>
      </c>
      <c r="H21" s="73">
        <v>99.1</v>
      </c>
      <c r="I21" s="73">
        <v>99.2</v>
      </c>
      <c r="J21" s="74">
        <v>100</v>
      </c>
      <c r="K21" s="112">
        <f>IF(B21="","",IF(E21&gt;5,D$6,IF(F21&gt;5,E$6,IF(G21&gt;5,F$6,IF(H21&gt;5,G$6,$H$6)))))</f>
        <v>19</v>
      </c>
      <c r="L21" s="76">
        <f>IF(B21="","",(E21+G21+I21+500)/100)</f>
        <v>6.9660000000000002</v>
      </c>
      <c r="M21" s="77">
        <v>0.8</v>
      </c>
      <c r="N21" s="77" t="s">
        <v>24</v>
      </c>
      <c r="O21" s="78">
        <v>2.65</v>
      </c>
      <c r="P21" s="78">
        <v>1.39</v>
      </c>
      <c r="Q21" s="77">
        <v>0.4</v>
      </c>
      <c r="R21" s="113" t="s">
        <v>24</v>
      </c>
      <c r="S21" s="79" t="s">
        <v>69</v>
      </c>
      <c r="T21" s="80" t="s">
        <v>75</v>
      </c>
      <c r="U21" s="3"/>
      <c r="Y21" s="1"/>
    </row>
    <row r="22" spans="1:25" ht="27" customHeight="1" x14ac:dyDescent="0.25">
      <c r="A22" s="69">
        <v>39814</v>
      </c>
      <c r="B22" s="70">
        <v>16</v>
      </c>
      <c r="C22" s="71">
        <v>39828</v>
      </c>
      <c r="D22" s="72">
        <v>0</v>
      </c>
      <c r="E22" s="73">
        <v>1.1000000000000001</v>
      </c>
      <c r="F22" s="73">
        <v>51.3</v>
      </c>
      <c r="G22" s="73">
        <v>83.1</v>
      </c>
      <c r="H22" s="73">
        <v>97.8</v>
      </c>
      <c r="I22" s="73">
        <v>98.5</v>
      </c>
      <c r="J22" s="74">
        <v>100</v>
      </c>
      <c r="K22" s="112">
        <f t="shared" si="1"/>
        <v>19</v>
      </c>
      <c r="L22" s="76">
        <f t="shared" si="2"/>
        <v>6.8270000000000008</v>
      </c>
      <c r="M22" s="77" t="s">
        <v>24</v>
      </c>
      <c r="N22" s="77" t="s">
        <v>24</v>
      </c>
      <c r="O22" s="77" t="s">
        <v>24</v>
      </c>
      <c r="P22" s="77" t="s">
        <v>24</v>
      </c>
      <c r="Q22" s="77" t="s">
        <v>24</v>
      </c>
      <c r="R22" s="77" t="s">
        <v>24</v>
      </c>
      <c r="S22" s="79" t="s">
        <v>82</v>
      </c>
      <c r="T22" s="80" t="s">
        <v>75</v>
      </c>
      <c r="U22" s="3"/>
      <c r="Y22" s="1"/>
    </row>
    <row r="23" spans="1:25" ht="27" customHeight="1" x14ac:dyDescent="0.25">
      <c r="A23" s="69">
        <v>39814</v>
      </c>
      <c r="B23" s="70">
        <v>17</v>
      </c>
      <c r="C23" s="71">
        <v>39833</v>
      </c>
      <c r="D23" s="72">
        <v>0</v>
      </c>
      <c r="E23" s="73">
        <v>2.9</v>
      </c>
      <c r="F23" s="73">
        <v>65.099999999999994</v>
      </c>
      <c r="G23" s="73">
        <v>92.1</v>
      </c>
      <c r="H23" s="73">
        <v>99.1</v>
      </c>
      <c r="I23" s="73">
        <v>99.2</v>
      </c>
      <c r="J23" s="74">
        <v>100</v>
      </c>
      <c r="K23" s="112">
        <f t="shared" si="1"/>
        <v>19</v>
      </c>
      <c r="L23" s="76">
        <f t="shared" si="2"/>
        <v>6.9420000000000002</v>
      </c>
      <c r="M23" s="77" t="s">
        <v>24</v>
      </c>
      <c r="N23" s="77" t="s">
        <v>24</v>
      </c>
      <c r="O23" s="77" t="s">
        <v>24</v>
      </c>
      <c r="P23" s="77" t="s">
        <v>24</v>
      </c>
      <c r="Q23" s="77" t="s">
        <v>24</v>
      </c>
      <c r="R23" s="77" t="s">
        <v>24</v>
      </c>
      <c r="S23" s="79" t="s">
        <v>82</v>
      </c>
      <c r="T23" s="80" t="s">
        <v>75</v>
      </c>
      <c r="U23" s="3"/>
      <c r="Y23" s="1"/>
    </row>
    <row r="24" spans="1:25" ht="27" customHeight="1" x14ac:dyDescent="0.25">
      <c r="A24" s="69">
        <v>39814</v>
      </c>
      <c r="B24" s="70">
        <v>18</v>
      </c>
      <c r="C24" s="71">
        <v>39835</v>
      </c>
      <c r="D24" s="72">
        <v>0</v>
      </c>
      <c r="E24" s="73">
        <v>1.8</v>
      </c>
      <c r="F24" s="73">
        <v>66.099999999999994</v>
      </c>
      <c r="G24" s="73">
        <v>91.5</v>
      </c>
      <c r="H24" s="73">
        <v>99.5</v>
      </c>
      <c r="I24" s="73">
        <v>99.6</v>
      </c>
      <c r="J24" s="74">
        <v>100</v>
      </c>
      <c r="K24" s="112">
        <f t="shared" si="1"/>
        <v>19</v>
      </c>
      <c r="L24" s="76">
        <f t="shared" si="2"/>
        <v>6.9289999999999994</v>
      </c>
      <c r="M24" s="77" t="s">
        <v>24</v>
      </c>
      <c r="N24" s="77" t="s">
        <v>24</v>
      </c>
      <c r="O24" s="77" t="s">
        <v>24</v>
      </c>
      <c r="P24" s="77" t="s">
        <v>24</v>
      </c>
      <c r="Q24" s="77" t="s">
        <v>24</v>
      </c>
      <c r="R24" s="77" t="s">
        <v>24</v>
      </c>
      <c r="S24" s="79" t="s">
        <v>82</v>
      </c>
      <c r="T24" s="80" t="s">
        <v>75</v>
      </c>
      <c r="U24" s="3"/>
      <c r="Y24" s="1"/>
    </row>
    <row r="25" spans="1:25" ht="27" customHeight="1" x14ac:dyDescent="0.25">
      <c r="A25" s="484" t="s">
        <v>87</v>
      </c>
      <c r="B25" s="485"/>
      <c r="C25" s="485"/>
      <c r="D25" s="485"/>
      <c r="E25" s="485"/>
      <c r="F25" s="485"/>
      <c r="G25" s="485"/>
      <c r="H25" s="485"/>
      <c r="I25" s="485"/>
      <c r="J25" s="485"/>
      <c r="K25" s="485"/>
      <c r="L25" s="485"/>
      <c r="M25" s="485"/>
      <c r="N25" s="485"/>
      <c r="O25" s="485"/>
      <c r="P25" s="485"/>
      <c r="Q25" s="485"/>
      <c r="R25" s="485"/>
      <c r="S25" s="485"/>
      <c r="T25" s="486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52" t="s">
        <v>0</v>
      </c>
      <c r="B36" s="453"/>
      <c r="C36" s="454"/>
      <c r="D36" s="21">
        <f t="shared" ref="D36:J36" si="3">AVERAGE(D7:D35)</f>
        <v>0</v>
      </c>
      <c r="E36" s="22">
        <f t="shared" si="3"/>
        <v>1.3944444444444448</v>
      </c>
      <c r="F36" s="22">
        <f t="shared" si="3"/>
        <v>50.81666666666667</v>
      </c>
      <c r="G36" s="22">
        <f t="shared" si="3"/>
        <v>78.216666666666654</v>
      </c>
      <c r="H36" s="22">
        <f t="shared" si="3"/>
        <v>97.111111111111086</v>
      </c>
      <c r="I36" s="22">
        <f>AVERAGE(I7:I35)</f>
        <v>98.50555555555556</v>
      </c>
      <c r="J36" s="23">
        <f t="shared" si="3"/>
        <v>100</v>
      </c>
      <c r="K36" s="24" t="s">
        <v>24</v>
      </c>
      <c r="L36" s="25">
        <f t="shared" ref="L36:R36" si="4">AVERAGE(L7:L35)</f>
        <v>6.7811666666666657</v>
      </c>
      <c r="M36" s="25">
        <f t="shared" si="4"/>
        <v>0.58000000000000007</v>
      </c>
      <c r="N36" s="25" t="e">
        <f t="shared" si="4"/>
        <v>#DIV/0!</v>
      </c>
      <c r="O36" s="26">
        <f t="shared" si="4"/>
        <v>2.6660000000000004</v>
      </c>
      <c r="P36" s="26">
        <f t="shared" si="4"/>
        <v>1.3439999999999999</v>
      </c>
      <c r="Q36" s="25">
        <f t="shared" si="4"/>
        <v>0.42000000000000004</v>
      </c>
      <c r="R36" s="22">
        <f t="shared" si="4"/>
        <v>2.1</v>
      </c>
      <c r="S36" s="27"/>
      <c r="T36" s="28"/>
      <c r="U36" s="3"/>
      <c r="Y36" s="1"/>
    </row>
    <row r="37" spans="1:25" ht="27" customHeight="1" x14ac:dyDescent="0.25">
      <c r="A37" s="446" t="s">
        <v>26</v>
      </c>
      <c r="B37" s="447"/>
      <c r="C37" s="448"/>
      <c r="D37" s="29">
        <f>MAX(D7:D35)</f>
        <v>0</v>
      </c>
      <c r="E37" s="30">
        <f>MAX(E7:E35)</f>
        <v>4.7</v>
      </c>
      <c r="F37" s="30">
        <f>MAX(F7:F35)</f>
        <v>68.2</v>
      </c>
      <c r="G37" s="30">
        <f>MAX(G7:G35)</f>
        <v>93</v>
      </c>
      <c r="H37" s="30">
        <f t="shared" ref="H37:R37" si="5">MAX(H7:H35)</f>
        <v>99.5</v>
      </c>
      <c r="I37" s="30">
        <f t="shared" si="5"/>
        <v>99.6</v>
      </c>
      <c r="J37" s="31">
        <f t="shared" si="5"/>
        <v>100</v>
      </c>
      <c r="K37" s="109">
        <f>MAX(K7:K35)</f>
        <v>19</v>
      </c>
      <c r="L37" s="33">
        <f t="shared" si="5"/>
        <v>6.9660000000000002</v>
      </c>
      <c r="M37" s="33">
        <f t="shared" si="5"/>
        <v>0.9</v>
      </c>
      <c r="N37" s="33">
        <f t="shared" si="5"/>
        <v>0</v>
      </c>
      <c r="O37" s="34">
        <f t="shared" si="5"/>
        <v>2.7</v>
      </c>
      <c r="P37" s="34">
        <f>MAX(P7:P35)</f>
        <v>1.39</v>
      </c>
      <c r="Q37" s="33">
        <f t="shared" si="5"/>
        <v>0.5</v>
      </c>
      <c r="R37" s="30">
        <f t="shared" si="5"/>
        <v>2.1</v>
      </c>
      <c r="S37" s="35"/>
      <c r="T37" s="36"/>
    </row>
    <row r="38" spans="1:25" ht="27" customHeight="1" x14ac:dyDescent="0.25">
      <c r="A38" s="446" t="s">
        <v>25</v>
      </c>
      <c r="B38" s="447"/>
      <c r="C38" s="448"/>
      <c r="D38" s="29">
        <f t="shared" ref="D38:J38" si="6">MIN(D7:D35)</f>
        <v>0</v>
      </c>
      <c r="E38" s="30">
        <f t="shared" si="6"/>
        <v>0.2</v>
      </c>
      <c r="F38" s="30">
        <f t="shared" si="6"/>
        <v>39.6</v>
      </c>
      <c r="G38" s="30">
        <f t="shared" si="6"/>
        <v>64</v>
      </c>
      <c r="H38" s="30">
        <f t="shared" si="6"/>
        <v>93.4</v>
      </c>
      <c r="I38" s="30">
        <f t="shared" si="6"/>
        <v>96.4</v>
      </c>
      <c r="J38" s="31">
        <f t="shared" si="6"/>
        <v>100</v>
      </c>
      <c r="K38" s="37" t="s">
        <v>24</v>
      </c>
      <c r="L38" s="33">
        <f t="shared" ref="L38:R38" si="7">MIN(L7:L35)</f>
        <v>6.6320000000000006</v>
      </c>
      <c r="M38" s="33">
        <f t="shared" si="7"/>
        <v>0.3</v>
      </c>
      <c r="N38" s="33">
        <f t="shared" si="7"/>
        <v>0</v>
      </c>
      <c r="O38" s="34">
        <f t="shared" si="7"/>
        <v>2.64</v>
      </c>
      <c r="P38" s="34">
        <f t="shared" si="7"/>
        <v>1.3</v>
      </c>
      <c r="Q38" s="33">
        <f t="shared" si="7"/>
        <v>0.3</v>
      </c>
      <c r="R38" s="30">
        <f t="shared" si="7"/>
        <v>2.1</v>
      </c>
      <c r="S38" s="35"/>
      <c r="T38" s="36"/>
    </row>
    <row r="39" spans="1:25" ht="27" customHeight="1" thickBot="1" x14ac:dyDescent="0.3">
      <c r="A39" s="449" t="s">
        <v>1</v>
      </c>
      <c r="B39" s="450"/>
      <c r="C39" s="451"/>
      <c r="D39" s="38">
        <f t="shared" ref="D39:J39" si="8">STDEV(D7:D35)</f>
        <v>0</v>
      </c>
      <c r="E39" s="39">
        <f t="shared" si="8"/>
        <v>1.3193011618108865</v>
      </c>
      <c r="F39" s="39">
        <f t="shared" si="8"/>
        <v>8.564856373920259</v>
      </c>
      <c r="G39" s="39">
        <f t="shared" si="8"/>
        <v>8.2678149898194597</v>
      </c>
      <c r="H39" s="39">
        <f t="shared" si="8"/>
        <v>1.7303141125542993</v>
      </c>
      <c r="I39" s="39">
        <f t="shared" si="8"/>
        <v>0.94649335613231345</v>
      </c>
      <c r="J39" s="40">
        <f t="shared" si="8"/>
        <v>0</v>
      </c>
      <c r="K39" s="41" t="s">
        <v>24</v>
      </c>
      <c r="L39" s="42">
        <f t="shared" ref="L39:R39" si="9">STDEV(L7:L35)</f>
        <v>9.3923780112324232E-2</v>
      </c>
      <c r="M39" s="42">
        <f t="shared" si="9"/>
        <v>0.27748873851023209</v>
      </c>
      <c r="N39" s="42" t="e">
        <f t="shared" si="9"/>
        <v>#DIV/0!</v>
      </c>
      <c r="O39" s="43">
        <f t="shared" si="9"/>
        <v>2.7018512172212631E-2</v>
      </c>
      <c r="P39" s="43">
        <f t="shared" si="9"/>
        <v>3.2093613071762374E-2</v>
      </c>
      <c r="Q39" s="42">
        <f t="shared" si="9"/>
        <v>8.3666002653407595E-2</v>
      </c>
      <c r="R39" s="39" t="e">
        <f t="shared" si="9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59"/>
      <c r="K41" s="462" t="s">
        <v>34</v>
      </c>
      <c r="L41" s="345"/>
      <c r="M41" s="345"/>
      <c r="N41" s="345"/>
      <c r="O41" s="345"/>
      <c r="P41" s="345"/>
      <c r="Q41" s="345"/>
      <c r="R41" s="463"/>
      <c r="S41" s="5"/>
      <c r="T41" s="5"/>
    </row>
    <row r="42" spans="1:25" ht="40.5" customHeight="1" x14ac:dyDescent="0.25">
      <c r="A42" s="441" t="s">
        <v>63</v>
      </c>
      <c r="B42" s="442"/>
      <c r="C42" s="442"/>
      <c r="D42" s="48">
        <f>100-D44</f>
        <v>100</v>
      </c>
      <c r="E42" s="48">
        <f>100-E44</f>
        <v>98</v>
      </c>
      <c r="F42" s="48">
        <f t="shared" ref="F42:I43" si="10">100-F44</f>
        <v>60</v>
      </c>
      <c r="G42" s="48">
        <f t="shared" si="10"/>
        <v>20</v>
      </c>
      <c r="H42" s="48">
        <f t="shared" si="10"/>
        <v>8</v>
      </c>
      <c r="I42" s="48">
        <f t="shared" si="10"/>
        <v>5</v>
      </c>
      <c r="J42" s="50" t="s">
        <v>24</v>
      </c>
      <c r="K42" s="455" t="s">
        <v>51</v>
      </c>
      <c r="L42" s="359"/>
      <c r="M42" s="359" t="s">
        <v>55</v>
      </c>
      <c r="N42" s="359" t="s">
        <v>57</v>
      </c>
      <c r="O42" s="359" t="s">
        <v>52</v>
      </c>
      <c r="P42" s="359"/>
      <c r="Q42" s="359"/>
      <c r="R42" s="365" t="s">
        <v>60</v>
      </c>
      <c r="S42" s="5"/>
      <c r="T42" s="5"/>
    </row>
    <row r="43" spans="1:25" ht="40.5" customHeight="1" x14ac:dyDescent="0.25">
      <c r="A43" s="437"/>
      <c r="B43" s="438"/>
      <c r="C43" s="438"/>
      <c r="D43" s="51">
        <f>100-D45</f>
        <v>95</v>
      </c>
      <c r="E43" s="51">
        <f>100-E45</f>
        <v>85</v>
      </c>
      <c r="F43" s="51">
        <f t="shared" si="10"/>
        <v>35</v>
      </c>
      <c r="G43" s="51">
        <f t="shared" si="10"/>
        <v>0</v>
      </c>
      <c r="H43" s="51">
        <f t="shared" si="10"/>
        <v>0</v>
      </c>
      <c r="I43" s="51">
        <f t="shared" si="10"/>
        <v>0</v>
      </c>
      <c r="J43" s="53" t="s">
        <v>24</v>
      </c>
      <c r="K43" s="357"/>
      <c r="L43" s="360"/>
      <c r="M43" s="360"/>
      <c r="N43" s="360"/>
      <c r="O43" s="360"/>
      <c r="P43" s="360"/>
      <c r="Q43" s="360"/>
      <c r="R43" s="366"/>
      <c r="S43" s="5"/>
      <c r="T43" s="5"/>
    </row>
    <row r="44" spans="1:25" ht="40.5" customHeight="1" x14ac:dyDescent="0.25">
      <c r="A44" s="460" t="s">
        <v>64</v>
      </c>
      <c r="B44" s="461"/>
      <c r="C44" s="461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357"/>
      <c r="L44" s="360"/>
      <c r="M44" s="360"/>
      <c r="N44" s="360"/>
      <c r="O44" s="360"/>
      <c r="P44" s="360"/>
      <c r="Q44" s="360"/>
      <c r="R44" s="366"/>
      <c r="S44" s="5"/>
      <c r="T44" s="5"/>
    </row>
    <row r="45" spans="1:25" ht="40.5" customHeight="1" thickBot="1" x14ac:dyDescent="0.3">
      <c r="A45" s="456"/>
      <c r="B45" s="457"/>
      <c r="C45" s="457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358"/>
      <c r="L45" s="361"/>
      <c r="M45" s="361"/>
      <c r="N45" s="361"/>
      <c r="O45" s="361"/>
      <c r="P45" s="361"/>
      <c r="Q45" s="361"/>
      <c r="R45" s="367"/>
      <c r="S45" s="5"/>
      <c r="T45" s="5"/>
    </row>
    <row r="46" spans="1:25" ht="32.25" customHeight="1" x14ac:dyDescent="0.25">
      <c r="A46" s="488" t="s">
        <v>58</v>
      </c>
      <c r="B46" s="488"/>
      <c r="C46" s="488"/>
      <c r="D46" s="488"/>
      <c r="E46" s="488"/>
      <c r="F46" s="488"/>
      <c r="G46" s="488"/>
      <c r="H46" s="488"/>
      <c r="I46" s="488"/>
      <c r="J46" s="488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492" t="s">
        <v>42</v>
      </c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3"/>
      <c r="R48" s="494"/>
      <c r="S48" s="5"/>
      <c r="T48" s="5"/>
    </row>
    <row r="49" spans="1:20" ht="18.75" customHeight="1" thickBot="1" x14ac:dyDescent="0.3">
      <c r="A49" s="5"/>
      <c r="B49" s="5"/>
      <c r="C49" s="5"/>
      <c r="D49" s="5"/>
      <c r="E49" s="495" t="s">
        <v>43</v>
      </c>
      <c r="F49" s="496"/>
      <c r="G49" s="496"/>
      <c r="H49" s="496"/>
      <c r="I49" s="496"/>
      <c r="J49" s="496"/>
      <c r="K49" s="496"/>
      <c r="L49" s="496"/>
      <c r="M49" s="110" t="s">
        <v>44</v>
      </c>
      <c r="N49" s="110" t="s">
        <v>45</v>
      </c>
      <c r="O49" s="497" t="s">
        <v>56</v>
      </c>
      <c r="P49" s="497"/>
      <c r="Q49" s="497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8">
    <mergeCell ref="E49:L49"/>
    <mergeCell ref="O49:Q49"/>
    <mergeCell ref="K41:R41"/>
    <mergeCell ref="A42:C43"/>
    <mergeCell ref="K42:K45"/>
    <mergeCell ref="L42:L45"/>
    <mergeCell ref="M42:M45"/>
    <mergeCell ref="N42:N45"/>
    <mergeCell ref="O42:O45"/>
    <mergeCell ref="P42:P45"/>
    <mergeCell ref="Q42:Q45"/>
    <mergeCell ref="R42:R45"/>
    <mergeCell ref="A25:T25"/>
    <mergeCell ref="A44:C45"/>
    <mergeCell ref="T4:T6"/>
    <mergeCell ref="A46:J46"/>
    <mergeCell ref="E48:R48"/>
    <mergeCell ref="A41:J41"/>
    <mergeCell ref="A36:C36"/>
    <mergeCell ref="A37:C37"/>
    <mergeCell ref="A38:C38"/>
    <mergeCell ref="A39:C39"/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J5:J6"/>
  </mergeCells>
  <conditionalFormatting sqref="K7:L24">
    <cfRule type="cellIs" dxfId="3" priority="1" operator="equal">
      <formula>""</formula>
    </cfRule>
  </conditionalFormatting>
  <conditionalFormatting sqref="K26:L35">
    <cfRule type="cellIs" dxfId="2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4.1796875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66" t="s">
        <v>90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</row>
    <row r="2" spans="1:24" ht="22.5" customHeight="1" x14ac:dyDescent="0.25">
      <c r="A2" s="467" t="s">
        <v>80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5"/>
      <c r="J4" s="478" t="s">
        <v>29</v>
      </c>
      <c r="K4" s="469" t="s">
        <v>5</v>
      </c>
      <c r="L4" s="443" t="s">
        <v>21</v>
      </c>
      <c r="M4" s="443" t="s">
        <v>30</v>
      </c>
      <c r="N4" s="443" t="s">
        <v>66</v>
      </c>
      <c r="O4" s="443" t="s">
        <v>31</v>
      </c>
      <c r="P4" s="443" t="s">
        <v>28</v>
      </c>
      <c r="Q4" s="443" t="s">
        <v>59</v>
      </c>
      <c r="R4" s="469" t="s">
        <v>20</v>
      </c>
      <c r="S4" s="468" t="s">
        <v>6</v>
      </c>
    </row>
    <row r="5" spans="1:24" ht="16.5" customHeight="1" x14ac:dyDescent="0.25">
      <c r="A5" s="476"/>
      <c r="B5" s="473"/>
      <c r="C5" s="482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1" t="s">
        <v>15</v>
      </c>
      <c r="J5" s="479"/>
      <c r="K5" s="470"/>
      <c r="L5" s="444"/>
      <c r="M5" s="444"/>
      <c r="N5" s="444"/>
      <c r="O5" s="444"/>
      <c r="P5" s="444"/>
      <c r="Q5" s="444"/>
      <c r="R5" s="470"/>
      <c r="S5" s="431"/>
    </row>
    <row r="6" spans="1:24" ht="16.5" customHeight="1" thickBot="1" x14ac:dyDescent="0.3">
      <c r="A6" s="477"/>
      <c r="B6" s="474"/>
      <c r="C6" s="483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32"/>
      <c r="J6" s="480"/>
      <c r="K6" s="471"/>
      <c r="L6" s="445"/>
      <c r="M6" s="445"/>
      <c r="N6" s="445"/>
      <c r="O6" s="445"/>
      <c r="P6" s="445"/>
      <c r="Q6" s="445"/>
      <c r="R6" s="471"/>
      <c r="S6" s="432"/>
    </row>
    <row r="7" spans="1:24" ht="27" customHeight="1" thickTop="1" x14ac:dyDescent="0.25">
      <c r="A7" s="69">
        <v>39661</v>
      </c>
      <c r="B7" s="70">
        <v>1</v>
      </c>
      <c r="C7" s="71">
        <v>39688</v>
      </c>
      <c r="D7" s="72">
        <v>0</v>
      </c>
      <c r="E7" s="73">
        <v>20.3</v>
      </c>
      <c r="F7" s="73">
        <v>69.099999999999994</v>
      </c>
      <c r="G7" s="73">
        <v>99</v>
      </c>
      <c r="H7" s="73">
        <v>99.4</v>
      </c>
      <c r="I7" s="74">
        <v>100</v>
      </c>
      <c r="J7" s="112">
        <f>IF(B7="","",IF(E7&gt;5,D$6,IF(F7&gt;5,E$6,IF(#REF!&gt;5,F$6,IF(G7&gt;5,#REF!,$G$6)))))</f>
        <v>31.5</v>
      </c>
      <c r="K7" s="76">
        <f t="shared" ref="K7" si="0">IF(B7="","",(E7+H7+700)/100)</f>
        <v>8.197000000000001</v>
      </c>
      <c r="L7" s="77">
        <v>0.2</v>
      </c>
      <c r="M7" s="77" t="s">
        <v>24</v>
      </c>
      <c r="N7" s="78">
        <v>2.73</v>
      </c>
      <c r="O7" s="78">
        <v>1.33</v>
      </c>
      <c r="P7" s="77">
        <v>0.3</v>
      </c>
      <c r="Q7" s="113" t="s">
        <v>24</v>
      </c>
      <c r="R7" s="79" t="s">
        <v>69</v>
      </c>
      <c r="S7" s="80" t="s">
        <v>75</v>
      </c>
      <c r="T7" s="3"/>
      <c r="X7" s="1"/>
    </row>
    <row r="8" spans="1:24" ht="27" customHeight="1" x14ac:dyDescent="0.25">
      <c r="A8" s="484" t="s">
        <v>95</v>
      </c>
      <c r="B8" s="485"/>
      <c r="C8" s="485"/>
      <c r="D8" s="485"/>
      <c r="E8" s="485"/>
      <c r="F8" s="485"/>
      <c r="G8" s="485"/>
      <c r="H8" s="485"/>
      <c r="I8" s="485"/>
      <c r="J8" s="485"/>
      <c r="K8" s="485"/>
      <c r="L8" s="485"/>
      <c r="M8" s="485"/>
      <c r="N8" s="485"/>
      <c r="O8" s="485"/>
      <c r="P8" s="485"/>
      <c r="Q8" s="485"/>
      <c r="R8" s="485"/>
      <c r="S8" s="486"/>
      <c r="T8" s="3"/>
      <c r="X8" s="1"/>
    </row>
    <row r="9" spans="1:24" ht="27" customHeight="1" x14ac:dyDescent="0.25">
      <c r="A9" s="69"/>
      <c r="B9" s="70"/>
      <c r="C9" s="71"/>
      <c r="D9" s="72"/>
      <c r="E9" s="73"/>
      <c r="F9" s="73"/>
      <c r="G9" s="73"/>
      <c r="H9" s="73"/>
      <c r="I9" s="74"/>
      <c r="J9" s="116" t="str">
        <f>IF(B9="","",IF(E9&gt;5,D$6,IF(F9&gt;5,E$6,IF(#REF!&gt;5,F$6,IF(G9&gt;5,#REF!,$G$6)))))</f>
        <v/>
      </c>
      <c r="K9" s="117" t="str">
        <f>IF(B9="","",(E9+H9+700)/100)</f>
        <v/>
      </c>
      <c r="L9" s="77"/>
      <c r="M9" s="77"/>
      <c r="N9" s="78"/>
      <c r="O9" s="78"/>
      <c r="P9" s="77"/>
      <c r="Q9" s="113"/>
      <c r="R9" s="79"/>
      <c r="S9" s="80"/>
      <c r="T9" s="3"/>
      <c r="X9" s="1"/>
    </row>
    <row r="10" spans="1:24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4"/>
      <c r="J10" s="116" t="str">
        <f>IF(B10="","",IF(E10&gt;5,D$6,IF(F10&gt;5,E$6,IF(#REF!&gt;5,F$6,IF(G10&gt;5,#REF!,$G$6)))))</f>
        <v/>
      </c>
      <c r="K10" s="117" t="str">
        <f t="shared" ref="K10:K35" si="1">IF(B10="","",(E10+H10+700)/100)</f>
        <v/>
      </c>
      <c r="L10" s="77"/>
      <c r="M10" s="77"/>
      <c r="N10" s="78"/>
      <c r="O10" s="78"/>
      <c r="P10" s="77"/>
      <c r="Q10" s="113"/>
      <c r="R10" s="79"/>
      <c r="S10" s="80"/>
      <c r="T10" s="3"/>
      <c r="X10" s="1"/>
    </row>
    <row r="11" spans="1:24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4"/>
      <c r="J11" s="116" t="str">
        <f>IF(B11="","",IF(E11&gt;5,D$6,IF(F11&gt;5,E$6,IF(#REF!&gt;5,F$6,IF(G11&gt;5,#REF!,$G$6)))))</f>
        <v/>
      </c>
      <c r="K11" s="117" t="str">
        <f>IF(B11="","",(E11+H11+700)/100)</f>
        <v/>
      </c>
      <c r="L11" s="77"/>
      <c r="M11" s="77"/>
      <c r="N11" s="78"/>
      <c r="O11" s="78"/>
      <c r="P11" s="77"/>
      <c r="Q11" s="113"/>
      <c r="R11" s="79"/>
      <c r="S11" s="80"/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117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117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117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117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117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117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117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117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117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117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117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117"/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117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117" t="str">
        <f>IF(B25="","",(E25+H25+700)/100)</f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117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117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117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117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117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117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117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117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6.25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117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si="1"/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52" t="s">
        <v>0</v>
      </c>
      <c r="B36" s="453"/>
      <c r="C36" s="454"/>
      <c r="D36" s="21">
        <f t="shared" ref="D36:I36" si="2">AVERAGE(D7:D35)</f>
        <v>0</v>
      </c>
      <c r="E36" s="22">
        <f t="shared" si="2"/>
        <v>20.3</v>
      </c>
      <c r="F36" s="22">
        <f t="shared" si="2"/>
        <v>69.099999999999994</v>
      </c>
      <c r="G36" s="22">
        <f t="shared" si="2"/>
        <v>99</v>
      </c>
      <c r="H36" s="22">
        <f t="shared" si="2"/>
        <v>99.4</v>
      </c>
      <c r="I36" s="23">
        <f t="shared" si="2"/>
        <v>100</v>
      </c>
      <c r="J36" s="115" t="s">
        <v>24</v>
      </c>
      <c r="K36" s="25">
        <f t="shared" ref="K36:Q36" si="3">AVERAGE(K7:K35)</f>
        <v>8.197000000000001</v>
      </c>
      <c r="L36" s="25">
        <f t="shared" si="3"/>
        <v>0.2</v>
      </c>
      <c r="M36" s="25" t="e">
        <f t="shared" si="3"/>
        <v>#DIV/0!</v>
      </c>
      <c r="N36" s="26">
        <f t="shared" si="3"/>
        <v>2.73</v>
      </c>
      <c r="O36" s="26">
        <f t="shared" si="3"/>
        <v>1.33</v>
      </c>
      <c r="P36" s="25">
        <f t="shared" si="3"/>
        <v>0.3</v>
      </c>
      <c r="Q36" s="22" t="e">
        <f t="shared" si="3"/>
        <v>#DIV/0!</v>
      </c>
      <c r="R36" s="27"/>
      <c r="S36" s="28"/>
      <c r="T36" s="3"/>
      <c r="X36" s="1"/>
    </row>
    <row r="37" spans="1:24" ht="27" customHeight="1" x14ac:dyDescent="0.25">
      <c r="A37" s="446" t="s">
        <v>26</v>
      </c>
      <c r="B37" s="447"/>
      <c r="C37" s="448"/>
      <c r="D37" s="29">
        <f t="shared" ref="D37:Q37" si="4">MAX(D7:D35)</f>
        <v>0</v>
      </c>
      <c r="E37" s="30">
        <f t="shared" si="4"/>
        <v>20.3</v>
      </c>
      <c r="F37" s="30">
        <f t="shared" si="4"/>
        <v>69.099999999999994</v>
      </c>
      <c r="G37" s="30">
        <f t="shared" si="4"/>
        <v>99</v>
      </c>
      <c r="H37" s="30">
        <f t="shared" si="4"/>
        <v>99.4</v>
      </c>
      <c r="I37" s="31">
        <f t="shared" si="4"/>
        <v>100</v>
      </c>
      <c r="J37" s="109">
        <f t="shared" si="4"/>
        <v>31.5</v>
      </c>
      <c r="K37" s="33">
        <f t="shared" si="4"/>
        <v>8.197000000000001</v>
      </c>
      <c r="L37" s="33">
        <f t="shared" si="4"/>
        <v>0.2</v>
      </c>
      <c r="M37" s="33">
        <f t="shared" si="4"/>
        <v>0</v>
      </c>
      <c r="N37" s="34">
        <f t="shared" si="4"/>
        <v>2.73</v>
      </c>
      <c r="O37" s="34">
        <f t="shared" si="4"/>
        <v>1.33</v>
      </c>
      <c r="P37" s="33">
        <f t="shared" si="4"/>
        <v>0.3</v>
      </c>
      <c r="Q37" s="30">
        <f t="shared" si="4"/>
        <v>0</v>
      </c>
      <c r="R37" s="35"/>
      <c r="S37" s="36"/>
    </row>
    <row r="38" spans="1:24" ht="27" customHeight="1" x14ac:dyDescent="0.25">
      <c r="A38" s="446" t="s">
        <v>25</v>
      </c>
      <c r="B38" s="447"/>
      <c r="C38" s="448"/>
      <c r="D38" s="29">
        <f t="shared" ref="D38:I38" si="5">MIN(D7:D35)</f>
        <v>0</v>
      </c>
      <c r="E38" s="30">
        <f t="shared" si="5"/>
        <v>20.3</v>
      </c>
      <c r="F38" s="30">
        <f t="shared" si="5"/>
        <v>69.099999999999994</v>
      </c>
      <c r="G38" s="30">
        <f t="shared" si="5"/>
        <v>99</v>
      </c>
      <c r="H38" s="30">
        <f t="shared" si="5"/>
        <v>99.4</v>
      </c>
      <c r="I38" s="31">
        <f t="shared" si="5"/>
        <v>100</v>
      </c>
      <c r="J38" s="37" t="s">
        <v>24</v>
      </c>
      <c r="K38" s="33">
        <f t="shared" ref="K38:Q38" si="6">MIN(K7:K35)</f>
        <v>8.197000000000001</v>
      </c>
      <c r="L38" s="33">
        <f t="shared" si="6"/>
        <v>0.2</v>
      </c>
      <c r="M38" s="33">
        <f t="shared" si="6"/>
        <v>0</v>
      </c>
      <c r="N38" s="34">
        <f t="shared" si="6"/>
        <v>2.73</v>
      </c>
      <c r="O38" s="34">
        <f t="shared" si="6"/>
        <v>1.33</v>
      </c>
      <c r="P38" s="33">
        <f t="shared" si="6"/>
        <v>0.3</v>
      </c>
      <c r="Q38" s="30">
        <f t="shared" si="6"/>
        <v>0</v>
      </c>
      <c r="R38" s="35"/>
      <c r="S38" s="36"/>
    </row>
    <row r="39" spans="1:24" ht="27" customHeight="1" thickBot="1" x14ac:dyDescent="0.3">
      <c r="A39" s="449" t="s">
        <v>1</v>
      </c>
      <c r="B39" s="450"/>
      <c r="C39" s="451"/>
      <c r="D39" s="38" t="e">
        <f t="shared" ref="D39:I39" si="7">STDEV(D7:D35)</f>
        <v>#DIV/0!</v>
      </c>
      <c r="E39" s="39" t="e">
        <f t="shared" si="7"/>
        <v>#DIV/0!</v>
      </c>
      <c r="F39" s="39" t="e">
        <f t="shared" si="7"/>
        <v>#DIV/0!</v>
      </c>
      <c r="G39" s="39" t="e">
        <f t="shared" si="7"/>
        <v>#DIV/0!</v>
      </c>
      <c r="H39" s="39" t="e">
        <f t="shared" si="7"/>
        <v>#DIV/0!</v>
      </c>
      <c r="I39" s="40" t="e">
        <f t="shared" si="7"/>
        <v>#DIV/0!</v>
      </c>
      <c r="J39" s="41" t="s">
        <v>24</v>
      </c>
      <c r="K39" s="42" t="e">
        <f t="shared" ref="K39:Q39" si="8">STDEV(K7:K35)</f>
        <v>#DIV/0!</v>
      </c>
      <c r="L39" s="42" t="e">
        <f t="shared" si="8"/>
        <v>#DIV/0!</v>
      </c>
      <c r="M39" s="42" t="e">
        <f t="shared" si="8"/>
        <v>#DIV/0!</v>
      </c>
      <c r="N39" s="43" t="e">
        <f t="shared" si="8"/>
        <v>#DIV/0!</v>
      </c>
      <c r="O39" s="43" t="e">
        <f t="shared" si="8"/>
        <v>#DIV/0!</v>
      </c>
      <c r="P39" s="42" t="e">
        <f t="shared" si="8"/>
        <v>#DIV/0!</v>
      </c>
      <c r="Q39" s="39" t="e">
        <f t="shared" si="8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62" t="s">
        <v>34</v>
      </c>
      <c r="K41" s="345"/>
      <c r="L41" s="345"/>
      <c r="M41" s="345"/>
      <c r="N41" s="345"/>
      <c r="O41" s="345"/>
      <c r="P41" s="345"/>
      <c r="Q41" s="463"/>
      <c r="R41" s="5"/>
      <c r="S41" s="5"/>
    </row>
    <row r="42" spans="1:24" ht="40.5" customHeight="1" x14ac:dyDescent="0.25">
      <c r="A42" s="441" t="s">
        <v>72</v>
      </c>
      <c r="B42" s="442"/>
      <c r="C42" s="442"/>
      <c r="D42" s="48">
        <f>100-D44</f>
        <v>100</v>
      </c>
      <c r="E42" s="48">
        <f>100-E44</f>
        <v>95</v>
      </c>
      <c r="F42" s="48">
        <f t="shared" ref="F42:H43" si="9">100-F44</f>
        <v>35</v>
      </c>
      <c r="G42" s="48">
        <f t="shared" si="9"/>
        <v>8</v>
      </c>
      <c r="H42" s="48">
        <f t="shared" si="9"/>
        <v>5</v>
      </c>
      <c r="I42" s="50" t="s">
        <v>24</v>
      </c>
      <c r="J42" s="455" t="s">
        <v>51</v>
      </c>
      <c r="K42" s="359"/>
      <c r="L42" s="359" t="s">
        <v>55</v>
      </c>
      <c r="M42" s="359" t="s">
        <v>57</v>
      </c>
      <c r="N42" s="359" t="s">
        <v>52</v>
      </c>
      <c r="O42" s="359"/>
      <c r="P42" s="359"/>
      <c r="Q42" s="365" t="s">
        <v>60</v>
      </c>
      <c r="R42" s="5"/>
      <c r="S42" s="5"/>
    </row>
    <row r="43" spans="1:24" ht="40.5" customHeight="1" x14ac:dyDescent="0.25">
      <c r="A43" s="437"/>
      <c r="B43" s="438"/>
      <c r="C43" s="438"/>
      <c r="D43" s="51">
        <f>100-D45</f>
        <v>95</v>
      </c>
      <c r="E43" s="51">
        <f>100-E45</f>
        <v>75</v>
      </c>
      <c r="F43" s="51">
        <f t="shared" si="9"/>
        <v>5</v>
      </c>
      <c r="G43" s="51">
        <f t="shared" si="9"/>
        <v>0</v>
      </c>
      <c r="H43" s="51">
        <f t="shared" si="9"/>
        <v>0</v>
      </c>
      <c r="I43" s="53" t="s">
        <v>24</v>
      </c>
      <c r="J43" s="357"/>
      <c r="K43" s="360"/>
      <c r="L43" s="360"/>
      <c r="M43" s="360"/>
      <c r="N43" s="360"/>
      <c r="O43" s="360"/>
      <c r="P43" s="360"/>
      <c r="Q43" s="366"/>
      <c r="R43" s="5"/>
      <c r="S43" s="5"/>
    </row>
    <row r="44" spans="1:24" ht="40.5" customHeight="1" x14ac:dyDescent="0.25">
      <c r="A44" s="460" t="s">
        <v>71</v>
      </c>
      <c r="B44" s="461"/>
      <c r="C44" s="461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357"/>
      <c r="K44" s="360"/>
      <c r="L44" s="360"/>
      <c r="M44" s="360"/>
      <c r="N44" s="360"/>
      <c r="O44" s="360"/>
      <c r="P44" s="360"/>
      <c r="Q44" s="366"/>
      <c r="R44" s="5"/>
      <c r="S44" s="5"/>
    </row>
    <row r="45" spans="1:24" ht="40.5" customHeight="1" thickBot="1" x14ac:dyDescent="0.3">
      <c r="A45" s="456"/>
      <c r="B45" s="457"/>
      <c r="C45" s="457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358"/>
      <c r="K45" s="361"/>
      <c r="L45" s="361"/>
      <c r="M45" s="361"/>
      <c r="N45" s="361"/>
      <c r="O45" s="361"/>
      <c r="P45" s="361"/>
      <c r="Q45" s="367"/>
      <c r="R45" s="5"/>
      <c r="S45" s="5"/>
    </row>
    <row r="46" spans="1:24" ht="32.25" customHeight="1" x14ac:dyDescent="0.25">
      <c r="A46" s="488"/>
      <c r="B46" s="488"/>
      <c r="C46" s="488"/>
      <c r="D46" s="488"/>
      <c r="E46" s="488"/>
      <c r="F46" s="488"/>
      <c r="G46" s="488"/>
      <c r="H46" s="488"/>
      <c r="I46" s="488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492" t="s">
        <v>42</v>
      </c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4"/>
      <c r="R48" s="5"/>
      <c r="S48" s="5"/>
    </row>
    <row r="49" spans="1:19" ht="18.75" customHeight="1" thickBot="1" x14ac:dyDescent="0.3">
      <c r="A49" s="5"/>
      <c r="B49" s="5"/>
      <c r="C49" s="5"/>
      <c r="D49" s="5"/>
      <c r="E49" s="495" t="s">
        <v>43</v>
      </c>
      <c r="F49" s="496"/>
      <c r="G49" s="496"/>
      <c r="H49" s="496"/>
      <c r="I49" s="496"/>
      <c r="J49" s="496"/>
      <c r="K49" s="496"/>
      <c r="L49" s="110" t="s">
        <v>44</v>
      </c>
      <c r="M49" s="110" t="s">
        <v>45</v>
      </c>
      <c r="N49" s="497" t="s">
        <v>56</v>
      </c>
      <c r="O49" s="497"/>
      <c r="P49" s="497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8">
    <mergeCell ref="A46:I46"/>
    <mergeCell ref="E48:Q48"/>
    <mergeCell ref="E49:K49"/>
    <mergeCell ref="N49:P49"/>
    <mergeCell ref="A41:I41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4:C45"/>
    <mergeCell ref="A39:C39"/>
    <mergeCell ref="N4:N6"/>
    <mergeCell ref="O4:O6"/>
    <mergeCell ref="P4:P6"/>
    <mergeCell ref="Q4:Q6"/>
    <mergeCell ref="I5:I6"/>
    <mergeCell ref="A8:S8"/>
    <mergeCell ref="A36:C36"/>
    <mergeCell ref="A37:C37"/>
    <mergeCell ref="A38:C38"/>
    <mergeCell ref="R4:R6"/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</mergeCells>
  <conditionalFormatting sqref="J7:K7 J9:K35">
    <cfRule type="cellIs" dxfId="1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8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66" t="s">
        <v>89</v>
      </c>
      <c r="B1" s="466"/>
      <c r="C1" s="466"/>
      <c r="D1" s="466"/>
      <c r="E1" s="466"/>
      <c r="F1" s="466"/>
      <c r="G1" s="466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</row>
    <row r="2" spans="1:24" ht="22.5" customHeight="1" x14ac:dyDescent="0.25">
      <c r="A2" s="467" t="s">
        <v>80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75" t="s">
        <v>2</v>
      </c>
      <c r="B4" s="472" t="s">
        <v>3</v>
      </c>
      <c r="C4" s="481" t="s">
        <v>19</v>
      </c>
      <c r="D4" s="433" t="s">
        <v>4</v>
      </c>
      <c r="E4" s="434"/>
      <c r="F4" s="434"/>
      <c r="G4" s="434"/>
      <c r="H4" s="434"/>
      <c r="I4" s="435"/>
      <c r="J4" s="478" t="s">
        <v>29</v>
      </c>
      <c r="K4" s="469" t="s">
        <v>5</v>
      </c>
      <c r="L4" s="443" t="s">
        <v>21</v>
      </c>
      <c r="M4" s="443" t="s">
        <v>30</v>
      </c>
      <c r="N4" s="443" t="s">
        <v>66</v>
      </c>
      <c r="O4" s="443" t="s">
        <v>31</v>
      </c>
      <c r="P4" s="443" t="s">
        <v>28</v>
      </c>
      <c r="Q4" s="443" t="s">
        <v>59</v>
      </c>
      <c r="R4" s="469" t="s">
        <v>20</v>
      </c>
      <c r="S4" s="468" t="s">
        <v>6</v>
      </c>
    </row>
    <row r="5" spans="1:24" ht="16.5" customHeight="1" x14ac:dyDescent="0.25">
      <c r="A5" s="476"/>
      <c r="B5" s="473"/>
      <c r="C5" s="482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1" t="s">
        <v>15</v>
      </c>
      <c r="J5" s="479"/>
      <c r="K5" s="470"/>
      <c r="L5" s="444"/>
      <c r="M5" s="444"/>
      <c r="N5" s="444"/>
      <c r="O5" s="444"/>
      <c r="P5" s="444"/>
      <c r="Q5" s="444"/>
      <c r="R5" s="470"/>
      <c r="S5" s="431"/>
    </row>
    <row r="6" spans="1:24" ht="16.5" customHeight="1" thickBot="1" x14ac:dyDescent="0.3">
      <c r="A6" s="477"/>
      <c r="B6" s="474"/>
      <c r="C6" s="483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32"/>
      <c r="J6" s="480"/>
      <c r="K6" s="471"/>
      <c r="L6" s="445"/>
      <c r="M6" s="445"/>
      <c r="N6" s="445"/>
      <c r="O6" s="445"/>
      <c r="P6" s="445"/>
      <c r="Q6" s="445"/>
      <c r="R6" s="471"/>
      <c r="S6" s="432"/>
    </row>
    <row r="7" spans="1:24" ht="27.75" customHeight="1" thickTop="1" x14ac:dyDescent="0.25">
      <c r="A7" s="69">
        <v>39814</v>
      </c>
      <c r="B7" s="70">
        <v>1</v>
      </c>
      <c r="C7" s="71">
        <v>39821</v>
      </c>
      <c r="D7" s="72">
        <v>0</v>
      </c>
      <c r="E7" s="73">
        <v>40.4</v>
      </c>
      <c r="F7" s="73">
        <v>84.4</v>
      </c>
      <c r="G7" s="73">
        <v>98.8</v>
      </c>
      <c r="H7" s="73">
        <v>99.2</v>
      </c>
      <c r="I7" s="74">
        <v>100</v>
      </c>
      <c r="J7" s="112">
        <f>IF(B7="","",IF(E7&gt;5,D$6,IF(F7&gt;5,E$6,IF(#REF!&gt;5,F$6,IF(G7&gt;5,#REF!,$G$6)))))</f>
        <v>31.5</v>
      </c>
      <c r="K7" s="76">
        <f>IF(B7="","",(F7+H7+600)/100)</f>
        <v>7.8360000000000003</v>
      </c>
      <c r="L7" s="77">
        <v>0.8</v>
      </c>
      <c r="M7" s="77" t="s">
        <v>24</v>
      </c>
      <c r="N7" s="78">
        <v>2.73</v>
      </c>
      <c r="O7" s="78">
        <v>1.34</v>
      </c>
      <c r="P7" s="77">
        <v>0.2</v>
      </c>
      <c r="Q7" s="113" t="s">
        <v>24</v>
      </c>
      <c r="R7" s="79" t="s">
        <v>84</v>
      </c>
      <c r="S7" s="80"/>
      <c r="T7" s="3"/>
      <c r="X7" s="1"/>
    </row>
    <row r="8" spans="1:24" ht="27" customHeight="1" x14ac:dyDescent="0.25">
      <c r="A8" s="69">
        <v>39814</v>
      </c>
      <c r="B8" s="70">
        <v>2</v>
      </c>
      <c r="C8" s="71">
        <v>39826</v>
      </c>
      <c r="D8" s="72">
        <v>0</v>
      </c>
      <c r="E8" s="73">
        <v>31.9</v>
      </c>
      <c r="F8" s="73">
        <v>75.3</v>
      </c>
      <c r="G8" s="73">
        <v>97.2</v>
      </c>
      <c r="H8" s="73">
        <v>98.5</v>
      </c>
      <c r="I8" s="74">
        <v>100</v>
      </c>
      <c r="J8" s="116">
        <f>IF(B8="","",IF(E8&gt;5,D$6,IF(F8&gt;5,E$6,IF(#REF!&gt;5,F$6,IF(G8&gt;5,#REF!,$G$6)))))</f>
        <v>31.5</v>
      </c>
      <c r="K8" s="76">
        <f t="shared" ref="K8" si="0">IF(B8="","",(F8+H8+600)/100)</f>
        <v>7.7379999999999995</v>
      </c>
      <c r="L8" s="77" t="s">
        <v>24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9" t="s">
        <v>84</v>
      </c>
      <c r="S8" s="80"/>
      <c r="T8" s="3"/>
      <c r="X8" s="1"/>
    </row>
    <row r="9" spans="1:24" ht="27" customHeight="1" x14ac:dyDescent="0.25">
      <c r="A9" s="69">
        <v>39814</v>
      </c>
      <c r="B9" s="70">
        <v>3</v>
      </c>
      <c r="C9" s="71">
        <v>39828</v>
      </c>
      <c r="D9" s="72">
        <v>0</v>
      </c>
      <c r="E9" s="73">
        <v>23.8</v>
      </c>
      <c r="F9" s="73">
        <v>70.5</v>
      </c>
      <c r="G9" s="73">
        <v>96.6</v>
      </c>
      <c r="H9" s="73">
        <v>98.3</v>
      </c>
      <c r="I9" s="74">
        <v>100</v>
      </c>
      <c r="J9" s="116">
        <f>IF(B9="","",IF(E9&gt;5,D$6,IF(F9&gt;5,E$6,IF(#REF!&gt;5,F$6,IF(G9&gt;5,#REF!,$G$6)))))</f>
        <v>31.5</v>
      </c>
      <c r="K9" s="76">
        <f t="shared" ref="K9:K34" si="1">IF(B9="","",(F9+H9+600)/100)</f>
        <v>7.6879999999999997</v>
      </c>
      <c r="L9" s="77">
        <v>0.9</v>
      </c>
      <c r="M9" s="77" t="s">
        <v>24</v>
      </c>
      <c r="N9" s="78">
        <v>2.71</v>
      </c>
      <c r="O9" s="78">
        <v>1.34</v>
      </c>
      <c r="P9" s="77">
        <v>0.2</v>
      </c>
      <c r="Q9" s="113" t="s">
        <v>24</v>
      </c>
      <c r="R9" s="79" t="s">
        <v>84</v>
      </c>
      <c r="S9" s="80" t="s">
        <v>85</v>
      </c>
      <c r="T9" s="3"/>
      <c r="X9" s="1"/>
    </row>
    <row r="10" spans="1:24" ht="27" customHeight="1" x14ac:dyDescent="0.25">
      <c r="A10" s="69">
        <v>39814</v>
      </c>
      <c r="B10" s="70">
        <v>4</v>
      </c>
      <c r="C10" s="71">
        <v>39833</v>
      </c>
      <c r="D10" s="72">
        <v>0</v>
      </c>
      <c r="E10" s="73">
        <v>28.9</v>
      </c>
      <c r="F10" s="73">
        <v>78.8</v>
      </c>
      <c r="G10" s="73">
        <v>98.5</v>
      </c>
      <c r="H10" s="73">
        <v>99.1</v>
      </c>
      <c r="I10" s="74">
        <v>100</v>
      </c>
      <c r="J10" s="116">
        <f>IF(B10="","",IF(E10&gt;5,D$6,IF(F10&gt;5,E$6,IF(#REF!&gt;5,F$6,IF(G10&gt;5,#REF!,$G$6)))))</f>
        <v>31.5</v>
      </c>
      <c r="K10" s="76">
        <f t="shared" si="1"/>
        <v>7.7789999999999999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9" t="s">
        <v>82</v>
      </c>
      <c r="S10" s="80" t="s">
        <v>85</v>
      </c>
      <c r="T10" s="3"/>
      <c r="X10" s="1"/>
    </row>
    <row r="11" spans="1:24" ht="27" customHeight="1" x14ac:dyDescent="0.25">
      <c r="A11" s="69">
        <v>39814</v>
      </c>
      <c r="B11" s="70">
        <v>5</v>
      </c>
      <c r="C11" s="71">
        <v>39835</v>
      </c>
      <c r="D11" s="72">
        <v>0</v>
      </c>
      <c r="E11" s="73">
        <v>31.4</v>
      </c>
      <c r="F11" s="73">
        <v>79.400000000000006</v>
      </c>
      <c r="G11" s="73">
        <v>98.2</v>
      </c>
      <c r="H11" s="73">
        <v>99.1</v>
      </c>
      <c r="I11" s="74">
        <v>100</v>
      </c>
      <c r="J11" s="116">
        <f>IF(B11="","",IF(E11&gt;5,D$6,IF(F11&gt;5,E$6,IF(#REF!&gt;5,F$6,IF(G11&gt;5,#REF!,$G$6)))))</f>
        <v>31.5</v>
      </c>
      <c r="K11" s="76">
        <f t="shared" si="1"/>
        <v>7.7850000000000001</v>
      </c>
      <c r="L11" s="77" t="s">
        <v>24</v>
      </c>
      <c r="M11" s="77" t="s">
        <v>24</v>
      </c>
      <c r="N11" s="77" t="s">
        <v>24</v>
      </c>
      <c r="O11" s="77" t="s">
        <v>24</v>
      </c>
      <c r="P11" s="77" t="s">
        <v>24</v>
      </c>
      <c r="Q11" s="77" t="s">
        <v>24</v>
      </c>
      <c r="R11" s="79" t="s">
        <v>82</v>
      </c>
      <c r="S11" s="80" t="s">
        <v>85</v>
      </c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76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76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76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76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76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76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76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76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76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76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76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76" t="str">
        <f t="shared" si="1"/>
        <v/>
      </c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76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76" t="str">
        <f t="shared" si="1"/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76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76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76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76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76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76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76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76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76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ref="K35" si="2">IF(B35="","",(E35+H35+700)/100)</f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52" t="s">
        <v>0</v>
      </c>
      <c r="B36" s="453"/>
      <c r="C36" s="454"/>
      <c r="D36" s="21">
        <f t="shared" ref="D36:I36" si="3">AVERAGE(D7:D35)</f>
        <v>0</v>
      </c>
      <c r="E36" s="22">
        <f t="shared" si="3"/>
        <v>31.28</v>
      </c>
      <c r="F36" s="22">
        <f t="shared" si="3"/>
        <v>77.679999999999993</v>
      </c>
      <c r="G36" s="22">
        <f t="shared" si="3"/>
        <v>97.86</v>
      </c>
      <c r="H36" s="22">
        <f t="shared" si="3"/>
        <v>98.84</v>
      </c>
      <c r="I36" s="23">
        <f t="shared" si="3"/>
        <v>100</v>
      </c>
      <c r="J36" s="115" t="s">
        <v>24</v>
      </c>
      <c r="K36" s="25">
        <f t="shared" ref="K36:Q36" si="4">AVERAGE(K7:K35)</f>
        <v>7.7652000000000001</v>
      </c>
      <c r="L36" s="25">
        <f t="shared" si="4"/>
        <v>0.85000000000000009</v>
      </c>
      <c r="M36" s="25" t="e">
        <f t="shared" si="4"/>
        <v>#DIV/0!</v>
      </c>
      <c r="N36" s="26">
        <f t="shared" si="4"/>
        <v>2.7199999999999998</v>
      </c>
      <c r="O36" s="26">
        <f t="shared" si="4"/>
        <v>1.34</v>
      </c>
      <c r="P36" s="25">
        <f t="shared" si="4"/>
        <v>0.2</v>
      </c>
      <c r="Q36" s="22" t="e">
        <f t="shared" si="4"/>
        <v>#DIV/0!</v>
      </c>
      <c r="R36" s="27"/>
      <c r="S36" s="28"/>
      <c r="T36" s="3"/>
      <c r="X36" s="1"/>
    </row>
    <row r="37" spans="1:24" ht="27" customHeight="1" x14ac:dyDescent="0.25">
      <c r="A37" s="446" t="s">
        <v>26</v>
      </c>
      <c r="B37" s="447"/>
      <c r="C37" s="448"/>
      <c r="D37" s="29">
        <f t="shared" ref="D37:Q37" si="5">MAX(D7:D35)</f>
        <v>0</v>
      </c>
      <c r="E37" s="30">
        <f t="shared" si="5"/>
        <v>40.4</v>
      </c>
      <c r="F37" s="30">
        <f t="shared" si="5"/>
        <v>84.4</v>
      </c>
      <c r="G37" s="30">
        <f t="shared" si="5"/>
        <v>98.8</v>
      </c>
      <c r="H37" s="30">
        <f t="shared" si="5"/>
        <v>99.2</v>
      </c>
      <c r="I37" s="31">
        <f t="shared" si="5"/>
        <v>100</v>
      </c>
      <c r="J37" s="109">
        <f t="shared" si="5"/>
        <v>31.5</v>
      </c>
      <c r="K37" s="33">
        <f t="shared" si="5"/>
        <v>7.8360000000000003</v>
      </c>
      <c r="L37" s="33">
        <f t="shared" si="5"/>
        <v>0.9</v>
      </c>
      <c r="M37" s="33">
        <f t="shared" si="5"/>
        <v>0</v>
      </c>
      <c r="N37" s="34">
        <f t="shared" si="5"/>
        <v>2.73</v>
      </c>
      <c r="O37" s="34">
        <f t="shared" si="5"/>
        <v>1.34</v>
      </c>
      <c r="P37" s="33">
        <f t="shared" si="5"/>
        <v>0.2</v>
      </c>
      <c r="Q37" s="30">
        <f t="shared" si="5"/>
        <v>0</v>
      </c>
      <c r="R37" s="35"/>
      <c r="S37" s="36"/>
    </row>
    <row r="38" spans="1:24" ht="27" customHeight="1" x14ac:dyDescent="0.25">
      <c r="A38" s="446" t="s">
        <v>25</v>
      </c>
      <c r="B38" s="447"/>
      <c r="C38" s="448"/>
      <c r="D38" s="29">
        <f t="shared" ref="D38:I38" si="6">MIN(D7:D35)</f>
        <v>0</v>
      </c>
      <c r="E38" s="30">
        <f t="shared" si="6"/>
        <v>23.8</v>
      </c>
      <c r="F38" s="30">
        <f t="shared" si="6"/>
        <v>70.5</v>
      </c>
      <c r="G38" s="30">
        <f t="shared" si="6"/>
        <v>96.6</v>
      </c>
      <c r="H38" s="30">
        <f t="shared" si="6"/>
        <v>98.3</v>
      </c>
      <c r="I38" s="31">
        <f t="shared" si="6"/>
        <v>100</v>
      </c>
      <c r="J38" s="37" t="s">
        <v>24</v>
      </c>
      <c r="K38" s="33">
        <f t="shared" ref="K38:Q38" si="7">MIN(K7:K35)</f>
        <v>7.6879999999999997</v>
      </c>
      <c r="L38" s="33">
        <f t="shared" si="7"/>
        <v>0.8</v>
      </c>
      <c r="M38" s="33">
        <f t="shared" si="7"/>
        <v>0</v>
      </c>
      <c r="N38" s="34">
        <f t="shared" si="7"/>
        <v>2.71</v>
      </c>
      <c r="O38" s="34">
        <f t="shared" si="7"/>
        <v>1.34</v>
      </c>
      <c r="P38" s="33">
        <f t="shared" si="7"/>
        <v>0.2</v>
      </c>
      <c r="Q38" s="30">
        <f t="shared" si="7"/>
        <v>0</v>
      </c>
      <c r="R38" s="35"/>
      <c r="S38" s="36"/>
    </row>
    <row r="39" spans="1:24" ht="27" customHeight="1" thickBot="1" x14ac:dyDescent="0.3">
      <c r="A39" s="449" t="s">
        <v>1</v>
      </c>
      <c r="B39" s="450"/>
      <c r="C39" s="451"/>
      <c r="D39" s="38">
        <f t="shared" ref="D39:I39" si="8">STDEV(D7:D35)</f>
        <v>0</v>
      </c>
      <c r="E39" s="39">
        <f t="shared" si="8"/>
        <v>6.0246991626138122</v>
      </c>
      <c r="F39" s="39">
        <f t="shared" si="8"/>
        <v>5.1620732269118408</v>
      </c>
      <c r="G39" s="39">
        <f t="shared" si="8"/>
        <v>0.92628289415275389</v>
      </c>
      <c r="H39" s="39">
        <f t="shared" si="8"/>
        <v>0.40987803063838363</v>
      </c>
      <c r="I39" s="40">
        <f t="shared" si="8"/>
        <v>0</v>
      </c>
      <c r="J39" s="41" t="s">
        <v>24</v>
      </c>
      <c r="K39" s="42">
        <f t="shared" ref="K39:Q39" si="9">STDEV(K7:K35)</f>
        <v>5.5440959587655297E-2</v>
      </c>
      <c r="L39" s="42">
        <f t="shared" si="9"/>
        <v>7.0710678118654738E-2</v>
      </c>
      <c r="M39" s="42" t="e">
        <f t="shared" si="9"/>
        <v>#DIV/0!</v>
      </c>
      <c r="N39" s="43">
        <f t="shared" si="9"/>
        <v>1.4142135623730963E-2</v>
      </c>
      <c r="O39" s="43">
        <f t="shared" si="9"/>
        <v>0</v>
      </c>
      <c r="P39" s="42">
        <f t="shared" si="9"/>
        <v>0</v>
      </c>
      <c r="Q39" s="39" t="e">
        <f t="shared" si="9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458" t="s">
        <v>39</v>
      </c>
      <c r="B41" s="459"/>
      <c r="C41" s="459"/>
      <c r="D41" s="459"/>
      <c r="E41" s="459"/>
      <c r="F41" s="459"/>
      <c r="G41" s="459"/>
      <c r="H41" s="459"/>
      <c r="I41" s="459"/>
      <c r="J41" s="462" t="s">
        <v>34</v>
      </c>
      <c r="K41" s="345"/>
      <c r="L41" s="345"/>
      <c r="M41" s="345"/>
      <c r="N41" s="345"/>
      <c r="O41" s="345"/>
      <c r="P41" s="345"/>
      <c r="Q41" s="463"/>
      <c r="R41" s="5"/>
      <c r="S41" s="5"/>
    </row>
    <row r="42" spans="1:24" ht="40.5" customHeight="1" x14ac:dyDescent="0.25">
      <c r="A42" s="441" t="s">
        <v>72</v>
      </c>
      <c r="B42" s="442"/>
      <c r="C42" s="442"/>
      <c r="D42" s="48">
        <f>100-D44</f>
        <v>100</v>
      </c>
      <c r="E42" s="48">
        <f>100-E44</f>
        <v>95</v>
      </c>
      <c r="F42" s="48">
        <f t="shared" ref="F42:H43" si="10">100-F44</f>
        <v>35</v>
      </c>
      <c r="G42" s="48">
        <f t="shared" si="10"/>
        <v>8</v>
      </c>
      <c r="H42" s="48">
        <f t="shared" si="10"/>
        <v>5</v>
      </c>
      <c r="I42" s="50" t="s">
        <v>24</v>
      </c>
      <c r="J42" s="455" t="s">
        <v>51</v>
      </c>
      <c r="K42" s="359"/>
      <c r="L42" s="359" t="s">
        <v>55</v>
      </c>
      <c r="M42" s="359" t="s">
        <v>57</v>
      </c>
      <c r="N42" s="359" t="s">
        <v>52</v>
      </c>
      <c r="O42" s="359"/>
      <c r="P42" s="359"/>
      <c r="Q42" s="365" t="s">
        <v>60</v>
      </c>
      <c r="R42" s="5"/>
      <c r="S42" s="5"/>
    </row>
    <row r="43" spans="1:24" ht="40.5" customHeight="1" x14ac:dyDescent="0.25">
      <c r="A43" s="437"/>
      <c r="B43" s="438"/>
      <c r="C43" s="438"/>
      <c r="D43" s="51">
        <f>100-D45</f>
        <v>95</v>
      </c>
      <c r="E43" s="51">
        <f>100-E45</f>
        <v>75</v>
      </c>
      <c r="F43" s="51">
        <f t="shared" si="10"/>
        <v>5</v>
      </c>
      <c r="G43" s="51">
        <f t="shared" si="10"/>
        <v>0</v>
      </c>
      <c r="H43" s="51">
        <f t="shared" si="10"/>
        <v>0</v>
      </c>
      <c r="I43" s="53" t="s">
        <v>24</v>
      </c>
      <c r="J43" s="357"/>
      <c r="K43" s="360"/>
      <c r="L43" s="360"/>
      <c r="M43" s="360"/>
      <c r="N43" s="360"/>
      <c r="O43" s="360"/>
      <c r="P43" s="360"/>
      <c r="Q43" s="366"/>
      <c r="R43" s="5"/>
      <c r="S43" s="5"/>
    </row>
    <row r="44" spans="1:24" ht="40.5" customHeight="1" x14ac:dyDescent="0.25">
      <c r="A44" s="460" t="s">
        <v>71</v>
      </c>
      <c r="B44" s="461"/>
      <c r="C44" s="461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357"/>
      <c r="K44" s="360"/>
      <c r="L44" s="360"/>
      <c r="M44" s="360"/>
      <c r="N44" s="360"/>
      <c r="O44" s="360"/>
      <c r="P44" s="360"/>
      <c r="Q44" s="366"/>
      <c r="R44" s="5"/>
      <c r="S44" s="5"/>
    </row>
    <row r="45" spans="1:24" ht="40.5" customHeight="1" thickBot="1" x14ac:dyDescent="0.3">
      <c r="A45" s="456"/>
      <c r="B45" s="457"/>
      <c r="C45" s="457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358"/>
      <c r="K45" s="361"/>
      <c r="L45" s="361"/>
      <c r="M45" s="361"/>
      <c r="N45" s="361"/>
      <c r="O45" s="361"/>
      <c r="P45" s="361"/>
      <c r="Q45" s="367"/>
      <c r="R45" s="5"/>
      <c r="S45" s="5"/>
    </row>
    <row r="46" spans="1:24" ht="32.25" customHeight="1" x14ac:dyDescent="0.25">
      <c r="A46" s="488"/>
      <c r="B46" s="488"/>
      <c r="C46" s="488"/>
      <c r="D46" s="488"/>
      <c r="E46" s="488"/>
      <c r="F46" s="488"/>
      <c r="G46" s="488"/>
      <c r="H46" s="488"/>
      <c r="I46" s="488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492" t="s">
        <v>42</v>
      </c>
      <c r="F48" s="493"/>
      <c r="G48" s="493"/>
      <c r="H48" s="493"/>
      <c r="I48" s="493"/>
      <c r="J48" s="493"/>
      <c r="K48" s="493"/>
      <c r="L48" s="493"/>
      <c r="M48" s="493"/>
      <c r="N48" s="493"/>
      <c r="O48" s="493"/>
      <c r="P48" s="493"/>
      <c r="Q48" s="494"/>
      <c r="R48" s="5"/>
      <c r="S48" s="5"/>
    </row>
    <row r="49" spans="1:19" ht="18.75" customHeight="1" thickBot="1" x14ac:dyDescent="0.3">
      <c r="A49" s="5"/>
      <c r="B49" s="5"/>
      <c r="C49" s="5"/>
      <c r="D49" s="5"/>
      <c r="E49" s="495" t="s">
        <v>43</v>
      </c>
      <c r="F49" s="496"/>
      <c r="G49" s="496"/>
      <c r="H49" s="496"/>
      <c r="I49" s="496"/>
      <c r="J49" s="496"/>
      <c r="K49" s="496"/>
      <c r="L49" s="110" t="s">
        <v>44</v>
      </c>
      <c r="M49" s="110" t="s">
        <v>45</v>
      </c>
      <c r="N49" s="497" t="s">
        <v>56</v>
      </c>
      <c r="O49" s="497"/>
      <c r="P49" s="497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7">
    <mergeCell ref="A46:I46"/>
    <mergeCell ref="E48:Q48"/>
    <mergeCell ref="E49:K49"/>
    <mergeCell ref="N49:P49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1:I41"/>
    <mergeCell ref="A44:C45"/>
    <mergeCell ref="I5:I6"/>
    <mergeCell ref="A36:C36"/>
    <mergeCell ref="A37:C37"/>
    <mergeCell ref="A38:C38"/>
    <mergeCell ref="A39:C39"/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N4:N6"/>
    <mergeCell ref="O4:O6"/>
    <mergeCell ref="P4:P6"/>
    <mergeCell ref="Q4:Q6"/>
    <mergeCell ref="R4:R6"/>
  </mergeCells>
  <conditionalFormatting sqref="J7:K35">
    <cfRule type="cellIs" dxfId="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0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10</vt:i4>
      </vt:variant>
      <vt:variant>
        <vt:lpstr>Gráficos</vt:lpstr>
      </vt:variant>
      <vt:variant>
        <vt:i4>8</vt:i4>
      </vt:variant>
      <vt:variant>
        <vt:lpstr>Intervalos Nomeados</vt:lpstr>
      </vt:variant>
      <vt:variant>
        <vt:i4>19</vt:i4>
      </vt:variant>
    </vt:vector>
  </HeadingPairs>
  <TitlesOfParts>
    <vt:vector size="37" baseType="lpstr">
      <vt:lpstr>Amostra 1</vt:lpstr>
      <vt:lpstr>FR-IMOB-40_REV00</vt:lpstr>
      <vt:lpstr>A. Natural </vt:lpstr>
      <vt:lpstr>A. Artificial C.Força</vt:lpstr>
      <vt:lpstr>A. Artificial Pedreira</vt:lpstr>
      <vt:lpstr>Brita 0 Pedreira</vt:lpstr>
      <vt:lpstr>Brita 1 C. Força</vt:lpstr>
      <vt:lpstr>Brita 1 Pedreira</vt:lpstr>
      <vt:lpstr>Brita 2 Pedreira</vt:lpstr>
      <vt:lpstr>Brita 2 C.Força</vt:lpstr>
      <vt:lpstr>Gráf A.Natural</vt:lpstr>
      <vt:lpstr>Gráf A.Artificial C. Força</vt:lpstr>
      <vt:lpstr>Gráf A. Artificial Pedreira</vt:lpstr>
      <vt:lpstr>Gráf Brita 0 Pedreira</vt:lpstr>
      <vt:lpstr>Gráf Brita 1 C.Força</vt:lpstr>
      <vt:lpstr>Gráf Brita 1 Pedreira</vt:lpstr>
      <vt:lpstr>Gráf Brita 2</vt:lpstr>
      <vt:lpstr>Gráf Brita 2 C.Força</vt:lpstr>
      <vt:lpstr>'A. Artificial C.Força'!Area_de_impressao</vt:lpstr>
      <vt:lpstr>'A. Artificial Pedreira'!Area_de_impressao</vt:lpstr>
      <vt:lpstr>'A. Natural '!Area_de_impressao</vt:lpstr>
      <vt:lpstr>'Amostra 1'!Area_de_impressao</vt:lpstr>
      <vt:lpstr>'Brita 0 Pedreira'!Area_de_impressao</vt:lpstr>
      <vt:lpstr>'Brita 1 C. Força'!Area_de_impressao</vt:lpstr>
      <vt:lpstr>'Brita 1 Pedreira'!Area_de_impressao</vt:lpstr>
      <vt:lpstr>'Brita 2 C.Força'!Area_de_impressao</vt:lpstr>
      <vt:lpstr>'Brita 2 Pedreira'!Area_de_impressao</vt:lpstr>
      <vt:lpstr>'FR-IMOB-40_REV00'!Area_de_impressao</vt:lpstr>
      <vt:lpstr>'A. Artificial C.Força'!Titulos_de_impressao</vt:lpstr>
      <vt:lpstr>'A. Artificial Pedreira'!Titulos_de_impressao</vt:lpstr>
      <vt:lpstr>'A. Natural '!Titulos_de_impressao</vt:lpstr>
      <vt:lpstr>'Brita 0 Pedreira'!Titulos_de_impressao</vt:lpstr>
      <vt:lpstr>'Brita 1 C. Força'!Titulos_de_impressao</vt:lpstr>
      <vt:lpstr>'Brita 1 Pedreira'!Titulos_de_impressao</vt:lpstr>
      <vt:lpstr>'Brita 2 C.Força'!Titulos_de_impressao</vt:lpstr>
      <vt:lpstr>'Brita 2 Pedreira'!Titulos_de_impressao</vt:lpstr>
      <vt:lpstr>'FR-IMOB-40_REV00'!Titulos_de_impressao</vt:lpstr>
    </vt:vector>
  </TitlesOfParts>
  <Company>Holanda Engenharia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Tecnológico dos Agregados</dc:title>
  <dc:subject>Relatório Mensal do CQ</dc:subject>
  <dc:creator>marcosfabiano@rotadooeste.com.br</dc:creator>
  <cp:lastModifiedBy>Samara Rodrigues Dos Santos</cp:lastModifiedBy>
  <cp:lastPrinted>2023-03-28T15:53:07Z</cp:lastPrinted>
  <dcterms:created xsi:type="dcterms:W3CDTF">2004-03-01T11:33:51Z</dcterms:created>
  <dcterms:modified xsi:type="dcterms:W3CDTF">2026-02-16T15:34:07Z</dcterms:modified>
</cp:coreProperties>
</file>